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Owners" sheetId="1" state="visible" r:id="rId1"/>
    <sheet xmlns:r="http://schemas.openxmlformats.org/officeDocument/2006/relationships" name="Zones" sheetId="2" state="visible" r:id="rId2"/>
    <sheet xmlns:r="http://schemas.openxmlformats.org/officeDocument/2006/relationships" name="Buses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_Fill" hidden="1">#REF!</definedName>
    <definedName name="Area_day">#REF!</definedName>
    <definedName name="In_MBA">#REF!</definedName>
    <definedName name="Khac_MBA">#REF!</definedName>
    <definedName name="Load_MVAr">[1]MVAr!$C:$T</definedName>
    <definedName name="Load_MW">[1]MW!$C:$V</definedName>
    <definedName name="Load_Shunt">[1]Shunt!$C:$T</definedName>
    <definedName name="maday">#REF!</definedName>
    <definedName name="madayamp">#REF!</definedName>
    <definedName name="Out_MBA">#REF!</definedName>
    <definedName name="TEN">[2]Sheet2!$A$1:$C$65536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sz val="12"/>
    </font>
    <font>
      <name val="Tahoma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color rgb="FFFF0000"/>
      <sz val="11"/>
    </font>
    <font>
      <name val="Tahoma"/>
      <family val="2"/>
      <sz val="11"/>
    </font>
    <font>
      <name val="Tahoma"/>
      <family val="2"/>
      <color rgb="FF0000FF"/>
      <sz val="11"/>
    </font>
    <font>
      <name val="Times New Roman"/>
      <family val="1"/>
      <b val="1"/>
      <color rgb="FF0000FF"/>
      <sz val="12"/>
    </font>
    <font>
      <name val="Calibri"/>
      <family val="2"/>
      <color rgb="FF0000FF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sz val="11"/>
    </font>
    <font>
      <name val="Times New Roman"/>
      <family val="1"/>
      <b val="1"/>
      <color rgb="FFFF0000"/>
      <sz val="12"/>
    </font>
    <font>
      <name val="Calibri"/>
      <family val="2"/>
      <b val="1"/>
      <color rgb="FFFF0000"/>
      <sz val="11"/>
    </font>
    <font>
      <name val="Calibri"/>
      <family val="2"/>
      <b val="1"/>
      <color rgb="FFFF0000"/>
      <sz val="11"/>
    </font>
  </fonts>
  <fills count="6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FFF200"/>
      </patternFill>
    </fill>
    <fill>
      <patternFill patternType="solid">
        <fgColor rgb="FFFFF200"/>
      </patternFill>
    </fill>
    <fill>
      <patternFill patternType="solid">
        <fgColor rgb="00FFF2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left" vertical="center"/>
    </xf>
    <xf numFmtId="0" fontId="6" fillId="0" borderId="1" pivotButton="0" quotePrefix="0" xfId="1"/>
    <xf numFmtId="0" fontId="5" fillId="0" borderId="1" applyAlignment="1" pivotButton="0" quotePrefix="0" xfId="0">
      <alignment vertical="center"/>
    </xf>
    <xf numFmtId="0" fontId="7" fillId="0" borderId="5" applyAlignment="1" pivotButton="0" quotePrefix="0" xfId="0">
      <alignment horizontal="center" vertical="center"/>
    </xf>
    <xf numFmtId="0" fontId="7" fillId="0" borderId="5" pivotButton="0" quotePrefix="0" xfId="1"/>
    <xf numFmtId="0" fontId="8" fillId="2" borderId="4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7" fillId="0" borderId="0" pivotButton="0" quotePrefix="0" xfId="0"/>
    <xf numFmtId="0" fontId="7" fillId="0" borderId="6" applyAlignment="1" pivotButton="0" quotePrefix="0" xfId="0">
      <alignment vertical="center"/>
    </xf>
    <xf numFmtId="0" fontId="9" fillId="0" borderId="0" pivotButton="0" quotePrefix="0" xfId="0"/>
    <xf numFmtId="0" fontId="11" fillId="0" borderId="1" applyAlignment="1" pivotButton="0" quotePrefix="0" xfId="0">
      <alignment horizontal="center" vertical="top"/>
    </xf>
    <xf numFmtId="0" fontId="12" fillId="2" borderId="3" applyAlignment="1" pivotButton="0" quotePrefix="0" xfId="0">
      <alignment horizontal="center" vertical="center"/>
    </xf>
    <xf numFmtId="0" fontId="5" fillId="0" borderId="0" pivotButton="0" quotePrefix="0" xfId="0"/>
    <xf numFmtId="0" fontId="10" fillId="0" borderId="0" pivotButton="0" quotePrefix="0" xfId="0"/>
    <xf numFmtId="0" fontId="13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vertical="center"/>
    </xf>
    <xf numFmtId="0" fontId="14" fillId="0" borderId="3" applyAlignment="1" pivotButton="0" quotePrefix="0" xfId="0">
      <alignment horizontal="center" vertical="top"/>
    </xf>
    <xf numFmtId="0" fontId="5" fillId="3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4" borderId="1" pivotButton="0" quotePrefix="0" xfId="0"/>
    <xf numFmtId="0" fontId="5" fillId="5" borderId="1" applyAlignment="1" pivotButton="0" quotePrefix="0" xfId="0">
      <alignment vertical="center"/>
    </xf>
  </cellXfs>
  <cellStyles count="2">
    <cellStyle name="Normal" xfId="0" builtinId="0"/>
    <cellStyle name="Normal 3" xfId="1"/>
  </cellStyles>
  <dxfs count="43">
    <dxf>
      <font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Tahoma"/>
        <family val="2"/>
        <strike val="0"/>
        <outline val="0"/>
        <shadow val="0"/>
        <color rgb="FFFF0000"/>
        <sz val="11"/>
        <vertAlign val="baseline"/>
      </font>
      <fill>
        <patternFill>
          <bgColor auto="1"/>
        </patternFill>
      </fill>
    </dxf>
    <dxf>
      <font>
        <name val="Tahoma"/>
        <family val="2"/>
        <strike val="0"/>
        <outline val="0"/>
        <shadow val="0"/>
        <color rgb="FF0000FF"/>
        <sz val="11"/>
        <vertAlign val="baseline"/>
      </font>
      <numFmt numFmtId="0" formatCode="General"/>
      <fill>
        <patternFill>
          <bgColor auto="1"/>
        </patternFill>
      </fill>
    </dxf>
    <dxf>
      <font>
        <name val="Tahoma"/>
        <family val="2"/>
        <strike val="0"/>
        <outline val="0"/>
        <shadow val="0"/>
        <color rgb="FF0000FF"/>
        <sz val="11"/>
        <vertAlign val="baseline"/>
      </font>
      <numFmt numFmtId="0" formatCode="General"/>
      <fill>
        <patternFill>
          <bgColor auto="1"/>
        </patternFill>
      </fill>
    </dxf>
    <dxf>
      <font>
        <name val="Tahoma"/>
        <family val="2"/>
        <strike val="0"/>
        <outline val="0"/>
        <shadow val="0"/>
        <color rgb="FF0000FF"/>
        <sz val="11"/>
        <vertAlign val="baseline"/>
      </font>
      <numFmt numFmtId="0" formatCode="General"/>
      <fill>
        <patternFill>
          <bgColor auto="1"/>
        </patternFill>
      </fill>
    </dxf>
    <dxf>
      <font>
        <name val="Tahoma"/>
        <family val="2"/>
        <strike val="0"/>
        <outline val="0"/>
        <shadow val="0"/>
        <color rgb="FF0000FF"/>
        <sz val="11"/>
        <vertAlign val="baseline"/>
      </font>
      <fill>
        <patternFill>
          <fgColor indexed="64"/>
          <bgColor indexed="65"/>
        </patternFill>
      </fill>
    </dxf>
    <dxf>
      <font>
        <name val="Tahoma"/>
        <family val="2"/>
        <strike val="0"/>
        <outline val="0"/>
        <shadow val="0"/>
        <condense val="0"/>
        <color rgb="FF0000FF"/>
        <extend val="0"/>
        <sz val="11"/>
        <vertAlign val="baseline"/>
      </font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Tahoma"/>
        <family val="2"/>
        <strike val="0"/>
        <outline val="0"/>
        <shadow val="0"/>
        <sz val="11"/>
        <vertAlign val="baseline"/>
      </font>
      <fill>
        <patternFill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family val="2"/>
        <strike val="0"/>
        <outline val="0"/>
        <shadow val="0"/>
        <condense val="0"/>
        <color rgb="FFFF0000"/>
        <extend val="0"/>
        <sz val="11"/>
        <vertAlign val="baseline"/>
      </font>
      <numFmt numFmtId="0" formatCode="General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ahoma"/>
        <family val="2"/>
        <strike val="0"/>
        <outline val="0"/>
        <shadow val="0"/>
        <condense val="0"/>
        <color rgb="FFFF0000"/>
        <extend val="0"/>
        <sz val="11"/>
        <vertAlign val="baseline"/>
      </font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family val="2"/>
        <strike val="0"/>
        <outline val="0"/>
        <shadow val="0"/>
        <condense val="0"/>
        <color rgb="FFFF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family val="2"/>
        <strike val="0"/>
        <outline val="0"/>
        <shadow val="0"/>
        <sz val="11"/>
        <vertAlign val="baseline"/>
      </font>
      <fill>
        <patternFill>
          <bgColor auto="1"/>
        </patternFill>
      </fill>
    </dxf>
    <dxf>
      <border outline="0">
        <bottom style="thin">
          <color indexed="64"/>
        </bottom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9" tint="0.5999938962981048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Tahoma"/>
        <family val="2"/>
        <strike val="0"/>
        <outline val="0"/>
        <shadow val="0"/>
        <color theme="1"/>
        <sz val="11"/>
        <vertAlign val="baseline"/>
      </font>
      <fill>
        <patternFill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ahoma"/>
        <family val="2"/>
        <strike val="0"/>
        <outline val="0"/>
        <shadow val="0"/>
        <color theme="1"/>
        <sz val="11"/>
        <vertAlign val="baseline"/>
      </font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theme="8" tint="0.799981688894314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family val="2"/>
        <strike val="0"/>
        <outline val="0"/>
        <shadow val="0"/>
        <color theme="1"/>
        <sz val="11"/>
        <vertAlign val="baseline"/>
      </font>
      <fill>
        <patternFill>
          <bgColor auto="1"/>
        </patternFill>
      </fill>
      <alignment horizontal="center" vertical="center"/>
    </dxf>
    <dxf>
      <border>
        <bottom style="thin">
          <color indexed="64"/>
        </bottom>
      </border>
    </dxf>
    <dxf>
      <font>
        <name val="Tahoma"/>
        <family val="2"/>
        <strike val="0"/>
        <outline val="0"/>
        <shadow val="0"/>
        <color theme="1"/>
        <sz val="11"/>
        <vertAlign val="baseline"/>
      </font>
      <fill>
        <patternFill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border outline="0">
        <right style="thin">
          <color indexed="64"/>
        </right>
        <top style="thin">
          <color indexed="64"/>
        </top>
      </border>
    </dxf>
    <dxf>
      <fill>
        <patternFill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rgb="FFFFFF0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esktop\Thang_Anh%20CH&#432;&#417;ng_tool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PSSE/Nam_2016/ThongSo_Calculate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mpere"/>
      <sheetName val="MW"/>
      <sheetName val="MVAr"/>
      <sheetName val="U"/>
      <sheetName val="Shunt"/>
      <sheetName val="Sheet1"/>
      <sheetName val="KtraPSSE"/>
      <sheetName val="TKe"/>
      <sheetName val="SSanh"/>
      <sheetName val="Sheet2"/>
    </sheetNames>
    <sheetDataSet>
      <sheetData sheetId="0" refreshError="1"/>
      <sheetData sheetId="1">
        <row r="2">
          <cell r="G2" t="str">
            <v>05-05</v>
          </cell>
          <cell r="H2" t="str">
            <v>19-05</v>
          </cell>
          <cell r="I2" t="str">
            <v>26-05</v>
          </cell>
          <cell r="J2" t="str">
            <v>02-06</v>
          </cell>
          <cell r="K2" t="str">
            <v>09-06</v>
          </cell>
          <cell r="L2" t="str">
            <v>06-06</v>
          </cell>
          <cell r="M2" t="str">
            <v>13-06</v>
          </cell>
        </row>
        <row r="4">
          <cell r="C4" t="str">
            <v>Đường dây/MBA</v>
          </cell>
          <cell r="D4" t="str">
            <v>MC</v>
          </cell>
          <cell r="E4" t="str">
            <v>Min</v>
          </cell>
          <cell r="F4" t="str">
            <v>Max</v>
          </cell>
        </row>
        <row r="5">
          <cell r="C5">
            <v>22</v>
          </cell>
        </row>
        <row r="6">
          <cell r="C6" t="str">
            <v>Amata MBA T1 (phía 110kV)</v>
          </cell>
          <cell r="D6">
            <v>131</v>
          </cell>
          <cell r="E6">
            <v>6.8</v>
          </cell>
          <cell r="F6">
            <v>19.899999999999999</v>
          </cell>
          <cell r="G6">
            <v>19.899999999999999</v>
          </cell>
          <cell r="H6">
            <v>19.100000000000001</v>
          </cell>
          <cell r="I6">
            <v>18.3</v>
          </cell>
          <cell r="J6">
            <v>19.100000000000001</v>
          </cell>
          <cell r="K6">
            <v>18.600000000000001</v>
          </cell>
          <cell r="L6">
            <v>7.9</v>
          </cell>
          <cell r="M6">
            <v>6.8</v>
          </cell>
        </row>
        <row r="7">
          <cell r="C7" t="str">
            <v>Amata MBA T2 (phía 110kV)</v>
          </cell>
          <cell r="D7">
            <v>132</v>
          </cell>
          <cell r="E7">
            <v>13.3</v>
          </cell>
          <cell r="F7">
            <v>23.9</v>
          </cell>
          <cell r="G7">
            <v>23.9</v>
          </cell>
          <cell r="H7">
            <v>23.5</v>
          </cell>
          <cell r="I7">
            <v>23</v>
          </cell>
          <cell r="J7">
            <v>22.9</v>
          </cell>
          <cell r="K7">
            <v>21.2</v>
          </cell>
          <cell r="L7">
            <v>16.2</v>
          </cell>
          <cell r="M7">
            <v>13.3</v>
          </cell>
        </row>
        <row r="8">
          <cell r="C8" t="str">
            <v>110kV 171 Amata - 172 Amata 2</v>
          </cell>
          <cell r="D8">
            <v>171</v>
          </cell>
          <cell r="E8">
            <v>-23.9</v>
          </cell>
          <cell r="F8">
            <v>-50.8</v>
          </cell>
          <cell r="G8">
            <v>-42.4</v>
          </cell>
          <cell r="H8">
            <v>-42.6</v>
          </cell>
          <cell r="I8">
            <v>-40.6</v>
          </cell>
          <cell r="J8">
            <v>-41.5</v>
          </cell>
          <cell r="K8">
            <v>-39.200000000000003</v>
          </cell>
          <cell r="L8">
            <v>-23.9</v>
          </cell>
          <cell r="M8">
            <v>-50.8</v>
          </cell>
        </row>
        <row r="9">
          <cell r="C9" t="str">
            <v>110kV 172 Amata - 172 An Bình</v>
          </cell>
          <cell r="D9">
            <v>172</v>
          </cell>
          <cell r="E9">
            <v>0</v>
          </cell>
          <cell r="F9">
            <v>34.200000000000003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8.1999999999999993</v>
          </cell>
          <cell r="M9">
            <v>34.200000000000003</v>
          </cell>
        </row>
        <row r="10">
          <cell r="C10" t="str">
            <v>Amata MBA T1 (phía 22kV)</v>
          </cell>
          <cell r="D10">
            <v>431</v>
          </cell>
          <cell r="E10">
            <v>-6.7</v>
          </cell>
          <cell r="F10">
            <v>-19.8</v>
          </cell>
          <cell r="G10">
            <v>-19.8</v>
          </cell>
          <cell r="H10">
            <v>-19.100000000000001</v>
          </cell>
          <cell r="I10">
            <v>-18.3</v>
          </cell>
          <cell r="J10">
            <v>-19.100000000000001</v>
          </cell>
          <cell r="K10">
            <v>-18.600000000000001</v>
          </cell>
          <cell r="L10">
            <v>-7.9</v>
          </cell>
          <cell r="M10">
            <v>-6.7</v>
          </cell>
        </row>
        <row r="11">
          <cell r="C11" t="str">
            <v>Amata MBA T2 (phía 22kV)</v>
          </cell>
          <cell r="D11">
            <v>432</v>
          </cell>
          <cell r="E11">
            <v>-13.2</v>
          </cell>
          <cell r="F11">
            <v>-23.6</v>
          </cell>
          <cell r="G11">
            <v>-23.6</v>
          </cell>
          <cell r="H11">
            <v>-23.4</v>
          </cell>
          <cell r="I11">
            <v>-22.8</v>
          </cell>
          <cell r="J11">
            <v>-22.8</v>
          </cell>
          <cell r="K11">
            <v>-21.1</v>
          </cell>
          <cell r="L11">
            <v>-15.8</v>
          </cell>
          <cell r="M11">
            <v>-13.2</v>
          </cell>
        </row>
        <row r="12">
          <cell r="C12" t="str">
            <v>Amata 2 MBA T1 (phía 110kV)</v>
          </cell>
          <cell r="D12">
            <v>131</v>
          </cell>
          <cell r="E12">
            <v>16.100000000000001</v>
          </cell>
          <cell r="F12">
            <v>29.9</v>
          </cell>
          <cell r="G12">
            <v>29.6</v>
          </cell>
          <cell r="H12">
            <v>29.9</v>
          </cell>
          <cell r="I12">
            <v>27.4</v>
          </cell>
          <cell r="J12">
            <v>28.8</v>
          </cell>
          <cell r="K12">
            <v>26.6</v>
          </cell>
          <cell r="L12">
            <v>16.3</v>
          </cell>
          <cell r="M12">
            <v>16.100000000000001</v>
          </cell>
        </row>
        <row r="13">
          <cell r="C13" t="str">
            <v>Amata 2 MBA T2 (phía 110kV)</v>
          </cell>
          <cell r="D13">
            <v>132</v>
          </cell>
          <cell r="E13">
            <v>17.7</v>
          </cell>
          <cell r="F13">
            <v>31.1</v>
          </cell>
          <cell r="G13">
            <v>31.1</v>
          </cell>
          <cell r="H13">
            <v>30.1</v>
          </cell>
          <cell r="I13">
            <v>29.4</v>
          </cell>
          <cell r="J13">
            <v>30.8</v>
          </cell>
          <cell r="K13">
            <v>29.6</v>
          </cell>
          <cell r="L13">
            <v>20.2</v>
          </cell>
          <cell r="M13">
            <v>17.7</v>
          </cell>
        </row>
        <row r="14">
          <cell r="C14" t="str">
            <v>110kV 171 Amata 2 - 177 Long Bình</v>
          </cell>
          <cell r="D14">
            <v>171</v>
          </cell>
          <cell r="E14">
            <v>-59.9</v>
          </cell>
          <cell r="F14">
            <v>-101.6</v>
          </cell>
          <cell r="G14">
            <v>-101.6</v>
          </cell>
          <cell r="H14">
            <v>-100.9</v>
          </cell>
          <cell r="I14">
            <v>-98.4</v>
          </cell>
          <cell r="J14">
            <v>-99.6</v>
          </cell>
          <cell r="K14">
            <v>-94.5</v>
          </cell>
          <cell r="L14">
            <v>-59.9</v>
          </cell>
          <cell r="M14">
            <v>-80.3</v>
          </cell>
        </row>
        <row r="15">
          <cell r="C15" t="str">
            <v>110kV 172 Amata 2 - 171 Amata</v>
          </cell>
          <cell r="D15">
            <v>172</v>
          </cell>
          <cell r="E15">
            <v>23.9</v>
          </cell>
          <cell r="F15">
            <v>50</v>
          </cell>
          <cell r="G15">
            <v>42</v>
          </cell>
          <cell r="H15">
            <v>42.5</v>
          </cell>
          <cell r="I15">
            <v>41</v>
          </cell>
          <cell r="J15">
            <v>41.4</v>
          </cell>
          <cell r="K15">
            <v>39.1</v>
          </cell>
          <cell r="L15">
            <v>23.9</v>
          </cell>
          <cell r="M15">
            <v>50</v>
          </cell>
        </row>
        <row r="16">
          <cell r="C16" t="str">
            <v>Amata 2 MBA T1 (phía 22kV)</v>
          </cell>
          <cell r="D16">
            <v>431</v>
          </cell>
          <cell r="E16">
            <v>-16</v>
          </cell>
          <cell r="F16">
            <v>-30</v>
          </cell>
          <cell r="G16">
            <v>-30</v>
          </cell>
          <cell r="H16">
            <v>-29.5</v>
          </cell>
          <cell r="I16">
            <v>-27.8</v>
          </cell>
          <cell r="J16">
            <v>-28</v>
          </cell>
          <cell r="K16">
            <v>-26.5</v>
          </cell>
          <cell r="L16">
            <v>-16.2</v>
          </cell>
          <cell r="M16">
            <v>-16</v>
          </cell>
        </row>
        <row r="17">
          <cell r="C17" t="str">
            <v>Amata 2 MBA T2 (phía 22kV)</v>
          </cell>
          <cell r="D17">
            <v>432</v>
          </cell>
          <cell r="E17">
            <v>-17.7</v>
          </cell>
          <cell r="F17">
            <v>-31.7</v>
          </cell>
          <cell r="G17">
            <v>-31.7</v>
          </cell>
          <cell r="H17">
            <v>-30.1</v>
          </cell>
          <cell r="I17">
            <v>-29.8</v>
          </cell>
          <cell r="J17">
            <v>-30.7</v>
          </cell>
          <cell r="K17">
            <v>-30</v>
          </cell>
          <cell r="L17">
            <v>-20.6</v>
          </cell>
          <cell r="M17">
            <v>-17.7</v>
          </cell>
        </row>
        <row r="18">
          <cell r="C18" t="str">
            <v>An Biên MBA T2 (phía 110kV)</v>
          </cell>
          <cell r="D18">
            <v>132</v>
          </cell>
          <cell r="E18">
            <v>24.8</v>
          </cell>
          <cell r="F18">
            <v>36.6</v>
          </cell>
          <cell r="G18">
            <v>36.6</v>
          </cell>
          <cell r="H18">
            <v>26.6</v>
          </cell>
          <cell r="I18">
            <v>24.8</v>
          </cell>
          <cell r="J18">
            <v>31.8</v>
          </cell>
          <cell r="K18">
            <v>25.9</v>
          </cell>
          <cell r="L18">
            <v>30.1</v>
          </cell>
          <cell r="M18">
            <v>27.5</v>
          </cell>
        </row>
        <row r="19">
          <cell r="C19" t="str">
            <v>110kV 171 An Biên - 171 Minh Phong</v>
          </cell>
          <cell r="D19">
            <v>171</v>
          </cell>
          <cell r="E19">
            <v>-41.4</v>
          </cell>
          <cell r="F19">
            <v>-56.4</v>
          </cell>
          <cell r="G19">
            <v>-56.4</v>
          </cell>
          <cell r="H19">
            <v>-43.5</v>
          </cell>
          <cell r="I19">
            <v>-41.4</v>
          </cell>
          <cell r="J19">
            <v>-53.3</v>
          </cell>
          <cell r="K19">
            <v>-43.7</v>
          </cell>
          <cell r="L19">
            <v>-50.7</v>
          </cell>
          <cell r="M19">
            <v>-47.2</v>
          </cell>
        </row>
        <row r="20">
          <cell r="C20" t="str">
            <v>110kV 172 An Biên - 132 Vĩnh Thuận</v>
          </cell>
          <cell r="D20">
            <v>172</v>
          </cell>
          <cell r="E20">
            <v>16.399999999999999</v>
          </cell>
          <cell r="F20">
            <v>21.5</v>
          </cell>
          <cell r="G20">
            <v>21.5</v>
          </cell>
          <cell r="H20">
            <v>19.100000000000001</v>
          </cell>
          <cell r="I20">
            <v>16.399999999999999</v>
          </cell>
          <cell r="J20">
            <v>21.1</v>
          </cell>
          <cell r="K20">
            <v>17.8</v>
          </cell>
          <cell r="L20">
            <v>20.399999999999999</v>
          </cell>
          <cell r="M20">
            <v>19.5</v>
          </cell>
        </row>
        <row r="21">
          <cell r="C21" t="str">
            <v>An Biên MBA T2 (phía 22kV)</v>
          </cell>
          <cell r="D21">
            <v>432</v>
          </cell>
          <cell r="E21">
            <v>-25.2</v>
          </cell>
          <cell r="F21">
            <v>-37</v>
          </cell>
          <cell r="G21">
            <v>-37</v>
          </cell>
          <cell r="H21">
            <v>-27</v>
          </cell>
          <cell r="I21">
            <v>-25.2</v>
          </cell>
          <cell r="J21">
            <v>-32.299999999999997</v>
          </cell>
          <cell r="K21">
            <v>-26.3</v>
          </cell>
          <cell r="L21">
            <v>-30.5</v>
          </cell>
          <cell r="M21">
            <v>-27.9</v>
          </cell>
        </row>
        <row r="22">
          <cell r="C22" t="str">
            <v>An Bình MBA T1 (phía 110kV)</v>
          </cell>
          <cell r="D22">
            <v>131</v>
          </cell>
          <cell r="E22">
            <v>24.2</v>
          </cell>
          <cell r="F22">
            <v>44.4</v>
          </cell>
          <cell r="G22">
            <v>44.4</v>
          </cell>
          <cell r="H22">
            <v>41.5</v>
          </cell>
          <cell r="I22">
            <v>41</v>
          </cell>
          <cell r="J22">
            <v>39.4</v>
          </cell>
          <cell r="K22">
            <v>41.4</v>
          </cell>
          <cell r="L22">
            <v>27.7</v>
          </cell>
          <cell r="M22">
            <v>24.2</v>
          </cell>
        </row>
        <row r="23">
          <cell r="C23" t="str">
            <v>An Bình MBA T2 (phía 110kV)</v>
          </cell>
          <cell r="D23">
            <v>132</v>
          </cell>
          <cell r="E23">
            <v>34.6</v>
          </cell>
          <cell r="F23">
            <v>49.2</v>
          </cell>
          <cell r="G23">
            <v>46.8</v>
          </cell>
          <cell r="H23">
            <v>49.2</v>
          </cell>
          <cell r="I23">
            <v>48.3</v>
          </cell>
          <cell r="J23">
            <v>48</v>
          </cell>
          <cell r="K23">
            <v>47.3</v>
          </cell>
          <cell r="L23">
            <v>34.700000000000003</v>
          </cell>
          <cell r="M23">
            <v>34.6</v>
          </cell>
        </row>
        <row r="24">
          <cell r="C24" t="str">
            <v>110kV 171 An Bình - 176 Long Bình</v>
          </cell>
          <cell r="D24">
            <v>171</v>
          </cell>
          <cell r="E24">
            <v>-58.4</v>
          </cell>
          <cell r="F24">
            <v>-90.6</v>
          </cell>
          <cell r="G24">
            <v>-89.6</v>
          </cell>
          <cell r="H24">
            <v>-90.6</v>
          </cell>
          <cell r="I24">
            <v>-87.7</v>
          </cell>
          <cell r="J24">
            <v>-87.5</v>
          </cell>
          <cell r="K24">
            <v>-87.8</v>
          </cell>
          <cell r="L24">
            <v>-62.2</v>
          </cell>
          <cell r="M24">
            <v>-58.4</v>
          </cell>
        </row>
        <row r="25">
          <cell r="C25" t="str">
            <v>110kV 172 An Bình - 172 Amata</v>
          </cell>
          <cell r="D25">
            <v>172</v>
          </cell>
          <cell r="E25">
            <v>0</v>
          </cell>
          <cell r="F25">
            <v>-34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-34</v>
          </cell>
        </row>
        <row r="26">
          <cell r="C26" t="str">
            <v>An Bình MBA T1 (phía 22kV)</v>
          </cell>
          <cell r="D26">
            <v>431</v>
          </cell>
          <cell r="E26">
            <v>-24.1</v>
          </cell>
          <cell r="F26">
            <v>-43.9</v>
          </cell>
          <cell r="G26">
            <v>-43.9</v>
          </cell>
          <cell r="H26">
            <v>-41.3</v>
          </cell>
          <cell r="I26">
            <v>-40.799999999999997</v>
          </cell>
          <cell r="J26">
            <v>-39.200000000000003</v>
          </cell>
          <cell r="K26">
            <v>-41.3</v>
          </cell>
          <cell r="L26">
            <v>-27.5</v>
          </cell>
          <cell r="M26">
            <v>-24.1</v>
          </cell>
        </row>
        <row r="27">
          <cell r="C27" t="str">
            <v>An Bình MBA T2 (phía 22kV)</v>
          </cell>
          <cell r="D27">
            <v>432</v>
          </cell>
          <cell r="E27">
            <v>-34.700000000000003</v>
          </cell>
          <cell r="F27">
            <v>-49.3</v>
          </cell>
          <cell r="G27">
            <v>-47.1</v>
          </cell>
          <cell r="H27">
            <v>-49.3</v>
          </cell>
          <cell r="I27">
            <v>-48.4</v>
          </cell>
          <cell r="J27">
            <v>-48.5</v>
          </cell>
          <cell r="K27">
            <v>-47.6</v>
          </cell>
          <cell r="L27">
            <v>-34.700000000000003</v>
          </cell>
          <cell r="M27">
            <v>-34.9</v>
          </cell>
        </row>
        <row r="28">
          <cell r="C28" t="str">
            <v>An Châu MBA T1 (phía 110kV)</v>
          </cell>
          <cell r="D28">
            <v>131</v>
          </cell>
          <cell r="E28">
            <v>19.3</v>
          </cell>
          <cell r="F28">
            <v>25.9</v>
          </cell>
          <cell r="G28">
            <v>25.9</v>
          </cell>
          <cell r="H28">
            <v>24.4</v>
          </cell>
          <cell r="I28">
            <v>21.9</v>
          </cell>
          <cell r="J28">
            <v>25.4</v>
          </cell>
          <cell r="K28">
            <v>23.4</v>
          </cell>
          <cell r="L28">
            <v>19.7</v>
          </cell>
          <cell r="M28">
            <v>19.3</v>
          </cell>
        </row>
        <row r="29">
          <cell r="C29" t="str">
            <v>An Châu MBA T2 (phía 110kV)</v>
          </cell>
          <cell r="D29">
            <v>132</v>
          </cell>
          <cell r="E29">
            <v>7</v>
          </cell>
          <cell r="F29">
            <v>11.3</v>
          </cell>
          <cell r="G29">
            <v>10.6</v>
          </cell>
          <cell r="H29">
            <v>10</v>
          </cell>
          <cell r="I29">
            <v>9.9</v>
          </cell>
          <cell r="J29">
            <v>10.8</v>
          </cell>
          <cell r="K29">
            <v>11.3</v>
          </cell>
          <cell r="L29">
            <v>7.5</v>
          </cell>
          <cell r="M29">
            <v>7</v>
          </cell>
        </row>
        <row r="30">
          <cell r="C30" t="str">
            <v>110kV 171 An Châu - 171 Cái Dầu</v>
          </cell>
          <cell r="D30">
            <v>171</v>
          </cell>
          <cell r="E30">
            <v>0</v>
          </cell>
          <cell r="F30">
            <v>0.1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0.1</v>
          </cell>
        </row>
        <row r="31">
          <cell r="C31" t="str">
            <v>110kV 172 An Châu - 176 Long Xuyên 2</v>
          </cell>
          <cell r="D31">
            <v>172</v>
          </cell>
          <cell r="E31">
            <v>-26</v>
          </cell>
          <cell r="F31">
            <v>-35.1</v>
          </cell>
          <cell r="G31">
            <v>-34.9</v>
          </cell>
          <cell r="H31">
            <v>-32.6</v>
          </cell>
          <cell r="I31">
            <v>-29.5</v>
          </cell>
          <cell r="J31">
            <v>-34.200000000000003</v>
          </cell>
          <cell r="K31">
            <v>-35.1</v>
          </cell>
          <cell r="L31">
            <v>-27.1</v>
          </cell>
          <cell r="M31">
            <v>-26</v>
          </cell>
        </row>
        <row r="32">
          <cell r="C32" t="str">
            <v>An Châu MBA T1 (phía 22kV)</v>
          </cell>
          <cell r="D32">
            <v>431</v>
          </cell>
          <cell r="E32">
            <v>-19.3</v>
          </cell>
          <cell r="F32">
            <v>-26</v>
          </cell>
          <cell r="G32">
            <v>-26</v>
          </cell>
          <cell r="H32">
            <v>-24.4</v>
          </cell>
          <cell r="I32">
            <v>-21.9</v>
          </cell>
          <cell r="J32">
            <v>-25.4</v>
          </cell>
          <cell r="K32">
            <v>-23.8</v>
          </cell>
          <cell r="L32">
            <v>-19.7</v>
          </cell>
          <cell r="M32">
            <v>-19.3</v>
          </cell>
        </row>
        <row r="33">
          <cell r="C33" t="str">
            <v>An Châu MBA T2 (phía 22kV)</v>
          </cell>
          <cell r="D33">
            <v>432</v>
          </cell>
          <cell r="E33">
            <v>-6.9</v>
          </cell>
          <cell r="F33">
            <v>-11</v>
          </cell>
          <cell r="G33">
            <v>-10.7</v>
          </cell>
          <cell r="H33">
            <v>-9.9</v>
          </cell>
          <cell r="I33">
            <v>-9.9</v>
          </cell>
          <cell r="J33">
            <v>-10.8</v>
          </cell>
          <cell r="K33">
            <v>-11</v>
          </cell>
          <cell r="L33">
            <v>-7.3</v>
          </cell>
          <cell r="M33">
            <v>-6.9</v>
          </cell>
        </row>
        <row r="34">
          <cell r="C34" t="str">
            <v>110kV 171 An Hòa - 173 Sa Đéc 2</v>
          </cell>
          <cell r="F34">
            <v>-91.7</v>
          </cell>
          <cell r="H34">
            <v>-53.2</v>
          </cell>
          <cell r="I34">
            <v>-75.8</v>
          </cell>
          <cell r="J34">
            <v>-91.7</v>
          </cell>
          <cell r="K34">
            <v>-77.8</v>
          </cell>
          <cell r="L34">
            <v>-62.6</v>
          </cell>
          <cell r="M34">
            <v>-58.3</v>
          </cell>
        </row>
        <row r="35">
          <cell r="C35" t="str">
            <v>110kV 172 An Hòa - 171 Thạnh Hưng</v>
          </cell>
          <cell r="E35">
            <v>0</v>
          </cell>
          <cell r="F35">
            <v>34.9</v>
          </cell>
          <cell r="H35">
            <v>0</v>
          </cell>
          <cell r="I35">
            <v>24.5</v>
          </cell>
          <cell r="J35">
            <v>34.9</v>
          </cell>
          <cell r="K35">
            <v>29.1</v>
          </cell>
          <cell r="L35">
            <v>23.8</v>
          </cell>
          <cell r="M35">
            <v>25.9</v>
          </cell>
        </row>
        <row r="36">
          <cell r="C36" t="str">
            <v>An Hòa MBA T1 (phía 110kV)</v>
          </cell>
          <cell r="F36">
            <v>28.1</v>
          </cell>
          <cell r="H36">
            <v>27.2</v>
          </cell>
          <cell r="I36">
            <v>27.5</v>
          </cell>
          <cell r="J36">
            <v>28.1</v>
          </cell>
          <cell r="K36">
            <v>25.8</v>
          </cell>
          <cell r="L36">
            <v>17</v>
          </cell>
          <cell r="M36">
            <v>16.399999999999999</v>
          </cell>
        </row>
        <row r="37">
          <cell r="C37" t="str">
            <v>An Hòa MBA T1 (phía 22kV)</v>
          </cell>
          <cell r="F37">
            <v>-28.2</v>
          </cell>
          <cell r="H37">
            <v>-27.2</v>
          </cell>
          <cell r="I37">
            <v>-27.6</v>
          </cell>
          <cell r="J37">
            <v>-28.2</v>
          </cell>
          <cell r="K37">
            <v>-25.9</v>
          </cell>
          <cell r="L37">
            <v>-17</v>
          </cell>
          <cell r="M37">
            <v>-16.5</v>
          </cell>
        </row>
        <row r="38">
          <cell r="C38" t="str">
            <v>An Hòa MBA T2 (phía 110kV)</v>
          </cell>
          <cell r="F38">
            <v>29.1</v>
          </cell>
          <cell r="H38">
            <v>26.3</v>
          </cell>
          <cell r="I38">
            <v>24.6</v>
          </cell>
          <cell r="J38">
            <v>29.1</v>
          </cell>
          <cell r="K38">
            <v>26</v>
          </cell>
          <cell r="L38">
            <v>25.1</v>
          </cell>
          <cell r="M38">
            <v>21.4</v>
          </cell>
        </row>
        <row r="39">
          <cell r="C39" t="str">
            <v>An Hòa MBA T2 (phía 22kV)</v>
          </cell>
          <cell r="F39">
            <v>-29.1</v>
          </cell>
          <cell r="H39">
            <v>-26.3</v>
          </cell>
          <cell r="I39">
            <v>-24.6</v>
          </cell>
          <cell r="J39">
            <v>-29.1</v>
          </cell>
          <cell r="K39">
            <v>-25.9</v>
          </cell>
          <cell r="L39">
            <v>-25.1</v>
          </cell>
          <cell r="M39">
            <v>-21.5</v>
          </cell>
        </row>
        <row r="40">
          <cell r="C40" t="str">
            <v>110kV 171 An Khánh - 171 Thảo Điền - 171 Xa Lộ</v>
          </cell>
          <cell r="F40">
            <v>-32</v>
          </cell>
          <cell r="H40">
            <v>-32</v>
          </cell>
          <cell r="I40">
            <v>-23.8</v>
          </cell>
          <cell r="J40">
            <v>-28.3</v>
          </cell>
          <cell r="K40">
            <v>-24.7</v>
          </cell>
          <cell r="L40">
            <v>-22.2</v>
          </cell>
          <cell r="M40">
            <v>-22.2</v>
          </cell>
        </row>
        <row r="41">
          <cell r="C41" t="str">
            <v>110kV 172 An Khánh - 172 Việt Thành</v>
          </cell>
          <cell r="F41">
            <v>-26.5</v>
          </cell>
          <cell r="H41">
            <v>-26.5</v>
          </cell>
          <cell r="I41">
            <v>-19.7</v>
          </cell>
          <cell r="J41">
            <v>-23</v>
          </cell>
          <cell r="K41">
            <v>-20</v>
          </cell>
          <cell r="L41">
            <v>-16.899999999999999</v>
          </cell>
          <cell r="M41">
            <v>-18.600000000000001</v>
          </cell>
        </row>
        <row r="42">
          <cell r="C42" t="str">
            <v>An Khánh MBA T1 (phía 22kV)</v>
          </cell>
          <cell r="F42">
            <v>-31.9</v>
          </cell>
          <cell r="H42">
            <v>-31.9</v>
          </cell>
          <cell r="I42">
            <v>-23.7</v>
          </cell>
          <cell r="J42">
            <v>-28.2</v>
          </cell>
          <cell r="K42">
            <v>-24.7</v>
          </cell>
          <cell r="L42">
            <v>-22.3</v>
          </cell>
          <cell r="M42">
            <v>-22.1</v>
          </cell>
        </row>
        <row r="43">
          <cell r="C43" t="str">
            <v>An Khánh MBA T2 (phía 22kV)</v>
          </cell>
          <cell r="F43">
            <v>-27.4</v>
          </cell>
          <cell r="H43">
            <v>-27.4</v>
          </cell>
          <cell r="I43">
            <v>-20.7</v>
          </cell>
          <cell r="J43">
            <v>-23.7</v>
          </cell>
          <cell r="K43">
            <v>-20.9</v>
          </cell>
          <cell r="L43">
            <v>-17.600000000000001</v>
          </cell>
          <cell r="M43">
            <v>-19.2</v>
          </cell>
        </row>
        <row r="44">
          <cell r="C44" t="str">
            <v>An Khánh MBA T1 (phía 110kV)</v>
          </cell>
          <cell r="F44">
            <v>31.8</v>
          </cell>
          <cell r="H44">
            <v>31.8</v>
          </cell>
          <cell r="I44">
            <v>24</v>
          </cell>
          <cell r="J44">
            <v>28</v>
          </cell>
          <cell r="K44">
            <v>24.5</v>
          </cell>
          <cell r="L44">
            <v>22.4</v>
          </cell>
          <cell r="M44">
            <v>22.2</v>
          </cell>
        </row>
        <row r="45">
          <cell r="C45" t="str">
            <v>An Khánh MBA T2 (phía 110kV)</v>
          </cell>
          <cell r="F45">
            <v>26.3</v>
          </cell>
          <cell r="H45">
            <v>26.3</v>
          </cell>
          <cell r="I45">
            <v>19.7</v>
          </cell>
          <cell r="J45">
            <v>23.4</v>
          </cell>
          <cell r="K45">
            <v>20.100000000000001</v>
          </cell>
          <cell r="L45">
            <v>16.7</v>
          </cell>
          <cell r="M45">
            <v>18.399999999999999</v>
          </cell>
        </row>
        <row r="46">
          <cell r="C46" t="str">
            <v>An Long MBA T1 (phía 110kV)</v>
          </cell>
          <cell r="D46">
            <v>131</v>
          </cell>
          <cell r="E46">
            <v>0</v>
          </cell>
          <cell r="F46">
            <v>28.5</v>
          </cell>
          <cell r="G46">
            <v>24</v>
          </cell>
          <cell r="H46">
            <v>23.3</v>
          </cell>
          <cell r="I46">
            <v>28.5</v>
          </cell>
          <cell r="J46">
            <v>24.4</v>
          </cell>
          <cell r="K46">
            <v>21.1</v>
          </cell>
          <cell r="L46">
            <v>21.8</v>
          </cell>
          <cell r="M46">
            <v>0</v>
          </cell>
        </row>
        <row r="47">
          <cell r="C47" t="str">
            <v>An Long MBA T2 (phía 110kV)</v>
          </cell>
          <cell r="D47">
            <v>132</v>
          </cell>
          <cell r="E47">
            <v>0</v>
          </cell>
          <cell r="F47">
            <v>20.7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20.7</v>
          </cell>
        </row>
        <row r="48">
          <cell r="C48" t="str">
            <v>110kV 171 An Long - 171 Hồng Ngự</v>
          </cell>
          <cell r="D48">
            <v>171</v>
          </cell>
          <cell r="E48">
            <v>31.9</v>
          </cell>
          <cell r="F48">
            <v>69.8</v>
          </cell>
          <cell r="G48">
            <v>47.1</v>
          </cell>
          <cell r="H48">
            <v>42.1</v>
          </cell>
          <cell r="I48">
            <v>31.9</v>
          </cell>
          <cell r="J48">
            <v>69.8</v>
          </cell>
          <cell r="K48">
            <v>40.299999999999997</v>
          </cell>
          <cell r="L48">
            <v>46.1</v>
          </cell>
          <cell r="M48">
            <v>43.4</v>
          </cell>
        </row>
        <row r="49">
          <cell r="C49" t="str">
            <v>110kV 172 An Long - 171 Trần Quốc Toản</v>
          </cell>
          <cell r="D49">
            <v>172</v>
          </cell>
          <cell r="E49">
            <v>-60.1</v>
          </cell>
          <cell r="F49">
            <v>-92.7</v>
          </cell>
          <cell r="G49">
            <v>-68.2</v>
          </cell>
          <cell r="H49">
            <v>-65.2</v>
          </cell>
          <cell r="I49">
            <v>-60.1</v>
          </cell>
          <cell r="J49">
            <v>-92.7</v>
          </cell>
          <cell r="K49">
            <v>-61.3</v>
          </cell>
          <cell r="L49">
            <v>-67.8</v>
          </cell>
          <cell r="M49">
            <v>-63.6</v>
          </cell>
        </row>
        <row r="50">
          <cell r="C50" t="str">
            <v>An Long MBA T1 (phía 22kV)</v>
          </cell>
          <cell r="D50">
            <v>431</v>
          </cell>
          <cell r="E50">
            <v>0</v>
          </cell>
          <cell r="F50">
            <v>-28.4</v>
          </cell>
          <cell r="G50">
            <v>-23.8</v>
          </cell>
          <cell r="H50">
            <v>-23</v>
          </cell>
          <cell r="I50">
            <v>-28.4</v>
          </cell>
          <cell r="J50">
            <v>-24.2</v>
          </cell>
          <cell r="K50">
            <v>-20.9</v>
          </cell>
          <cell r="L50">
            <v>-22</v>
          </cell>
          <cell r="M50">
            <v>0</v>
          </cell>
        </row>
        <row r="51">
          <cell r="C51" t="str">
            <v>An Long MBA T2 (phía 22kV)</v>
          </cell>
          <cell r="D51">
            <v>432</v>
          </cell>
          <cell r="E51">
            <v>0</v>
          </cell>
          <cell r="F51">
            <v>-20.2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-20.2</v>
          </cell>
        </row>
        <row r="52">
          <cell r="C52" t="str">
            <v>110kV 171 An Ngãi - 175 Vũng Tàu 2</v>
          </cell>
          <cell r="F52">
            <v>-39.200000000000003</v>
          </cell>
          <cell r="H52">
            <v>-39.200000000000003</v>
          </cell>
          <cell r="I52">
            <v>10.7</v>
          </cell>
          <cell r="J52">
            <v>11.7</v>
          </cell>
          <cell r="K52">
            <v>-23.9</v>
          </cell>
          <cell r="L52">
            <v>-21.8</v>
          </cell>
          <cell r="M52">
            <v>-25.2</v>
          </cell>
        </row>
        <row r="53">
          <cell r="C53" t="str">
            <v>110kV 172 An Ngãi - 172 NMĐ Bà Rịa</v>
          </cell>
          <cell r="F53">
            <v>-31.2</v>
          </cell>
          <cell r="H53">
            <v>13.3</v>
          </cell>
          <cell r="I53">
            <v>-24.3</v>
          </cell>
          <cell r="J53">
            <v>-31.2</v>
          </cell>
          <cell r="K53">
            <v>-21.6</v>
          </cell>
          <cell r="L53">
            <v>-23.2</v>
          </cell>
          <cell r="M53">
            <v>-10.5</v>
          </cell>
        </row>
        <row r="54">
          <cell r="C54" t="str">
            <v>An Ngãi MBA T1 (phía 110kV)</v>
          </cell>
          <cell r="F54">
            <v>31.6</v>
          </cell>
          <cell r="H54">
            <v>31.4</v>
          </cell>
          <cell r="I54">
            <v>24</v>
          </cell>
          <cell r="J54">
            <v>31.6</v>
          </cell>
          <cell r="K54">
            <v>24.8</v>
          </cell>
          <cell r="L54">
            <v>26.2</v>
          </cell>
          <cell r="M54">
            <v>29.7</v>
          </cell>
        </row>
        <row r="55">
          <cell r="C55" t="str">
            <v>An Ngãi MBA T1 (phía 22kV)</v>
          </cell>
          <cell r="F55">
            <v>-31.6</v>
          </cell>
          <cell r="H55">
            <v>-31.4</v>
          </cell>
          <cell r="I55">
            <v>-24</v>
          </cell>
          <cell r="J55">
            <v>-31.6</v>
          </cell>
          <cell r="K55">
            <v>-24.8</v>
          </cell>
          <cell r="L55">
            <v>-26.1</v>
          </cell>
          <cell r="M55">
            <v>-29.6</v>
          </cell>
        </row>
        <row r="56">
          <cell r="C56" t="str">
            <v>An Nghĩa MBA T2 (phía 110kV)</v>
          </cell>
          <cell r="D56">
            <v>132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C57" t="str">
            <v>110kV 171 An Nghĩa - 172 Cần Giờ</v>
          </cell>
          <cell r="D57">
            <v>171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C58" t="str">
            <v>110kV 172 An Nghĩa - 177 Nhà Bè</v>
          </cell>
          <cell r="D58">
            <v>172</v>
          </cell>
          <cell r="E58">
            <v>-9.6999999999999993</v>
          </cell>
          <cell r="F58">
            <v>-11.3</v>
          </cell>
          <cell r="G58">
            <v>-11.3</v>
          </cell>
          <cell r="H58">
            <v>-11.3</v>
          </cell>
          <cell r="I58">
            <v>-9.8000000000000007</v>
          </cell>
          <cell r="J58">
            <v>-10.7</v>
          </cell>
          <cell r="K58">
            <v>-9.6999999999999993</v>
          </cell>
          <cell r="L58">
            <v>-10</v>
          </cell>
          <cell r="M58">
            <v>-11.1</v>
          </cell>
        </row>
        <row r="59">
          <cell r="C59" t="str">
            <v>An Nghĩa MBA T2 (phía 22kV)</v>
          </cell>
          <cell r="D59">
            <v>432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C60" t="str">
            <v>An Phú MBA T2 (phía 110kV)</v>
          </cell>
          <cell r="F60">
            <v>26.9</v>
          </cell>
          <cell r="H60">
            <v>24</v>
          </cell>
          <cell r="I60">
            <v>21.8</v>
          </cell>
          <cell r="J60">
            <v>26.9</v>
          </cell>
          <cell r="K60">
            <v>21.8</v>
          </cell>
          <cell r="L60">
            <v>24.3</v>
          </cell>
          <cell r="M60">
            <v>21.2</v>
          </cell>
        </row>
        <row r="61">
          <cell r="C61" t="str">
            <v>An Phú MBA T2 (phía 22kV)</v>
          </cell>
          <cell r="F61">
            <v>-27</v>
          </cell>
          <cell r="H61">
            <v>-24</v>
          </cell>
          <cell r="I61">
            <v>-21.8</v>
          </cell>
          <cell r="J61">
            <v>-27</v>
          </cell>
          <cell r="K61">
            <v>-21.9</v>
          </cell>
          <cell r="L61">
            <v>-24.4</v>
          </cell>
          <cell r="M61">
            <v>-21.5</v>
          </cell>
        </row>
        <row r="62">
          <cell r="C62" t="str">
            <v>110kV 171 An Phước - 181 Long Thành</v>
          </cell>
          <cell r="F62">
            <v>-118.9</v>
          </cell>
          <cell r="H62">
            <v>-110.6</v>
          </cell>
          <cell r="I62">
            <v>-110</v>
          </cell>
          <cell r="J62">
            <v>-118.9</v>
          </cell>
          <cell r="K62">
            <v>-109.7</v>
          </cell>
          <cell r="L62">
            <v>-51.3</v>
          </cell>
          <cell r="M62">
            <v>-51.7</v>
          </cell>
        </row>
        <row r="63">
          <cell r="C63" t="str">
            <v>110kV 172 An Phước - 171 Tam Phước</v>
          </cell>
          <cell r="F63">
            <v>46.1</v>
          </cell>
          <cell r="H63">
            <v>44.5</v>
          </cell>
          <cell r="I63">
            <v>44.3</v>
          </cell>
          <cell r="J63">
            <v>46.1</v>
          </cell>
          <cell r="K63">
            <v>43.7</v>
          </cell>
          <cell r="L63">
            <v>20.6</v>
          </cell>
          <cell r="M63">
            <v>18.399999999999999</v>
          </cell>
        </row>
        <row r="64">
          <cell r="C64" t="str">
            <v>An Phước MBA T1 (phía 110kV)</v>
          </cell>
          <cell r="F64">
            <v>26.6</v>
          </cell>
          <cell r="H64">
            <v>25.7</v>
          </cell>
          <cell r="I64">
            <v>24.2</v>
          </cell>
          <cell r="J64">
            <v>26.6</v>
          </cell>
          <cell r="K64">
            <v>24.5</v>
          </cell>
          <cell r="L64">
            <v>9.5</v>
          </cell>
          <cell r="M64">
            <v>9</v>
          </cell>
        </row>
        <row r="65">
          <cell r="C65" t="str">
            <v>An Phước MBA T1 (phía 22kV)</v>
          </cell>
          <cell r="F65">
            <v>-26.5</v>
          </cell>
          <cell r="H65">
            <v>-25.6</v>
          </cell>
          <cell r="I65">
            <v>-24</v>
          </cell>
          <cell r="J65">
            <v>-26.5</v>
          </cell>
          <cell r="K65">
            <v>-24.5</v>
          </cell>
          <cell r="L65">
            <v>-9.4</v>
          </cell>
          <cell r="M65">
            <v>-8.9</v>
          </cell>
        </row>
        <row r="66">
          <cell r="C66" t="str">
            <v>An Phước MBA T2 (phía 110kV)</v>
          </cell>
          <cell r="F66">
            <v>46.4</v>
          </cell>
          <cell r="H66">
            <v>40.799999999999997</v>
          </cell>
          <cell r="I66">
            <v>43</v>
          </cell>
          <cell r="J66">
            <v>46.4</v>
          </cell>
          <cell r="K66">
            <v>42.2</v>
          </cell>
          <cell r="L66">
            <v>27.4</v>
          </cell>
          <cell r="M66">
            <v>27.4</v>
          </cell>
        </row>
        <row r="67">
          <cell r="C67" t="str">
            <v>An Phước MBA T2 (phía 22kV)</v>
          </cell>
          <cell r="F67">
            <v>-46.8</v>
          </cell>
          <cell r="H67">
            <v>-40.9</v>
          </cell>
          <cell r="I67">
            <v>-42</v>
          </cell>
          <cell r="J67">
            <v>-46.8</v>
          </cell>
          <cell r="K67">
            <v>-42</v>
          </cell>
          <cell r="L67">
            <v>-27.1</v>
          </cell>
          <cell r="M67">
            <v>-27.2</v>
          </cell>
        </row>
        <row r="68">
          <cell r="C68" t="str">
            <v>An Tây MBA T1 (phía 110kV)</v>
          </cell>
          <cell r="D68">
            <v>131</v>
          </cell>
          <cell r="E68">
            <v>35.200000000000003</v>
          </cell>
          <cell r="F68">
            <v>61.1</v>
          </cell>
          <cell r="G68">
            <v>58.2</v>
          </cell>
          <cell r="H68">
            <v>61.1</v>
          </cell>
          <cell r="I68">
            <v>57.8</v>
          </cell>
          <cell r="J68">
            <v>59.9</v>
          </cell>
          <cell r="K68">
            <v>60.4</v>
          </cell>
          <cell r="L68">
            <v>36.700000000000003</v>
          </cell>
          <cell r="M68">
            <v>35.200000000000003</v>
          </cell>
        </row>
        <row r="69">
          <cell r="C69" t="str">
            <v>An Tây MBA T2 (phía 110kV)</v>
          </cell>
          <cell r="D69">
            <v>132</v>
          </cell>
          <cell r="E69">
            <v>24.1</v>
          </cell>
          <cell r="F69">
            <v>57.3</v>
          </cell>
          <cell r="G69">
            <v>54.4</v>
          </cell>
          <cell r="H69">
            <v>55.1</v>
          </cell>
          <cell r="I69">
            <v>52.8</v>
          </cell>
          <cell r="J69">
            <v>57.3</v>
          </cell>
          <cell r="K69">
            <v>53.5</v>
          </cell>
          <cell r="L69">
            <v>34.6</v>
          </cell>
          <cell r="M69">
            <v>24.1</v>
          </cell>
        </row>
        <row r="70">
          <cell r="C70" t="str">
            <v>110kV 171 An Tây - 177 Mỹ Phước</v>
          </cell>
          <cell r="D70">
            <v>171</v>
          </cell>
          <cell r="E70">
            <v>-29.3</v>
          </cell>
          <cell r="F70">
            <v>-58.7</v>
          </cell>
          <cell r="G70">
            <v>-54.9</v>
          </cell>
          <cell r="H70">
            <v>-58.4</v>
          </cell>
          <cell r="I70">
            <v>-55.2</v>
          </cell>
          <cell r="J70">
            <v>-58.7</v>
          </cell>
          <cell r="K70">
            <v>-56.2</v>
          </cell>
          <cell r="L70">
            <v>-35.4</v>
          </cell>
          <cell r="M70">
            <v>-29.3</v>
          </cell>
        </row>
        <row r="71">
          <cell r="C71" t="str">
            <v>110kV 172 An Tây - 178 Mỹ Phước</v>
          </cell>
          <cell r="D71">
            <v>172</v>
          </cell>
          <cell r="E71">
            <v>-29.5</v>
          </cell>
          <cell r="F71">
            <v>-59.4</v>
          </cell>
          <cell r="G71">
            <v>-55.3</v>
          </cell>
          <cell r="H71">
            <v>-58.5</v>
          </cell>
          <cell r="I71">
            <v>-55.5</v>
          </cell>
          <cell r="J71">
            <v>-59.4</v>
          </cell>
          <cell r="K71">
            <v>-56.7</v>
          </cell>
          <cell r="L71">
            <v>-35.6</v>
          </cell>
          <cell r="M71">
            <v>-29.5</v>
          </cell>
        </row>
        <row r="72">
          <cell r="C72" t="str">
            <v>An Tây MBA T1 (phía 22kV)</v>
          </cell>
          <cell r="D72">
            <v>431</v>
          </cell>
          <cell r="E72">
            <v>-34.9</v>
          </cell>
          <cell r="F72">
            <v>-61.1</v>
          </cell>
          <cell r="G72">
            <v>-58.4</v>
          </cell>
          <cell r="H72">
            <v>-61.1</v>
          </cell>
          <cell r="I72">
            <v>-57.9</v>
          </cell>
          <cell r="J72">
            <v>-60</v>
          </cell>
          <cell r="K72">
            <v>-60.3</v>
          </cell>
          <cell r="L72">
            <v>-36.700000000000003</v>
          </cell>
          <cell r="M72">
            <v>-34.9</v>
          </cell>
        </row>
        <row r="73">
          <cell r="C73" t="str">
            <v>An Tây MBA T2 (phía 22kV)</v>
          </cell>
          <cell r="D73">
            <v>432</v>
          </cell>
          <cell r="E73">
            <v>-24.1</v>
          </cell>
          <cell r="F73">
            <v>-57.4</v>
          </cell>
          <cell r="G73">
            <v>-54.2</v>
          </cell>
          <cell r="H73">
            <v>-55.4</v>
          </cell>
          <cell r="I73">
            <v>-53</v>
          </cell>
          <cell r="J73">
            <v>-57.4</v>
          </cell>
          <cell r="K73">
            <v>-53.6</v>
          </cell>
          <cell r="L73">
            <v>-34.6</v>
          </cell>
          <cell r="M73">
            <v>-24.1</v>
          </cell>
        </row>
        <row r="74">
          <cell r="C74" t="str">
            <v>An Thạnh MBA T1 (phía 110kV)</v>
          </cell>
          <cell r="F74">
            <v>33.4</v>
          </cell>
          <cell r="H74">
            <v>33.4</v>
          </cell>
          <cell r="I74">
            <v>27.1</v>
          </cell>
          <cell r="J74">
            <v>29.9</v>
          </cell>
          <cell r="K74">
            <v>28.5</v>
          </cell>
          <cell r="L74">
            <v>22.4</v>
          </cell>
          <cell r="M74">
            <v>20.5</v>
          </cell>
        </row>
        <row r="75">
          <cell r="C75" t="str">
            <v>An Thạnh MBA T1 (phía 22kV)</v>
          </cell>
          <cell r="F75">
            <v>-33.6</v>
          </cell>
          <cell r="H75">
            <v>-33.6</v>
          </cell>
          <cell r="I75">
            <v>-27.1</v>
          </cell>
          <cell r="J75">
            <v>-29.6</v>
          </cell>
          <cell r="K75">
            <v>-28.3</v>
          </cell>
          <cell r="L75">
            <v>-22.5</v>
          </cell>
          <cell r="M75">
            <v>-20.6</v>
          </cell>
        </row>
        <row r="76">
          <cell r="C76" t="str">
            <v>An Thạnh MBA T2 (phía 110kV)</v>
          </cell>
          <cell r="F76">
            <v>38.9</v>
          </cell>
          <cell r="H76">
            <v>36.200000000000003</v>
          </cell>
          <cell r="I76">
            <v>36.799999999999997</v>
          </cell>
          <cell r="J76">
            <v>38.9</v>
          </cell>
          <cell r="K76">
            <v>37</v>
          </cell>
          <cell r="L76">
            <v>24.1</v>
          </cell>
          <cell r="M76">
            <v>25.1</v>
          </cell>
        </row>
        <row r="77">
          <cell r="C77" t="str">
            <v>An Thạnh MBA T2 (phía 22kV)</v>
          </cell>
          <cell r="F77">
            <v>-38.9</v>
          </cell>
          <cell r="H77">
            <v>-36.5</v>
          </cell>
          <cell r="I77">
            <v>-36.799999999999997</v>
          </cell>
          <cell r="J77">
            <v>-38.9</v>
          </cell>
          <cell r="K77">
            <v>-37</v>
          </cell>
          <cell r="L77">
            <v>-24.2</v>
          </cell>
          <cell r="M77">
            <v>-25.2</v>
          </cell>
        </row>
        <row r="78">
          <cell r="C78" t="str">
            <v>110kV 172 An Thạnh - 172 NMĐ MT Solar Park 1, 2, 3, 4</v>
          </cell>
          <cell r="F78">
            <v>-68.599999999999994</v>
          </cell>
          <cell r="H78">
            <v>-68.599999999999994</v>
          </cell>
          <cell r="I78">
            <v>-29</v>
          </cell>
          <cell r="J78">
            <v>-64.900000000000006</v>
          </cell>
          <cell r="K78">
            <v>-62.9</v>
          </cell>
          <cell r="L78">
            <v>-39.4</v>
          </cell>
          <cell r="M78">
            <v>-51.8</v>
          </cell>
        </row>
        <row r="79">
          <cell r="C79" t="str">
            <v>110kV 174 An Thạnh - 171 NMĐ MT Solar Park 1, 2, 3, 4</v>
          </cell>
          <cell r="F79">
            <v>-68.5</v>
          </cell>
          <cell r="H79">
            <v>-68.5</v>
          </cell>
          <cell r="I79">
            <v>-29.2</v>
          </cell>
          <cell r="J79">
            <v>-64.900000000000006</v>
          </cell>
          <cell r="K79">
            <v>-63</v>
          </cell>
          <cell r="L79">
            <v>-39.4</v>
          </cell>
          <cell r="M79">
            <v>-51.9</v>
          </cell>
        </row>
        <row r="80">
          <cell r="C80" t="str">
            <v>An Xuyên MBA T1 (phía 110kV)</v>
          </cell>
          <cell r="D80">
            <v>131</v>
          </cell>
          <cell r="E80">
            <v>0.1</v>
          </cell>
          <cell r="F80">
            <v>0.1</v>
          </cell>
          <cell r="G80">
            <v>0.1</v>
          </cell>
          <cell r="H80">
            <v>0.1</v>
          </cell>
          <cell r="I80">
            <v>0.1</v>
          </cell>
          <cell r="J80">
            <v>0.1</v>
          </cell>
          <cell r="K80">
            <v>0.1</v>
          </cell>
          <cell r="L80">
            <v>0.1</v>
          </cell>
          <cell r="M80">
            <v>0.1</v>
          </cell>
        </row>
        <row r="81">
          <cell r="C81" t="str">
            <v>An Xuyên MBA T2 (phía 110kV)</v>
          </cell>
          <cell r="D81">
            <v>132</v>
          </cell>
          <cell r="E81">
            <v>21.2</v>
          </cell>
          <cell r="F81">
            <v>29.5</v>
          </cell>
          <cell r="G81">
            <v>29.5</v>
          </cell>
          <cell r="H81">
            <v>25</v>
          </cell>
          <cell r="I81">
            <v>21.2</v>
          </cell>
          <cell r="J81">
            <v>27.1</v>
          </cell>
          <cell r="K81">
            <v>22.8</v>
          </cell>
          <cell r="L81">
            <v>24.2</v>
          </cell>
          <cell r="M81">
            <v>23.2</v>
          </cell>
        </row>
        <row r="82">
          <cell r="C82" t="str">
            <v>110kV 171 An Xuyên - 172 Cà Mau 2</v>
          </cell>
          <cell r="D82">
            <v>171</v>
          </cell>
          <cell r="E82">
            <v>-67.900000000000006</v>
          </cell>
          <cell r="F82">
            <v>-87.8</v>
          </cell>
          <cell r="G82">
            <v>-87.8</v>
          </cell>
          <cell r="H82">
            <v>-78.5</v>
          </cell>
          <cell r="I82">
            <v>-67.900000000000006</v>
          </cell>
          <cell r="J82">
            <v>-82.5</v>
          </cell>
          <cell r="K82">
            <v>-71.5</v>
          </cell>
          <cell r="L82">
            <v>-76.400000000000006</v>
          </cell>
          <cell r="M82">
            <v>-74.099999999999994</v>
          </cell>
        </row>
        <row r="83">
          <cell r="C83" t="str">
            <v>110kV 172 An Xuyên - 171 Hồng Dân</v>
          </cell>
          <cell r="D83">
            <v>172</v>
          </cell>
          <cell r="E83">
            <v>47.6</v>
          </cell>
          <cell r="F83">
            <v>58.8</v>
          </cell>
          <cell r="G83">
            <v>58.8</v>
          </cell>
          <cell r="H83">
            <v>54.9</v>
          </cell>
          <cell r="I83">
            <v>47.6</v>
          </cell>
          <cell r="J83">
            <v>57.6</v>
          </cell>
          <cell r="K83">
            <v>50.5</v>
          </cell>
          <cell r="L83">
            <v>53.1</v>
          </cell>
          <cell r="M83">
            <v>51.4</v>
          </cell>
        </row>
        <row r="84">
          <cell r="C84" t="str">
            <v>An Xuyên MBA T1 (phía 22kV)</v>
          </cell>
          <cell r="D84">
            <v>431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</row>
        <row r="85">
          <cell r="C85" t="str">
            <v>An Xuyên MBA T2 (phía 22kV)</v>
          </cell>
          <cell r="D85">
            <v>432</v>
          </cell>
          <cell r="E85">
            <v>-21.3</v>
          </cell>
          <cell r="F85">
            <v>-29.6</v>
          </cell>
          <cell r="G85">
            <v>-29.6</v>
          </cell>
          <cell r="H85">
            <v>-25</v>
          </cell>
          <cell r="I85">
            <v>-21.3</v>
          </cell>
          <cell r="J85">
            <v>-27.2</v>
          </cell>
          <cell r="K85">
            <v>-22.8</v>
          </cell>
          <cell r="L85">
            <v>-24.2</v>
          </cell>
          <cell r="M85">
            <v>-23.3</v>
          </cell>
        </row>
        <row r="86">
          <cell r="C86" t="str">
            <v>Bà Quẹo MBA T1 (phía 110kV)</v>
          </cell>
          <cell r="D86">
            <v>131</v>
          </cell>
          <cell r="E86">
            <v>25.5</v>
          </cell>
          <cell r="F86">
            <v>37.299999999999997</v>
          </cell>
          <cell r="G86">
            <v>37.299999999999997</v>
          </cell>
          <cell r="H86">
            <v>33</v>
          </cell>
          <cell r="I86">
            <v>26.8</v>
          </cell>
          <cell r="J86">
            <v>31.6</v>
          </cell>
          <cell r="K86">
            <v>28</v>
          </cell>
          <cell r="L86">
            <v>27</v>
          </cell>
          <cell r="M86">
            <v>25.5</v>
          </cell>
        </row>
        <row r="87">
          <cell r="C87" t="str">
            <v>Bà Quẹo MBA T2 (phía 110kV)</v>
          </cell>
          <cell r="D87">
            <v>132</v>
          </cell>
          <cell r="E87">
            <v>21.2</v>
          </cell>
          <cell r="F87">
            <v>42.5</v>
          </cell>
          <cell r="G87">
            <v>41.4</v>
          </cell>
          <cell r="H87">
            <v>42.5</v>
          </cell>
          <cell r="I87">
            <v>34.9</v>
          </cell>
          <cell r="J87">
            <v>39.5</v>
          </cell>
          <cell r="K87">
            <v>29.7</v>
          </cell>
          <cell r="L87">
            <v>25.1</v>
          </cell>
          <cell r="M87">
            <v>21.2</v>
          </cell>
        </row>
        <row r="88">
          <cell r="C88" t="str">
            <v>Bà Quẹo MBA T3 (phía 110kV)</v>
          </cell>
          <cell r="D88">
            <v>133</v>
          </cell>
          <cell r="E88">
            <v>34.5</v>
          </cell>
          <cell r="F88">
            <v>45.4</v>
          </cell>
          <cell r="G88">
            <v>45.4</v>
          </cell>
          <cell r="H88">
            <v>43.4</v>
          </cell>
          <cell r="I88">
            <v>36.4</v>
          </cell>
          <cell r="J88">
            <v>43.2</v>
          </cell>
          <cell r="K88">
            <v>37.1</v>
          </cell>
          <cell r="L88">
            <v>37.1</v>
          </cell>
          <cell r="M88">
            <v>34.5</v>
          </cell>
        </row>
        <row r="89">
          <cell r="C89" t="str">
            <v>110kV 171 Bà Quẹo - 171 Tân Bình 2</v>
          </cell>
          <cell r="D89">
            <v>171</v>
          </cell>
          <cell r="E89">
            <v>0</v>
          </cell>
          <cell r="F89">
            <v>-33.1</v>
          </cell>
          <cell r="G89">
            <v>0</v>
          </cell>
          <cell r="H89">
            <v>-33.1</v>
          </cell>
          <cell r="I89">
            <v>0</v>
          </cell>
          <cell r="J89">
            <v>0</v>
          </cell>
          <cell r="K89">
            <v>-28.1</v>
          </cell>
          <cell r="L89">
            <v>-27</v>
          </cell>
          <cell r="M89">
            <v>0</v>
          </cell>
        </row>
        <row r="90">
          <cell r="C90" t="str">
            <v>110kV 172 Bà Quẹo - 171 Bình Tân</v>
          </cell>
          <cell r="D90">
            <v>172</v>
          </cell>
          <cell r="E90">
            <v>0</v>
          </cell>
          <cell r="F90">
            <v>-121.1</v>
          </cell>
          <cell r="G90">
            <v>-121.1</v>
          </cell>
          <cell r="H90">
            <v>0</v>
          </cell>
          <cell r="I90">
            <v>-94.7</v>
          </cell>
          <cell r="J90">
            <v>-114.1</v>
          </cell>
          <cell r="K90">
            <v>0</v>
          </cell>
          <cell r="L90">
            <v>-80.8</v>
          </cell>
          <cell r="M90">
            <v>-81.099999999999994</v>
          </cell>
        </row>
        <row r="91">
          <cell r="C91" t="str">
            <v>110kV 174 Bà Quẹo - 171 Chợ Lớn - 171 Trường Đua</v>
          </cell>
          <cell r="D91">
            <v>174</v>
          </cell>
          <cell r="E91">
            <v>0</v>
          </cell>
          <cell r="F91">
            <v>-85.9</v>
          </cell>
          <cell r="G91">
            <v>0</v>
          </cell>
          <cell r="H91">
            <v>-85.9</v>
          </cell>
          <cell r="I91">
            <v>0</v>
          </cell>
          <cell r="J91">
            <v>0</v>
          </cell>
          <cell r="K91">
            <v>-66.599999999999994</v>
          </cell>
          <cell r="L91">
            <v>-62.1</v>
          </cell>
          <cell r="M91">
            <v>0</v>
          </cell>
        </row>
        <row r="92">
          <cell r="C92" t="str">
            <v>Bà Quẹo MBA T1 (phía 22kV)</v>
          </cell>
          <cell r="D92">
            <v>431</v>
          </cell>
          <cell r="E92">
            <v>-25.3</v>
          </cell>
          <cell r="F92">
            <v>-36.799999999999997</v>
          </cell>
          <cell r="G92">
            <v>-36.799999999999997</v>
          </cell>
          <cell r="H92">
            <v>-32.9</v>
          </cell>
          <cell r="I92">
            <v>-26.6</v>
          </cell>
          <cell r="J92">
            <v>-31.4</v>
          </cell>
          <cell r="K92">
            <v>-28</v>
          </cell>
          <cell r="L92">
            <v>-26.6</v>
          </cell>
          <cell r="M92">
            <v>-25.3</v>
          </cell>
        </row>
        <row r="93">
          <cell r="C93" t="str">
            <v>Bà Quẹo MBA T2 (phía 22kV)</v>
          </cell>
          <cell r="D93">
            <v>432</v>
          </cell>
          <cell r="E93">
            <v>-20.9</v>
          </cell>
          <cell r="F93">
            <v>-42.4</v>
          </cell>
          <cell r="G93">
            <v>-41.7</v>
          </cell>
          <cell r="H93">
            <v>-42.4</v>
          </cell>
          <cell r="I93">
            <v>-34.700000000000003</v>
          </cell>
          <cell r="J93">
            <v>-39.799999999999997</v>
          </cell>
          <cell r="K93">
            <v>-29.4</v>
          </cell>
          <cell r="L93">
            <v>-25</v>
          </cell>
          <cell r="M93">
            <v>-20.9</v>
          </cell>
        </row>
        <row r="94">
          <cell r="C94" t="str">
            <v>Bà Quẹo MBA T3 (phía 22kV)</v>
          </cell>
          <cell r="D94">
            <v>433</v>
          </cell>
          <cell r="E94">
            <v>-34.5</v>
          </cell>
          <cell r="F94">
            <v>-45.5</v>
          </cell>
          <cell r="G94">
            <v>-45.5</v>
          </cell>
          <cell r="H94">
            <v>-43.3</v>
          </cell>
          <cell r="I94">
            <v>-36.5</v>
          </cell>
          <cell r="J94">
            <v>-42.9</v>
          </cell>
          <cell r="K94">
            <v>-37.1</v>
          </cell>
          <cell r="L94">
            <v>-37</v>
          </cell>
          <cell r="M94">
            <v>-34.5</v>
          </cell>
        </row>
        <row r="95">
          <cell r="C95" t="str">
            <v>Bà Rịa MBA T1 (phía 110kV)</v>
          </cell>
          <cell r="D95">
            <v>131</v>
          </cell>
          <cell r="E95">
            <v>28.3</v>
          </cell>
          <cell r="F95">
            <v>38</v>
          </cell>
          <cell r="G95">
            <v>35.5</v>
          </cell>
          <cell r="H95">
            <v>38</v>
          </cell>
          <cell r="I95">
            <v>28.3</v>
          </cell>
          <cell r="J95">
            <v>32</v>
          </cell>
          <cell r="K95">
            <v>29.8</v>
          </cell>
          <cell r="L95">
            <v>28.4</v>
          </cell>
          <cell r="M95">
            <v>32.5</v>
          </cell>
        </row>
        <row r="96">
          <cell r="C96" t="str">
            <v>110kV 171 Bà Rịa - 171 Long Đất</v>
          </cell>
          <cell r="D96">
            <v>171</v>
          </cell>
          <cell r="E96">
            <v>0</v>
          </cell>
          <cell r="F96">
            <v>63.2</v>
          </cell>
          <cell r="G96">
            <v>0</v>
          </cell>
          <cell r="H96">
            <v>63.2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C97" t="str">
            <v>110kV 172 Bà Rịa - 175 NMĐ Bà Rịa</v>
          </cell>
          <cell r="D97">
            <v>172</v>
          </cell>
          <cell r="E97">
            <v>-86.3</v>
          </cell>
          <cell r="F97">
            <v>-160.80000000000001</v>
          </cell>
          <cell r="G97">
            <v>-111.3</v>
          </cell>
          <cell r="H97">
            <v>-160.80000000000001</v>
          </cell>
          <cell r="I97">
            <v>-86.3</v>
          </cell>
          <cell r="J97">
            <v>-102.9</v>
          </cell>
          <cell r="K97">
            <v>-99.4</v>
          </cell>
          <cell r="L97">
            <v>-89.6</v>
          </cell>
          <cell r="M97">
            <v>-98.7</v>
          </cell>
        </row>
        <row r="98">
          <cell r="C98" t="str">
            <v>110kV 173 Bà Rịa - 172 Châu Đức</v>
          </cell>
          <cell r="D98">
            <v>173</v>
          </cell>
          <cell r="E98">
            <v>59.2</v>
          </cell>
          <cell r="F98">
            <v>79.5</v>
          </cell>
          <cell r="G98">
            <v>79.5</v>
          </cell>
          <cell r="H98">
            <v>77.400000000000006</v>
          </cell>
          <cell r="I98">
            <v>59.2</v>
          </cell>
          <cell r="J98">
            <v>72.900000000000006</v>
          </cell>
          <cell r="K98">
            <v>73.2</v>
          </cell>
          <cell r="L98">
            <v>62.9</v>
          </cell>
          <cell r="M98">
            <v>67.099999999999994</v>
          </cell>
        </row>
        <row r="99">
          <cell r="C99" t="str">
            <v>Bà Rịa MBA T1 (phía 22kV)</v>
          </cell>
          <cell r="D99">
            <v>431</v>
          </cell>
          <cell r="E99">
            <v>-28.2</v>
          </cell>
          <cell r="F99">
            <v>-37.9</v>
          </cell>
          <cell r="G99">
            <v>-35.5</v>
          </cell>
          <cell r="H99">
            <v>-37.9</v>
          </cell>
          <cell r="I99">
            <v>-28.2</v>
          </cell>
          <cell r="J99">
            <v>-32</v>
          </cell>
          <cell r="K99">
            <v>-29.8</v>
          </cell>
          <cell r="L99">
            <v>-28.4</v>
          </cell>
          <cell r="M99">
            <v>-32.5</v>
          </cell>
        </row>
        <row r="100">
          <cell r="C100" t="str">
            <v>Ba Tri MBA T1 (phía 110kV)</v>
          </cell>
          <cell r="D100">
            <v>131</v>
          </cell>
          <cell r="E100">
            <v>12.7</v>
          </cell>
          <cell r="F100">
            <v>14.5</v>
          </cell>
          <cell r="G100">
            <v>14.3</v>
          </cell>
          <cell r="H100">
            <v>13.4</v>
          </cell>
          <cell r="I100">
            <v>12.7</v>
          </cell>
          <cell r="J100">
            <v>13.2</v>
          </cell>
          <cell r="K100">
            <v>13.8</v>
          </cell>
          <cell r="L100">
            <v>13.3</v>
          </cell>
          <cell r="M100">
            <v>14.5</v>
          </cell>
        </row>
        <row r="101">
          <cell r="C101" t="str">
            <v>Ba Tri MBA T2 (phía 110kV)</v>
          </cell>
          <cell r="D101">
            <v>132</v>
          </cell>
          <cell r="E101">
            <v>15.2</v>
          </cell>
          <cell r="F101">
            <v>17</v>
          </cell>
          <cell r="G101">
            <v>17</v>
          </cell>
          <cell r="H101">
            <v>16.7</v>
          </cell>
          <cell r="I101">
            <v>15.2</v>
          </cell>
          <cell r="J101">
            <v>16.600000000000001</v>
          </cell>
          <cell r="K101">
            <v>15.5</v>
          </cell>
          <cell r="L101">
            <v>16.3</v>
          </cell>
          <cell r="M101">
            <v>16.399999999999999</v>
          </cell>
        </row>
        <row r="102">
          <cell r="C102" t="str">
            <v>110kV 171 Ba Tri - 171 Giồng Trôm</v>
          </cell>
          <cell r="D102">
            <v>171</v>
          </cell>
          <cell r="E102">
            <v>-26.2</v>
          </cell>
          <cell r="F102">
            <v>-31.7</v>
          </cell>
          <cell r="G102">
            <v>-31.7</v>
          </cell>
          <cell r="H102">
            <v>-30.3</v>
          </cell>
          <cell r="I102">
            <v>-26.5</v>
          </cell>
          <cell r="J102">
            <v>-29.4</v>
          </cell>
          <cell r="K102">
            <v>-26.5</v>
          </cell>
          <cell r="L102">
            <v>-26.2</v>
          </cell>
          <cell r="M102">
            <v>-27.8</v>
          </cell>
        </row>
        <row r="103">
          <cell r="C103" t="str">
            <v>110kV 175 Ba Tri - 172 NMĐ Gió V1-3 Bến Tre</v>
          </cell>
          <cell r="D103">
            <v>175</v>
          </cell>
          <cell r="E103">
            <v>0</v>
          </cell>
          <cell r="F103">
            <v>-11</v>
          </cell>
          <cell r="G103">
            <v>0</v>
          </cell>
          <cell r="H103">
            <v>0</v>
          </cell>
          <cell r="I103">
            <v>-1.6</v>
          </cell>
          <cell r="J103">
            <v>-3.4</v>
          </cell>
          <cell r="K103">
            <v>-3.4</v>
          </cell>
          <cell r="L103">
            <v>-9.6999999999999993</v>
          </cell>
          <cell r="M103">
            <v>-11</v>
          </cell>
        </row>
        <row r="104">
          <cell r="C104" t="str">
            <v>110kV 177 Ba Tri - 171 NMĐ Gió V1-3 Bến Tre</v>
          </cell>
          <cell r="D104">
            <v>177</v>
          </cell>
          <cell r="E104">
            <v>0</v>
          </cell>
          <cell r="F104">
            <v>-10.7</v>
          </cell>
          <cell r="G104">
            <v>0</v>
          </cell>
          <cell r="H104">
            <v>0</v>
          </cell>
          <cell r="I104">
            <v>-1.6</v>
          </cell>
          <cell r="J104">
            <v>-3.4</v>
          </cell>
          <cell r="K104">
            <v>-3.6</v>
          </cell>
          <cell r="L104">
            <v>-9.8000000000000007</v>
          </cell>
          <cell r="M104">
            <v>-10.7</v>
          </cell>
        </row>
        <row r="105">
          <cell r="C105" t="str">
            <v>Ba Tri MBA T1 (phía 22kV)</v>
          </cell>
          <cell r="D105">
            <v>431</v>
          </cell>
          <cell r="E105">
            <v>-12.6</v>
          </cell>
          <cell r="F105">
            <v>-14.4</v>
          </cell>
          <cell r="G105">
            <v>-14.2</v>
          </cell>
          <cell r="H105">
            <v>-13.3</v>
          </cell>
          <cell r="I105">
            <v>-12.6</v>
          </cell>
          <cell r="J105">
            <v>-13.1</v>
          </cell>
          <cell r="K105">
            <v>-13.6</v>
          </cell>
          <cell r="L105">
            <v>-13.2</v>
          </cell>
          <cell r="M105">
            <v>-14.4</v>
          </cell>
        </row>
        <row r="106">
          <cell r="C106" t="str">
            <v>Ba Tri MBA T2 (phía 22kV)</v>
          </cell>
          <cell r="D106">
            <v>432</v>
          </cell>
          <cell r="E106">
            <v>-15.2</v>
          </cell>
          <cell r="F106">
            <v>-16.899999999999999</v>
          </cell>
          <cell r="G106">
            <v>-16.899999999999999</v>
          </cell>
          <cell r="H106">
            <v>-16.899999999999999</v>
          </cell>
          <cell r="I106">
            <v>-15.2</v>
          </cell>
          <cell r="J106">
            <v>-16.600000000000001</v>
          </cell>
          <cell r="K106">
            <v>-15.6</v>
          </cell>
          <cell r="L106">
            <v>-16.399999999999999</v>
          </cell>
          <cell r="M106">
            <v>-16.5</v>
          </cell>
        </row>
        <row r="107">
          <cell r="C107" t="str">
            <v>110kV 171 Bạc Liêu - 174 Bạc Liêu 2</v>
          </cell>
          <cell r="F107">
            <v>-39</v>
          </cell>
          <cell r="H107">
            <v>-37.799999999999997</v>
          </cell>
          <cell r="I107">
            <v>-39</v>
          </cell>
          <cell r="J107">
            <v>-38.9</v>
          </cell>
          <cell r="K107">
            <v>-36.6</v>
          </cell>
          <cell r="L107">
            <v>-36.700000000000003</v>
          </cell>
          <cell r="M107">
            <v>-35</v>
          </cell>
        </row>
        <row r="108">
          <cell r="C108" t="str">
            <v>110kV 172 Bạc Liêu - 173 Bạc Liêu 2</v>
          </cell>
          <cell r="F108">
            <v>-40</v>
          </cell>
          <cell r="H108">
            <v>-40</v>
          </cell>
          <cell r="I108">
            <v>-40</v>
          </cell>
          <cell r="J108">
            <v>-39.299999999999997</v>
          </cell>
          <cell r="K108">
            <v>-37.5</v>
          </cell>
          <cell r="L108">
            <v>-38.9</v>
          </cell>
          <cell r="M108">
            <v>-38</v>
          </cell>
        </row>
        <row r="109">
          <cell r="C109" t="str">
            <v>Bạc Liêu MBA T1 (phía 110kV)</v>
          </cell>
          <cell r="F109">
            <v>43.5</v>
          </cell>
          <cell r="H109">
            <v>42.1</v>
          </cell>
          <cell r="I109">
            <v>39.5</v>
          </cell>
          <cell r="J109">
            <v>43.5</v>
          </cell>
          <cell r="K109">
            <v>40</v>
          </cell>
          <cell r="L109">
            <v>41</v>
          </cell>
          <cell r="M109">
            <v>40.1</v>
          </cell>
        </row>
        <row r="110">
          <cell r="C110" t="str">
            <v>Bạc Liêu MBA T2 (phía 110kV)</v>
          </cell>
          <cell r="F110">
            <v>40.299999999999997</v>
          </cell>
          <cell r="H110">
            <v>36.5</v>
          </cell>
          <cell r="I110">
            <v>40.299999999999997</v>
          </cell>
          <cell r="J110">
            <v>36.200000000000003</v>
          </cell>
          <cell r="K110">
            <v>34.6</v>
          </cell>
          <cell r="L110">
            <v>34.700000000000003</v>
          </cell>
          <cell r="M110">
            <v>33</v>
          </cell>
        </row>
        <row r="111">
          <cell r="C111" t="str">
            <v>Bạc Liêu MBA T1 (phía 22kV)</v>
          </cell>
          <cell r="F111">
            <v>-43.4</v>
          </cell>
          <cell r="H111">
            <v>-42.1</v>
          </cell>
          <cell r="I111">
            <v>-39.6</v>
          </cell>
          <cell r="J111">
            <v>-43.4</v>
          </cell>
          <cell r="K111">
            <v>-40.299999999999997</v>
          </cell>
          <cell r="L111">
            <v>-41.5</v>
          </cell>
          <cell r="M111">
            <v>-40.299999999999997</v>
          </cell>
        </row>
        <row r="112">
          <cell r="C112" t="str">
            <v>Bạc Liêu MBA T2 (phía 22kV)</v>
          </cell>
          <cell r="F112">
            <v>-40.1</v>
          </cell>
          <cell r="H112">
            <v>-36.200000000000003</v>
          </cell>
          <cell r="I112">
            <v>-40.1</v>
          </cell>
          <cell r="J112">
            <v>-36.200000000000003</v>
          </cell>
          <cell r="K112">
            <v>-34.700000000000003</v>
          </cell>
          <cell r="L112">
            <v>-34.5</v>
          </cell>
          <cell r="M112">
            <v>-32.799999999999997</v>
          </cell>
        </row>
        <row r="113">
          <cell r="C113" t="str">
            <v>Bạc Liêu 2 MBA AT1 (phía 110kV)</v>
          </cell>
          <cell r="D113">
            <v>131</v>
          </cell>
          <cell r="E113">
            <v>-62.5</v>
          </cell>
          <cell r="F113">
            <v>-77.5</v>
          </cell>
          <cell r="G113">
            <v>-66.400000000000006</v>
          </cell>
          <cell r="H113">
            <v>-66.8</v>
          </cell>
          <cell r="I113">
            <v>-66.8</v>
          </cell>
          <cell r="J113">
            <v>-77.5</v>
          </cell>
          <cell r="K113">
            <v>-72.5</v>
          </cell>
          <cell r="L113">
            <v>-66.8</v>
          </cell>
          <cell r="M113">
            <v>-62.5</v>
          </cell>
        </row>
        <row r="114">
          <cell r="C114" t="str">
            <v>Bạc Liêu 2 MBA AT2 (phía 110kV)</v>
          </cell>
          <cell r="D114">
            <v>132</v>
          </cell>
          <cell r="E114">
            <v>-52.6</v>
          </cell>
          <cell r="F114">
            <v>-66.900000000000006</v>
          </cell>
          <cell r="G114">
            <v>-56.7</v>
          </cell>
          <cell r="H114">
            <v>-57.5</v>
          </cell>
          <cell r="I114">
            <v>-56.9</v>
          </cell>
          <cell r="J114">
            <v>-66.900000000000006</v>
          </cell>
          <cell r="K114">
            <v>-62.2</v>
          </cell>
          <cell r="L114">
            <v>-56.3</v>
          </cell>
          <cell r="M114">
            <v>-52.6</v>
          </cell>
        </row>
        <row r="115">
          <cell r="C115" t="str">
            <v>110kV 172 Bạc Liêu 2 - 172 Giá Rai</v>
          </cell>
          <cell r="D115">
            <v>172</v>
          </cell>
          <cell r="E115">
            <v>51</v>
          </cell>
          <cell r="F115">
            <v>56</v>
          </cell>
          <cell r="G115">
            <v>55.8</v>
          </cell>
          <cell r="H115">
            <v>54.3</v>
          </cell>
          <cell r="I115">
            <v>51</v>
          </cell>
          <cell r="J115">
            <v>56</v>
          </cell>
          <cell r="K115">
            <v>52.8</v>
          </cell>
          <cell r="L115">
            <v>54.3</v>
          </cell>
          <cell r="M115">
            <v>53.3</v>
          </cell>
        </row>
        <row r="116">
          <cell r="C116" t="str">
            <v>110kV 173 Bạc Liêu 2 - 172 Bạc Liêu</v>
          </cell>
          <cell r="D116">
            <v>173</v>
          </cell>
          <cell r="E116">
            <v>36.700000000000003</v>
          </cell>
          <cell r="F116">
            <v>43.4</v>
          </cell>
          <cell r="G116">
            <v>43.4</v>
          </cell>
          <cell r="H116">
            <v>39.700000000000003</v>
          </cell>
          <cell r="I116">
            <v>40</v>
          </cell>
          <cell r="J116">
            <v>39.5</v>
          </cell>
          <cell r="K116">
            <v>36.700000000000003</v>
          </cell>
          <cell r="L116">
            <v>37.9</v>
          </cell>
          <cell r="M116">
            <v>37.4</v>
          </cell>
        </row>
        <row r="117">
          <cell r="C117" t="str">
            <v>110kV 174 Bạc Liêu 2 - 171 Bạc Liêu</v>
          </cell>
          <cell r="D117">
            <v>174</v>
          </cell>
          <cell r="E117">
            <v>34.9</v>
          </cell>
          <cell r="F117">
            <v>39.9</v>
          </cell>
          <cell r="G117">
            <v>39.9</v>
          </cell>
          <cell r="H117">
            <v>37.299999999999997</v>
          </cell>
          <cell r="I117">
            <v>38.200000000000003</v>
          </cell>
          <cell r="J117">
            <v>38.4</v>
          </cell>
          <cell r="K117">
            <v>36.299999999999997</v>
          </cell>
          <cell r="L117">
            <v>35.6</v>
          </cell>
          <cell r="M117">
            <v>34.9</v>
          </cell>
        </row>
        <row r="118">
          <cell r="C118" t="str">
            <v>110kV 175 Bạc Liêu 2 - 171 Vĩnh Trạch Đông</v>
          </cell>
          <cell r="D118">
            <v>175</v>
          </cell>
          <cell r="E118">
            <v>15.7</v>
          </cell>
          <cell r="F118">
            <v>-49.2</v>
          </cell>
          <cell r="G118">
            <v>-49.2</v>
          </cell>
          <cell r="H118">
            <v>-32.4</v>
          </cell>
          <cell r="I118">
            <v>-28.6</v>
          </cell>
          <cell r="J118">
            <v>40.700000000000003</v>
          </cell>
          <cell r="K118">
            <v>15.7</v>
          </cell>
          <cell r="L118">
            <v>23.1</v>
          </cell>
          <cell r="M118">
            <v>-29.2</v>
          </cell>
        </row>
        <row r="119">
          <cell r="C119" t="str">
            <v>Bạc Liêu 2 MBA AT1 (phía 220kV)</v>
          </cell>
          <cell r="D119">
            <v>231</v>
          </cell>
          <cell r="E119">
            <v>62.7</v>
          </cell>
          <cell r="F119">
            <v>77.599999999999994</v>
          </cell>
          <cell r="G119">
            <v>66.599999999999994</v>
          </cell>
          <cell r="H119">
            <v>66.900000000000006</v>
          </cell>
          <cell r="I119">
            <v>67</v>
          </cell>
          <cell r="J119">
            <v>77.599999999999994</v>
          </cell>
          <cell r="K119">
            <v>72.7</v>
          </cell>
          <cell r="L119">
            <v>67</v>
          </cell>
          <cell r="M119">
            <v>62.7</v>
          </cell>
        </row>
        <row r="120">
          <cell r="C120" t="str">
            <v>Bạc Liêu 2 MBA AT2 (phía 220kV)</v>
          </cell>
          <cell r="D120">
            <v>232</v>
          </cell>
          <cell r="E120">
            <v>53</v>
          </cell>
          <cell r="F120">
            <v>66.599999999999994</v>
          </cell>
          <cell r="G120">
            <v>56.5</v>
          </cell>
          <cell r="H120">
            <v>57.7</v>
          </cell>
          <cell r="I120">
            <v>57.3</v>
          </cell>
          <cell r="J120">
            <v>66.599999999999994</v>
          </cell>
          <cell r="K120">
            <v>63.4</v>
          </cell>
          <cell r="L120">
            <v>56.5</v>
          </cell>
          <cell r="M120">
            <v>53</v>
          </cell>
        </row>
        <row r="121">
          <cell r="C121" t="str">
            <v>220kV 271 Bạc Liêu 2 - 274 NMĐ Cà Mau</v>
          </cell>
          <cell r="D121">
            <v>271</v>
          </cell>
          <cell r="E121">
            <v>0</v>
          </cell>
          <cell r="F121">
            <v>-96.7</v>
          </cell>
          <cell r="G121">
            <v>-93.9</v>
          </cell>
          <cell r="H121">
            <v>0</v>
          </cell>
          <cell r="I121">
            <v>-92.2</v>
          </cell>
          <cell r="J121">
            <v>-80.400000000000006</v>
          </cell>
          <cell r="K121">
            <v>-96.7</v>
          </cell>
          <cell r="L121">
            <v>-64.5</v>
          </cell>
          <cell r="M121">
            <v>-46.6</v>
          </cell>
        </row>
        <row r="122">
          <cell r="C122" t="str">
            <v>220kV 272 Bạc Liêu 2 - 284 NMĐ Cà Mau</v>
          </cell>
          <cell r="D122">
            <v>272</v>
          </cell>
          <cell r="E122">
            <v>0</v>
          </cell>
          <cell r="F122">
            <v>-97</v>
          </cell>
          <cell r="G122">
            <v>-94.4</v>
          </cell>
          <cell r="H122">
            <v>0</v>
          </cell>
          <cell r="I122">
            <v>-91.8</v>
          </cell>
          <cell r="J122">
            <v>-80</v>
          </cell>
          <cell r="K122">
            <v>-97</v>
          </cell>
          <cell r="L122">
            <v>-64.5</v>
          </cell>
          <cell r="M122">
            <v>-45.7</v>
          </cell>
        </row>
        <row r="123">
          <cell r="C123" t="str">
            <v>220kV 273 Bạc Liêu 2 - 271 Sóc Trăng 2</v>
          </cell>
          <cell r="D123">
            <v>273</v>
          </cell>
          <cell r="E123">
            <v>-31.5</v>
          </cell>
          <cell r="F123">
            <v>-125.3</v>
          </cell>
          <cell r="G123">
            <v>106.6</v>
          </cell>
          <cell r="H123">
            <v>-125.3</v>
          </cell>
          <cell r="I123">
            <v>75.5</v>
          </cell>
          <cell r="J123">
            <v>42.2</v>
          </cell>
          <cell r="K123">
            <v>69.7</v>
          </cell>
          <cell r="L123">
            <v>-31.5</v>
          </cell>
          <cell r="M123">
            <v>-61.3</v>
          </cell>
        </row>
        <row r="124">
          <cell r="C124" t="str">
            <v>110kV 171 Bắc Sơn - 172 Tân Hòa</v>
          </cell>
          <cell r="F124">
            <v>131.1</v>
          </cell>
          <cell r="H124">
            <v>121.6</v>
          </cell>
          <cell r="I124">
            <v>118.5</v>
          </cell>
          <cell r="J124">
            <v>131.1</v>
          </cell>
          <cell r="K124">
            <v>124.1</v>
          </cell>
          <cell r="L124">
            <v>84</v>
          </cell>
          <cell r="M124">
            <v>72.8</v>
          </cell>
        </row>
        <row r="125">
          <cell r="C125" t="str">
            <v>110kV 172 Bắc Sơn - 171 Sông Mây</v>
          </cell>
          <cell r="F125">
            <v>-80.099999999999994</v>
          </cell>
          <cell r="H125">
            <v>-78.5</v>
          </cell>
          <cell r="I125">
            <v>-72.8</v>
          </cell>
          <cell r="J125">
            <v>-80.099999999999994</v>
          </cell>
          <cell r="K125">
            <v>-78.099999999999994</v>
          </cell>
          <cell r="L125">
            <v>-51.1</v>
          </cell>
          <cell r="M125">
            <v>-45.4</v>
          </cell>
        </row>
        <row r="126">
          <cell r="C126" t="str">
            <v>Bắc Sơn MBA T1 (phía 110kV)</v>
          </cell>
          <cell r="F126">
            <v>45.1</v>
          </cell>
          <cell r="H126">
            <v>45.1</v>
          </cell>
          <cell r="I126">
            <v>37.799999999999997</v>
          </cell>
          <cell r="J126">
            <v>38</v>
          </cell>
          <cell r="K126">
            <v>36.9</v>
          </cell>
          <cell r="L126">
            <v>19.2</v>
          </cell>
          <cell r="M126">
            <v>18.399999999999999</v>
          </cell>
        </row>
        <row r="127">
          <cell r="C127" t="str">
            <v>Bắc Sơn MBA T2 (phía 110kV)</v>
          </cell>
          <cell r="F127">
            <v>46.7</v>
          </cell>
          <cell r="H127">
            <v>43.4</v>
          </cell>
          <cell r="I127">
            <v>35.200000000000003</v>
          </cell>
          <cell r="J127">
            <v>46.6</v>
          </cell>
          <cell r="K127">
            <v>46.7</v>
          </cell>
          <cell r="L127">
            <v>27.4</v>
          </cell>
          <cell r="M127">
            <v>27</v>
          </cell>
        </row>
        <row r="128">
          <cell r="C128" t="str">
            <v>Bắc Sơn MBA T1 (phía 22kV)</v>
          </cell>
          <cell r="F128">
            <v>-46.7</v>
          </cell>
          <cell r="H128">
            <v>-46.7</v>
          </cell>
          <cell r="I128">
            <v>-37</v>
          </cell>
          <cell r="J128">
            <v>-37.1</v>
          </cell>
          <cell r="K128">
            <v>-36.299999999999997</v>
          </cell>
          <cell r="L128">
            <v>-19.399999999999999</v>
          </cell>
          <cell r="M128">
            <v>-18.899999999999999</v>
          </cell>
        </row>
        <row r="129">
          <cell r="C129" t="str">
            <v>Bắc Sơn MBA T2 (phía 22kV)</v>
          </cell>
          <cell r="F129">
            <v>-47</v>
          </cell>
          <cell r="H129">
            <v>-43.8</v>
          </cell>
          <cell r="I129">
            <v>-35.4</v>
          </cell>
          <cell r="J129">
            <v>-46.9</v>
          </cell>
          <cell r="K129">
            <v>-47</v>
          </cell>
          <cell r="L129">
            <v>-27.5</v>
          </cell>
          <cell r="M129">
            <v>-27.2</v>
          </cell>
        </row>
        <row r="130">
          <cell r="C130" t="str">
            <v>110kV 174 Bắc Sơn - 173 Sông Mây</v>
          </cell>
          <cell r="F130">
            <v>-125</v>
          </cell>
          <cell r="H130">
            <v>-122.5</v>
          </cell>
          <cell r="I130">
            <v>-114.2</v>
          </cell>
          <cell r="J130">
            <v>-125</v>
          </cell>
          <cell r="K130">
            <v>-121.3</v>
          </cell>
          <cell r="L130">
            <v>-78.900000000000006</v>
          </cell>
          <cell r="M130">
            <v>-72.400000000000006</v>
          </cell>
        </row>
        <row r="131">
          <cell r="C131" t="str">
            <v>110kV 171 Bảo Lâm - 174 Bảo Lộc</v>
          </cell>
          <cell r="F131">
            <v>-20.9</v>
          </cell>
          <cell r="H131">
            <v>-11</v>
          </cell>
          <cell r="I131">
            <v>-11.8</v>
          </cell>
          <cell r="J131">
            <v>-17.899999999999999</v>
          </cell>
          <cell r="K131">
            <v>-18.899999999999999</v>
          </cell>
          <cell r="L131">
            <v>-20.9</v>
          </cell>
          <cell r="M131">
            <v>5.4</v>
          </cell>
        </row>
        <row r="132">
          <cell r="C132" t="str">
            <v>110kV 172 Bảo Lâm - 172 NMĐ Bauxit Lâm Đồng</v>
          </cell>
          <cell r="F132">
            <v>10.9</v>
          </cell>
          <cell r="H132">
            <v>-1</v>
          </cell>
          <cell r="I132">
            <v>10.9</v>
          </cell>
          <cell r="J132">
            <v>10.9</v>
          </cell>
          <cell r="K132">
            <v>10.8</v>
          </cell>
          <cell r="L132">
            <v>10.9</v>
          </cell>
          <cell r="M132">
            <v>10.3</v>
          </cell>
        </row>
        <row r="133">
          <cell r="C133" t="str">
            <v>Bảo Lâm MBA T1 (phía 110kV)</v>
          </cell>
          <cell r="F133">
            <v>11.2</v>
          </cell>
          <cell r="H133">
            <v>11.2</v>
          </cell>
          <cell r="I133">
            <v>-4.0999999999999996</v>
          </cell>
          <cell r="J133">
            <v>9</v>
          </cell>
          <cell r="K133">
            <v>8.6</v>
          </cell>
          <cell r="L133">
            <v>10.7</v>
          </cell>
          <cell r="M133">
            <v>-4.8</v>
          </cell>
        </row>
        <row r="134">
          <cell r="C134" t="str">
            <v>Bảo Lâm MBA T1 (phía 22kV)</v>
          </cell>
          <cell r="F134">
            <v>-11.2</v>
          </cell>
          <cell r="H134">
            <v>-11.2</v>
          </cell>
          <cell r="I134">
            <v>4.2</v>
          </cell>
          <cell r="J134">
            <v>-9</v>
          </cell>
          <cell r="K134">
            <v>-8.6</v>
          </cell>
          <cell r="L134">
            <v>-10.7</v>
          </cell>
          <cell r="M134">
            <v>4.8</v>
          </cell>
        </row>
        <row r="135">
          <cell r="C135" t="str">
            <v>Bảo Lộc MBA AT1 (phía 110kV)</v>
          </cell>
          <cell r="D135">
            <v>131</v>
          </cell>
          <cell r="E135">
            <v>24.9</v>
          </cell>
          <cell r="F135">
            <v>57.9</v>
          </cell>
          <cell r="G135">
            <v>34.700000000000003</v>
          </cell>
          <cell r="H135">
            <v>33.700000000000003</v>
          </cell>
          <cell r="I135">
            <v>30</v>
          </cell>
          <cell r="J135">
            <v>33</v>
          </cell>
          <cell r="K135">
            <v>54.2</v>
          </cell>
          <cell r="L135">
            <v>24.9</v>
          </cell>
          <cell r="M135">
            <v>57.9</v>
          </cell>
        </row>
        <row r="136">
          <cell r="C136" t="str">
            <v>Bảo Lộc MBA AT2 (phía 110kV)</v>
          </cell>
          <cell r="D136">
            <v>132</v>
          </cell>
          <cell r="E136">
            <v>29.2</v>
          </cell>
          <cell r="F136">
            <v>68.8</v>
          </cell>
          <cell r="G136">
            <v>41.2</v>
          </cell>
          <cell r="H136">
            <v>40.700000000000003</v>
          </cell>
          <cell r="I136">
            <v>35.9</v>
          </cell>
          <cell r="J136">
            <v>39.5</v>
          </cell>
          <cell r="K136">
            <v>63.7</v>
          </cell>
          <cell r="L136">
            <v>29.2</v>
          </cell>
          <cell r="M136">
            <v>68.8</v>
          </cell>
        </row>
        <row r="137">
          <cell r="C137" t="str">
            <v>Bảo Lộc MBA T4 (phía 110kV)</v>
          </cell>
          <cell r="D137">
            <v>134</v>
          </cell>
          <cell r="E137">
            <v>20.5</v>
          </cell>
          <cell r="F137">
            <v>33.5</v>
          </cell>
          <cell r="G137">
            <v>33.5</v>
          </cell>
          <cell r="H137">
            <v>26.2</v>
          </cell>
          <cell r="I137">
            <v>28.5</v>
          </cell>
          <cell r="J137">
            <v>30.7</v>
          </cell>
          <cell r="K137">
            <v>30.5</v>
          </cell>
          <cell r="L137">
            <v>25</v>
          </cell>
          <cell r="M137">
            <v>20.5</v>
          </cell>
        </row>
        <row r="138">
          <cell r="C138" t="str">
            <v>110kV 171 Bảo Lộc - 171 NMĐ Đa M'bri</v>
          </cell>
          <cell r="D138">
            <v>171</v>
          </cell>
          <cell r="E138">
            <v>19.600000000000001</v>
          </cell>
          <cell r="F138">
            <v>-80.5</v>
          </cell>
          <cell r="G138">
            <v>-39.299999999999997</v>
          </cell>
          <cell r="H138">
            <v>30.7</v>
          </cell>
          <cell r="I138">
            <v>25.7</v>
          </cell>
          <cell r="J138">
            <v>29.9</v>
          </cell>
          <cell r="K138">
            <v>-80.5</v>
          </cell>
          <cell r="L138">
            <v>19.600000000000001</v>
          </cell>
          <cell r="M138">
            <v>-71.7</v>
          </cell>
        </row>
        <row r="139">
          <cell r="C139" t="str">
            <v>110kV 172 Bảo Lộc - 171 Di Linh 1</v>
          </cell>
          <cell r="D139">
            <v>172</v>
          </cell>
          <cell r="E139">
            <v>-48.4</v>
          </cell>
          <cell r="F139">
            <v>-74</v>
          </cell>
          <cell r="G139">
            <v>-48.4</v>
          </cell>
          <cell r="H139">
            <v>-64.599999999999994</v>
          </cell>
          <cell r="I139">
            <v>-74</v>
          </cell>
          <cell r="J139">
            <v>-69.900000000000006</v>
          </cell>
          <cell r="K139">
            <v>-51.2</v>
          </cell>
          <cell r="L139">
            <v>-55</v>
          </cell>
          <cell r="M139">
            <v>-58.3</v>
          </cell>
        </row>
        <row r="140">
          <cell r="C140" t="str">
            <v>110kV 173 Bảo Lộc - 171 NMĐ Bảo Lộc</v>
          </cell>
          <cell r="D140">
            <v>173</v>
          </cell>
          <cell r="E140">
            <v>-23.7</v>
          </cell>
          <cell r="F140">
            <v>-24.6</v>
          </cell>
          <cell r="G140">
            <v>-24.4</v>
          </cell>
          <cell r="H140">
            <v>-24.3</v>
          </cell>
          <cell r="I140">
            <v>-24.6</v>
          </cell>
          <cell r="J140">
            <v>-24.4</v>
          </cell>
          <cell r="K140">
            <v>-24.4</v>
          </cell>
          <cell r="L140">
            <v>-23.7</v>
          </cell>
          <cell r="M140">
            <v>-24.4</v>
          </cell>
        </row>
        <row r="141">
          <cell r="C141" t="str">
            <v>110kV 174 Bảo Lộc - 171 Bảo Lâm</v>
          </cell>
          <cell r="D141">
            <v>174</v>
          </cell>
          <cell r="E141">
            <v>-10.199999999999999</v>
          </cell>
          <cell r="F141">
            <v>50</v>
          </cell>
          <cell r="G141">
            <v>50</v>
          </cell>
          <cell r="H141">
            <v>22.2</v>
          </cell>
          <cell r="I141">
            <v>23.2</v>
          </cell>
          <cell r="J141">
            <v>36.4</v>
          </cell>
          <cell r="K141">
            <v>37.799999999999997</v>
          </cell>
          <cell r="L141">
            <v>42.1</v>
          </cell>
          <cell r="M141">
            <v>-10.199999999999999</v>
          </cell>
        </row>
        <row r="142">
          <cell r="C142" t="str">
            <v>Bảo Lộc MBA AT1 (phía 220kV)</v>
          </cell>
          <cell r="D142">
            <v>231</v>
          </cell>
          <cell r="E142">
            <v>-24.2</v>
          </cell>
          <cell r="F142">
            <v>-57.4</v>
          </cell>
          <cell r="G142">
            <v>-33.700000000000003</v>
          </cell>
          <cell r="H142">
            <v>-32.4</v>
          </cell>
          <cell r="I142">
            <v>-29.4</v>
          </cell>
          <cell r="J142">
            <v>-31.8</v>
          </cell>
          <cell r="K142">
            <v>-52.7</v>
          </cell>
          <cell r="L142">
            <v>-24.2</v>
          </cell>
          <cell r="M142">
            <v>-57.4</v>
          </cell>
        </row>
        <row r="143">
          <cell r="C143" t="str">
            <v>Bảo Lộc MBA AT2 (phía 220kV)</v>
          </cell>
          <cell r="D143">
            <v>232</v>
          </cell>
          <cell r="E143">
            <v>-29</v>
          </cell>
          <cell r="F143">
            <v>-67.400000000000006</v>
          </cell>
          <cell r="G143">
            <v>-40.5</v>
          </cell>
          <cell r="H143">
            <v>-39.799999999999997</v>
          </cell>
          <cell r="I143">
            <v>-37</v>
          </cell>
          <cell r="J143">
            <v>-39.200000000000003</v>
          </cell>
          <cell r="K143">
            <v>-63.5</v>
          </cell>
          <cell r="L143">
            <v>-29</v>
          </cell>
          <cell r="M143">
            <v>-67.400000000000006</v>
          </cell>
        </row>
        <row r="144">
          <cell r="C144" t="str">
            <v>220kV 272 Bảo Lộc - 274 NMĐ Hàm Thuận</v>
          </cell>
          <cell r="D144">
            <v>272</v>
          </cell>
          <cell r="E144">
            <v>51.8</v>
          </cell>
          <cell r="F144">
            <v>-102.3</v>
          </cell>
          <cell r="G144">
            <v>-54.5</v>
          </cell>
          <cell r="H144">
            <v>69.2</v>
          </cell>
          <cell r="I144">
            <v>60.2</v>
          </cell>
          <cell r="J144">
            <v>-102.3</v>
          </cell>
          <cell r="K144">
            <v>51.8</v>
          </cell>
          <cell r="L144">
            <v>-78.5</v>
          </cell>
          <cell r="M144">
            <v>-69.400000000000006</v>
          </cell>
        </row>
        <row r="145">
          <cell r="C145" t="str">
            <v>220kV 273 Bảo Lộc - 274 Phan Thiết 2</v>
          </cell>
          <cell r="D145">
            <v>273</v>
          </cell>
          <cell r="E145">
            <v>-118.1</v>
          </cell>
          <cell r="F145">
            <v>-203.8</v>
          </cell>
          <cell r="G145">
            <v>-177.6</v>
          </cell>
          <cell r="H145">
            <v>-185.9</v>
          </cell>
          <cell r="I145">
            <v>-118.1</v>
          </cell>
          <cell r="J145">
            <v>-183.4</v>
          </cell>
          <cell r="K145">
            <v>-203.8</v>
          </cell>
          <cell r="L145">
            <v>-164.8</v>
          </cell>
          <cell r="M145">
            <v>-170.6</v>
          </cell>
        </row>
        <row r="146">
          <cell r="C146" t="str">
            <v>220kV 274 Bảo Lộc - 274 Sông Mây</v>
          </cell>
          <cell r="D146">
            <v>274</v>
          </cell>
          <cell r="E146">
            <v>117.4</v>
          </cell>
          <cell r="F146">
            <v>175.7</v>
          </cell>
          <cell r="G146">
            <v>151.4</v>
          </cell>
          <cell r="H146">
            <v>159.69999999999999</v>
          </cell>
          <cell r="I146">
            <v>174.4</v>
          </cell>
          <cell r="J146">
            <v>175.7</v>
          </cell>
          <cell r="K146">
            <v>165.4</v>
          </cell>
          <cell r="L146">
            <v>117.4</v>
          </cell>
          <cell r="M146">
            <v>125.8</v>
          </cell>
        </row>
        <row r="147">
          <cell r="C147" t="str">
            <v>220kV 275 Bảo Lộc - 272 Di Linh</v>
          </cell>
          <cell r="D147">
            <v>275</v>
          </cell>
          <cell r="E147">
            <v>76.3</v>
          </cell>
          <cell r="F147">
            <v>-130.4</v>
          </cell>
          <cell r="G147">
            <v>-88.5</v>
          </cell>
          <cell r="H147">
            <v>-122.1</v>
          </cell>
          <cell r="I147">
            <v>-130.4</v>
          </cell>
          <cell r="J147">
            <v>76.599999999999994</v>
          </cell>
          <cell r="K147">
            <v>106.4</v>
          </cell>
          <cell r="L147">
            <v>76.3</v>
          </cell>
          <cell r="M147">
            <v>96.8</v>
          </cell>
        </row>
        <row r="148">
          <cell r="C148" t="str">
            <v>220kV 276 Bảo Lộc - 271 Di Linh</v>
          </cell>
          <cell r="D148">
            <v>276</v>
          </cell>
          <cell r="E148">
            <v>73.099999999999994</v>
          </cell>
          <cell r="F148">
            <v>-130.5</v>
          </cell>
          <cell r="G148">
            <v>-90</v>
          </cell>
          <cell r="H148">
            <v>-121.2</v>
          </cell>
          <cell r="I148">
            <v>-130.5</v>
          </cell>
          <cell r="J148">
            <v>73.099999999999994</v>
          </cell>
          <cell r="K148">
            <v>104</v>
          </cell>
          <cell r="L148">
            <v>75.2</v>
          </cell>
          <cell r="M148">
            <v>98.4</v>
          </cell>
        </row>
        <row r="149">
          <cell r="C149" t="str">
            <v>Bảo Lộc MBA T4 (phía 22kV)</v>
          </cell>
          <cell r="D149">
            <v>434</v>
          </cell>
          <cell r="E149">
            <v>-20.100000000000001</v>
          </cell>
          <cell r="F149">
            <v>-33.6</v>
          </cell>
          <cell r="G149">
            <v>-33.6</v>
          </cell>
          <cell r="H149">
            <v>-26.3</v>
          </cell>
          <cell r="I149">
            <v>-28.4</v>
          </cell>
          <cell r="J149">
            <v>-30.6</v>
          </cell>
          <cell r="K149">
            <v>-30.6</v>
          </cell>
          <cell r="L149">
            <v>-25.3</v>
          </cell>
          <cell r="M149">
            <v>-20.100000000000001</v>
          </cell>
        </row>
        <row r="150">
          <cell r="C150" t="str">
            <v>110kV 171 Bàu Bèo - 174 Tân Định</v>
          </cell>
          <cell r="F150">
            <v>-150.80000000000001</v>
          </cell>
          <cell r="H150">
            <v>-150.80000000000001</v>
          </cell>
          <cell r="I150">
            <v>-138.19999999999999</v>
          </cell>
          <cell r="J150">
            <v>-135.69999999999999</v>
          </cell>
          <cell r="K150">
            <v>-140.19999999999999</v>
          </cell>
          <cell r="L150">
            <v>-88.5</v>
          </cell>
          <cell r="M150">
            <v>-73.400000000000006</v>
          </cell>
        </row>
        <row r="151">
          <cell r="C151" t="str">
            <v>110kV 172 Bàu Bèo - 171 Vĩnh Trường</v>
          </cell>
          <cell r="F151">
            <v>45</v>
          </cell>
          <cell r="H151">
            <v>43.1</v>
          </cell>
          <cell r="I151">
            <v>42.6</v>
          </cell>
          <cell r="J151">
            <v>45</v>
          </cell>
          <cell r="K151">
            <v>42.1</v>
          </cell>
          <cell r="L151">
            <v>23.1</v>
          </cell>
          <cell r="M151">
            <v>19.5</v>
          </cell>
        </row>
        <row r="152">
          <cell r="C152" t="str">
            <v>Bàu Bèo MBA T1 (phía 110kV)</v>
          </cell>
          <cell r="F152">
            <v>51.8</v>
          </cell>
          <cell r="H152">
            <v>51.8</v>
          </cell>
          <cell r="I152">
            <v>48</v>
          </cell>
          <cell r="J152">
            <v>51.4</v>
          </cell>
          <cell r="K152">
            <v>47.1</v>
          </cell>
          <cell r="L152">
            <v>36.299999999999997</v>
          </cell>
          <cell r="M152">
            <v>30.7</v>
          </cell>
        </row>
        <row r="153">
          <cell r="C153" t="str">
            <v>Bàu Bèo MBA T1 (phía 22kV)</v>
          </cell>
          <cell r="F153">
            <v>-51.7</v>
          </cell>
          <cell r="H153">
            <v>-51.7</v>
          </cell>
          <cell r="I153">
            <v>-47.8</v>
          </cell>
          <cell r="J153">
            <v>-50.9</v>
          </cell>
          <cell r="K153">
            <v>-46.9</v>
          </cell>
          <cell r="L153">
            <v>-36.200000000000003</v>
          </cell>
          <cell r="M153">
            <v>-30.6</v>
          </cell>
        </row>
        <row r="154">
          <cell r="C154" t="str">
            <v>Bàu Bèo MBA T2 (phía 110kV)</v>
          </cell>
          <cell r="F154">
            <v>56.6</v>
          </cell>
          <cell r="H154">
            <v>56.4</v>
          </cell>
          <cell r="I154">
            <v>55.4</v>
          </cell>
          <cell r="J154">
            <v>56.6</v>
          </cell>
          <cell r="K154">
            <v>53.1</v>
          </cell>
          <cell r="L154">
            <v>43.7</v>
          </cell>
          <cell r="M154">
            <v>28.7</v>
          </cell>
        </row>
        <row r="155">
          <cell r="C155" t="str">
            <v>Bàu Bèo MBA T2 (phía 22kV)</v>
          </cell>
          <cell r="F155">
            <v>-56.9</v>
          </cell>
          <cell r="H155">
            <v>-56.6</v>
          </cell>
          <cell r="I155">
            <v>-55.3</v>
          </cell>
          <cell r="J155">
            <v>-56.9</v>
          </cell>
          <cell r="K155">
            <v>-53.1</v>
          </cell>
          <cell r="L155">
            <v>-43.4</v>
          </cell>
          <cell r="M155">
            <v>-28.8</v>
          </cell>
        </row>
        <row r="156">
          <cell r="C156" t="str">
            <v>220kV 271 Bàu Đồn - 272 Tây Ninh 2</v>
          </cell>
          <cell r="F156">
            <v>-213.8</v>
          </cell>
          <cell r="H156">
            <v>-213.8</v>
          </cell>
          <cell r="I156">
            <v>-128.69999999999999</v>
          </cell>
          <cell r="J156">
            <v>-139.5</v>
          </cell>
          <cell r="K156">
            <v>-164.1</v>
          </cell>
          <cell r="L156">
            <v>-107.8</v>
          </cell>
          <cell r="M156">
            <v>-156.80000000000001</v>
          </cell>
        </row>
        <row r="157">
          <cell r="C157" t="str">
            <v>Bàu Đồn MBA AT1 (phía 220kV)</v>
          </cell>
          <cell r="F157">
            <v>0.1</v>
          </cell>
          <cell r="H157">
            <v>0.1</v>
          </cell>
          <cell r="I157">
            <v>0.1</v>
          </cell>
          <cell r="J157">
            <v>0.1</v>
          </cell>
          <cell r="K157">
            <v>0.1</v>
          </cell>
          <cell r="L157">
            <v>0.1</v>
          </cell>
          <cell r="M157">
            <v>0.1</v>
          </cell>
        </row>
        <row r="158">
          <cell r="C158" t="str">
            <v>220kV 274 Bàu Đồn - 274 Trảng Bàng 2</v>
          </cell>
          <cell r="F158">
            <v>213.9</v>
          </cell>
          <cell r="H158">
            <v>213.9</v>
          </cell>
          <cell r="I158">
            <v>128.69999999999999</v>
          </cell>
          <cell r="J158">
            <v>139.4</v>
          </cell>
          <cell r="K158">
            <v>164</v>
          </cell>
          <cell r="L158">
            <v>107.7</v>
          </cell>
          <cell r="M158">
            <v>156.9</v>
          </cell>
        </row>
        <row r="159">
          <cell r="C159" t="str">
            <v>Bàu Đồn MBA AT2 (phía 220kV)</v>
          </cell>
          <cell r="F159">
            <v>0.1</v>
          </cell>
          <cell r="H159">
            <v>0.1</v>
          </cell>
          <cell r="I159">
            <v>0.1</v>
          </cell>
          <cell r="J159">
            <v>0.1</v>
          </cell>
          <cell r="K159">
            <v>0.1</v>
          </cell>
          <cell r="L159">
            <v>0.1</v>
          </cell>
          <cell r="M159">
            <v>0.1</v>
          </cell>
        </row>
        <row r="160">
          <cell r="C160" t="str">
            <v>Bàu Đồn MBA AT1 (phía 110kV)</v>
          </cell>
          <cell r="E160">
            <v>0</v>
          </cell>
          <cell r="F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</row>
        <row r="161">
          <cell r="C161" t="str">
            <v>Bàu Đồn MBA AT2 (phía 110kV)</v>
          </cell>
          <cell r="E161">
            <v>0</v>
          </cell>
          <cell r="F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</row>
        <row r="162">
          <cell r="C162" t="str">
            <v>110kV 171 Bàu Đưng - 181 Củ Chi 2</v>
          </cell>
          <cell r="F162">
            <v>-7.8</v>
          </cell>
          <cell r="H162">
            <v>-7.6</v>
          </cell>
          <cell r="I162">
            <v>-6.8</v>
          </cell>
          <cell r="J162">
            <v>-7</v>
          </cell>
          <cell r="K162">
            <v>-7.8</v>
          </cell>
          <cell r="L162">
            <v>-7</v>
          </cell>
          <cell r="M162">
            <v>-6.3</v>
          </cell>
        </row>
        <row r="163">
          <cell r="C163" t="str">
            <v>110kV 172 Bàu Đưng - 182 Củ Chi 2</v>
          </cell>
          <cell r="F163">
            <v>-4.4000000000000004</v>
          </cell>
          <cell r="H163">
            <v>-3.9</v>
          </cell>
          <cell r="I163">
            <v>-4.2</v>
          </cell>
          <cell r="J163">
            <v>-4.3</v>
          </cell>
          <cell r="K163">
            <v>-4.3</v>
          </cell>
          <cell r="L163">
            <v>-4.4000000000000004</v>
          </cell>
          <cell r="M163">
            <v>-4.3</v>
          </cell>
        </row>
        <row r="164">
          <cell r="C164" t="str">
            <v>Bàu Đưng MBA T1 (phía 110kV)</v>
          </cell>
          <cell r="F164">
            <v>9.6</v>
          </cell>
          <cell r="H164">
            <v>9.6</v>
          </cell>
          <cell r="I164">
            <v>8.6999999999999993</v>
          </cell>
          <cell r="J164">
            <v>9.1</v>
          </cell>
          <cell r="K164">
            <v>9.4</v>
          </cell>
          <cell r="L164">
            <v>9.3000000000000007</v>
          </cell>
          <cell r="M164">
            <v>8.4</v>
          </cell>
        </row>
        <row r="165">
          <cell r="C165" t="str">
            <v>Bàu Đưng MBA T1 (phía 22kV)</v>
          </cell>
          <cell r="F165">
            <v>-10</v>
          </cell>
          <cell r="H165">
            <v>-10</v>
          </cell>
          <cell r="I165">
            <v>-9</v>
          </cell>
          <cell r="J165">
            <v>-10</v>
          </cell>
          <cell r="K165">
            <v>-9</v>
          </cell>
          <cell r="L165">
            <v>-9</v>
          </cell>
          <cell r="M165">
            <v>-9</v>
          </cell>
        </row>
        <row r="166">
          <cell r="C166" t="str">
            <v>220kV 273 Bàu Sen - 275 NMĐ Nhơn Trạch 1&amp;2</v>
          </cell>
          <cell r="F166">
            <v>-316.60000000000002</v>
          </cell>
          <cell r="H166">
            <v>-202.7</v>
          </cell>
          <cell r="I166">
            <v>-199.1</v>
          </cell>
          <cell r="J166">
            <v>-207.6</v>
          </cell>
          <cell r="K166">
            <v>-200.3</v>
          </cell>
          <cell r="L166">
            <v>-175.4</v>
          </cell>
          <cell r="M166">
            <v>-316.60000000000002</v>
          </cell>
        </row>
        <row r="167">
          <cell r="C167" t="str">
            <v>220kV 274 Bàu Sen - 276 NMĐ Nhơn Trạch 1&amp;2</v>
          </cell>
          <cell r="F167">
            <v>-315.2</v>
          </cell>
          <cell r="H167">
            <v>-200.9</v>
          </cell>
          <cell r="I167">
            <v>-195.9</v>
          </cell>
          <cell r="J167">
            <v>-203.5</v>
          </cell>
          <cell r="K167">
            <v>-197.2</v>
          </cell>
          <cell r="L167">
            <v>-315.2</v>
          </cell>
          <cell r="M167">
            <v>-167.3</v>
          </cell>
        </row>
        <row r="168">
          <cell r="C168" t="str">
            <v>Bàu Sen MBA AT2 (phía 220kV)</v>
          </cell>
          <cell r="F168">
            <v>203.5</v>
          </cell>
          <cell r="H168">
            <v>200.1</v>
          </cell>
          <cell r="I168">
            <v>195.9</v>
          </cell>
          <cell r="J168">
            <v>203.5</v>
          </cell>
          <cell r="K168">
            <v>192.9</v>
          </cell>
          <cell r="L168">
            <v>172.8</v>
          </cell>
          <cell r="M168">
            <v>166.2</v>
          </cell>
        </row>
        <row r="169">
          <cell r="C169" t="str">
            <v>110kV 178 Bàu Sen - 171 Hyosung 2</v>
          </cell>
          <cell r="F169">
            <v>103.4</v>
          </cell>
          <cell r="H169">
            <v>102.8</v>
          </cell>
          <cell r="I169">
            <v>101</v>
          </cell>
          <cell r="J169">
            <v>103.2</v>
          </cell>
          <cell r="K169">
            <v>103.4</v>
          </cell>
          <cell r="L169">
            <v>89.8</v>
          </cell>
          <cell r="M169">
            <v>89.1</v>
          </cell>
        </row>
        <row r="170">
          <cell r="C170" t="str">
            <v>110kV 179 Bàu Sen - 171 Hyosung</v>
          </cell>
          <cell r="F170">
            <v>96.6</v>
          </cell>
          <cell r="H170">
            <v>96.6</v>
          </cell>
          <cell r="I170">
            <v>95.3</v>
          </cell>
          <cell r="J170">
            <v>96</v>
          </cell>
          <cell r="K170">
            <v>95.7</v>
          </cell>
          <cell r="L170">
            <v>85.3</v>
          </cell>
          <cell r="M170">
            <v>84.7</v>
          </cell>
        </row>
        <row r="171">
          <cell r="C171" t="str">
            <v>110kV 180 Bàu Sen - 171 Phú Thạnh</v>
          </cell>
          <cell r="F171">
            <v>109.4</v>
          </cell>
          <cell r="H171">
            <v>108.4</v>
          </cell>
          <cell r="I171">
            <v>102.2</v>
          </cell>
          <cell r="J171">
            <v>109.4</v>
          </cell>
          <cell r="K171">
            <v>105.3</v>
          </cell>
          <cell r="L171">
            <v>90.4</v>
          </cell>
          <cell r="M171">
            <v>88.2</v>
          </cell>
        </row>
        <row r="172">
          <cell r="C172" t="str">
            <v>110kV 177 Bàu Sen - 172 Ông Kèo</v>
          </cell>
          <cell r="F172">
            <v>102.9</v>
          </cell>
          <cell r="H172">
            <v>94.8</v>
          </cell>
          <cell r="I172">
            <v>98</v>
          </cell>
          <cell r="J172">
            <v>102.9</v>
          </cell>
          <cell r="K172">
            <v>98.5</v>
          </cell>
          <cell r="L172">
            <v>83.1</v>
          </cell>
          <cell r="M172">
            <v>78.5</v>
          </cell>
        </row>
        <row r="173">
          <cell r="C173" t="str">
            <v>Bàu Sen MBA AT2 (phía 110kV)</v>
          </cell>
          <cell r="F173">
            <v>-202.1</v>
          </cell>
          <cell r="H173">
            <v>-199.6</v>
          </cell>
          <cell r="I173">
            <v>-194.6</v>
          </cell>
          <cell r="J173">
            <v>-202.1</v>
          </cell>
          <cell r="K173">
            <v>-194.1</v>
          </cell>
          <cell r="L173">
            <v>-171.6</v>
          </cell>
          <cell r="M173">
            <v>-166.5</v>
          </cell>
        </row>
        <row r="174">
          <cell r="C174" t="str">
            <v>Bàu Sen MBA AT1 (phía 220kV)</v>
          </cell>
          <cell r="F174">
            <v>208.4</v>
          </cell>
          <cell r="H174">
            <v>205</v>
          </cell>
          <cell r="I174">
            <v>202.1</v>
          </cell>
          <cell r="J174">
            <v>208.4</v>
          </cell>
          <cell r="K174">
            <v>200</v>
          </cell>
          <cell r="L174">
            <v>178.7</v>
          </cell>
          <cell r="M174">
            <v>172.3</v>
          </cell>
        </row>
        <row r="175">
          <cell r="C175" t="str">
            <v>Bàu Sen MBA AT1 (phía 110kV)</v>
          </cell>
          <cell r="F175">
            <v>-206.6</v>
          </cell>
          <cell r="H175">
            <v>-204.2</v>
          </cell>
          <cell r="I175">
            <v>-199</v>
          </cell>
          <cell r="J175">
            <v>-206.6</v>
          </cell>
          <cell r="K175">
            <v>-199.2</v>
          </cell>
          <cell r="L175">
            <v>-177.7</v>
          </cell>
          <cell r="M175">
            <v>-169.1</v>
          </cell>
        </row>
        <row r="176">
          <cell r="C176" t="str">
            <v>Bàu Xéo MBA T2 (phía 110kV)</v>
          </cell>
          <cell r="F176">
            <v>38.700000000000003</v>
          </cell>
          <cell r="H176">
            <v>33.9</v>
          </cell>
          <cell r="I176">
            <v>35.9</v>
          </cell>
          <cell r="J176">
            <v>37.4</v>
          </cell>
          <cell r="K176">
            <v>38.700000000000003</v>
          </cell>
          <cell r="L176">
            <v>13.8</v>
          </cell>
          <cell r="M176">
            <v>35</v>
          </cell>
        </row>
        <row r="177">
          <cell r="C177" t="str">
            <v>110kV 172 Bàu Xéo - 172 Dầu Giây</v>
          </cell>
          <cell r="F177">
            <v>-40.6</v>
          </cell>
          <cell r="H177">
            <v>-33.4</v>
          </cell>
          <cell r="I177">
            <v>-36.299999999999997</v>
          </cell>
          <cell r="J177">
            <v>-38.700000000000003</v>
          </cell>
          <cell r="K177">
            <v>-40.6</v>
          </cell>
          <cell r="L177">
            <v>-13.7</v>
          </cell>
          <cell r="M177">
            <v>-34.6</v>
          </cell>
        </row>
        <row r="178">
          <cell r="C178" t="str">
            <v>Bàu Xéo MBA T2 (phía 22kV)</v>
          </cell>
          <cell r="F178">
            <v>-40.799999999999997</v>
          </cell>
          <cell r="H178">
            <v>-34</v>
          </cell>
          <cell r="I178">
            <v>-36.4</v>
          </cell>
          <cell r="J178">
            <v>-38.299999999999997</v>
          </cell>
          <cell r="K178">
            <v>-40.799999999999997</v>
          </cell>
          <cell r="L178">
            <v>-13.7</v>
          </cell>
          <cell r="M178">
            <v>-34.799999999999997</v>
          </cell>
        </row>
        <row r="179">
          <cell r="C179" t="str">
            <v>110kV 171 Bàu Xéo - 175 Sông Mây - 176 Sông Mây</v>
          </cell>
          <cell r="F179">
            <v>-37</v>
          </cell>
          <cell r="H179">
            <v>-33.6</v>
          </cell>
          <cell r="I179">
            <v>-34.4</v>
          </cell>
          <cell r="J179">
            <v>-37</v>
          </cell>
          <cell r="K179">
            <v>-33</v>
          </cell>
          <cell r="L179">
            <v>-17.399999999999999</v>
          </cell>
          <cell r="M179">
            <v>-16.2</v>
          </cell>
        </row>
        <row r="180">
          <cell r="C180" t="str">
            <v>Bàu Xéo MBA T1 (phía 110kV)</v>
          </cell>
          <cell r="F180">
            <v>37.200000000000003</v>
          </cell>
          <cell r="H180">
            <v>33.6</v>
          </cell>
          <cell r="I180">
            <v>34.299999999999997</v>
          </cell>
          <cell r="J180">
            <v>37.200000000000003</v>
          </cell>
          <cell r="K180">
            <v>32.9</v>
          </cell>
          <cell r="L180">
            <v>17.399999999999999</v>
          </cell>
          <cell r="M180">
            <v>16.2</v>
          </cell>
        </row>
        <row r="181">
          <cell r="C181" t="str">
            <v>Bàu Xéo MBA T1 (phía 22kV)</v>
          </cell>
          <cell r="F181">
            <v>-37.700000000000003</v>
          </cell>
          <cell r="H181">
            <v>-34.5</v>
          </cell>
          <cell r="I181">
            <v>-35</v>
          </cell>
          <cell r="J181">
            <v>-37.700000000000003</v>
          </cell>
          <cell r="K181">
            <v>-32.799999999999997</v>
          </cell>
          <cell r="L181">
            <v>-17.8</v>
          </cell>
          <cell r="M181">
            <v>-16.600000000000001</v>
          </cell>
        </row>
        <row r="182">
          <cell r="C182" t="str">
            <v>Bến Cát MBA T1 (phía 110kV)</v>
          </cell>
          <cell r="D182">
            <v>131</v>
          </cell>
          <cell r="E182">
            <v>47.3</v>
          </cell>
          <cell r="F182">
            <v>53.7</v>
          </cell>
          <cell r="G182">
            <v>50.9</v>
          </cell>
          <cell r="H182">
            <v>47.8</v>
          </cell>
          <cell r="I182">
            <v>53.7</v>
          </cell>
          <cell r="J182">
            <v>48.8</v>
          </cell>
          <cell r="K182">
            <v>48.5</v>
          </cell>
          <cell r="L182">
            <v>47.3</v>
          </cell>
          <cell r="M182">
            <v>49.6</v>
          </cell>
        </row>
        <row r="183">
          <cell r="C183" t="str">
            <v>Bến Cát MBA T2 (phía 110kV)</v>
          </cell>
          <cell r="D183">
            <v>132</v>
          </cell>
          <cell r="E183">
            <v>47</v>
          </cell>
          <cell r="F183">
            <v>59.6</v>
          </cell>
          <cell r="G183">
            <v>50.6</v>
          </cell>
          <cell r="H183">
            <v>56.7</v>
          </cell>
          <cell r="I183">
            <v>57</v>
          </cell>
          <cell r="J183">
            <v>52.6</v>
          </cell>
          <cell r="K183">
            <v>59.6</v>
          </cell>
          <cell r="L183">
            <v>51.1</v>
          </cell>
          <cell r="M183">
            <v>47</v>
          </cell>
        </row>
        <row r="184">
          <cell r="C184" t="str">
            <v>110kV 171 Bến Cát - 172 Kumho - 131 Vina Kraft</v>
          </cell>
          <cell r="D184">
            <v>171</v>
          </cell>
          <cell r="E184">
            <v>-48.8</v>
          </cell>
          <cell r="F184">
            <v>-100.2</v>
          </cell>
          <cell r="G184">
            <v>-51.1</v>
          </cell>
          <cell r="H184">
            <v>-100.2</v>
          </cell>
          <cell r="I184">
            <v>-53.7</v>
          </cell>
          <cell r="J184">
            <v>-99.1</v>
          </cell>
          <cell r="K184">
            <v>-48.8</v>
          </cell>
          <cell r="L184">
            <v>-95.1</v>
          </cell>
          <cell r="M184">
            <v>-49.6</v>
          </cell>
        </row>
        <row r="185">
          <cell r="C185" t="str">
            <v>110kV 172 Bến Cát - 179 Tân Định</v>
          </cell>
          <cell r="D185">
            <v>172</v>
          </cell>
          <cell r="E185">
            <v>0</v>
          </cell>
          <cell r="F185">
            <v>-59.8</v>
          </cell>
          <cell r="G185">
            <v>-50.6</v>
          </cell>
          <cell r="H185">
            <v>0</v>
          </cell>
          <cell r="I185">
            <v>-57.5</v>
          </cell>
          <cell r="J185">
            <v>0</v>
          </cell>
          <cell r="K185">
            <v>-59.8</v>
          </cell>
          <cell r="L185">
            <v>0</v>
          </cell>
          <cell r="M185">
            <v>-47.3</v>
          </cell>
        </row>
        <row r="186">
          <cell r="C186" t="str">
            <v>Bến Cát MBA T1 (phía 22kV)</v>
          </cell>
          <cell r="D186">
            <v>431</v>
          </cell>
          <cell r="E186">
            <v>-46.5</v>
          </cell>
          <cell r="F186">
            <v>-54.2</v>
          </cell>
          <cell r="G186">
            <v>-50.1</v>
          </cell>
          <cell r="H186">
            <v>-49.1</v>
          </cell>
          <cell r="I186">
            <v>-54.2</v>
          </cell>
          <cell r="J186">
            <v>-48.3</v>
          </cell>
          <cell r="K186">
            <v>-49.3</v>
          </cell>
          <cell r="L186">
            <v>-48.3</v>
          </cell>
          <cell r="M186">
            <v>-46.5</v>
          </cell>
        </row>
        <row r="187">
          <cell r="C187" t="str">
            <v>Bến Cát MBA T2 (phía 22kV)</v>
          </cell>
          <cell r="D187">
            <v>432</v>
          </cell>
          <cell r="E187">
            <v>-47</v>
          </cell>
          <cell r="F187">
            <v>-60.1</v>
          </cell>
          <cell r="G187">
            <v>-50.6</v>
          </cell>
          <cell r="H187">
            <v>-56.7</v>
          </cell>
          <cell r="I187">
            <v>-57.3</v>
          </cell>
          <cell r="J187">
            <v>-52.6</v>
          </cell>
          <cell r="K187">
            <v>-60.1</v>
          </cell>
          <cell r="L187">
            <v>-51.1</v>
          </cell>
          <cell r="M187">
            <v>-47</v>
          </cell>
        </row>
        <row r="188">
          <cell r="C188" t="str">
            <v>220kV 271 Bến Cát 2 - 271 Mỹ Phước</v>
          </cell>
          <cell r="F188">
            <v>141.19999999999999</v>
          </cell>
          <cell r="H188">
            <v>141.19999999999999</v>
          </cell>
          <cell r="I188">
            <v>78.400000000000006</v>
          </cell>
          <cell r="J188">
            <v>92</v>
          </cell>
          <cell r="K188">
            <v>118.7</v>
          </cell>
          <cell r="L188">
            <v>82.6</v>
          </cell>
          <cell r="M188">
            <v>108.7</v>
          </cell>
        </row>
        <row r="189">
          <cell r="C189" t="str">
            <v>220kV 272 Bến Cát 2 - 272 Mỹ Phước</v>
          </cell>
          <cell r="F189">
            <v>140.80000000000001</v>
          </cell>
          <cell r="H189">
            <v>140.80000000000001</v>
          </cell>
          <cell r="I189">
            <v>77</v>
          </cell>
          <cell r="J189">
            <v>91.4</v>
          </cell>
          <cell r="K189">
            <v>119.1</v>
          </cell>
          <cell r="L189">
            <v>-83.1</v>
          </cell>
          <cell r="M189">
            <v>108.8</v>
          </cell>
        </row>
        <row r="190">
          <cell r="C190" t="str">
            <v>Bến Cát 2 MBA AT1 (phía 220kV)</v>
          </cell>
          <cell r="F190">
            <v>86.8</v>
          </cell>
          <cell r="H190">
            <v>86.8</v>
          </cell>
          <cell r="I190">
            <v>84.5</v>
          </cell>
          <cell r="J190">
            <v>85.6</v>
          </cell>
          <cell r="K190">
            <v>85.6</v>
          </cell>
          <cell r="L190">
            <v>61.8</v>
          </cell>
          <cell r="M190">
            <v>64</v>
          </cell>
        </row>
        <row r="191">
          <cell r="C191" t="str">
            <v>220kV 273 Bến Cát 2 - 275 Bình Long 2</v>
          </cell>
          <cell r="F191">
            <v>-212.7</v>
          </cell>
          <cell r="H191">
            <v>-212.7</v>
          </cell>
          <cell r="I191">
            <v>-158.1</v>
          </cell>
          <cell r="J191">
            <v>-167.5</v>
          </cell>
          <cell r="K191">
            <v>-198.1</v>
          </cell>
          <cell r="L191">
            <v>-133</v>
          </cell>
          <cell r="M191">
            <v>-160.1</v>
          </cell>
        </row>
        <row r="192">
          <cell r="C192" t="str">
            <v>220kV 274 Bến Cát 2 - 276 Bình Long 2</v>
          </cell>
          <cell r="F192">
            <v>-212</v>
          </cell>
          <cell r="H192">
            <v>-212</v>
          </cell>
          <cell r="I192">
            <v>-158.4</v>
          </cell>
          <cell r="J192">
            <v>-167.8</v>
          </cell>
          <cell r="K192">
            <v>-199.3</v>
          </cell>
          <cell r="L192">
            <v>-134.4</v>
          </cell>
          <cell r="M192">
            <v>-160.6</v>
          </cell>
        </row>
        <row r="193">
          <cell r="C193" t="str">
            <v>Bến Cát 2 MBA AT2 (phía 220kV)</v>
          </cell>
          <cell r="F193">
            <v>89.6</v>
          </cell>
          <cell r="H193">
            <v>89.6</v>
          </cell>
          <cell r="I193">
            <v>86.7</v>
          </cell>
          <cell r="J193">
            <v>88.8</v>
          </cell>
          <cell r="K193">
            <v>87.5</v>
          </cell>
          <cell r="L193">
            <v>64.099999999999994</v>
          </cell>
          <cell r="M193">
            <v>65.8</v>
          </cell>
        </row>
        <row r="194">
          <cell r="C194" t="str">
            <v>Bến Cát 2 MBA AT1 (phía 110kV)</v>
          </cell>
          <cell r="F194">
            <v>-87.2</v>
          </cell>
          <cell r="H194">
            <v>-87.2</v>
          </cell>
          <cell r="I194">
            <v>-84.4</v>
          </cell>
          <cell r="J194">
            <v>-86.2</v>
          </cell>
          <cell r="K194">
            <v>-86.1</v>
          </cell>
          <cell r="L194">
            <v>-62.1</v>
          </cell>
          <cell r="M194">
            <v>-64</v>
          </cell>
        </row>
        <row r="195">
          <cell r="C195" t="str">
            <v>110kV 173 Bến Cát 2 - 175 Mỹ Phước</v>
          </cell>
          <cell r="E195">
            <v>0</v>
          </cell>
          <cell r="F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</row>
        <row r="196">
          <cell r="C196" t="str">
            <v>Bến Cát 2 MBA AT2 (phía 110kV)</v>
          </cell>
          <cell r="F196">
            <v>-89.2</v>
          </cell>
          <cell r="H196">
            <v>-89.2</v>
          </cell>
          <cell r="I196">
            <v>-86.2</v>
          </cell>
          <cell r="J196">
            <v>-87.7</v>
          </cell>
          <cell r="K196">
            <v>-87.7</v>
          </cell>
          <cell r="L196">
            <v>-63.7</v>
          </cell>
          <cell r="M196">
            <v>-65.099999999999994</v>
          </cell>
        </row>
        <row r="197">
          <cell r="C197" t="str">
            <v>110kV 177 Bến Cát 2 - 171 Lai Hưng</v>
          </cell>
          <cell r="F197">
            <v>175.9</v>
          </cell>
          <cell r="H197">
            <v>175.9</v>
          </cell>
          <cell r="I197">
            <v>170.6</v>
          </cell>
          <cell r="J197">
            <v>174.5</v>
          </cell>
          <cell r="K197">
            <v>174.1</v>
          </cell>
          <cell r="L197">
            <v>126</v>
          </cell>
          <cell r="M197">
            <v>129</v>
          </cell>
        </row>
        <row r="198">
          <cell r="C198" t="str">
            <v>Bến Cầu MBA T1 (phía 110kV)</v>
          </cell>
          <cell r="D198">
            <v>131</v>
          </cell>
          <cell r="E198">
            <v>9.6999999999999993</v>
          </cell>
          <cell r="F198">
            <v>19.2</v>
          </cell>
          <cell r="G198">
            <v>15.1</v>
          </cell>
          <cell r="H198">
            <v>15.7</v>
          </cell>
          <cell r="I198">
            <v>15.6</v>
          </cell>
          <cell r="J198">
            <v>19.2</v>
          </cell>
          <cell r="K198">
            <v>18.100000000000001</v>
          </cell>
          <cell r="L198">
            <v>11.6</v>
          </cell>
          <cell r="M198">
            <v>9.6999999999999993</v>
          </cell>
        </row>
        <row r="199">
          <cell r="C199" t="str">
            <v>Bến Cầu MBA T2 (phía 110kV)</v>
          </cell>
          <cell r="D199">
            <v>132</v>
          </cell>
          <cell r="E199">
            <v>22.3</v>
          </cell>
          <cell r="F199">
            <v>33.299999999999997</v>
          </cell>
          <cell r="G199">
            <v>30.1</v>
          </cell>
          <cell r="H199">
            <v>29.5</v>
          </cell>
          <cell r="I199">
            <v>25</v>
          </cell>
          <cell r="J199">
            <v>26.5</v>
          </cell>
          <cell r="K199">
            <v>24.5</v>
          </cell>
          <cell r="L199">
            <v>33.299999999999997</v>
          </cell>
          <cell r="M199">
            <v>22.3</v>
          </cell>
        </row>
        <row r="200">
          <cell r="C200" t="str">
            <v>110kV 171 Bến Cầu - 171 Thạnh Đức</v>
          </cell>
          <cell r="D200">
            <v>171</v>
          </cell>
          <cell r="E200">
            <v>38.700000000000003</v>
          </cell>
          <cell r="F200">
            <v>45.8</v>
          </cell>
          <cell r="G200">
            <v>45.6</v>
          </cell>
          <cell r="H200">
            <v>45.8</v>
          </cell>
          <cell r="I200">
            <v>38.799999999999997</v>
          </cell>
          <cell r="J200">
            <v>43.8</v>
          </cell>
          <cell r="K200">
            <v>42.4</v>
          </cell>
          <cell r="L200">
            <v>38.700000000000003</v>
          </cell>
          <cell r="M200">
            <v>39</v>
          </cell>
        </row>
        <row r="201">
          <cell r="C201" t="str">
            <v>110kV 172 Bến Cầu - 171 NMĐ MT HTG</v>
          </cell>
          <cell r="D201">
            <v>172</v>
          </cell>
          <cell r="E201">
            <v>-66.400000000000006</v>
          </cell>
          <cell r="F201">
            <v>-85</v>
          </cell>
          <cell r="G201">
            <v>-85</v>
          </cell>
          <cell r="H201">
            <v>-84.8</v>
          </cell>
          <cell r="I201">
            <v>-73.099999999999994</v>
          </cell>
          <cell r="J201">
            <v>-83.8</v>
          </cell>
          <cell r="K201">
            <v>-79.099999999999994</v>
          </cell>
          <cell r="L201">
            <v>-80.400000000000006</v>
          </cell>
          <cell r="M201">
            <v>-66.400000000000006</v>
          </cell>
        </row>
        <row r="202">
          <cell r="C202" t="str">
            <v>Bến Cầu MBA T1 (phía 22kV)</v>
          </cell>
          <cell r="D202">
            <v>431</v>
          </cell>
          <cell r="E202">
            <v>-9.8000000000000007</v>
          </cell>
          <cell r="F202">
            <v>-19.3</v>
          </cell>
          <cell r="G202">
            <v>-15</v>
          </cell>
          <cell r="H202">
            <v>-15.9</v>
          </cell>
          <cell r="I202">
            <v>-15.4</v>
          </cell>
          <cell r="J202">
            <v>-19.3</v>
          </cell>
          <cell r="K202">
            <v>-18.100000000000001</v>
          </cell>
          <cell r="L202">
            <v>-11.5</v>
          </cell>
          <cell r="M202">
            <v>-9.8000000000000007</v>
          </cell>
        </row>
        <row r="203">
          <cell r="C203" t="str">
            <v>Bến Cầu MBA T2 (phía 22kV)</v>
          </cell>
          <cell r="D203">
            <v>432</v>
          </cell>
          <cell r="E203">
            <v>-22.3</v>
          </cell>
          <cell r="F203">
            <v>-33.299999999999997</v>
          </cell>
          <cell r="G203">
            <v>-30.1</v>
          </cell>
          <cell r="H203">
            <v>-29.5</v>
          </cell>
          <cell r="I203">
            <v>-25</v>
          </cell>
          <cell r="J203">
            <v>-26.5</v>
          </cell>
          <cell r="K203">
            <v>-24.5</v>
          </cell>
          <cell r="L203">
            <v>-33.299999999999997</v>
          </cell>
          <cell r="M203">
            <v>-22.3</v>
          </cell>
        </row>
        <row r="204">
          <cell r="C204" t="str">
            <v>Bến lức MBA T1 (phía 110kV)</v>
          </cell>
          <cell r="D204">
            <v>131</v>
          </cell>
          <cell r="E204">
            <v>14.9</v>
          </cell>
          <cell r="F204">
            <v>20.7</v>
          </cell>
          <cell r="G204">
            <v>18</v>
          </cell>
          <cell r="H204">
            <v>20.5</v>
          </cell>
          <cell r="I204">
            <v>18.3</v>
          </cell>
          <cell r="J204">
            <v>20.7</v>
          </cell>
          <cell r="K204">
            <v>19.100000000000001</v>
          </cell>
          <cell r="L204">
            <v>14.9</v>
          </cell>
          <cell r="M204">
            <v>15.3</v>
          </cell>
        </row>
        <row r="205">
          <cell r="C205" t="str">
            <v>Bến Lức MBA T2 (phía 110kV)</v>
          </cell>
          <cell r="D205">
            <v>132</v>
          </cell>
          <cell r="E205">
            <v>19.600000000000001</v>
          </cell>
          <cell r="F205">
            <v>27.6</v>
          </cell>
          <cell r="G205">
            <v>27</v>
          </cell>
          <cell r="H205">
            <v>27.6</v>
          </cell>
          <cell r="I205">
            <v>24.7</v>
          </cell>
          <cell r="J205">
            <v>25.3</v>
          </cell>
          <cell r="K205">
            <v>23.8</v>
          </cell>
          <cell r="L205">
            <v>19.600000000000001</v>
          </cell>
          <cell r="M205">
            <v>19.899999999999999</v>
          </cell>
        </row>
        <row r="206">
          <cell r="C206" t="str">
            <v>110kV 171 Bến Lức - 177 Long An 2</v>
          </cell>
          <cell r="D206">
            <v>171</v>
          </cell>
          <cell r="E206">
            <v>-38.299999999999997</v>
          </cell>
          <cell r="F206">
            <v>-68.400000000000006</v>
          </cell>
          <cell r="G206">
            <v>-64.7</v>
          </cell>
          <cell r="H206">
            <v>-68.400000000000006</v>
          </cell>
          <cell r="I206">
            <v>-60.3</v>
          </cell>
          <cell r="J206">
            <v>-65.8</v>
          </cell>
          <cell r="K206">
            <v>-63</v>
          </cell>
          <cell r="L206">
            <v>-42.2</v>
          </cell>
          <cell r="M206">
            <v>-38.299999999999997</v>
          </cell>
        </row>
        <row r="207">
          <cell r="C207" t="str">
            <v>110kV 172 Bến Lức - 171 Ching Luh - 173 KCN Vĩnh Lộc 2 - 172 Rạch Chanh</v>
          </cell>
          <cell r="D207">
            <v>172</v>
          </cell>
          <cell r="E207">
            <v>8.8000000000000007</v>
          </cell>
          <cell r="F207">
            <v>21.4</v>
          </cell>
          <cell r="G207">
            <v>20.399999999999999</v>
          </cell>
          <cell r="H207">
            <v>20.8</v>
          </cell>
          <cell r="I207">
            <v>21.4</v>
          </cell>
          <cell r="J207">
            <v>20.6</v>
          </cell>
          <cell r="K207">
            <v>21.1</v>
          </cell>
          <cell r="L207">
            <v>9.1</v>
          </cell>
          <cell r="M207">
            <v>8.8000000000000007</v>
          </cell>
        </row>
        <row r="208">
          <cell r="C208" t="str">
            <v>Bến Lức MBA T1 (phía 22kV)</v>
          </cell>
          <cell r="D208">
            <v>431</v>
          </cell>
          <cell r="E208">
            <v>-15.1</v>
          </cell>
          <cell r="F208">
            <v>-20.6</v>
          </cell>
          <cell r="G208">
            <v>-18.2</v>
          </cell>
          <cell r="H208">
            <v>-20.5</v>
          </cell>
          <cell r="I208">
            <v>-18.2</v>
          </cell>
          <cell r="J208">
            <v>-20.6</v>
          </cell>
          <cell r="K208">
            <v>-19</v>
          </cell>
          <cell r="L208">
            <v>-15.1</v>
          </cell>
          <cell r="M208">
            <v>-15.6</v>
          </cell>
        </row>
        <row r="209">
          <cell r="C209" t="str">
            <v>Bến Lức MBA T2 (phía 22kV)</v>
          </cell>
          <cell r="D209">
            <v>432</v>
          </cell>
          <cell r="E209">
            <v>-19.7</v>
          </cell>
          <cell r="F209">
            <v>-27.6</v>
          </cell>
          <cell r="G209">
            <v>-27.1</v>
          </cell>
          <cell r="H209">
            <v>-27.6</v>
          </cell>
          <cell r="I209">
            <v>-24.9</v>
          </cell>
          <cell r="J209">
            <v>-25.4</v>
          </cell>
          <cell r="K209">
            <v>-24</v>
          </cell>
          <cell r="L209">
            <v>-19.7</v>
          </cell>
          <cell r="M209">
            <v>-19.899999999999999</v>
          </cell>
        </row>
        <row r="210">
          <cell r="C210" t="str">
            <v>Bến Thành MBA T1 (phía 110kV)</v>
          </cell>
          <cell r="D210">
            <v>131</v>
          </cell>
          <cell r="E210">
            <v>19.100000000000001</v>
          </cell>
          <cell r="F210">
            <v>43.3</v>
          </cell>
          <cell r="G210">
            <v>40.200000000000003</v>
          </cell>
          <cell r="H210">
            <v>43.3</v>
          </cell>
          <cell r="I210">
            <v>31.6</v>
          </cell>
          <cell r="J210">
            <v>31.6</v>
          </cell>
          <cell r="K210">
            <v>28.8</v>
          </cell>
          <cell r="L210">
            <v>20.8</v>
          </cell>
          <cell r="M210">
            <v>19.100000000000001</v>
          </cell>
        </row>
        <row r="211">
          <cell r="C211" t="str">
            <v>Bến Thành MBA T2 (phía 110kV)</v>
          </cell>
          <cell r="D211">
            <v>132</v>
          </cell>
          <cell r="E211">
            <v>22.7</v>
          </cell>
          <cell r="F211">
            <v>48.2</v>
          </cell>
          <cell r="G211">
            <v>48.2</v>
          </cell>
          <cell r="H211">
            <v>46.5</v>
          </cell>
          <cell r="I211">
            <v>37</v>
          </cell>
          <cell r="J211">
            <v>34.9</v>
          </cell>
          <cell r="K211">
            <v>32.299999999999997</v>
          </cell>
          <cell r="L211">
            <v>23.2</v>
          </cell>
          <cell r="M211">
            <v>22.7</v>
          </cell>
        </row>
        <row r="212">
          <cell r="C212" t="str">
            <v>110kV 171 Bến Thành - 173 Tao Đàn</v>
          </cell>
          <cell r="D212">
            <v>171</v>
          </cell>
          <cell r="E212">
            <v>-19</v>
          </cell>
          <cell r="F212">
            <v>-43.3</v>
          </cell>
          <cell r="G212">
            <v>-40.5</v>
          </cell>
          <cell r="H212">
            <v>-43.3</v>
          </cell>
          <cell r="I212">
            <v>-31.7</v>
          </cell>
          <cell r="J212">
            <v>-31.5</v>
          </cell>
          <cell r="K212">
            <v>-29</v>
          </cell>
          <cell r="L212">
            <v>-20.9</v>
          </cell>
          <cell r="M212">
            <v>-19</v>
          </cell>
        </row>
        <row r="213">
          <cell r="C213" t="str">
            <v>110kV 172 Bến Thành - 174 Tao Đàn</v>
          </cell>
          <cell r="D213">
            <v>172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</row>
        <row r="214">
          <cell r="C214" t="str">
            <v>110kV 174 Bến Thành - 174 Quận 8</v>
          </cell>
          <cell r="D214">
            <v>174</v>
          </cell>
          <cell r="E214">
            <v>-22.6</v>
          </cell>
          <cell r="F214">
            <v>-47.9</v>
          </cell>
          <cell r="G214">
            <v>-47.9</v>
          </cell>
          <cell r="H214">
            <v>-46.5</v>
          </cell>
          <cell r="I214">
            <v>-37</v>
          </cell>
          <cell r="J214">
            <v>-34.9</v>
          </cell>
          <cell r="K214">
            <v>-32.200000000000003</v>
          </cell>
          <cell r="L214">
            <v>-23.3</v>
          </cell>
          <cell r="M214">
            <v>-22.6</v>
          </cell>
        </row>
        <row r="215">
          <cell r="C215" t="str">
            <v>Bến Thành MBA T1 (phía 22kV)</v>
          </cell>
          <cell r="D215">
            <v>431</v>
          </cell>
          <cell r="E215">
            <v>-19.399999999999999</v>
          </cell>
          <cell r="F215">
            <v>-44.1</v>
          </cell>
          <cell r="G215">
            <v>-41.2</v>
          </cell>
          <cell r="H215">
            <v>-44.1</v>
          </cell>
          <cell r="I215">
            <v>-32.4</v>
          </cell>
          <cell r="J215">
            <v>-32</v>
          </cell>
          <cell r="K215">
            <v>-29.6</v>
          </cell>
          <cell r="L215">
            <v>-21</v>
          </cell>
          <cell r="M215">
            <v>-19.399999999999999</v>
          </cell>
        </row>
        <row r="216">
          <cell r="C216" t="str">
            <v>Bến Thành MBA T2 (phía 22kV)</v>
          </cell>
          <cell r="D216">
            <v>432</v>
          </cell>
          <cell r="E216">
            <v>-23.1</v>
          </cell>
          <cell r="F216">
            <v>-48.6</v>
          </cell>
          <cell r="G216">
            <v>-48.6</v>
          </cell>
          <cell r="H216">
            <v>-47</v>
          </cell>
          <cell r="I216">
            <v>-37.6</v>
          </cell>
          <cell r="J216">
            <v>-35.5</v>
          </cell>
          <cell r="K216">
            <v>-32.9</v>
          </cell>
          <cell r="L216">
            <v>-23.8</v>
          </cell>
          <cell r="M216">
            <v>-23.1</v>
          </cell>
        </row>
        <row r="217">
          <cell r="C217" t="str">
            <v>Bến Tre MBA T1 (phía 110kV)</v>
          </cell>
          <cell r="D217">
            <v>131</v>
          </cell>
          <cell r="E217">
            <v>31.4</v>
          </cell>
          <cell r="F217">
            <v>41.9</v>
          </cell>
          <cell r="G217">
            <v>41.4</v>
          </cell>
          <cell r="H217">
            <v>41.1</v>
          </cell>
          <cell r="I217">
            <v>36.299999999999997</v>
          </cell>
          <cell r="J217">
            <v>41.9</v>
          </cell>
          <cell r="K217">
            <v>35.200000000000003</v>
          </cell>
          <cell r="L217">
            <v>31.4</v>
          </cell>
          <cell r="M217">
            <v>33.700000000000003</v>
          </cell>
        </row>
        <row r="218">
          <cell r="C218" t="str">
            <v>Bến Tre MBA T2 (phía 110kV)</v>
          </cell>
          <cell r="D218">
            <v>132</v>
          </cell>
          <cell r="E218">
            <v>39.4</v>
          </cell>
          <cell r="F218">
            <v>49.5</v>
          </cell>
          <cell r="G218">
            <v>49.5</v>
          </cell>
          <cell r="H218">
            <v>48.1</v>
          </cell>
          <cell r="I218">
            <v>42.3</v>
          </cell>
          <cell r="J218">
            <v>48.1</v>
          </cell>
          <cell r="K218">
            <v>45.6</v>
          </cell>
          <cell r="L218">
            <v>39.4</v>
          </cell>
          <cell r="M218">
            <v>40.6</v>
          </cell>
        </row>
        <row r="219">
          <cell r="C219" t="str">
            <v>110kV 171 Bến Tre - 179 Mỹ Tho 2</v>
          </cell>
          <cell r="D219">
            <v>171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</row>
        <row r="220">
          <cell r="C220" t="str">
            <v>110kV 172 Bến Tre - 174 Bến Tre 2</v>
          </cell>
          <cell r="D220">
            <v>172</v>
          </cell>
          <cell r="E220">
            <v>-70.599999999999994</v>
          </cell>
          <cell r="F220">
            <v>-90.8</v>
          </cell>
          <cell r="G220">
            <v>-90.8</v>
          </cell>
          <cell r="H220">
            <v>-88.8</v>
          </cell>
          <cell r="I220">
            <v>-78.099999999999994</v>
          </cell>
          <cell r="J220">
            <v>-89.8</v>
          </cell>
          <cell r="K220">
            <v>-80.2</v>
          </cell>
          <cell r="L220">
            <v>-70.599999999999994</v>
          </cell>
          <cell r="M220">
            <v>-72.599999999999994</v>
          </cell>
        </row>
        <row r="221">
          <cell r="C221" t="str">
            <v>Bến Tre MBA T1 (phía 22kV)</v>
          </cell>
          <cell r="D221">
            <v>431</v>
          </cell>
          <cell r="E221">
            <v>-31.3</v>
          </cell>
          <cell r="F221">
            <v>-41.7</v>
          </cell>
          <cell r="G221">
            <v>-41.1</v>
          </cell>
          <cell r="H221">
            <v>-40.9</v>
          </cell>
          <cell r="I221">
            <v>-36.1</v>
          </cell>
          <cell r="J221">
            <v>-41.7</v>
          </cell>
          <cell r="K221">
            <v>-35</v>
          </cell>
          <cell r="L221">
            <v>-31.3</v>
          </cell>
          <cell r="M221">
            <v>-33.6</v>
          </cell>
        </row>
        <row r="222">
          <cell r="C222" t="str">
            <v>Bến Tre MBA T2 (phía 22kV)</v>
          </cell>
          <cell r="D222">
            <v>432</v>
          </cell>
          <cell r="E222">
            <v>-39.200000000000003</v>
          </cell>
          <cell r="F222">
            <v>-49.2</v>
          </cell>
          <cell r="G222">
            <v>-49.2</v>
          </cell>
          <cell r="H222">
            <v>-47.9</v>
          </cell>
          <cell r="I222">
            <v>-42.1</v>
          </cell>
          <cell r="J222">
            <v>-47.9</v>
          </cell>
          <cell r="K222">
            <v>-45.3</v>
          </cell>
          <cell r="L222">
            <v>-39.200000000000003</v>
          </cell>
          <cell r="M222">
            <v>-40.4</v>
          </cell>
        </row>
        <row r="223">
          <cell r="C223" t="str">
            <v>Bến Tre 2 MBA AT1 (phía 110kV)</v>
          </cell>
          <cell r="D223">
            <v>131</v>
          </cell>
          <cell r="E223">
            <v>-55.4</v>
          </cell>
          <cell r="F223">
            <v>-99.5</v>
          </cell>
          <cell r="G223">
            <v>-55.4</v>
          </cell>
          <cell r="H223">
            <v>-55.4</v>
          </cell>
          <cell r="I223">
            <v>-55.4</v>
          </cell>
          <cell r="J223">
            <v>-99.5</v>
          </cell>
          <cell r="K223">
            <v>-95.7</v>
          </cell>
          <cell r="L223">
            <v>-84.6</v>
          </cell>
          <cell r="M223">
            <v>-87.1</v>
          </cell>
        </row>
        <row r="224">
          <cell r="C224" t="str">
            <v>Bến Tre 2 MBA AT2 (phía 110kV)</v>
          </cell>
          <cell r="D224">
            <v>132</v>
          </cell>
          <cell r="E224">
            <v>-84.7</v>
          </cell>
          <cell r="F224">
            <v>-108.9</v>
          </cell>
          <cell r="G224">
            <v>-108.9</v>
          </cell>
          <cell r="H224">
            <v>-100</v>
          </cell>
          <cell r="I224">
            <v>-92.4</v>
          </cell>
          <cell r="J224">
            <v>-99.8</v>
          </cell>
          <cell r="K224">
            <v>-95.6</v>
          </cell>
          <cell r="L224">
            <v>-84.7</v>
          </cell>
          <cell r="M224">
            <v>-87.1</v>
          </cell>
        </row>
        <row r="225">
          <cell r="C225" t="str">
            <v>110kV 172 Bến Tre 2 - 174 Mỏ Cày 2</v>
          </cell>
          <cell r="D225">
            <v>172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</row>
        <row r="226">
          <cell r="C226" t="str">
            <v>110kV 174 Bến Tre 2 - 172 Bến Tre</v>
          </cell>
          <cell r="D226">
            <v>174</v>
          </cell>
          <cell r="E226">
            <v>53</v>
          </cell>
          <cell r="F226">
            <v>88.6</v>
          </cell>
          <cell r="G226">
            <v>53</v>
          </cell>
          <cell r="H226">
            <v>71.3</v>
          </cell>
          <cell r="I226">
            <v>77.900000000000006</v>
          </cell>
          <cell r="J226">
            <v>88.6</v>
          </cell>
          <cell r="K226">
            <v>79.3</v>
          </cell>
          <cell r="L226">
            <v>70.2</v>
          </cell>
          <cell r="M226">
            <v>72.3</v>
          </cell>
        </row>
        <row r="227">
          <cell r="C227" t="str">
            <v>110kV 175 Bến Tre 2 - 172 Giồng Trôm</v>
          </cell>
          <cell r="D227">
            <v>175</v>
          </cell>
          <cell r="E227">
            <v>61.5</v>
          </cell>
          <cell r="F227">
            <v>89.8</v>
          </cell>
          <cell r="G227">
            <v>89.8</v>
          </cell>
          <cell r="H227">
            <v>82.5</v>
          </cell>
          <cell r="I227">
            <v>77</v>
          </cell>
          <cell r="J227">
            <v>78.5</v>
          </cell>
          <cell r="K227">
            <v>77.099999999999994</v>
          </cell>
          <cell r="L227">
            <v>77.400000000000006</v>
          </cell>
          <cell r="M227">
            <v>61.5</v>
          </cell>
        </row>
        <row r="228">
          <cell r="C228" t="str">
            <v>110kV 176 Bến Tre 2 - 171 Giao Long</v>
          </cell>
          <cell r="D228">
            <v>176</v>
          </cell>
          <cell r="E228">
            <v>10.7</v>
          </cell>
          <cell r="F228">
            <v>18.8</v>
          </cell>
          <cell r="G228">
            <v>18.8</v>
          </cell>
          <cell r="H228">
            <v>15.3</v>
          </cell>
          <cell r="I228">
            <v>17</v>
          </cell>
          <cell r="J228">
            <v>17.600000000000001</v>
          </cell>
          <cell r="K228">
            <v>17.5</v>
          </cell>
          <cell r="L228">
            <v>11.3</v>
          </cell>
          <cell r="M228">
            <v>10.7</v>
          </cell>
        </row>
        <row r="229">
          <cell r="C229" t="str">
            <v>110kV 177 Bến Tre 2 - 172 Giao Long</v>
          </cell>
          <cell r="D229">
            <v>177</v>
          </cell>
          <cell r="E229">
            <v>11</v>
          </cell>
          <cell r="F229">
            <v>18.5</v>
          </cell>
          <cell r="G229">
            <v>18.5</v>
          </cell>
          <cell r="H229">
            <v>15.3</v>
          </cell>
          <cell r="I229">
            <v>16.8</v>
          </cell>
          <cell r="J229">
            <v>17.7</v>
          </cell>
          <cell r="K229">
            <v>17.2</v>
          </cell>
          <cell r="L229">
            <v>11.2</v>
          </cell>
          <cell r="M229">
            <v>11</v>
          </cell>
        </row>
        <row r="230">
          <cell r="C230" t="str">
            <v>Bến Tre 2 MBA AT1 (phía 220kV)</v>
          </cell>
          <cell r="D230">
            <v>231</v>
          </cell>
          <cell r="E230">
            <v>85.1</v>
          </cell>
          <cell r="F230">
            <v>109</v>
          </cell>
          <cell r="G230">
            <v>109</v>
          </cell>
          <cell r="H230">
            <v>100.8</v>
          </cell>
          <cell r="I230">
            <v>93.7</v>
          </cell>
          <cell r="J230">
            <v>100.5</v>
          </cell>
          <cell r="K230">
            <v>96.5</v>
          </cell>
          <cell r="L230">
            <v>85.1</v>
          </cell>
          <cell r="M230">
            <v>87.7</v>
          </cell>
        </row>
        <row r="231">
          <cell r="C231" t="str">
            <v>Bến Tre 2 MBA AT2 (phía 220kV)</v>
          </cell>
          <cell r="D231">
            <v>232</v>
          </cell>
          <cell r="E231">
            <v>85.1</v>
          </cell>
          <cell r="F231">
            <v>108.1</v>
          </cell>
          <cell r="G231">
            <v>108.1</v>
          </cell>
          <cell r="H231">
            <v>99.4</v>
          </cell>
          <cell r="I231">
            <v>92.6</v>
          </cell>
          <cell r="J231">
            <v>99.3</v>
          </cell>
          <cell r="K231">
            <v>95.8</v>
          </cell>
          <cell r="L231">
            <v>85.1</v>
          </cell>
          <cell r="M231">
            <v>87</v>
          </cell>
        </row>
        <row r="232">
          <cell r="C232" t="str">
            <v>220kV 272 Bến Tre 2 - 272 Mỹ Tho 2</v>
          </cell>
          <cell r="D232">
            <v>272</v>
          </cell>
          <cell r="E232">
            <v>71.900000000000006</v>
          </cell>
          <cell r="F232">
            <v>285</v>
          </cell>
          <cell r="G232">
            <v>71.900000000000006</v>
          </cell>
          <cell r="H232">
            <v>285</v>
          </cell>
          <cell r="I232">
            <v>148.19999999999999</v>
          </cell>
          <cell r="J232">
            <v>173.4</v>
          </cell>
          <cell r="K232">
            <v>175.2</v>
          </cell>
          <cell r="L232">
            <v>145.4</v>
          </cell>
          <cell r="M232">
            <v>168.9</v>
          </cell>
        </row>
        <row r="233">
          <cell r="C233" t="str">
            <v>220kV 273 Bến Tre 2 - 271 Mỹ Tho 2</v>
          </cell>
          <cell r="D233">
            <v>273</v>
          </cell>
          <cell r="E233">
            <v>0</v>
          </cell>
          <cell r="F233">
            <v>177.9</v>
          </cell>
          <cell r="G233">
            <v>72.900000000000006</v>
          </cell>
          <cell r="H233">
            <v>0</v>
          </cell>
          <cell r="I233">
            <v>150.19999999999999</v>
          </cell>
          <cell r="J233">
            <v>173.2</v>
          </cell>
          <cell r="K233">
            <v>177.9</v>
          </cell>
          <cell r="L233">
            <v>145.4</v>
          </cell>
          <cell r="M233">
            <v>169.5</v>
          </cell>
        </row>
        <row r="234">
          <cell r="C234" t="str">
            <v>220kV 275 Bến Tre 2 - 273 Mỏ Cày 2</v>
          </cell>
          <cell r="D234">
            <v>275</v>
          </cell>
          <cell r="E234">
            <v>-161.19999999999999</v>
          </cell>
          <cell r="F234">
            <v>-255.6</v>
          </cell>
          <cell r="G234">
            <v>-161.19999999999999</v>
          </cell>
          <cell r="H234">
            <v>-227.5</v>
          </cell>
          <cell r="I234">
            <v>-230.6</v>
          </cell>
          <cell r="J234">
            <v>-253.7</v>
          </cell>
          <cell r="K234">
            <v>-255.6</v>
          </cell>
          <cell r="L234">
            <v>-218.7</v>
          </cell>
          <cell r="M234">
            <v>-234.3</v>
          </cell>
        </row>
        <row r="235">
          <cell r="C235" t="str">
            <v>220kV 276 Bến Tre 2 - 274 Mỏ Cày 2</v>
          </cell>
          <cell r="D235">
            <v>276</v>
          </cell>
          <cell r="E235">
            <v>-161.6</v>
          </cell>
          <cell r="F235">
            <v>-255.5</v>
          </cell>
          <cell r="G235">
            <v>-161.6</v>
          </cell>
          <cell r="H235">
            <v>-227.4</v>
          </cell>
          <cell r="I235">
            <v>-230.9</v>
          </cell>
          <cell r="J235">
            <v>-254.2</v>
          </cell>
          <cell r="K235">
            <v>-255.5</v>
          </cell>
          <cell r="L235">
            <v>-219.3</v>
          </cell>
          <cell r="M235">
            <v>-234.4</v>
          </cell>
        </row>
        <row r="236">
          <cell r="C236" t="str">
            <v>Biên Hòa MBA T1 (phía 110kV)</v>
          </cell>
          <cell r="D236">
            <v>131</v>
          </cell>
          <cell r="E236">
            <v>22.1</v>
          </cell>
          <cell r="F236">
            <v>43.9</v>
          </cell>
          <cell r="G236">
            <v>29.5</v>
          </cell>
          <cell r="H236">
            <v>43.6</v>
          </cell>
          <cell r="I236">
            <v>22.1</v>
          </cell>
          <cell r="J236">
            <v>43.9</v>
          </cell>
          <cell r="K236">
            <v>42</v>
          </cell>
          <cell r="L236">
            <v>35.1</v>
          </cell>
          <cell r="M236">
            <v>32.700000000000003</v>
          </cell>
        </row>
        <row r="237">
          <cell r="C237" t="str">
            <v>Biên Hòa MBA T2 (phía 110kV)</v>
          </cell>
          <cell r="D237">
            <v>132</v>
          </cell>
          <cell r="E237">
            <v>22.6</v>
          </cell>
          <cell r="F237">
            <v>52.6</v>
          </cell>
          <cell r="G237">
            <v>33.299999999999997</v>
          </cell>
          <cell r="H237">
            <v>32.799999999999997</v>
          </cell>
          <cell r="I237">
            <v>52.6</v>
          </cell>
          <cell r="J237">
            <v>29.8</v>
          </cell>
          <cell r="K237">
            <v>28.2</v>
          </cell>
          <cell r="L237">
            <v>24.3</v>
          </cell>
          <cell r="M237">
            <v>22.6</v>
          </cell>
        </row>
        <row r="238">
          <cell r="C238" t="str">
            <v>110kV 171 Biên Hòa - 171 Tân Mai</v>
          </cell>
          <cell r="D238">
            <v>171</v>
          </cell>
          <cell r="E238">
            <v>0.5</v>
          </cell>
          <cell r="F238">
            <v>0.7</v>
          </cell>
          <cell r="G238">
            <v>-0.5</v>
          </cell>
          <cell r="H238">
            <v>-0.6</v>
          </cell>
          <cell r="I238">
            <v>-0.6</v>
          </cell>
          <cell r="J238">
            <v>0.6</v>
          </cell>
          <cell r="K238">
            <v>0.7</v>
          </cell>
          <cell r="L238">
            <v>0.5</v>
          </cell>
          <cell r="M238">
            <v>0.5</v>
          </cell>
        </row>
        <row r="239">
          <cell r="C239" t="str">
            <v>110kV 172 Biên Hòa - 174 Long Bình</v>
          </cell>
          <cell r="D239">
            <v>172</v>
          </cell>
          <cell r="E239">
            <v>-52.8</v>
          </cell>
          <cell r="F239">
            <v>-77.8</v>
          </cell>
          <cell r="G239">
            <v>-75.2</v>
          </cell>
          <cell r="H239">
            <v>-77.8</v>
          </cell>
          <cell r="I239">
            <v>-52.8</v>
          </cell>
          <cell r="J239">
            <v>-76.2</v>
          </cell>
          <cell r="K239">
            <v>-73.3</v>
          </cell>
          <cell r="L239">
            <v>-60.5</v>
          </cell>
          <cell r="M239">
            <v>-54.1</v>
          </cell>
        </row>
        <row r="240">
          <cell r="C240" t="str">
            <v>Biên Hòa MBA T1 (phía 22kV)</v>
          </cell>
          <cell r="D240">
            <v>431</v>
          </cell>
          <cell r="E240">
            <v>-23.5</v>
          </cell>
          <cell r="F240">
            <v>-46.6</v>
          </cell>
          <cell r="G240">
            <v>-44.2</v>
          </cell>
          <cell r="H240">
            <v>-46.4</v>
          </cell>
          <cell r="I240">
            <v>-23.5</v>
          </cell>
          <cell r="J240">
            <v>-46.6</v>
          </cell>
          <cell r="K240">
            <v>-44.8</v>
          </cell>
          <cell r="L240">
            <v>-37.1</v>
          </cell>
          <cell r="M240">
            <v>-34.4</v>
          </cell>
        </row>
        <row r="241">
          <cell r="C241" t="str">
            <v>Biên Hòa MBA T2 (phía 22kV)</v>
          </cell>
          <cell r="D241">
            <v>432</v>
          </cell>
          <cell r="E241">
            <v>-21.1</v>
          </cell>
          <cell r="F241">
            <v>-49.7</v>
          </cell>
          <cell r="G241">
            <v>-30.6</v>
          </cell>
          <cell r="H241">
            <v>-30.4</v>
          </cell>
          <cell r="I241">
            <v>-49.7</v>
          </cell>
          <cell r="J241">
            <v>-27.9</v>
          </cell>
          <cell r="K241">
            <v>-26.5</v>
          </cell>
          <cell r="L241">
            <v>-22.5</v>
          </cell>
          <cell r="M241">
            <v>-21.1</v>
          </cell>
        </row>
        <row r="242">
          <cell r="C242" t="str">
            <v>Bình An MBA T1 (phía 110kV)</v>
          </cell>
          <cell r="D242">
            <v>131</v>
          </cell>
          <cell r="E242">
            <v>26.5</v>
          </cell>
          <cell r="F242">
            <v>36.799999999999997</v>
          </cell>
          <cell r="G242">
            <v>32.299999999999997</v>
          </cell>
          <cell r="H242">
            <v>36.799999999999997</v>
          </cell>
          <cell r="I242">
            <v>34.1</v>
          </cell>
          <cell r="J242">
            <v>36.299999999999997</v>
          </cell>
          <cell r="K242">
            <v>34.4</v>
          </cell>
          <cell r="L242">
            <v>29.6</v>
          </cell>
          <cell r="M242">
            <v>26.5</v>
          </cell>
        </row>
        <row r="243">
          <cell r="C243" t="str">
            <v>Bình An MBA T2 (phía 110kV)</v>
          </cell>
          <cell r="D243">
            <v>132</v>
          </cell>
          <cell r="E243">
            <v>23.6</v>
          </cell>
          <cell r="F243">
            <v>33.200000000000003</v>
          </cell>
          <cell r="G243">
            <v>33.200000000000003</v>
          </cell>
          <cell r="H243">
            <v>32.700000000000003</v>
          </cell>
          <cell r="I243">
            <v>30.1</v>
          </cell>
          <cell r="J243">
            <v>33.200000000000003</v>
          </cell>
          <cell r="K243">
            <v>31.4</v>
          </cell>
          <cell r="L243">
            <v>25.9</v>
          </cell>
          <cell r="M243">
            <v>23.6</v>
          </cell>
        </row>
        <row r="244">
          <cell r="C244" t="str">
            <v>110kV 171 Bình An - 171 Đồng Nai - 171 Đông Hòa - 171 Long Bình</v>
          </cell>
          <cell r="D244">
            <v>171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</row>
        <row r="245">
          <cell r="C245" t="str">
            <v>110kV 172 Bình An - 172 Thủ Đức Bắc</v>
          </cell>
          <cell r="D245">
            <v>172</v>
          </cell>
          <cell r="E245">
            <v>-47.5</v>
          </cell>
          <cell r="F245">
            <v>-69.3</v>
          </cell>
          <cell r="G245">
            <v>-65.8</v>
          </cell>
          <cell r="H245">
            <v>-69.3</v>
          </cell>
          <cell r="I245">
            <v>-64.099999999999994</v>
          </cell>
          <cell r="J245">
            <v>-69.3</v>
          </cell>
          <cell r="K245">
            <v>-65.599999999999994</v>
          </cell>
          <cell r="L245">
            <v>-51.3</v>
          </cell>
          <cell r="M245">
            <v>-47.5</v>
          </cell>
        </row>
        <row r="246">
          <cell r="C246" t="str">
            <v>Bình An MBA T1 (phía 22kV)</v>
          </cell>
          <cell r="D246">
            <v>431</v>
          </cell>
          <cell r="E246">
            <v>-26.5</v>
          </cell>
          <cell r="F246">
            <v>-36.700000000000003</v>
          </cell>
          <cell r="G246">
            <v>-32.200000000000003</v>
          </cell>
          <cell r="H246">
            <v>-36.700000000000003</v>
          </cell>
          <cell r="I246">
            <v>-34.200000000000003</v>
          </cell>
          <cell r="J246">
            <v>-36.200000000000003</v>
          </cell>
          <cell r="K246">
            <v>-34.4</v>
          </cell>
          <cell r="L246">
            <v>-29.5</v>
          </cell>
          <cell r="M246">
            <v>-26.5</v>
          </cell>
        </row>
        <row r="247">
          <cell r="C247" t="str">
            <v>Bình An MBA T2 (phía 22kV)</v>
          </cell>
          <cell r="D247">
            <v>432</v>
          </cell>
          <cell r="E247">
            <v>-23.7</v>
          </cell>
          <cell r="F247">
            <v>-33.4</v>
          </cell>
          <cell r="G247">
            <v>-33.4</v>
          </cell>
          <cell r="H247">
            <v>-32.5</v>
          </cell>
          <cell r="I247">
            <v>-29.8</v>
          </cell>
          <cell r="J247">
            <v>-33.1</v>
          </cell>
          <cell r="K247">
            <v>-31.4</v>
          </cell>
          <cell r="L247">
            <v>-26</v>
          </cell>
          <cell r="M247">
            <v>-23.7</v>
          </cell>
        </row>
        <row r="248">
          <cell r="C248" t="str">
            <v>Bình Chánh MBA AT1 (phía 110kV)</v>
          </cell>
          <cell r="D248">
            <v>131</v>
          </cell>
          <cell r="E248">
            <v>-93.9</v>
          </cell>
          <cell r="F248">
            <v>-122.3</v>
          </cell>
          <cell r="G248">
            <v>-111.6</v>
          </cell>
          <cell r="H248">
            <v>-122.3</v>
          </cell>
          <cell r="I248">
            <v>-97.7</v>
          </cell>
          <cell r="J248">
            <v>-115</v>
          </cell>
          <cell r="K248">
            <v>-102.4</v>
          </cell>
          <cell r="L248">
            <v>-96.3</v>
          </cell>
          <cell r="M248">
            <v>-93.9</v>
          </cell>
        </row>
        <row r="249">
          <cell r="C249" t="str">
            <v>Bình Chánh MBA AT2 (phía 110kV)</v>
          </cell>
          <cell r="D249">
            <v>132</v>
          </cell>
          <cell r="E249">
            <v>-95</v>
          </cell>
          <cell r="F249">
            <v>-124.2</v>
          </cell>
          <cell r="G249">
            <v>-113</v>
          </cell>
          <cell r="H249">
            <v>-124.2</v>
          </cell>
          <cell r="I249">
            <v>-99.1</v>
          </cell>
          <cell r="J249">
            <v>-116.2</v>
          </cell>
          <cell r="K249">
            <v>-103.8</v>
          </cell>
          <cell r="L249">
            <v>-97.5</v>
          </cell>
          <cell r="M249">
            <v>-95</v>
          </cell>
        </row>
        <row r="250">
          <cell r="C250" t="str">
            <v>Bình Chánh MBA T4 (phía 110kV)</v>
          </cell>
          <cell r="D250">
            <v>134</v>
          </cell>
          <cell r="E250">
            <v>25.4</v>
          </cell>
          <cell r="F250">
            <v>39</v>
          </cell>
          <cell r="G250">
            <v>39</v>
          </cell>
          <cell r="H250">
            <v>33.1</v>
          </cell>
          <cell r="I250">
            <v>27.3</v>
          </cell>
          <cell r="J250">
            <v>32.5</v>
          </cell>
          <cell r="K250">
            <v>28.1</v>
          </cell>
          <cell r="L250">
            <v>25.4</v>
          </cell>
          <cell r="M250">
            <v>27</v>
          </cell>
        </row>
        <row r="251">
          <cell r="C251" t="str">
            <v>110kV 171 Bình Chánh - 182 Nhà Bè</v>
          </cell>
          <cell r="D251">
            <v>171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</row>
        <row r="252">
          <cell r="C252" t="str">
            <v>110kV 172 Bình Chánh - 181 Nhà Bè</v>
          </cell>
          <cell r="D252">
            <v>172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</row>
        <row r="253">
          <cell r="C253" t="str">
            <v>110kV 175 Bình Chánh - 175 Phú Định</v>
          </cell>
          <cell r="D253">
            <v>175</v>
          </cell>
          <cell r="E253">
            <v>66.099999999999994</v>
          </cell>
          <cell r="F253">
            <v>81.900000000000006</v>
          </cell>
          <cell r="G253">
            <v>71.599999999999994</v>
          </cell>
          <cell r="H253">
            <v>81.900000000000006</v>
          </cell>
          <cell r="I253">
            <v>67</v>
          </cell>
          <cell r="J253">
            <v>78.5</v>
          </cell>
          <cell r="K253">
            <v>69.7</v>
          </cell>
          <cell r="L253">
            <v>70.099999999999994</v>
          </cell>
          <cell r="M253">
            <v>66.099999999999994</v>
          </cell>
        </row>
        <row r="254">
          <cell r="C254" t="str">
            <v>110kV 176 Bình Chánh - 176 Phú Định</v>
          </cell>
          <cell r="D254">
            <v>176</v>
          </cell>
          <cell r="E254">
            <v>67.5</v>
          </cell>
          <cell r="F254">
            <v>82.6</v>
          </cell>
          <cell r="G254">
            <v>72.5</v>
          </cell>
          <cell r="H254">
            <v>82.6</v>
          </cell>
          <cell r="I254">
            <v>67.599999999999994</v>
          </cell>
          <cell r="J254">
            <v>79.400000000000006</v>
          </cell>
          <cell r="K254">
            <v>70.3</v>
          </cell>
          <cell r="L254">
            <v>70.7</v>
          </cell>
          <cell r="M254">
            <v>67.5</v>
          </cell>
        </row>
        <row r="255">
          <cell r="C255" t="str">
            <v>110kV 177 Bình Chánh - 171 Nam Sài Gòn 2</v>
          </cell>
          <cell r="D255">
            <v>177</v>
          </cell>
          <cell r="E255">
            <v>14.6</v>
          </cell>
          <cell r="F255">
            <v>25.8</v>
          </cell>
          <cell r="G255">
            <v>21.6</v>
          </cell>
          <cell r="H255">
            <v>25.8</v>
          </cell>
          <cell r="I255">
            <v>19.8</v>
          </cell>
          <cell r="J255">
            <v>22.3</v>
          </cell>
          <cell r="K255">
            <v>20</v>
          </cell>
          <cell r="L255">
            <v>14.6</v>
          </cell>
          <cell r="M255">
            <v>15.5</v>
          </cell>
        </row>
        <row r="256">
          <cell r="C256" t="str">
            <v>110kV 178 Bình Chánh - 172 Nam Sài Gòn 2</v>
          </cell>
          <cell r="D256">
            <v>178</v>
          </cell>
          <cell r="E256">
            <v>14.6</v>
          </cell>
          <cell r="F256">
            <v>25.9</v>
          </cell>
          <cell r="G256">
            <v>21.5</v>
          </cell>
          <cell r="H256">
            <v>25.9</v>
          </cell>
          <cell r="I256">
            <v>19.899999999999999</v>
          </cell>
          <cell r="J256">
            <v>22.4</v>
          </cell>
          <cell r="K256">
            <v>20.100000000000001</v>
          </cell>
          <cell r="L256">
            <v>14.6</v>
          </cell>
          <cell r="M256">
            <v>15.5</v>
          </cell>
        </row>
        <row r="257">
          <cell r="C257" t="str">
            <v>Bình Chánh MBA AT1 (phía 220kV)</v>
          </cell>
          <cell r="D257">
            <v>231</v>
          </cell>
          <cell r="E257">
            <v>94.6</v>
          </cell>
          <cell r="F257">
            <v>123.1</v>
          </cell>
          <cell r="G257">
            <v>112.4</v>
          </cell>
          <cell r="H257">
            <v>123.1</v>
          </cell>
          <cell r="I257">
            <v>98.4</v>
          </cell>
          <cell r="J257">
            <v>115.6</v>
          </cell>
          <cell r="K257">
            <v>103.5</v>
          </cell>
          <cell r="L257">
            <v>97</v>
          </cell>
          <cell r="M257">
            <v>94.6</v>
          </cell>
        </row>
        <row r="258">
          <cell r="C258" t="str">
            <v>Bình Chánh MBA AT2 (phía 220kV)</v>
          </cell>
          <cell r="D258">
            <v>232</v>
          </cell>
          <cell r="E258">
            <v>95.7</v>
          </cell>
          <cell r="F258">
            <v>124.8</v>
          </cell>
          <cell r="G258">
            <v>114.1</v>
          </cell>
          <cell r="H258">
            <v>124.8</v>
          </cell>
          <cell r="I258">
            <v>99.6</v>
          </cell>
          <cell r="J258">
            <v>117.5</v>
          </cell>
          <cell r="K258">
            <v>105</v>
          </cell>
          <cell r="L258">
            <v>98.3</v>
          </cell>
          <cell r="M258">
            <v>95.7</v>
          </cell>
        </row>
        <row r="259">
          <cell r="C259" t="str">
            <v>220kV 271 Bình Chánh - 276 Nhà Bè</v>
          </cell>
          <cell r="D259">
            <v>271</v>
          </cell>
          <cell r="E259">
            <v>-74.8</v>
          </cell>
          <cell r="F259">
            <v>-291.10000000000002</v>
          </cell>
          <cell r="G259">
            <v>-210.2</v>
          </cell>
          <cell r="H259">
            <v>-198.2</v>
          </cell>
          <cell r="I259">
            <v>-143.6</v>
          </cell>
          <cell r="J259">
            <v>-291.10000000000002</v>
          </cell>
          <cell r="K259">
            <v>-178.5</v>
          </cell>
          <cell r="L259">
            <v>-208</v>
          </cell>
          <cell r="M259">
            <v>-74.8</v>
          </cell>
        </row>
        <row r="260">
          <cell r="C260" t="str">
            <v>220kV 272 Bình Chánh - 275 Nhà Bè</v>
          </cell>
          <cell r="D260">
            <v>272</v>
          </cell>
          <cell r="E260">
            <v>57.5</v>
          </cell>
          <cell r="F260">
            <v>-266.8</v>
          </cell>
          <cell r="G260">
            <v>-177.3</v>
          </cell>
          <cell r="H260">
            <v>-194.1</v>
          </cell>
          <cell r="I260">
            <v>-117.3</v>
          </cell>
          <cell r="J260">
            <v>-266.8</v>
          </cell>
          <cell r="K260">
            <v>-149.19999999999999</v>
          </cell>
          <cell r="L260">
            <v>-167.4</v>
          </cell>
          <cell r="M260">
            <v>57.5</v>
          </cell>
        </row>
        <row r="261">
          <cell r="C261" t="str">
            <v>220kV 274 Bình Chánh - 275 Phú Lâm</v>
          </cell>
          <cell r="D261">
            <v>274</v>
          </cell>
          <cell r="E261">
            <v>-156.1</v>
          </cell>
          <cell r="F261">
            <v>-261.3</v>
          </cell>
          <cell r="G261">
            <v>-253.6</v>
          </cell>
          <cell r="H261">
            <v>-253.8</v>
          </cell>
          <cell r="I261">
            <v>-156.1</v>
          </cell>
          <cell r="J261">
            <v>-203.9</v>
          </cell>
          <cell r="K261">
            <v>-189.3</v>
          </cell>
          <cell r="L261">
            <v>-191.3</v>
          </cell>
          <cell r="M261">
            <v>-261.3</v>
          </cell>
        </row>
        <row r="262">
          <cell r="C262" t="str">
            <v>220kV 275 Bình Chánh - 276 Phú Lâm</v>
          </cell>
          <cell r="D262">
            <v>275</v>
          </cell>
          <cell r="E262">
            <v>-95.2</v>
          </cell>
          <cell r="F262">
            <v>-223.9</v>
          </cell>
          <cell r="G262">
            <v>-182.6</v>
          </cell>
          <cell r="H262">
            <v>-173.4</v>
          </cell>
          <cell r="I262">
            <v>-95.2</v>
          </cell>
          <cell r="J262">
            <v>-140.1</v>
          </cell>
          <cell r="K262">
            <v>-130.5</v>
          </cell>
          <cell r="L262">
            <v>-168.1</v>
          </cell>
          <cell r="M262">
            <v>-223.9</v>
          </cell>
        </row>
        <row r="263">
          <cell r="C263" t="str">
            <v>220kV 276 Bình Chánh - 271 Quận 8</v>
          </cell>
          <cell r="D263">
            <v>276</v>
          </cell>
          <cell r="E263">
            <v>109.7</v>
          </cell>
          <cell r="F263">
            <v>155.30000000000001</v>
          </cell>
          <cell r="G263">
            <v>140.80000000000001</v>
          </cell>
          <cell r="H263">
            <v>155.30000000000001</v>
          </cell>
          <cell r="I263">
            <v>118.6</v>
          </cell>
          <cell r="J263">
            <v>139</v>
          </cell>
          <cell r="K263">
            <v>122.4</v>
          </cell>
          <cell r="L263">
            <v>109.7</v>
          </cell>
          <cell r="M263">
            <v>111.1</v>
          </cell>
        </row>
        <row r="264">
          <cell r="C264" t="str">
            <v>220kV 277 Bình Chánh - 272 Quận 8</v>
          </cell>
          <cell r="D264">
            <v>277</v>
          </cell>
          <cell r="E264">
            <v>107.5</v>
          </cell>
          <cell r="F264">
            <v>152.1</v>
          </cell>
          <cell r="G264">
            <v>138</v>
          </cell>
          <cell r="H264">
            <v>152.1</v>
          </cell>
          <cell r="I264">
            <v>115.6</v>
          </cell>
          <cell r="J264">
            <v>136.5</v>
          </cell>
          <cell r="K264">
            <v>120.3</v>
          </cell>
          <cell r="L264">
            <v>107.5</v>
          </cell>
          <cell r="M264">
            <v>109.2</v>
          </cell>
        </row>
        <row r="265">
          <cell r="C265" t="str">
            <v>Bình Chánh MBA T4 (phía 22kV)</v>
          </cell>
          <cell r="D265">
            <v>434</v>
          </cell>
          <cell r="E265">
            <v>-0.1</v>
          </cell>
          <cell r="F265">
            <v>-0.1</v>
          </cell>
          <cell r="G265">
            <v>-0.1</v>
          </cell>
          <cell r="H265">
            <v>-0.1</v>
          </cell>
          <cell r="I265">
            <v>-0.1</v>
          </cell>
          <cell r="J265">
            <v>-0.1</v>
          </cell>
          <cell r="K265">
            <v>-0.1</v>
          </cell>
          <cell r="L265">
            <v>-0.1</v>
          </cell>
          <cell r="M265">
            <v>-0.1</v>
          </cell>
        </row>
        <row r="266">
          <cell r="C266" t="str">
            <v>Bình Đại MBA T1 (phía 110kV)</v>
          </cell>
          <cell r="D266">
            <v>131</v>
          </cell>
          <cell r="E266">
            <v>35.5</v>
          </cell>
          <cell r="F266">
            <v>41.1</v>
          </cell>
          <cell r="G266">
            <v>40.9</v>
          </cell>
          <cell r="H266">
            <v>41.1</v>
          </cell>
          <cell r="I266">
            <v>35.5</v>
          </cell>
          <cell r="J266">
            <v>38.6</v>
          </cell>
          <cell r="K266">
            <v>38.1</v>
          </cell>
          <cell r="L266">
            <v>37.799999999999997</v>
          </cell>
          <cell r="M266">
            <v>39.6</v>
          </cell>
        </row>
        <row r="267">
          <cell r="C267" t="str">
            <v>Bình Đại MBA T2 (phía 110kV)</v>
          </cell>
          <cell r="D267">
            <v>132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</row>
        <row r="268">
          <cell r="C268" t="str">
            <v>110kV 171 Bình Đại - 173 Giồng Trôm</v>
          </cell>
          <cell r="D268">
            <v>171</v>
          </cell>
          <cell r="E268">
            <v>-35.299999999999997</v>
          </cell>
          <cell r="F268">
            <v>-40.700000000000003</v>
          </cell>
          <cell r="G268">
            <v>-40.4</v>
          </cell>
          <cell r="H268">
            <v>-40.700000000000003</v>
          </cell>
          <cell r="I268">
            <v>-35.299999999999997</v>
          </cell>
          <cell r="J268">
            <v>-38.4</v>
          </cell>
          <cell r="K268">
            <v>-37.6</v>
          </cell>
          <cell r="L268">
            <v>-37.6</v>
          </cell>
          <cell r="M268">
            <v>-39.4</v>
          </cell>
        </row>
        <row r="269">
          <cell r="C269" t="str">
            <v>Bình Đại MBA T1 (phía 22kV)</v>
          </cell>
          <cell r="D269">
            <v>431</v>
          </cell>
          <cell r="E269">
            <v>-35.5</v>
          </cell>
          <cell r="F269">
            <v>-41.1</v>
          </cell>
          <cell r="G269">
            <v>-40.9</v>
          </cell>
          <cell r="H269">
            <v>-41.1</v>
          </cell>
          <cell r="I269">
            <v>-35.5</v>
          </cell>
          <cell r="J269">
            <v>-38.799999999999997</v>
          </cell>
          <cell r="K269">
            <v>-38.1</v>
          </cell>
          <cell r="L269">
            <v>-38.1</v>
          </cell>
          <cell r="M269">
            <v>-39.9</v>
          </cell>
        </row>
        <row r="270">
          <cell r="C270" t="str">
            <v>Bình Đại MBA T2 (phía 22kV)</v>
          </cell>
          <cell r="D270">
            <v>432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</row>
        <row r="271">
          <cell r="C271" t="str">
            <v>110kV 171 Bình Đức - 180 Mỹ Tho 2</v>
          </cell>
          <cell r="F271">
            <v>-63</v>
          </cell>
          <cell r="H271">
            <v>-63</v>
          </cell>
          <cell r="I271">
            <v>-59.3</v>
          </cell>
          <cell r="J271">
            <v>-60.7</v>
          </cell>
          <cell r="K271">
            <v>-54.3</v>
          </cell>
          <cell r="L271">
            <v>-36.799999999999997</v>
          </cell>
          <cell r="M271">
            <v>-37.700000000000003</v>
          </cell>
        </row>
        <row r="272">
          <cell r="C272" t="str">
            <v>110kV 172 Bình Đức - 171 Chợ Gạo</v>
          </cell>
          <cell r="F272">
            <v>10.4</v>
          </cell>
          <cell r="H272">
            <v>9.1999999999999993</v>
          </cell>
          <cell r="I272">
            <v>8.6</v>
          </cell>
          <cell r="J272">
            <v>8.9</v>
          </cell>
          <cell r="K272">
            <v>10.199999999999999</v>
          </cell>
          <cell r="L272">
            <v>8.6</v>
          </cell>
          <cell r="M272">
            <v>10.4</v>
          </cell>
        </row>
        <row r="273">
          <cell r="C273" t="str">
            <v>Bình Đức MBA T1 (phía 22kV)</v>
          </cell>
          <cell r="F273">
            <v>-28</v>
          </cell>
          <cell r="H273">
            <v>-28</v>
          </cell>
          <cell r="I273">
            <v>-25.7</v>
          </cell>
          <cell r="J273">
            <v>-23.6</v>
          </cell>
          <cell r="K273">
            <v>-21.9</v>
          </cell>
          <cell r="L273">
            <v>-14.8</v>
          </cell>
          <cell r="M273">
            <v>-14</v>
          </cell>
        </row>
        <row r="274">
          <cell r="C274" t="str">
            <v>Bình Đức MBA T2 (phía 110kV)</v>
          </cell>
          <cell r="F274">
            <v>33.1</v>
          </cell>
          <cell r="H274">
            <v>29</v>
          </cell>
          <cell r="I274">
            <v>27</v>
          </cell>
          <cell r="J274">
            <v>33.1</v>
          </cell>
          <cell r="K274">
            <v>24.8</v>
          </cell>
          <cell r="L274">
            <v>17</v>
          </cell>
          <cell r="M274">
            <v>16.5</v>
          </cell>
        </row>
        <row r="275">
          <cell r="C275" t="str">
            <v>Bình Đức MBA T2 (phía 22kV)</v>
          </cell>
          <cell r="F275">
            <v>-33</v>
          </cell>
          <cell r="H275">
            <v>-29</v>
          </cell>
          <cell r="I275">
            <v>-27</v>
          </cell>
          <cell r="J275">
            <v>-33</v>
          </cell>
          <cell r="K275">
            <v>-24.7</v>
          </cell>
          <cell r="L275">
            <v>-17.100000000000001</v>
          </cell>
          <cell r="M275">
            <v>-16.600000000000001</v>
          </cell>
        </row>
        <row r="276">
          <cell r="C276" t="str">
            <v>Bình Đức MBA T1 (phía 110kV)</v>
          </cell>
          <cell r="F276">
            <v>27.8</v>
          </cell>
          <cell r="H276">
            <v>27.8</v>
          </cell>
          <cell r="I276">
            <v>25.5</v>
          </cell>
          <cell r="J276">
            <v>23.4</v>
          </cell>
          <cell r="K276">
            <v>21.7</v>
          </cell>
          <cell r="L276">
            <v>14.8</v>
          </cell>
          <cell r="M276">
            <v>13.9</v>
          </cell>
        </row>
        <row r="277">
          <cell r="C277" t="str">
            <v>Bình Hòa MBA AT1 (phía 110kV)</v>
          </cell>
          <cell r="D277">
            <v>131</v>
          </cell>
          <cell r="E277">
            <v>-101.9</v>
          </cell>
          <cell r="F277">
            <v>-214.6</v>
          </cell>
          <cell r="G277">
            <v>-214.6</v>
          </cell>
          <cell r="H277">
            <v>-168.1</v>
          </cell>
          <cell r="I277">
            <v>-169.7</v>
          </cell>
          <cell r="J277">
            <v>-167.7</v>
          </cell>
          <cell r="K277">
            <v>-176.2</v>
          </cell>
          <cell r="L277">
            <v>-107.4</v>
          </cell>
          <cell r="M277">
            <v>-101.9</v>
          </cell>
        </row>
        <row r="278">
          <cell r="C278" t="str">
            <v>Bình Hòa MBA AT2 (phía 110kV)</v>
          </cell>
          <cell r="D278">
            <v>132</v>
          </cell>
          <cell r="E278">
            <v>-102.4</v>
          </cell>
          <cell r="F278">
            <v>-218.6</v>
          </cell>
          <cell r="G278">
            <v>-218.6</v>
          </cell>
          <cell r="H278">
            <v>-172.5</v>
          </cell>
          <cell r="I278">
            <v>-168.1</v>
          </cell>
          <cell r="J278">
            <v>-167.9</v>
          </cell>
          <cell r="K278">
            <v>-179.6</v>
          </cell>
          <cell r="L278">
            <v>-107.8</v>
          </cell>
          <cell r="M278">
            <v>-102.4</v>
          </cell>
        </row>
        <row r="279">
          <cell r="C279" t="str">
            <v>Bình Hòa MBA T3 (phía 110kV)</v>
          </cell>
          <cell r="D279">
            <v>133</v>
          </cell>
          <cell r="E279">
            <v>20.7</v>
          </cell>
          <cell r="F279">
            <v>43.1</v>
          </cell>
          <cell r="G279">
            <v>24</v>
          </cell>
          <cell r="H279">
            <v>42</v>
          </cell>
          <cell r="I279">
            <v>41.3</v>
          </cell>
          <cell r="J279">
            <v>43.1</v>
          </cell>
          <cell r="K279">
            <v>42.6</v>
          </cell>
          <cell r="L279">
            <v>21.5</v>
          </cell>
          <cell r="M279">
            <v>20.7</v>
          </cell>
        </row>
        <row r="280">
          <cell r="C280" t="str">
            <v>Bình Hòa MBA T4 (phía 110kV)</v>
          </cell>
          <cell r="D280">
            <v>134</v>
          </cell>
          <cell r="E280">
            <v>27.6</v>
          </cell>
          <cell r="F280">
            <v>57.5</v>
          </cell>
          <cell r="G280">
            <v>55.9</v>
          </cell>
          <cell r="H280">
            <v>57.1</v>
          </cell>
          <cell r="I280">
            <v>52.9</v>
          </cell>
          <cell r="J280">
            <v>57.5</v>
          </cell>
          <cell r="K280">
            <v>53.6</v>
          </cell>
          <cell r="L280">
            <v>30.9</v>
          </cell>
          <cell r="M280">
            <v>27.6</v>
          </cell>
        </row>
        <row r="281">
          <cell r="C281" t="str">
            <v>Bình Hòa MBA AT5 (phía 110kV)</v>
          </cell>
          <cell r="D281">
            <v>135</v>
          </cell>
          <cell r="E281">
            <v>-65.2</v>
          </cell>
          <cell r="F281">
            <v>-205.5</v>
          </cell>
          <cell r="G281">
            <v>-65.2</v>
          </cell>
          <cell r="H281">
            <v>-204</v>
          </cell>
          <cell r="I281">
            <v>-135.80000000000001</v>
          </cell>
          <cell r="J281">
            <v>-136</v>
          </cell>
          <cell r="K281">
            <v>-205.5</v>
          </cell>
          <cell r="L281">
            <v>-135.6</v>
          </cell>
          <cell r="M281">
            <v>-89.5</v>
          </cell>
        </row>
        <row r="282">
          <cell r="C282" t="str">
            <v>110kV 174 Bình Hòa - 172 Hưng Định</v>
          </cell>
          <cell r="D282">
            <v>174</v>
          </cell>
          <cell r="E282">
            <v>74.900000000000006</v>
          </cell>
          <cell r="F282">
            <v>147.19999999999999</v>
          </cell>
          <cell r="G282">
            <v>91.5</v>
          </cell>
          <cell r="H282">
            <v>116.6</v>
          </cell>
          <cell r="I282">
            <v>135.1</v>
          </cell>
          <cell r="J282">
            <v>110.1</v>
          </cell>
          <cell r="K282">
            <v>147.19999999999999</v>
          </cell>
          <cell r="L282">
            <v>74.900000000000006</v>
          </cell>
          <cell r="M282">
            <v>102</v>
          </cell>
        </row>
        <row r="283">
          <cell r="C283" t="str">
            <v>110kV 175 Bình Hòa - 172 Vsip</v>
          </cell>
          <cell r="D283">
            <v>175</v>
          </cell>
          <cell r="E283">
            <v>45.2</v>
          </cell>
          <cell r="F283">
            <v>78.5</v>
          </cell>
          <cell r="G283">
            <v>52.2</v>
          </cell>
          <cell r="H283">
            <v>78.5</v>
          </cell>
          <cell r="I283">
            <v>74.099999999999994</v>
          </cell>
          <cell r="J283">
            <v>76.3</v>
          </cell>
          <cell r="K283">
            <v>72.7</v>
          </cell>
          <cell r="L283">
            <v>51.3</v>
          </cell>
          <cell r="M283">
            <v>45.2</v>
          </cell>
        </row>
        <row r="284">
          <cell r="C284" t="str">
            <v>110kV 178 Bình Hòa - 171 Tân Đông Hiệp</v>
          </cell>
          <cell r="D284">
            <v>178</v>
          </cell>
          <cell r="E284">
            <v>58</v>
          </cell>
          <cell r="F284">
            <v>91.8</v>
          </cell>
          <cell r="G284">
            <v>58</v>
          </cell>
          <cell r="H284">
            <v>88.9</v>
          </cell>
          <cell r="I284">
            <v>69.8</v>
          </cell>
          <cell r="J284">
            <v>88.7</v>
          </cell>
          <cell r="K284">
            <v>91.8</v>
          </cell>
          <cell r="L284">
            <v>78.099999999999994</v>
          </cell>
          <cell r="M284">
            <v>64.7</v>
          </cell>
        </row>
        <row r="285">
          <cell r="C285" t="str">
            <v>110kV 179 Bình Hòa - 172 Thuận Giao</v>
          </cell>
          <cell r="D285">
            <v>179</v>
          </cell>
          <cell r="E285">
            <v>58.9</v>
          </cell>
          <cell r="F285">
            <v>120.4</v>
          </cell>
          <cell r="G285">
            <v>58.9</v>
          </cell>
          <cell r="H285">
            <v>120.4</v>
          </cell>
          <cell r="I285">
            <v>113.7</v>
          </cell>
          <cell r="J285">
            <v>117</v>
          </cell>
          <cell r="K285">
            <v>115.1</v>
          </cell>
          <cell r="L285">
            <v>62.8</v>
          </cell>
          <cell r="M285">
            <v>64.5</v>
          </cell>
        </row>
        <row r="286">
          <cell r="C286" t="str">
            <v>110kV 180 Bình Hòa - 172 Khánh Bình</v>
          </cell>
          <cell r="D286">
            <v>180</v>
          </cell>
          <cell r="E286">
            <v>27.8</v>
          </cell>
          <cell r="F286">
            <v>62.4</v>
          </cell>
          <cell r="G286">
            <v>30.8</v>
          </cell>
          <cell r="H286">
            <v>57.7</v>
          </cell>
          <cell r="I286">
            <v>59.5</v>
          </cell>
          <cell r="J286">
            <v>62.4</v>
          </cell>
          <cell r="K286">
            <v>55.9</v>
          </cell>
          <cell r="L286">
            <v>27.8</v>
          </cell>
          <cell r="M286">
            <v>29.2</v>
          </cell>
        </row>
        <row r="287">
          <cell r="C287" t="str">
            <v>Bình Hòa MBA AT1 (phía 220kV)</v>
          </cell>
          <cell r="D287">
            <v>231</v>
          </cell>
          <cell r="E287">
            <v>101.6</v>
          </cell>
          <cell r="F287">
            <v>219</v>
          </cell>
          <cell r="G287">
            <v>219</v>
          </cell>
          <cell r="H287">
            <v>167.9</v>
          </cell>
          <cell r="I287">
            <v>167.6</v>
          </cell>
          <cell r="J287">
            <v>168.3</v>
          </cell>
          <cell r="K287">
            <v>175.2</v>
          </cell>
          <cell r="L287">
            <v>110.9</v>
          </cell>
          <cell r="M287">
            <v>101.6</v>
          </cell>
        </row>
        <row r="288">
          <cell r="C288" t="str">
            <v>Bình Hòa MBA AT2 (phía 220kV)</v>
          </cell>
          <cell r="D288">
            <v>232</v>
          </cell>
          <cell r="E288">
            <v>101.9</v>
          </cell>
          <cell r="F288">
            <v>217.6</v>
          </cell>
          <cell r="G288">
            <v>217.6</v>
          </cell>
          <cell r="H288">
            <v>173.3</v>
          </cell>
          <cell r="I288">
            <v>167.8</v>
          </cell>
          <cell r="J288">
            <v>166.9</v>
          </cell>
          <cell r="K288">
            <v>174.7</v>
          </cell>
          <cell r="L288">
            <v>107.4</v>
          </cell>
          <cell r="M288">
            <v>101.9</v>
          </cell>
        </row>
        <row r="289">
          <cell r="C289" t="str">
            <v>Bình Hòa MBA AT5 (phía 220kV)</v>
          </cell>
          <cell r="D289">
            <v>235</v>
          </cell>
          <cell r="E289">
            <v>65.5</v>
          </cell>
          <cell r="F289">
            <v>206.7</v>
          </cell>
          <cell r="G289">
            <v>65.5</v>
          </cell>
          <cell r="H289">
            <v>205.1</v>
          </cell>
          <cell r="I289">
            <v>136.19999999999999</v>
          </cell>
          <cell r="J289">
            <v>136.5</v>
          </cell>
          <cell r="K289">
            <v>206.7</v>
          </cell>
          <cell r="L289">
            <v>136.5</v>
          </cell>
          <cell r="M289">
            <v>89.7</v>
          </cell>
        </row>
        <row r="290">
          <cell r="C290" t="str">
            <v>220kV 271 Bình Hòa - 271 Thuận An</v>
          </cell>
          <cell r="D290">
            <v>271</v>
          </cell>
          <cell r="E290">
            <v>99.9</v>
          </cell>
          <cell r="F290">
            <v>213.4</v>
          </cell>
          <cell r="G290">
            <v>213.4</v>
          </cell>
          <cell r="H290">
            <v>208.2</v>
          </cell>
          <cell r="I290">
            <v>99.9</v>
          </cell>
          <cell r="J290">
            <v>142.5</v>
          </cell>
          <cell r="K290">
            <v>107.6</v>
          </cell>
          <cell r="L290">
            <v>136</v>
          </cell>
          <cell r="M290">
            <v>162.6</v>
          </cell>
        </row>
        <row r="291">
          <cell r="C291" t="str">
            <v>220kV 272 Bình Hòa - 274 Thuận An</v>
          </cell>
          <cell r="D291">
            <v>272</v>
          </cell>
          <cell r="E291">
            <v>97.4</v>
          </cell>
          <cell r="F291">
            <v>235</v>
          </cell>
          <cell r="G291">
            <v>235</v>
          </cell>
          <cell r="H291">
            <v>186.4</v>
          </cell>
          <cell r="I291">
            <v>99.2</v>
          </cell>
          <cell r="J291">
            <v>139.80000000000001</v>
          </cell>
          <cell r="K291">
            <v>97.4</v>
          </cell>
          <cell r="L291">
            <v>128.69999999999999</v>
          </cell>
          <cell r="M291">
            <v>182.2</v>
          </cell>
        </row>
        <row r="292">
          <cell r="C292" t="str">
            <v>220kV 273 Bình Hòa - 273 Tân Định</v>
          </cell>
          <cell r="D292">
            <v>273</v>
          </cell>
          <cell r="E292">
            <v>-280</v>
          </cell>
          <cell r="F292">
            <v>-427.1</v>
          </cell>
          <cell r="G292">
            <v>-427.1</v>
          </cell>
          <cell r="H292">
            <v>-419.8</v>
          </cell>
          <cell r="I292">
            <v>-295.2</v>
          </cell>
          <cell r="J292">
            <v>-345.3</v>
          </cell>
          <cell r="K292">
            <v>-384.7</v>
          </cell>
          <cell r="L292">
            <v>-280</v>
          </cell>
          <cell r="M292">
            <v>-313.8</v>
          </cell>
        </row>
        <row r="293">
          <cell r="C293" t="str">
            <v>220kV 274 Bình Hòa - 274 Tân Định</v>
          </cell>
          <cell r="D293">
            <v>274</v>
          </cell>
          <cell r="E293">
            <v>-170.8</v>
          </cell>
          <cell r="F293">
            <v>-251.9</v>
          </cell>
          <cell r="G293">
            <v>-194.1</v>
          </cell>
          <cell r="H293">
            <v>-251.9</v>
          </cell>
          <cell r="I293">
            <v>-179.9</v>
          </cell>
          <cell r="J293">
            <v>-203</v>
          </cell>
          <cell r="K293">
            <v>-201.2</v>
          </cell>
          <cell r="L293">
            <v>-189.1</v>
          </cell>
          <cell r="M293">
            <v>-170.8</v>
          </cell>
        </row>
        <row r="294">
          <cell r="C294" t="str">
            <v>220kV 275 Bình Hòa - 273 NMĐ Trị An</v>
          </cell>
          <cell r="D294">
            <v>275</v>
          </cell>
          <cell r="E294">
            <v>-122.7</v>
          </cell>
          <cell r="F294">
            <v>-162.4</v>
          </cell>
          <cell r="G294">
            <v>-162.4</v>
          </cell>
          <cell r="H294">
            <v>-150.4</v>
          </cell>
          <cell r="I294">
            <v>-145.30000000000001</v>
          </cell>
          <cell r="J294">
            <v>-144.30000000000001</v>
          </cell>
          <cell r="K294">
            <v>-122.7</v>
          </cell>
          <cell r="L294">
            <v>-139.1</v>
          </cell>
          <cell r="M294">
            <v>-134.6</v>
          </cell>
        </row>
        <row r="295">
          <cell r="C295" t="str">
            <v>220kV 276 Bình Hòa - 272 NMĐ Trị An</v>
          </cell>
          <cell r="D295">
            <v>276</v>
          </cell>
          <cell r="E295">
            <v>-122.4</v>
          </cell>
          <cell r="F295">
            <v>-179.2</v>
          </cell>
          <cell r="G295">
            <v>-156.30000000000001</v>
          </cell>
          <cell r="H295">
            <v>-151.4</v>
          </cell>
          <cell r="I295">
            <v>-142.6</v>
          </cell>
          <cell r="J295">
            <v>-153.6</v>
          </cell>
          <cell r="K295">
            <v>-122.4</v>
          </cell>
          <cell r="L295">
            <v>-179.2</v>
          </cell>
          <cell r="M295">
            <v>-135.19999999999999</v>
          </cell>
        </row>
        <row r="296">
          <cell r="C296" t="str">
            <v>Bình Hòa MBA T3 (phía 22kV)</v>
          </cell>
          <cell r="D296">
            <v>433</v>
          </cell>
          <cell r="E296">
            <v>-21.4</v>
          </cell>
          <cell r="F296">
            <v>-44.1</v>
          </cell>
          <cell r="G296">
            <v>-24.6</v>
          </cell>
          <cell r="H296">
            <v>-42</v>
          </cell>
          <cell r="I296">
            <v>-41.3</v>
          </cell>
          <cell r="J296">
            <v>-44.1</v>
          </cell>
          <cell r="K296">
            <v>-43.6</v>
          </cell>
          <cell r="L296">
            <v>-22.4</v>
          </cell>
          <cell r="M296">
            <v>-21.4</v>
          </cell>
        </row>
        <row r="297">
          <cell r="C297" t="str">
            <v>Bình Hòa MBA T4 (phía 22kV)</v>
          </cell>
          <cell r="D297">
            <v>434</v>
          </cell>
          <cell r="E297">
            <v>-27.9</v>
          </cell>
          <cell r="F297">
            <v>-56.8</v>
          </cell>
          <cell r="G297">
            <v>-56.1</v>
          </cell>
          <cell r="H297">
            <v>-56.4</v>
          </cell>
          <cell r="I297">
            <v>-52.6</v>
          </cell>
          <cell r="J297">
            <v>-56.8</v>
          </cell>
          <cell r="K297">
            <v>-52.9</v>
          </cell>
          <cell r="L297">
            <v>-30.5</v>
          </cell>
          <cell r="M297">
            <v>-27.9</v>
          </cell>
        </row>
        <row r="298">
          <cell r="C298" t="str">
            <v>110kV 171 Bình Lợi - 171 Tân Sơn Nhất</v>
          </cell>
          <cell r="E298">
            <v>0</v>
          </cell>
          <cell r="F298">
            <v>45.4</v>
          </cell>
          <cell r="H298">
            <v>45.2</v>
          </cell>
          <cell r="I298">
            <v>39.200000000000003</v>
          </cell>
          <cell r="J298">
            <v>45.4</v>
          </cell>
          <cell r="K298">
            <v>38.5</v>
          </cell>
          <cell r="L298">
            <v>34.6</v>
          </cell>
          <cell r="M298">
            <v>0</v>
          </cell>
        </row>
        <row r="299">
          <cell r="C299" t="str">
            <v>110kV 172 Bình Lợi - 180 Hiệp Bình Phước</v>
          </cell>
          <cell r="E299">
            <v>0</v>
          </cell>
          <cell r="F299">
            <v>-82.9</v>
          </cell>
          <cell r="H299">
            <v>-82.9</v>
          </cell>
          <cell r="I299">
            <v>-68.7</v>
          </cell>
          <cell r="J299">
            <v>-77</v>
          </cell>
          <cell r="K299">
            <v>-64</v>
          </cell>
          <cell r="L299">
            <v>-62</v>
          </cell>
          <cell r="M299">
            <v>0</v>
          </cell>
        </row>
        <row r="300">
          <cell r="C300" t="str">
            <v>Bình Lợi MBA T2 (phía 110kV)</v>
          </cell>
          <cell r="E300">
            <v>0</v>
          </cell>
          <cell r="F300">
            <v>37.9</v>
          </cell>
          <cell r="H300">
            <v>37.9</v>
          </cell>
          <cell r="I300">
            <v>31.5</v>
          </cell>
          <cell r="J300">
            <v>31.6</v>
          </cell>
          <cell r="K300">
            <v>25.8</v>
          </cell>
          <cell r="L300">
            <v>27.9</v>
          </cell>
          <cell r="M300">
            <v>0</v>
          </cell>
        </row>
        <row r="301">
          <cell r="C301" t="str">
            <v>Bình Lợi MBA T2 (phía 22kV)</v>
          </cell>
          <cell r="E301">
            <v>0</v>
          </cell>
          <cell r="F301">
            <v>-37.700000000000003</v>
          </cell>
          <cell r="H301">
            <v>-37.700000000000003</v>
          </cell>
          <cell r="I301">
            <v>-31.3</v>
          </cell>
          <cell r="J301">
            <v>-31.4</v>
          </cell>
          <cell r="K301">
            <v>-25.5</v>
          </cell>
          <cell r="L301">
            <v>-27.6</v>
          </cell>
          <cell r="M301">
            <v>0</v>
          </cell>
        </row>
        <row r="302">
          <cell r="C302" t="str">
            <v>110kV 171 Bình Long - (171-7) XM Tây Ninh</v>
          </cell>
          <cell r="F302">
            <v>19.7</v>
          </cell>
          <cell r="H302">
            <v>17.100000000000001</v>
          </cell>
          <cell r="I302">
            <v>18.100000000000001</v>
          </cell>
          <cell r="J302">
            <v>19.7</v>
          </cell>
          <cell r="K302">
            <v>17.399999999999999</v>
          </cell>
          <cell r="L302">
            <v>18.7</v>
          </cell>
          <cell r="M302">
            <v>19.100000000000001</v>
          </cell>
        </row>
        <row r="303">
          <cell r="C303" t="str">
            <v>110kV 172 Bình Long - 175 Bình Long 2</v>
          </cell>
          <cell r="F303">
            <v>-56.3</v>
          </cell>
          <cell r="H303">
            <v>-45.6</v>
          </cell>
          <cell r="I303">
            <v>-42.8</v>
          </cell>
          <cell r="J303">
            <v>-48.9</v>
          </cell>
          <cell r="K303">
            <v>-56.3</v>
          </cell>
          <cell r="L303">
            <v>-52.8</v>
          </cell>
          <cell r="M303">
            <v>-51.1</v>
          </cell>
        </row>
        <row r="304">
          <cell r="C304" t="str">
            <v>110kV 173 Bình Long - 173 Tây Ninh 2</v>
          </cell>
          <cell r="E304">
            <v>0</v>
          </cell>
          <cell r="F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</row>
        <row r="305">
          <cell r="C305" t="str">
            <v>Bình Long 110kV MBA T1 (phía 110kV)</v>
          </cell>
          <cell r="F305">
            <v>22.8</v>
          </cell>
          <cell r="H305">
            <v>11.6</v>
          </cell>
          <cell r="I305">
            <v>10.9</v>
          </cell>
          <cell r="J305">
            <v>11</v>
          </cell>
          <cell r="K305">
            <v>22.8</v>
          </cell>
          <cell r="L305">
            <v>17</v>
          </cell>
          <cell r="M305">
            <v>16.600000000000001</v>
          </cell>
        </row>
        <row r="306">
          <cell r="C306" t="str">
            <v>Bình Long 110kV MBA T1 (phía 22kV)</v>
          </cell>
          <cell r="F306">
            <v>-22.7</v>
          </cell>
          <cell r="H306">
            <v>-11.6</v>
          </cell>
          <cell r="I306">
            <v>-10.9</v>
          </cell>
          <cell r="J306">
            <v>-11</v>
          </cell>
          <cell r="K306">
            <v>-22.7</v>
          </cell>
          <cell r="L306">
            <v>-17</v>
          </cell>
          <cell r="M306">
            <v>-16.600000000000001</v>
          </cell>
        </row>
        <row r="307">
          <cell r="C307" t="str">
            <v>Bình Long 110kV MBA T2 (phía 110kV)</v>
          </cell>
          <cell r="F307">
            <v>19.5</v>
          </cell>
          <cell r="H307">
            <v>19.100000000000001</v>
          </cell>
          <cell r="I307">
            <v>18</v>
          </cell>
          <cell r="J307">
            <v>18.5</v>
          </cell>
          <cell r="K307">
            <v>19.5</v>
          </cell>
          <cell r="L307">
            <v>17.7</v>
          </cell>
          <cell r="M307">
            <v>17.5</v>
          </cell>
        </row>
        <row r="308">
          <cell r="C308" t="str">
            <v>Bình Long 110kV MBA T2 (phía 22kV)</v>
          </cell>
          <cell r="F308">
            <v>-19</v>
          </cell>
          <cell r="H308">
            <v>-19</v>
          </cell>
          <cell r="I308">
            <v>-9.1999999999999993</v>
          </cell>
          <cell r="J308">
            <v>-16.8</v>
          </cell>
          <cell r="K308">
            <v>-15.7</v>
          </cell>
          <cell r="L308">
            <v>-15.7</v>
          </cell>
          <cell r="M308">
            <v>-15.7</v>
          </cell>
        </row>
        <row r="309">
          <cell r="C309" t="str">
            <v>Bình Long 2 MBA AT1 (phía 110kV)</v>
          </cell>
          <cell r="D309">
            <v>131</v>
          </cell>
          <cell r="E309">
            <v>-87.1</v>
          </cell>
          <cell r="F309">
            <v>-155.9</v>
          </cell>
          <cell r="G309">
            <v>-115.6</v>
          </cell>
          <cell r="H309">
            <v>-91.5</v>
          </cell>
          <cell r="I309">
            <v>-131.1</v>
          </cell>
          <cell r="J309">
            <v>-112.2</v>
          </cell>
          <cell r="K309">
            <v>-87.1</v>
          </cell>
          <cell r="L309">
            <v>-155.9</v>
          </cell>
          <cell r="M309">
            <v>-89.9</v>
          </cell>
        </row>
        <row r="310">
          <cell r="C310" t="str">
            <v>Bình Long 2 MBA AT2 (phía 110kV)</v>
          </cell>
          <cell r="D310">
            <v>132</v>
          </cell>
          <cell r="E310">
            <v>-85.6</v>
          </cell>
          <cell r="F310">
            <v>-157</v>
          </cell>
          <cell r="G310">
            <v>-114.8</v>
          </cell>
          <cell r="H310">
            <v>-91.4</v>
          </cell>
          <cell r="I310">
            <v>-130.1</v>
          </cell>
          <cell r="J310">
            <v>-111.6</v>
          </cell>
          <cell r="K310">
            <v>-85.6</v>
          </cell>
          <cell r="L310">
            <v>-157</v>
          </cell>
          <cell r="M310">
            <v>-101.2</v>
          </cell>
        </row>
        <row r="311">
          <cell r="C311" t="str">
            <v>110kV 171 Bình Long 2 - 172 NMĐ Thác Mơ</v>
          </cell>
          <cell r="D311">
            <v>171</v>
          </cell>
          <cell r="E311">
            <v>-41.7</v>
          </cell>
          <cell r="F311">
            <v>70.7</v>
          </cell>
          <cell r="G311">
            <v>69.5</v>
          </cell>
          <cell r="H311">
            <v>-41.7</v>
          </cell>
          <cell r="I311">
            <v>56.6</v>
          </cell>
          <cell r="J311">
            <v>65.5</v>
          </cell>
          <cell r="K311">
            <v>-41.9</v>
          </cell>
          <cell r="L311">
            <v>70.7</v>
          </cell>
          <cell r="M311">
            <v>49.1</v>
          </cell>
        </row>
        <row r="312">
          <cell r="C312" t="str">
            <v>110kV 172 Bình Long 2 - 172 Lộc Ninh</v>
          </cell>
          <cell r="D312">
            <v>172</v>
          </cell>
          <cell r="E312">
            <v>-29.8</v>
          </cell>
          <cell r="F312">
            <v>74.599999999999994</v>
          </cell>
          <cell r="G312">
            <v>74.599999999999994</v>
          </cell>
          <cell r="H312">
            <v>-30.7</v>
          </cell>
          <cell r="I312">
            <v>70.3</v>
          </cell>
          <cell r="J312">
            <v>70.3</v>
          </cell>
          <cell r="K312">
            <v>-29.8</v>
          </cell>
          <cell r="L312">
            <v>70.3</v>
          </cell>
          <cell r="M312">
            <v>56.7</v>
          </cell>
        </row>
        <row r="313">
          <cell r="C313" t="str">
            <v>110kV 173 Bình Long 2 - 172 &amp; 174 NMĐ Cần Đơn</v>
          </cell>
          <cell r="D313">
            <v>173</v>
          </cell>
          <cell r="E313">
            <v>-16</v>
          </cell>
          <cell r="F313">
            <v>-44.4</v>
          </cell>
          <cell r="G313">
            <v>-43</v>
          </cell>
          <cell r="H313">
            <v>-30.2</v>
          </cell>
          <cell r="I313">
            <v>-16</v>
          </cell>
          <cell r="J313">
            <v>-44.4</v>
          </cell>
          <cell r="K313">
            <v>-31</v>
          </cell>
          <cell r="L313">
            <v>-29.7</v>
          </cell>
          <cell r="M313">
            <v>-23.9</v>
          </cell>
        </row>
        <row r="314">
          <cell r="C314" t="str">
            <v>110kV 174 Bình Long 2 - 174 Lộc Ninh</v>
          </cell>
          <cell r="D314">
            <v>174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</row>
        <row r="315">
          <cell r="C315" t="str">
            <v>110kV 175 Bình Long 2 - 172 Bình Long</v>
          </cell>
          <cell r="D315">
            <v>175</v>
          </cell>
          <cell r="E315">
            <v>42.8</v>
          </cell>
          <cell r="F315">
            <v>56.2</v>
          </cell>
          <cell r="G315">
            <v>49.8</v>
          </cell>
          <cell r="H315">
            <v>45.5</v>
          </cell>
          <cell r="I315">
            <v>42.8</v>
          </cell>
          <cell r="J315">
            <v>48.6</v>
          </cell>
          <cell r="K315">
            <v>56.2</v>
          </cell>
          <cell r="L315">
            <v>53.5</v>
          </cell>
          <cell r="M315">
            <v>51.3</v>
          </cell>
        </row>
        <row r="316">
          <cell r="C316" t="str">
            <v>110kV 176 Bình Long 2 - 171 Minh Hưng</v>
          </cell>
          <cell r="D316">
            <v>176</v>
          </cell>
          <cell r="E316">
            <v>30.6</v>
          </cell>
          <cell r="F316">
            <v>89</v>
          </cell>
          <cell r="G316">
            <v>89</v>
          </cell>
          <cell r="H316">
            <v>43.8</v>
          </cell>
          <cell r="I316">
            <v>45.2</v>
          </cell>
          <cell r="J316">
            <v>46.1</v>
          </cell>
          <cell r="K316">
            <v>43.3</v>
          </cell>
          <cell r="L316">
            <v>34.6</v>
          </cell>
          <cell r="M316">
            <v>30.6</v>
          </cell>
        </row>
        <row r="317">
          <cell r="C317" t="str">
            <v>110kV 177 Bình Long 2 - 171 XM Bình Phước</v>
          </cell>
          <cell r="D317">
            <v>177</v>
          </cell>
          <cell r="E317">
            <v>36.9</v>
          </cell>
          <cell r="F317">
            <v>57.8</v>
          </cell>
          <cell r="G317">
            <v>36.9</v>
          </cell>
          <cell r="H317">
            <v>52.7</v>
          </cell>
          <cell r="I317">
            <v>57.8</v>
          </cell>
          <cell r="J317">
            <v>54.6</v>
          </cell>
          <cell r="K317">
            <v>54.6</v>
          </cell>
          <cell r="L317">
            <v>54.6</v>
          </cell>
          <cell r="M317">
            <v>55.4</v>
          </cell>
        </row>
        <row r="318">
          <cell r="C318" t="str">
            <v>110kV 178 Bình Long 2 - 171 NMĐ Srok Phu Miêng</v>
          </cell>
          <cell r="D318">
            <v>178</v>
          </cell>
          <cell r="E318">
            <v>0.2</v>
          </cell>
          <cell r="F318">
            <v>-52.3</v>
          </cell>
          <cell r="G318">
            <v>-51.5</v>
          </cell>
          <cell r="H318">
            <v>-51.6</v>
          </cell>
          <cell r="I318">
            <v>-51.5</v>
          </cell>
          <cell r="J318">
            <v>-51.4</v>
          </cell>
          <cell r="K318">
            <v>-52.3</v>
          </cell>
          <cell r="L318">
            <v>0.2</v>
          </cell>
          <cell r="M318">
            <v>-51.4</v>
          </cell>
        </row>
        <row r="319">
          <cell r="C319" t="str">
            <v>Bình Long 2 MBA AT1 (phía 220kV)</v>
          </cell>
          <cell r="D319">
            <v>231</v>
          </cell>
          <cell r="E319">
            <v>86.5</v>
          </cell>
          <cell r="F319">
            <v>158.9</v>
          </cell>
          <cell r="G319">
            <v>116.4</v>
          </cell>
          <cell r="H319">
            <v>92.8</v>
          </cell>
          <cell r="I319">
            <v>132.6</v>
          </cell>
          <cell r="J319">
            <v>113.4</v>
          </cell>
          <cell r="K319">
            <v>86.5</v>
          </cell>
          <cell r="L319">
            <v>158.9</v>
          </cell>
          <cell r="M319">
            <v>103.6</v>
          </cell>
        </row>
        <row r="320">
          <cell r="C320" t="str">
            <v>Bình Long 2 MBA AT2 (phía 220kV)</v>
          </cell>
          <cell r="D320">
            <v>232</v>
          </cell>
          <cell r="E320">
            <v>87.3</v>
          </cell>
          <cell r="F320">
            <v>159.19999999999999</v>
          </cell>
          <cell r="G320">
            <v>115.7</v>
          </cell>
          <cell r="H320">
            <v>92.7</v>
          </cell>
          <cell r="I320">
            <v>132</v>
          </cell>
          <cell r="J320">
            <v>111.9</v>
          </cell>
          <cell r="K320">
            <v>87.3</v>
          </cell>
          <cell r="L320">
            <v>159.19999999999999</v>
          </cell>
          <cell r="M320">
            <v>103.1</v>
          </cell>
        </row>
        <row r="321">
          <cell r="C321" t="str">
            <v>220kV 271 Bình Long 2 - 274 NMĐ MT Dầu Tiếng 1, 2, 3</v>
          </cell>
          <cell r="D321">
            <v>271</v>
          </cell>
          <cell r="E321">
            <v>123.3</v>
          </cell>
          <cell r="F321">
            <v>206.7</v>
          </cell>
          <cell r="G321">
            <v>149.4</v>
          </cell>
          <cell r="H321">
            <v>163.19999999999999</v>
          </cell>
          <cell r="I321">
            <v>134.1</v>
          </cell>
          <cell r="J321">
            <v>206.7</v>
          </cell>
          <cell r="K321">
            <v>153.6</v>
          </cell>
          <cell r="L321">
            <v>123.3</v>
          </cell>
          <cell r="M321">
            <v>135.5</v>
          </cell>
        </row>
        <row r="322">
          <cell r="C322" t="str">
            <v>220kV 272 Bình Long 2 - 272 NMĐ MT Dầu Tiếng 1, 2, 3</v>
          </cell>
          <cell r="D322">
            <v>272</v>
          </cell>
          <cell r="E322">
            <v>124.4</v>
          </cell>
          <cell r="F322">
            <v>207.1</v>
          </cell>
          <cell r="G322">
            <v>149.9</v>
          </cell>
          <cell r="H322">
            <v>163.4</v>
          </cell>
          <cell r="I322">
            <v>134.6</v>
          </cell>
          <cell r="J322">
            <v>207.1</v>
          </cell>
          <cell r="K322">
            <v>154</v>
          </cell>
          <cell r="L322">
            <v>124.4</v>
          </cell>
          <cell r="M322">
            <v>135.69999999999999</v>
          </cell>
        </row>
        <row r="323">
          <cell r="C323" t="str">
            <v>220kV 273 Bình Long 2 - 272 Đắk Nông</v>
          </cell>
          <cell r="D323">
            <v>273</v>
          </cell>
          <cell r="E323">
            <v>-229.9</v>
          </cell>
          <cell r="F323">
            <v>-265.89999999999998</v>
          </cell>
          <cell r="G323">
            <v>-248.4</v>
          </cell>
          <cell r="H323">
            <v>-259.2</v>
          </cell>
          <cell r="I323">
            <v>-254.6</v>
          </cell>
          <cell r="J323">
            <v>-256</v>
          </cell>
          <cell r="K323">
            <v>-265.89999999999998</v>
          </cell>
          <cell r="L323">
            <v>-229.9</v>
          </cell>
          <cell r="M323">
            <v>-245.4</v>
          </cell>
        </row>
        <row r="324">
          <cell r="C324" t="str">
            <v>220kV 274 Bình Long 2 - 271 Đắk Nông</v>
          </cell>
          <cell r="D324">
            <v>274</v>
          </cell>
          <cell r="E324">
            <v>-233.1</v>
          </cell>
          <cell r="F324">
            <v>-269.5</v>
          </cell>
          <cell r="G324">
            <v>-253.7</v>
          </cell>
          <cell r="H324">
            <v>-263.5</v>
          </cell>
          <cell r="I324">
            <v>-259.2</v>
          </cell>
          <cell r="J324">
            <v>-259.5</v>
          </cell>
          <cell r="K324">
            <v>-269.5</v>
          </cell>
          <cell r="L324">
            <v>-233.1</v>
          </cell>
          <cell r="M324">
            <v>-249.5</v>
          </cell>
        </row>
        <row r="325">
          <cell r="C325" t="str">
            <v>220kV 275 Bình Long 2 - 273 Bến Cát 2</v>
          </cell>
          <cell r="D325">
            <v>275</v>
          </cell>
          <cell r="E325">
            <v>135.6</v>
          </cell>
          <cell r="F325">
            <v>235.2</v>
          </cell>
          <cell r="G325">
            <v>235.2</v>
          </cell>
          <cell r="H325">
            <v>217.8</v>
          </cell>
          <cell r="I325">
            <v>161.1</v>
          </cell>
          <cell r="J325">
            <v>170.7</v>
          </cell>
          <cell r="K325">
            <v>203.5</v>
          </cell>
          <cell r="L325">
            <v>135.6</v>
          </cell>
          <cell r="M325">
            <v>162.5</v>
          </cell>
        </row>
        <row r="326">
          <cell r="C326" t="str">
            <v>220kV 276 Bình Long 2 - 274 Bến Cát 2</v>
          </cell>
          <cell r="D326">
            <v>276</v>
          </cell>
          <cell r="E326">
            <v>137</v>
          </cell>
          <cell r="F326">
            <v>237</v>
          </cell>
          <cell r="G326">
            <v>237</v>
          </cell>
          <cell r="H326">
            <v>217.7</v>
          </cell>
          <cell r="I326">
            <v>161.30000000000001</v>
          </cell>
          <cell r="J326">
            <v>171.1</v>
          </cell>
          <cell r="K326">
            <v>203.9</v>
          </cell>
          <cell r="L326">
            <v>137</v>
          </cell>
          <cell r="M326">
            <v>163.4</v>
          </cell>
        </row>
        <row r="327">
          <cell r="C327" t="str">
            <v>220kV 277 Bình Long 2 - 273 NMĐ MT Lộc Ninh 4, 5</v>
          </cell>
          <cell r="D327">
            <v>277</v>
          </cell>
          <cell r="E327">
            <v>-162.1</v>
          </cell>
          <cell r="F327">
            <v>-283.10000000000002</v>
          </cell>
          <cell r="G327">
            <v>-283.10000000000002</v>
          </cell>
          <cell r="H327">
            <v>-241</v>
          </cell>
          <cell r="I327">
            <v>-162.1</v>
          </cell>
          <cell r="J327">
            <v>-258.89999999999998</v>
          </cell>
          <cell r="K327">
            <v>-245.9</v>
          </cell>
          <cell r="L327">
            <v>-211.4</v>
          </cell>
          <cell r="M327">
            <v>-208.2</v>
          </cell>
        </row>
        <row r="328">
          <cell r="C328" t="str">
            <v>220kV 278 Bình Long 2 - 274 NMĐ MT Lộc Ninh 4, 5</v>
          </cell>
          <cell r="D328">
            <v>278</v>
          </cell>
          <cell r="E328">
            <v>-162.19999999999999</v>
          </cell>
          <cell r="F328">
            <v>-283.2</v>
          </cell>
          <cell r="G328">
            <v>-283.2</v>
          </cell>
          <cell r="H328">
            <v>-240.9</v>
          </cell>
          <cell r="I328">
            <v>-162.19999999999999</v>
          </cell>
          <cell r="J328">
            <v>-258.8</v>
          </cell>
          <cell r="K328">
            <v>-245.8</v>
          </cell>
          <cell r="L328">
            <v>-211.3</v>
          </cell>
          <cell r="M328">
            <v>-208.2</v>
          </cell>
        </row>
        <row r="329">
          <cell r="C329" t="str">
            <v>Bình Minh MBA T1 (phía 110kV)</v>
          </cell>
          <cell r="D329">
            <v>131</v>
          </cell>
          <cell r="E329">
            <v>21.5</v>
          </cell>
          <cell r="F329">
            <v>32.6</v>
          </cell>
          <cell r="G329">
            <v>32.6</v>
          </cell>
          <cell r="H329">
            <v>28.2</v>
          </cell>
          <cell r="I329">
            <v>26.3</v>
          </cell>
          <cell r="J329">
            <v>26.1</v>
          </cell>
          <cell r="K329">
            <v>23.7</v>
          </cell>
          <cell r="L329">
            <v>21.5</v>
          </cell>
          <cell r="M329">
            <v>22.3</v>
          </cell>
        </row>
        <row r="330">
          <cell r="C330" t="str">
            <v>Bình Minh MBA T2 (phía 110kV)</v>
          </cell>
          <cell r="D330">
            <v>132</v>
          </cell>
          <cell r="E330">
            <v>10.6</v>
          </cell>
          <cell r="F330">
            <v>20.399999999999999</v>
          </cell>
          <cell r="G330">
            <v>20.399999999999999</v>
          </cell>
          <cell r="H330">
            <v>15.5</v>
          </cell>
          <cell r="I330">
            <v>13.9</v>
          </cell>
          <cell r="J330">
            <v>15.8</v>
          </cell>
          <cell r="K330">
            <v>15.7</v>
          </cell>
          <cell r="L330">
            <v>12.6</v>
          </cell>
          <cell r="M330">
            <v>10.6</v>
          </cell>
        </row>
        <row r="331">
          <cell r="C331" t="str">
            <v>110kV 171 Bình Minh - 174 Sông Hậu</v>
          </cell>
          <cell r="D331">
            <v>171</v>
          </cell>
          <cell r="E331">
            <v>0</v>
          </cell>
          <cell r="F331">
            <v>-51.5</v>
          </cell>
          <cell r="G331">
            <v>-51.5</v>
          </cell>
          <cell r="H331">
            <v>-43</v>
          </cell>
          <cell r="I331">
            <v>-39.799999999999997</v>
          </cell>
          <cell r="J331">
            <v>-34.200000000000003</v>
          </cell>
          <cell r="K331">
            <v>0</v>
          </cell>
          <cell r="L331">
            <v>0</v>
          </cell>
          <cell r="M331">
            <v>0</v>
          </cell>
        </row>
        <row r="332">
          <cell r="C332" t="str">
            <v>110kV 172 Bình Minh - 171 Cầu Kè</v>
          </cell>
          <cell r="D332">
            <v>172</v>
          </cell>
          <cell r="E332">
            <v>0.1</v>
          </cell>
          <cell r="F332">
            <v>-41.4</v>
          </cell>
          <cell r="G332">
            <v>0.1</v>
          </cell>
          <cell r="H332">
            <v>0.1</v>
          </cell>
          <cell r="I332">
            <v>0.1</v>
          </cell>
          <cell r="J332">
            <v>-41.4</v>
          </cell>
          <cell r="K332">
            <v>-38.700000000000003</v>
          </cell>
          <cell r="L332">
            <v>-33</v>
          </cell>
          <cell r="M332">
            <v>-32.799999999999997</v>
          </cell>
        </row>
        <row r="333">
          <cell r="C333" t="str">
            <v>Bình Minh MBA T1 (phía 22kV)</v>
          </cell>
          <cell r="D333">
            <v>431</v>
          </cell>
          <cell r="E333">
            <v>-21.4</v>
          </cell>
          <cell r="F333">
            <v>-32.5</v>
          </cell>
          <cell r="G333">
            <v>-32.5</v>
          </cell>
          <cell r="H333">
            <v>-28</v>
          </cell>
          <cell r="I333">
            <v>-26.2</v>
          </cell>
          <cell r="J333">
            <v>-26.1</v>
          </cell>
          <cell r="K333">
            <v>-23.6</v>
          </cell>
          <cell r="L333">
            <v>-21.4</v>
          </cell>
          <cell r="M333">
            <v>-22.3</v>
          </cell>
        </row>
        <row r="334">
          <cell r="C334" t="str">
            <v>Bình Minh MBA T2 (phía 22kV)</v>
          </cell>
          <cell r="D334">
            <v>432</v>
          </cell>
          <cell r="E334">
            <v>-10.7</v>
          </cell>
          <cell r="F334">
            <v>-20.5</v>
          </cell>
          <cell r="G334">
            <v>-20.5</v>
          </cell>
          <cell r="H334">
            <v>-15.6</v>
          </cell>
          <cell r="I334">
            <v>-13.9</v>
          </cell>
          <cell r="J334">
            <v>-16</v>
          </cell>
          <cell r="K334">
            <v>-15.8</v>
          </cell>
          <cell r="L334">
            <v>-12.7</v>
          </cell>
          <cell r="M334">
            <v>-10.7</v>
          </cell>
        </row>
        <row r="335">
          <cell r="C335" t="str">
            <v>Bình Phú MBA T1 (phía 110kV)</v>
          </cell>
          <cell r="D335">
            <v>131</v>
          </cell>
          <cell r="E335">
            <v>34.1</v>
          </cell>
          <cell r="F335">
            <v>61</v>
          </cell>
          <cell r="G335">
            <v>43.8</v>
          </cell>
          <cell r="H335">
            <v>45.9</v>
          </cell>
          <cell r="I335">
            <v>39.299999999999997</v>
          </cell>
          <cell r="J335">
            <v>44.6</v>
          </cell>
          <cell r="K335">
            <v>40.1</v>
          </cell>
          <cell r="L335">
            <v>34.1</v>
          </cell>
          <cell r="M335">
            <v>61</v>
          </cell>
        </row>
        <row r="336">
          <cell r="C336" t="str">
            <v>Bình Phú MBA T2 (phía 110kV)</v>
          </cell>
          <cell r="D336">
            <v>132</v>
          </cell>
          <cell r="E336">
            <v>38.9</v>
          </cell>
          <cell r="F336">
            <v>62.3</v>
          </cell>
          <cell r="G336">
            <v>62.3</v>
          </cell>
          <cell r="H336">
            <v>50.5</v>
          </cell>
          <cell r="I336">
            <v>38.9</v>
          </cell>
          <cell r="J336">
            <v>49.8</v>
          </cell>
          <cell r="K336">
            <v>43.3</v>
          </cell>
          <cell r="L336">
            <v>42.7</v>
          </cell>
          <cell r="M336">
            <v>40.5</v>
          </cell>
        </row>
        <row r="337">
          <cell r="C337" t="str">
            <v>110kV 171 Bình Phú - 172 Phú Định</v>
          </cell>
          <cell r="D337">
            <v>171</v>
          </cell>
          <cell r="E337">
            <v>-38.299999999999997</v>
          </cell>
          <cell r="F337">
            <v>-71.3</v>
          </cell>
          <cell r="G337">
            <v>-53.3</v>
          </cell>
          <cell r="H337">
            <v>-48.5</v>
          </cell>
          <cell r="I337">
            <v>-38.9</v>
          </cell>
          <cell r="J337">
            <v>-47.6</v>
          </cell>
          <cell r="K337">
            <v>-41.6</v>
          </cell>
          <cell r="L337">
            <v>-38.299999999999997</v>
          </cell>
          <cell r="M337">
            <v>-71.3</v>
          </cell>
        </row>
        <row r="338">
          <cell r="C338" t="str">
            <v>110kV 172 Bình Phú - 174 Phú Lâm</v>
          </cell>
          <cell r="D338">
            <v>172</v>
          </cell>
          <cell r="E338">
            <v>-28.6</v>
          </cell>
          <cell r="F338">
            <v>-53.1</v>
          </cell>
          <cell r="G338">
            <v>-53.1</v>
          </cell>
          <cell r="H338">
            <v>-47.9</v>
          </cell>
          <cell r="I338">
            <v>-38.5</v>
          </cell>
          <cell r="J338">
            <v>-47</v>
          </cell>
          <cell r="K338">
            <v>-41.3</v>
          </cell>
          <cell r="L338">
            <v>-38.1</v>
          </cell>
          <cell r="M338">
            <v>-28.6</v>
          </cell>
        </row>
        <row r="339">
          <cell r="C339" t="str">
            <v>Bình Phú MBA T1 (phía 22kV)</v>
          </cell>
          <cell r="D339">
            <v>431</v>
          </cell>
          <cell r="E339">
            <v>-34.200000000000003</v>
          </cell>
          <cell r="F339">
            <v>-60.9</v>
          </cell>
          <cell r="G339">
            <v>-44</v>
          </cell>
          <cell r="H339">
            <v>-45.7</v>
          </cell>
          <cell r="I339">
            <v>-39.200000000000003</v>
          </cell>
          <cell r="J339">
            <v>-44.4</v>
          </cell>
          <cell r="K339">
            <v>-40</v>
          </cell>
          <cell r="L339">
            <v>-34.200000000000003</v>
          </cell>
          <cell r="M339">
            <v>-60.9</v>
          </cell>
        </row>
        <row r="340">
          <cell r="C340" t="str">
            <v>Bình Phú MBA T2 (phía 22kV)</v>
          </cell>
          <cell r="D340">
            <v>432</v>
          </cell>
          <cell r="E340">
            <v>-39.1</v>
          </cell>
          <cell r="F340">
            <v>-62.2</v>
          </cell>
          <cell r="G340">
            <v>-62.2</v>
          </cell>
          <cell r="H340">
            <v>-50.4</v>
          </cell>
          <cell r="I340">
            <v>-39.1</v>
          </cell>
          <cell r="J340">
            <v>-49.8</v>
          </cell>
          <cell r="K340">
            <v>-43.4</v>
          </cell>
          <cell r="L340">
            <v>-42.8</v>
          </cell>
          <cell r="M340">
            <v>-40.4</v>
          </cell>
        </row>
        <row r="341">
          <cell r="C341" t="str">
            <v>110kV 171 Bình Sơn - 171 Gò Dầu</v>
          </cell>
          <cell r="F341">
            <v>-37</v>
          </cell>
          <cell r="H341">
            <v>-37</v>
          </cell>
          <cell r="I341">
            <v>-23.5</v>
          </cell>
          <cell r="J341">
            <v>-17.5</v>
          </cell>
          <cell r="K341">
            <v>-35.700000000000003</v>
          </cell>
          <cell r="L341">
            <v>-32.9</v>
          </cell>
          <cell r="M341">
            <v>-28</v>
          </cell>
        </row>
        <row r="342">
          <cell r="C342" t="str">
            <v>110kV 172 Bình Sơn - 182 Long Thành</v>
          </cell>
          <cell r="F342">
            <v>-54</v>
          </cell>
          <cell r="H342">
            <v>-49.7</v>
          </cell>
          <cell r="I342">
            <v>-43.5</v>
          </cell>
          <cell r="J342">
            <v>-54</v>
          </cell>
          <cell r="K342">
            <v>-37.5</v>
          </cell>
          <cell r="L342">
            <v>-45.3</v>
          </cell>
          <cell r="M342">
            <v>-48.6</v>
          </cell>
        </row>
        <row r="343">
          <cell r="C343" t="str">
            <v>Bình Sơn MBA T1 (phía 110kV)</v>
          </cell>
          <cell r="F343">
            <v>35.4</v>
          </cell>
          <cell r="H343">
            <v>35.4</v>
          </cell>
          <cell r="I343">
            <v>33.6</v>
          </cell>
          <cell r="J343">
            <v>34.700000000000003</v>
          </cell>
          <cell r="K343">
            <v>33.1</v>
          </cell>
          <cell r="L343">
            <v>23.7</v>
          </cell>
          <cell r="M343">
            <v>22.6</v>
          </cell>
        </row>
        <row r="344">
          <cell r="C344" t="str">
            <v>Bình Sơn MBA T1 (phía 22kV)</v>
          </cell>
          <cell r="F344">
            <v>-35.5</v>
          </cell>
          <cell r="H344">
            <v>-35.5</v>
          </cell>
          <cell r="I344">
            <v>-33.5</v>
          </cell>
          <cell r="J344">
            <v>-34.6</v>
          </cell>
          <cell r="K344">
            <v>-33</v>
          </cell>
          <cell r="L344">
            <v>-23.5</v>
          </cell>
          <cell r="M344">
            <v>-22.6</v>
          </cell>
        </row>
        <row r="345">
          <cell r="C345" t="str">
            <v>Bình Sơn MBA T2 (phía 110kV)</v>
          </cell>
          <cell r="F345">
            <v>23.6</v>
          </cell>
          <cell r="H345">
            <v>23.6</v>
          </cell>
          <cell r="I345">
            <v>20.2</v>
          </cell>
          <cell r="J345">
            <v>23.3</v>
          </cell>
          <cell r="K345">
            <v>21.1</v>
          </cell>
          <cell r="L345">
            <v>18.8</v>
          </cell>
          <cell r="M345">
            <v>18.7</v>
          </cell>
        </row>
        <row r="346">
          <cell r="C346" t="str">
            <v>Bình Sơn MBA T2 (phía 22kV)</v>
          </cell>
          <cell r="F346">
            <v>-23.6</v>
          </cell>
          <cell r="H346">
            <v>-23.6</v>
          </cell>
          <cell r="I346">
            <v>-20.100000000000001</v>
          </cell>
          <cell r="J346">
            <v>-23.2</v>
          </cell>
          <cell r="K346">
            <v>-21</v>
          </cell>
          <cell r="L346">
            <v>-18.7</v>
          </cell>
          <cell r="M346">
            <v>-18.600000000000001</v>
          </cell>
        </row>
        <row r="347">
          <cell r="C347" t="str">
            <v>Bình Tân MBA AT1 (phía 110kV)</v>
          </cell>
          <cell r="D347">
            <v>131</v>
          </cell>
          <cell r="E347">
            <v>-139</v>
          </cell>
          <cell r="F347">
            <v>-221.9</v>
          </cell>
          <cell r="G347">
            <v>-221.9</v>
          </cell>
          <cell r="H347">
            <v>-210.9</v>
          </cell>
          <cell r="I347">
            <v>-186.6</v>
          </cell>
          <cell r="J347">
            <v>-212.1</v>
          </cell>
          <cell r="K347">
            <v>-196</v>
          </cell>
          <cell r="L347">
            <v>-163</v>
          </cell>
          <cell r="M347">
            <v>-139</v>
          </cell>
        </row>
        <row r="348">
          <cell r="C348" t="str">
            <v>Bình Tân MBA AT2 (phía 110kV)</v>
          </cell>
          <cell r="D348">
            <v>132</v>
          </cell>
          <cell r="E348">
            <v>-138.69999999999999</v>
          </cell>
          <cell r="F348">
            <v>-222.3</v>
          </cell>
          <cell r="G348">
            <v>-222.3</v>
          </cell>
          <cell r="H348">
            <v>-211.1</v>
          </cell>
          <cell r="I348">
            <v>-184.9</v>
          </cell>
          <cell r="J348">
            <v>-212.4</v>
          </cell>
          <cell r="K348">
            <v>-194.6</v>
          </cell>
          <cell r="L348">
            <v>-163.6</v>
          </cell>
          <cell r="M348">
            <v>-138.69999999999999</v>
          </cell>
        </row>
        <row r="349">
          <cell r="C349" t="str">
            <v>Bình Tân MBA T4 (phía 110kV)</v>
          </cell>
          <cell r="D349">
            <v>134</v>
          </cell>
          <cell r="E349">
            <v>31.4</v>
          </cell>
          <cell r="F349">
            <v>51.3</v>
          </cell>
          <cell r="G349">
            <v>51.3</v>
          </cell>
          <cell r="H349">
            <v>48.2</v>
          </cell>
          <cell r="I349">
            <v>44.1</v>
          </cell>
          <cell r="J349">
            <v>47.6</v>
          </cell>
          <cell r="K349">
            <v>43.6</v>
          </cell>
          <cell r="L349">
            <v>32.5</v>
          </cell>
          <cell r="M349">
            <v>31.4</v>
          </cell>
        </row>
        <row r="350">
          <cell r="C350" t="str">
            <v>Bình Tân MBA T5 (phía 110kV)</v>
          </cell>
          <cell r="D350">
            <v>135</v>
          </cell>
          <cell r="E350">
            <v>26.7</v>
          </cell>
          <cell r="F350">
            <v>50.8</v>
          </cell>
          <cell r="G350">
            <v>46.7</v>
          </cell>
          <cell r="H350">
            <v>50.8</v>
          </cell>
          <cell r="I350">
            <v>46.3</v>
          </cell>
          <cell r="J350">
            <v>46.8</v>
          </cell>
          <cell r="K350">
            <v>44.5</v>
          </cell>
          <cell r="L350">
            <v>28.8</v>
          </cell>
          <cell r="M350">
            <v>26.7</v>
          </cell>
        </row>
        <row r="351">
          <cell r="C351" t="str">
            <v>Bình Tân MBA T6 (phía 110kV)</v>
          </cell>
          <cell r="D351">
            <v>136</v>
          </cell>
          <cell r="E351">
            <v>10.7</v>
          </cell>
          <cell r="F351">
            <v>21.4</v>
          </cell>
          <cell r="G351">
            <v>21.4</v>
          </cell>
          <cell r="H351">
            <v>19.5</v>
          </cell>
          <cell r="I351">
            <v>16.399999999999999</v>
          </cell>
          <cell r="J351">
            <v>18.600000000000001</v>
          </cell>
          <cell r="K351">
            <v>16.8</v>
          </cell>
          <cell r="L351">
            <v>21.1</v>
          </cell>
          <cell r="M351">
            <v>10.7</v>
          </cell>
        </row>
        <row r="352">
          <cell r="C352" t="str">
            <v>110kV 171 Bình Tân - 172 Bà Quẹo</v>
          </cell>
          <cell r="D352">
            <v>171</v>
          </cell>
          <cell r="E352">
            <v>27.1</v>
          </cell>
          <cell r="F352">
            <v>122.2</v>
          </cell>
          <cell r="G352">
            <v>122.2</v>
          </cell>
          <cell r="H352">
            <v>121.6</v>
          </cell>
          <cell r="I352">
            <v>96.3</v>
          </cell>
          <cell r="J352">
            <v>116</v>
          </cell>
          <cell r="K352">
            <v>27.1</v>
          </cell>
          <cell r="L352">
            <v>81.5</v>
          </cell>
          <cell r="M352">
            <v>81.599999999999994</v>
          </cell>
        </row>
        <row r="353">
          <cell r="C353" t="str">
            <v>110kV 172 Bình Tân - 172 Bình Trị Đông</v>
          </cell>
          <cell r="D353">
            <v>172</v>
          </cell>
          <cell r="E353">
            <v>51.1</v>
          </cell>
          <cell r="F353">
            <v>83.6</v>
          </cell>
          <cell r="G353">
            <v>83.6</v>
          </cell>
          <cell r="H353">
            <v>82.1</v>
          </cell>
          <cell r="I353">
            <v>68.900000000000006</v>
          </cell>
          <cell r="J353">
            <v>79.900000000000006</v>
          </cell>
          <cell r="K353">
            <v>72.900000000000006</v>
          </cell>
          <cell r="L353">
            <v>54.2</v>
          </cell>
          <cell r="M353">
            <v>51.1</v>
          </cell>
        </row>
        <row r="354">
          <cell r="C354" t="str">
            <v>110kV 175 Bình Tân - 172 Vĩnh Lộc</v>
          </cell>
          <cell r="D354">
            <v>175</v>
          </cell>
          <cell r="E354">
            <v>41.4</v>
          </cell>
          <cell r="F354">
            <v>59.5</v>
          </cell>
          <cell r="G354">
            <v>55.1</v>
          </cell>
          <cell r="H354">
            <v>49.7</v>
          </cell>
          <cell r="I354">
            <v>50.2</v>
          </cell>
          <cell r="J354">
            <v>59.5</v>
          </cell>
          <cell r="K354">
            <v>55.9</v>
          </cell>
          <cell r="L354">
            <v>42.4</v>
          </cell>
          <cell r="M354">
            <v>41.4</v>
          </cell>
        </row>
        <row r="355">
          <cell r="C355" t="str">
            <v>110kV 176 Bình Tân - 172 Tân Bình 3</v>
          </cell>
          <cell r="D355">
            <v>176</v>
          </cell>
          <cell r="E355">
            <v>44.3</v>
          </cell>
          <cell r="F355">
            <v>128.9</v>
          </cell>
          <cell r="G355">
            <v>65</v>
          </cell>
          <cell r="H355">
            <v>60.5</v>
          </cell>
          <cell r="I355">
            <v>49.8</v>
          </cell>
          <cell r="J355">
            <v>58.2</v>
          </cell>
          <cell r="K355">
            <v>128.9</v>
          </cell>
          <cell r="L355">
            <v>104.6</v>
          </cell>
          <cell r="M355">
            <v>44.3</v>
          </cell>
        </row>
        <row r="356">
          <cell r="C356" t="str">
            <v>Bình Tân MBA AT1 (phía 220kV)</v>
          </cell>
          <cell r="D356">
            <v>231</v>
          </cell>
          <cell r="E356">
            <v>137.9</v>
          </cell>
          <cell r="F356">
            <v>222.4</v>
          </cell>
          <cell r="G356">
            <v>222.4</v>
          </cell>
          <cell r="H356">
            <v>212.2</v>
          </cell>
          <cell r="I356">
            <v>184.9</v>
          </cell>
          <cell r="J356">
            <v>174.6</v>
          </cell>
          <cell r="K356">
            <v>196.2</v>
          </cell>
          <cell r="L356">
            <v>163.4</v>
          </cell>
          <cell r="M356">
            <v>137.9</v>
          </cell>
        </row>
        <row r="357">
          <cell r="C357" t="str">
            <v>Bình Tân MBA AT2 (phía 220kV)</v>
          </cell>
          <cell r="D357">
            <v>232</v>
          </cell>
          <cell r="E357">
            <v>138.9</v>
          </cell>
          <cell r="F357">
            <v>222.5</v>
          </cell>
          <cell r="G357">
            <v>222.5</v>
          </cell>
          <cell r="H357">
            <v>213.1</v>
          </cell>
          <cell r="I357">
            <v>185.2</v>
          </cell>
          <cell r="J357">
            <v>212.8</v>
          </cell>
          <cell r="K357">
            <v>195.4</v>
          </cell>
          <cell r="L357">
            <v>164.1</v>
          </cell>
          <cell r="M357">
            <v>138.9</v>
          </cell>
        </row>
        <row r="358">
          <cell r="C358" t="str">
            <v>220kV 273 Bình Tân - 282 Cầu Bông</v>
          </cell>
          <cell r="D358">
            <v>273</v>
          </cell>
          <cell r="E358">
            <v>-50</v>
          </cell>
          <cell r="F358">
            <v>-131.4</v>
          </cell>
          <cell r="G358">
            <v>-131.4</v>
          </cell>
          <cell r="H358">
            <v>-112.5</v>
          </cell>
          <cell r="I358">
            <v>-50</v>
          </cell>
          <cell r="J358">
            <v>61.5</v>
          </cell>
          <cell r="K358">
            <v>-72.900000000000006</v>
          </cell>
          <cell r="L358">
            <v>-66.7</v>
          </cell>
          <cell r="M358">
            <v>-91.5</v>
          </cell>
        </row>
        <row r="359">
          <cell r="C359" t="str">
            <v>220kV 274 Bình Tân - 281 Cầu Bông</v>
          </cell>
          <cell r="D359">
            <v>274</v>
          </cell>
          <cell r="E359">
            <v>-47.3</v>
          </cell>
          <cell r="F359">
            <v>-130.30000000000001</v>
          </cell>
          <cell r="G359">
            <v>-130.30000000000001</v>
          </cell>
          <cell r="H359">
            <v>-108.3</v>
          </cell>
          <cell r="I359">
            <v>-47.3</v>
          </cell>
          <cell r="J359">
            <v>62.6</v>
          </cell>
          <cell r="K359">
            <v>-71.2</v>
          </cell>
          <cell r="L359">
            <v>-66</v>
          </cell>
          <cell r="M359">
            <v>-90</v>
          </cell>
        </row>
        <row r="360">
          <cell r="C360" t="str">
            <v>220kV 275 Bình Tân - 272 Phú Lâm</v>
          </cell>
          <cell r="D360">
            <v>275</v>
          </cell>
          <cell r="E360">
            <v>-81.599999999999994</v>
          </cell>
          <cell r="F360">
            <v>-175.1</v>
          </cell>
          <cell r="G360">
            <v>-135.6</v>
          </cell>
          <cell r="H360">
            <v>-141.4</v>
          </cell>
          <cell r="I360">
            <v>-120.2</v>
          </cell>
          <cell r="J360">
            <v>-175.1</v>
          </cell>
          <cell r="K360">
            <v>-163.6</v>
          </cell>
          <cell r="L360">
            <v>-165</v>
          </cell>
          <cell r="M360">
            <v>-81.599999999999994</v>
          </cell>
        </row>
        <row r="361">
          <cell r="C361" t="str">
            <v>220kV 276 Bình Tân - 271 Phú Lâm</v>
          </cell>
          <cell r="D361">
            <v>276</v>
          </cell>
          <cell r="E361">
            <v>-143.4</v>
          </cell>
          <cell r="F361">
            <v>-266.60000000000002</v>
          </cell>
          <cell r="G361">
            <v>-222.8</v>
          </cell>
          <cell r="H361">
            <v>-210.3</v>
          </cell>
          <cell r="I361">
            <v>-206.3</v>
          </cell>
          <cell r="J361">
            <v>-266.60000000000002</v>
          </cell>
          <cell r="K361">
            <v>-225.3</v>
          </cell>
          <cell r="L361">
            <v>-262.10000000000002</v>
          </cell>
          <cell r="M361">
            <v>-143.4</v>
          </cell>
        </row>
        <row r="362">
          <cell r="C362" t="str">
            <v>Bình Tân MBA T4 (phía 22kV)</v>
          </cell>
          <cell r="D362">
            <v>434</v>
          </cell>
          <cell r="E362">
            <v>-31.2</v>
          </cell>
          <cell r="F362">
            <v>-51.4</v>
          </cell>
          <cell r="G362">
            <v>-51.4</v>
          </cell>
          <cell r="H362">
            <v>-48.1</v>
          </cell>
          <cell r="I362">
            <v>-43.6</v>
          </cell>
          <cell r="J362">
            <v>-48.1</v>
          </cell>
          <cell r="K362">
            <v>-43.8</v>
          </cell>
          <cell r="L362">
            <v>-33</v>
          </cell>
          <cell r="M362">
            <v>-31.2</v>
          </cell>
        </row>
        <row r="363">
          <cell r="C363" t="str">
            <v>Bình Tân MBA T5 (phía 22kV)</v>
          </cell>
          <cell r="D363">
            <v>435</v>
          </cell>
          <cell r="E363">
            <v>-26.7</v>
          </cell>
          <cell r="F363">
            <v>-50.8</v>
          </cell>
          <cell r="G363">
            <v>-46.3</v>
          </cell>
          <cell r="H363">
            <v>-50.8</v>
          </cell>
          <cell r="I363">
            <v>-46.3</v>
          </cell>
          <cell r="J363">
            <v>-46.8</v>
          </cell>
          <cell r="K363">
            <v>-43.6</v>
          </cell>
          <cell r="L363">
            <v>-29.1</v>
          </cell>
          <cell r="M363">
            <v>-26.7</v>
          </cell>
        </row>
        <row r="364">
          <cell r="C364" t="str">
            <v>Bình Tân MBA T6 (phía 22kV)</v>
          </cell>
          <cell r="D364">
            <v>436</v>
          </cell>
          <cell r="E364">
            <v>-10.4</v>
          </cell>
          <cell r="F364">
            <v>-21.2</v>
          </cell>
          <cell r="G364">
            <v>-21.2</v>
          </cell>
          <cell r="H364">
            <v>-18.899999999999999</v>
          </cell>
          <cell r="I364">
            <v>-17.100000000000001</v>
          </cell>
          <cell r="J364">
            <v>-18.2</v>
          </cell>
          <cell r="K364">
            <v>-17.3</v>
          </cell>
          <cell r="L364">
            <v>-20.6</v>
          </cell>
          <cell r="M364">
            <v>-10.4</v>
          </cell>
        </row>
        <row r="365">
          <cell r="C365" t="str">
            <v>Bình Thạnh MBA T1 (phía 110kV)</v>
          </cell>
          <cell r="F365">
            <v>33.799999999999997</v>
          </cell>
          <cell r="H365">
            <v>30.5</v>
          </cell>
          <cell r="I365">
            <v>29.5</v>
          </cell>
          <cell r="J365">
            <v>32.799999999999997</v>
          </cell>
          <cell r="K365">
            <v>32.299999999999997</v>
          </cell>
          <cell r="L365">
            <v>32.5</v>
          </cell>
          <cell r="M365">
            <v>33.799999999999997</v>
          </cell>
        </row>
        <row r="366">
          <cell r="C366" t="str">
            <v>Bình Thạnh MBA T1 (phía 22kV)</v>
          </cell>
          <cell r="F366">
            <v>-34</v>
          </cell>
          <cell r="H366">
            <v>-30.6</v>
          </cell>
          <cell r="I366">
            <v>-29.4</v>
          </cell>
          <cell r="J366">
            <v>-32.6</v>
          </cell>
          <cell r="K366">
            <v>-32.200000000000003</v>
          </cell>
          <cell r="L366">
            <v>-32.5</v>
          </cell>
          <cell r="M366">
            <v>-34</v>
          </cell>
        </row>
        <row r="367">
          <cell r="C367" t="str">
            <v>110kV 173 Bình Thạnh - 171 NMĐG Số 5 Thạnh Hải 1</v>
          </cell>
          <cell r="E367">
            <v>0</v>
          </cell>
          <cell r="F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C368" t="str">
            <v>110kV 172 Bình Thạnh - 172 NMĐG Số 5 Thạnh Hải 1</v>
          </cell>
          <cell r="E368">
            <v>0</v>
          </cell>
          <cell r="F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C369" t="str">
            <v>Bình Thủy MBA T1 (phía 110kV)</v>
          </cell>
          <cell r="D369">
            <v>131</v>
          </cell>
          <cell r="E369">
            <v>32.299999999999997</v>
          </cell>
          <cell r="F369">
            <v>52.9</v>
          </cell>
          <cell r="G369">
            <v>52.9</v>
          </cell>
          <cell r="H369">
            <v>46</v>
          </cell>
          <cell r="I369">
            <v>40.4</v>
          </cell>
          <cell r="J369">
            <v>41.1</v>
          </cell>
          <cell r="K369">
            <v>41.9</v>
          </cell>
          <cell r="L369">
            <v>32.9</v>
          </cell>
          <cell r="M369">
            <v>32.299999999999997</v>
          </cell>
        </row>
        <row r="370">
          <cell r="C370" t="str">
            <v>Bình Thủy MBA T1 (phía 22kV)</v>
          </cell>
          <cell r="D370">
            <v>431</v>
          </cell>
          <cell r="E370">
            <v>-32.299999999999997</v>
          </cell>
          <cell r="F370">
            <v>-53.2</v>
          </cell>
          <cell r="G370">
            <v>-53.2</v>
          </cell>
          <cell r="H370">
            <v>-46.2</v>
          </cell>
          <cell r="I370">
            <v>-40.6</v>
          </cell>
          <cell r="J370">
            <v>-41.1</v>
          </cell>
          <cell r="K370">
            <v>-42.1</v>
          </cell>
          <cell r="L370">
            <v>-33.200000000000003</v>
          </cell>
          <cell r="M370">
            <v>-32.299999999999997</v>
          </cell>
        </row>
        <row r="371">
          <cell r="C371" t="str">
            <v>110kV 171 Bình Trị Đông - 177 Phú Lâm - 172 Pou Yuen</v>
          </cell>
          <cell r="E371">
            <v>0</v>
          </cell>
          <cell r="F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C372" t="str">
            <v>110kV 172 Bình Trị Đông - 172 Bình Tân</v>
          </cell>
          <cell r="F372">
            <v>-81.8</v>
          </cell>
          <cell r="H372">
            <v>-81.8</v>
          </cell>
          <cell r="I372">
            <v>-68.5</v>
          </cell>
          <cell r="J372">
            <v>-80.3</v>
          </cell>
          <cell r="K372">
            <v>-73.5</v>
          </cell>
          <cell r="L372">
            <v>-53.9</v>
          </cell>
          <cell r="M372">
            <v>-51.4</v>
          </cell>
        </row>
        <row r="373">
          <cell r="C373" t="str">
            <v>Bình Trị Đông MBA T1 (phía 110kV)</v>
          </cell>
          <cell r="F373">
            <v>45.1</v>
          </cell>
          <cell r="H373">
            <v>45.1</v>
          </cell>
          <cell r="I373">
            <v>37.200000000000003</v>
          </cell>
          <cell r="J373">
            <v>42.5</v>
          </cell>
          <cell r="K373">
            <v>37.799999999999997</v>
          </cell>
          <cell r="L373">
            <v>28.2</v>
          </cell>
          <cell r="M373">
            <v>26</v>
          </cell>
        </row>
        <row r="374">
          <cell r="C374" t="str">
            <v>Bình Trị Đông MBA T1 (phía 22kV)</v>
          </cell>
          <cell r="F374">
            <v>-44.5</v>
          </cell>
          <cell r="H374">
            <v>-44.5</v>
          </cell>
          <cell r="I374">
            <v>-36.9</v>
          </cell>
          <cell r="J374">
            <v>-41.8</v>
          </cell>
          <cell r="K374">
            <v>-37.5</v>
          </cell>
          <cell r="L374">
            <v>-27.9</v>
          </cell>
          <cell r="M374">
            <v>-26</v>
          </cell>
        </row>
        <row r="375">
          <cell r="C375" t="str">
            <v>Bình Trị Đông MBA T2 (phía 110kV)</v>
          </cell>
          <cell r="F375">
            <v>42.2</v>
          </cell>
          <cell r="H375">
            <v>42.2</v>
          </cell>
          <cell r="I375">
            <v>32</v>
          </cell>
          <cell r="J375">
            <v>37.799999999999997</v>
          </cell>
          <cell r="K375">
            <v>35.9</v>
          </cell>
          <cell r="L375">
            <v>25.5</v>
          </cell>
          <cell r="M375">
            <v>25.8</v>
          </cell>
        </row>
        <row r="376">
          <cell r="C376" t="str">
            <v>Bình Trị Đông MBA T2 (phía 22kV)</v>
          </cell>
          <cell r="F376">
            <v>-41.8</v>
          </cell>
          <cell r="H376">
            <v>-41.8</v>
          </cell>
          <cell r="I376">
            <v>-31.7</v>
          </cell>
          <cell r="J376">
            <v>-37.700000000000003</v>
          </cell>
          <cell r="K376">
            <v>-35.5</v>
          </cell>
          <cell r="L376">
            <v>-25.4</v>
          </cell>
          <cell r="M376">
            <v>-25.7</v>
          </cell>
        </row>
        <row r="377">
          <cell r="C377" t="str">
            <v>110kV 171 Bình Triệu - 171 Thanh Đa</v>
          </cell>
          <cell r="D377">
            <v>171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</row>
        <row r="378">
          <cell r="C378" t="str">
            <v>110kV 172 Bình Triệu - 174 Hiệp Bình Phước</v>
          </cell>
          <cell r="D378">
            <v>172</v>
          </cell>
          <cell r="E378">
            <v>-56.4</v>
          </cell>
          <cell r="F378">
            <v>-84</v>
          </cell>
          <cell r="G378">
            <v>-84</v>
          </cell>
          <cell r="H378">
            <v>-74.400000000000006</v>
          </cell>
          <cell r="I378">
            <v>-59.8</v>
          </cell>
          <cell r="J378">
            <v>-66</v>
          </cell>
          <cell r="K378">
            <v>-58.2</v>
          </cell>
          <cell r="L378">
            <v>-56.4</v>
          </cell>
          <cell r="M378">
            <v>-59.8</v>
          </cell>
        </row>
        <row r="379">
          <cell r="C379" t="str">
            <v>110kV 173 Bình Triệu - 171 Hỏa Xa</v>
          </cell>
          <cell r="D379">
            <v>173</v>
          </cell>
          <cell r="E379">
            <v>37.700000000000003</v>
          </cell>
          <cell r="F379">
            <v>61.1</v>
          </cell>
          <cell r="G379">
            <v>61.1</v>
          </cell>
          <cell r="H379">
            <v>52.5</v>
          </cell>
          <cell r="I379">
            <v>40.6</v>
          </cell>
          <cell r="J379">
            <v>46.2</v>
          </cell>
          <cell r="K379">
            <v>40.200000000000003</v>
          </cell>
          <cell r="L379">
            <v>37.700000000000003</v>
          </cell>
          <cell r="M379">
            <v>41</v>
          </cell>
        </row>
        <row r="380">
          <cell r="C380" t="str">
            <v>Bình Triệu MBA T1 (phía 22kV)</v>
          </cell>
          <cell r="D380">
            <v>431</v>
          </cell>
          <cell r="E380">
            <v>-18.3</v>
          </cell>
          <cell r="F380">
            <v>-27.2</v>
          </cell>
          <cell r="G380">
            <v>-27.2</v>
          </cell>
          <cell r="H380">
            <v>-23.6</v>
          </cell>
          <cell r="I380">
            <v>-20</v>
          </cell>
          <cell r="J380">
            <v>-20</v>
          </cell>
          <cell r="K380">
            <v>-18.3</v>
          </cell>
          <cell r="L380">
            <v>-18.600000000000001</v>
          </cell>
          <cell r="M380">
            <v>-18.8</v>
          </cell>
        </row>
        <row r="381">
          <cell r="C381" t="str">
            <v>Bù Đăng MBA T1 (phía 110kV)</v>
          </cell>
          <cell r="D381">
            <v>131</v>
          </cell>
          <cell r="E381">
            <v>-12</v>
          </cell>
          <cell r="F381">
            <v>18.399999999999999</v>
          </cell>
          <cell r="G381">
            <v>15.1</v>
          </cell>
          <cell r="H381">
            <v>13.8</v>
          </cell>
          <cell r="I381">
            <v>13.4</v>
          </cell>
          <cell r="J381">
            <v>18.399999999999999</v>
          </cell>
          <cell r="K381">
            <v>-12</v>
          </cell>
          <cell r="L381">
            <v>13.6</v>
          </cell>
          <cell r="M381">
            <v>12.4</v>
          </cell>
        </row>
        <row r="382">
          <cell r="C382" t="str">
            <v>Bù Đăng MBA T2 (phía 110kV)</v>
          </cell>
          <cell r="D382">
            <v>132</v>
          </cell>
          <cell r="E382">
            <v>5.3</v>
          </cell>
          <cell r="F382">
            <v>-7.5</v>
          </cell>
          <cell r="G382">
            <v>-7.5</v>
          </cell>
          <cell r="H382">
            <v>6.2</v>
          </cell>
          <cell r="I382">
            <v>5.3</v>
          </cell>
          <cell r="J382">
            <v>6</v>
          </cell>
          <cell r="K382">
            <v>5.6</v>
          </cell>
          <cell r="L382">
            <v>5.7</v>
          </cell>
          <cell r="M382">
            <v>-6.7</v>
          </cell>
        </row>
        <row r="383">
          <cell r="C383" t="str">
            <v>110kV 171 Bù Đăng - 174 NMĐ Thác Mơ - 171 trạm cắt Đăk Glun</v>
          </cell>
          <cell r="D383">
            <v>171</v>
          </cell>
          <cell r="E383">
            <v>0</v>
          </cell>
          <cell r="F383">
            <v>20.9</v>
          </cell>
          <cell r="G383">
            <v>0</v>
          </cell>
          <cell r="H383">
            <v>0</v>
          </cell>
          <cell r="I383">
            <v>20.9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</row>
        <row r="384">
          <cell r="C384" t="str">
            <v>110kV 172 Bù Đăng - 173 NMĐ Đắk R'lấp</v>
          </cell>
          <cell r="D384">
            <v>172</v>
          </cell>
          <cell r="E384">
            <v>-15.7</v>
          </cell>
          <cell r="F384">
            <v>-27.1</v>
          </cell>
          <cell r="G384">
            <v>-20.100000000000001</v>
          </cell>
          <cell r="H384">
            <v>-20.100000000000001</v>
          </cell>
          <cell r="I384">
            <v>-27.1</v>
          </cell>
          <cell r="J384">
            <v>-24.4</v>
          </cell>
          <cell r="K384">
            <v>17</v>
          </cell>
          <cell r="L384">
            <v>-17.7</v>
          </cell>
          <cell r="M384">
            <v>-15.7</v>
          </cell>
        </row>
        <row r="385">
          <cell r="C385" t="str">
            <v>Bù Đăng MBA T1 (phía 22kV)</v>
          </cell>
          <cell r="D385">
            <v>431</v>
          </cell>
          <cell r="E385">
            <v>11.9</v>
          </cell>
          <cell r="F385">
            <v>-18.3</v>
          </cell>
          <cell r="G385">
            <v>-15</v>
          </cell>
          <cell r="H385">
            <v>-13.8</v>
          </cell>
          <cell r="I385">
            <v>-13.5</v>
          </cell>
          <cell r="J385">
            <v>-18.3</v>
          </cell>
          <cell r="K385">
            <v>11.9</v>
          </cell>
          <cell r="L385">
            <v>-13.6</v>
          </cell>
          <cell r="M385">
            <v>-12.3</v>
          </cell>
        </row>
        <row r="386">
          <cell r="C386" t="str">
            <v>Bù Đăng MBA T2 (phía 22kV)</v>
          </cell>
          <cell r="D386">
            <v>432</v>
          </cell>
          <cell r="E386">
            <v>-5.3</v>
          </cell>
          <cell r="F386">
            <v>7.6</v>
          </cell>
          <cell r="G386">
            <v>7.6</v>
          </cell>
          <cell r="H386">
            <v>-6.2</v>
          </cell>
          <cell r="I386">
            <v>-5.3</v>
          </cell>
          <cell r="J386">
            <v>-6</v>
          </cell>
          <cell r="K386">
            <v>-5.6</v>
          </cell>
          <cell r="L386">
            <v>-5.7</v>
          </cell>
          <cell r="M386">
            <v>6.7</v>
          </cell>
        </row>
        <row r="387">
          <cell r="C387" t="str">
            <v>Bù Đốp MBA T2 (phía 110kV)</v>
          </cell>
          <cell r="F387">
            <v>25.2</v>
          </cell>
          <cell r="H387">
            <v>23.2</v>
          </cell>
          <cell r="I387">
            <v>25.2</v>
          </cell>
          <cell r="J387">
            <v>24.4</v>
          </cell>
          <cell r="K387">
            <v>-23.8</v>
          </cell>
          <cell r="L387">
            <v>22.1</v>
          </cell>
          <cell r="M387">
            <v>24.7</v>
          </cell>
        </row>
        <row r="388">
          <cell r="C388" t="str">
            <v>Bù Đốp MBA T2 (phía 22kV)</v>
          </cell>
          <cell r="F388">
            <v>-25.3</v>
          </cell>
          <cell r="H388">
            <v>-23.2</v>
          </cell>
          <cell r="I388">
            <v>-25.3</v>
          </cell>
          <cell r="J388">
            <v>-24.5</v>
          </cell>
          <cell r="K388">
            <v>-23.6</v>
          </cell>
          <cell r="L388">
            <v>-22.1</v>
          </cell>
          <cell r="M388">
            <v>-24.6</v>
          </cell>
        </row>
        <row r="389">
          <cell r="C389" t="str">
            <v>110kV 171 Bù Đốp - 171 &amp; 173 NMĐ Cần Đơn</v>
          </cell>
          <cell r="F389">
            <v>-50.2</v>
          </cell>
          <cell r="H389">
            <v>-47.9</v>
          </cell>
          <cell r="I389">
            <v>-32.5</v>
          </cell>
          <cell r="J389">
            <v>-49.5</v>
          </cell>
          <cell r="K389">
            <v>-48.3</v>
          </cell>
          <cell r="L389">
            <v>-50</v>
          </cell>
          <cell r="M389">
            <v>-50.2</v>
          </cell>
        </row>
        <row r="390">
          <cell r="C390" t="str">
            <v>110kV 172 Bù Đốp - 173 Lộc Ninh</v>
          </cell>
          <cell r="F390">
            <v>39.9</v>
          </cell>
          <cell r="H390">
            <v>29.4</v>
          </cell>
          <cell r="I390">
            <v>22.9</v>
          </cell>
          <cell r="J390">
            <v>39.9</v>
          </cell>
          <cell r="K390">
            <v>31.1</v>
          </cell>
          <cell r="L390">
            <v>32.200000000000003</v>
          </cell>
          <cell r="M390">
            <v>30.5</v>
          </cell>
        </row>
        <row r="391">
          <cell r="C391" t="str">
            <v>Cà Mau MBA T1 (phía 110kV)</v>
          </cell>
          <cell r="D391">
            <v>131</v>
          </cell>
          <cell r="E391">
            <v>30.4</v>
          </cell>
          <cell r="F391">
            <v>34.5</v>
          </cell>
          <cell r="G391">
            <v>34.5</v>
          </cell>
          <cell r="H391">
            <v>32.200000000000003</v>
          </cell>
          <cell r="I391">
            <v>30.5</v>
          </cell>
          <cell r="J391">
            <v>34.200000000000003</v>
          </cell>
          <cell r="K391">
            <v>30.4</v>
          </cell>
          <cell r="L391">
            <v>31.1</v>
          </cell>
          <cell r="M391">
            <v>32.4</v>
          </cell>
        </row>
        <row r="392">
          <cell r="C392" t="str">
            <v>Cà Mau MBA T2 (phía 110kV)</v>
          </cell>
          <cell r="D392">
            <v>132</v>
          </cell>
          <cell r="E392">
            <v>31.7</v>
          </cell>
          <cell r="F392">
            <v>36</v>
          </cell>
          <cell r="G392">
            <v>34.799999999999997</v>
          </cell>
          <cell r="H392">
            <v>35.5</v>
          </cell>
          <cell r="I392">
            <v>34.5</v>
          </cell>
          <cell r="J392">
            <v>36</v>
          </cell>
          <cell r="K392">
            <v>32</v>
          </cell>
          <cell r="L392">
            <v>31.7</v>
          </cell>
          <cell r="M392">
            <v>31.9</v>
          </cell>
        </row>
        <row r="393">
          <cell r="C393" t="str">
            <v>110kV 171 Cà Mau - 171 Giá Rai</v>
          </cell>
          <cell r="D393">
            <v>171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</row>
        <row r="394">
          <cell r="C394" t="str">
            <v>110kV 172 Cà Mau - 171 Khánh An</v>
          </cell>
          <cell r="D394">
            <v>172</v>
          </cell>
          <cell r="E394">
            <v>-61</v>
          </cell>
          <cell r="F394">
            <v>-68.900000000000006</v>
          </cell>
          <cell r="G394">
            <v>-67.8</v>
          </cell>
          <cell r="H394">
            <v>-65.7</v>
          </cell>
          <cell r="I394">
            <v>-64.2</v>
          </cell>
          <cell r="J394">
            <v>-68.900000000000006</v>
          </cell>
          <cell r="K394">
            <v>-61</v>
          </cell>
          <cell r="L394">
            <v>-62.9</v>
          </cell>
          <cell r="M394">
            <v>-64.400000000000006</v>
          </cell>
        </row>
        <row r="395">
          <cell r="C395" t="str">
            <v>Cà Mau MBA T1 (phía 22kV)</v>
          </cell>
          <cell r="D395">
            <v>431</v>
          </cell>
          <cell r="E395">
            <v>-31.6</v>
          </cell>
          <cell r="F395">
            <v>-36.299999999999997</v>
          </cell>
          <cell r="G395">
            <v>-36.299999999999997</v>
          </cell>
          <cell r="H395">
            <v>-33.6</v>
          </cell>
          <cell r="I395">
            <v>-31.8</v>
          </cell>
          <cell r="J395">
            <v>-35.700000000000003</v>
          </cell>
          <cell r="K395">
            <v>-31.6</v>
          </cell>
          <cell r="L395">
            <v>-32.5</v>
          </cell>
          <cell r="M395">
            <v>-33.5</v>
          </cell>
        </row>
        <row r="396">
          <cell r="C396" t="str">
            <v>Cà Mau MBA T2 (phía 22kV)</v>
          </cell>
          <cell r="D396">
            <v>432</v>
          </cell>
          <cell r="E396">
            <v>-30.5</v>
          </cell>
          <cell r="F396">
            <v>-34.799999999999997</v>
          </cell>
          <cell r="G396">
            <v>-33.5</v>
          </cell>
          <cell r="H396">
            <v>-34.299999999999997</v>
          </cell>
          <cell r="I396">
            <v>-33.4</v>
          </cell>
          <cell r="J396">
            <v>-34.799999999999997</v>
          </cell>
          <cell r="K396">
            <v>-31.1</v>
          </cell>
          <cell r="L396">
            <v>-30.5</v>
          </cell>
          <cell r="M396">
            <v>-30.8</v>
          </cell>
        </row>
        <row r="397">
          <cell r="C397" t="str">
            <v>220kV 272 Cà Mau 2 - 277 NMĐ Cà Mau</v>
          </cell>
          <cell r="E397">
            <v>0</v>
          </cell>
          <cell r="F397">
            <v>-154.9</v>
          </cell>
          <cell r="H397">
            <v>-147.4</v>
          </cell>
          <cell r="I397">
            <v>-137.4</v>
          </cell>
          <cell r="J397">
            <v>-154.9</v>
          </cell>
          <cell r="K397">
            <v>-136.6</v>
          </cell>
          <cell r="L397">
            <v>-135</v>
          </cell>
          <cell r="M397">
            <v>0</v>
          </cell>
        </row>
        <row r="398">
          <cell r="C398" t="str">
            <v>Cà Mau 2 MBA AT1 (phía 220kV)</v>
          </cell>
          <cell r="F398">
            <v>149.69999999999999</v>
          </cell>
          <cell r="H398">
            <v>142.5</v>
          </cell>
          <cell r="I398">
            <v>133.19999999999999</v>
          </cell>
          <cell r="J398">
            <v>149.69999999999999</v>
          </cell>
          <cell r="K398">
            <v>132.19999999999999</v>
          </cell>
          <cell r="L398">
            <v>130.6</v>
          </cell>
          <cell r="M398">
            <v>133.6</v>
          </cell>
        </row>
        <row r="399">
          <cell r="C399" t="str">
            <v>110kV 171 Cà Mau 2 - 172 Khánh An</v>
          </cell>
          <cell r="F399">
            <v>97.2</v>
          </cell>
          <cell r="H399">
            <v>90</v>
          </cell>
          <cell r="I399">
            <v>88.7</v>
          </cell>
          <cell r="J399">
            <v>97.2</v>
          </cell>
          <cell r="K399">
            <v>85.3</v>
          </cell>
          <cell r="L399">
            <v>89.6</v>
          </cell>
          <cell r="M399">
            <v>89.9</v>
          </cell>
        </row>
        <row r="400">
          <cell r="C400" t="str">
            <v>110kV 172 Cà Mau 2 - 171 An Xuyên</v>
          </cell>
          <cell r="F400">
            <v>82.7</v>
          </cell>
          <cell r="H400">
            <v>78.400000000000006</v>
          </cell>
          <cell r="I400">
            <v>68.099999999999994</v>
          </cell>
          <cell r="J400">
            <v>82.7</v>
          </cell>
          <cell r="K400">
            <v>71.7</v>
          </cell>
          <cell r="L400">
            <v>76.599999999999994</v>
          </cell>
          <cell r="M400">
            <v>74.2</v>
          </cell>
        </row>
        <row r="401">
          <cell r="C401" t="str">
            <v>Cà Mau 2 MBA AT1 (phía 110kV)</v>
          </cell>
          <cell r="F401">
            <v>-151.30000000000001</v>
          </cell>
          <cell r="H401">
            <v>-143.9</v>
          </cell>
          <cell r="I401">
            <v>-134.69999999999999</v>
          </cell>
          <cell r="J401">
            <v>-151.30000000000001</v>
          </cell>
          <cell r="K401">
            <v>-133.5</v>
          </cell>
          <cell r="L401">
            <v>-132</v>
          </cell>
          <cell r="M401">
            <v>-135.19999999999999</v>
          </cell>
        </row>
        <row r="402">
          <cell r="C402" t="str">
            <v>110kV 173 Cà Mau 2 - 172 Đầm Dơi</v>
          </cell>
          <cell r="F402">
            <v>85.4</v>
          </cell>
          <cell r="H402">
            <v>82.6</v>
          </cell>
          <cell r="I402">
            <v>79.2</v>
          </cell>
          <cell r="J402">
            <v>85.4</v>
          </cell>
          <cell r="K402">
            <v>76.900000000000006</v>
          </cell>
          <cell r="L402">
            <v>66.400000000000006</v>
          </cell>
          <cell r="M402">
            <v>72.3</v>
          </cell>
        </row>
        <row r="403">
          <cell r="C403" t="str">
            <v>110kV 174 Cà Mau 2 - 171 Trần Văn Thời</v>
          </cell>
          <cell r="F403">
            <v>47.6</v>
          </cell>
          <cell r="H403">
            <v>44.5</v>
          </cell>
          <cell r="I403">
            <v>47.3</v>
          </cell>
          <cell r="J403">
            <v>47.6</v>
          </cell>
          <cell r="K403">
            <v>42.8</v>
          </cell>
          <cell r="L403">
            <v>45.8</v>
          </cell>
          <cell r="M403">
            <v>43.6</v>
          </cell>
        </row>
        <row r="404">
          <cell r="C404" t="str">
            <v>Cà Mau 2 MBA AT2 (phía 220kV)</v>
          </cell>
          <cell r="F404">
            <v>158.30000000000001</v>
          </cell>
          <cell r="H404">
            <v>150.4</v>
          </cell>
          <cell r="I404">
            <v>140.5</v>
          </cell>
          <cell r="J404">
            <v>158.30000000000001</v>
          </cell>
          <cell r="K404">
            <v>139.6</v>
          </cell>
          <cell r="L404">
            <v>137.80000000000001</v>
          </cell>
          <cell r="M404">
            <v>141.19999999999999</v>
          </cell>
        </row>
        <row r="405">
          <cell r="C405" t="str">
            <v>Cà Mau 2 MBA AT2 (phía 110kV)</v>
          </cell>
          <cell r="F405">
            <v>-159.1</v>
          </cell>
          <cell r="H405">
            <v>-151.30000000000001</v>
          </cell>
          <cell r="I405">
            <v>-141.5</v>
          </cell>
          <cell r="J405">
            <v>-159.1</v>
          </cell>
          <cell r="K405">
            <v>-140.5</v>
          </cell>
          <cell r="L405">
            <v>-138.9</v>
          </cell>
          <cell r="M405">
            <v>-141.9</v>
          </cell>
        </row>
        <row r="406">
          <cell r="C406" t="str">
            <v>220kV 271 Cà Mau 2 - 278 NMĐ Cà Mau</v>
          </cell>
          <cell r="F406">
            <v>-277.5</v>
          </cell>
          <cell r="H406">
            <v>-148.5</v>
          </cell>
          <cell r="I406">
            <v>-138.9</v>
          </cell>
          <cell r="J406">
            <v>-156</v>
          </cell>
          <cell r="K406">
            <v>-137.6</v>
          </cell>
          <cell r="L406">
            <v>-136</v>
          </cell>
          <cell r="M406">
            <v>-277.5</v>
          </cell>
        </row>
        <row r="407">
          <cell r="C407" t="str">
            <v>Cái Bè MBA T1 (phía 110kV)</v>
          </cell>
          <cell r="D407">
            <v>131</v>
          </cell>
          <cell r="E407">
            <v>26.3</v>
          </cell>
          <cell r="F407">
            <v>42.8</v>
          </cell>
          <cell r="G407">
            <v>42.8</v>
          </cell>
          <cell r="H407">
            <v>39.799999999999997</v>
          </cell>
          <cell r="I407">
            <v>32.1</v>
          </cell>
          <cell r="J407">
            <v>37.200000000000003</v>
          </cell>
          <cell r="K407">
            <v>32.299999999999997</v>
          </cell>
          <cell r="L407">
            <v>34</v>
          </cell>
          <cell r="M407">
            <v>26.3</v>
          </cell>
        </row>
        <row r="408">
          <cell r="C408" t="str">
            <v>Cái Bè MBA T2 (phía 110kV)</v>
          </cell>
          <cell r="D408">
            <v>132</v>
          </cell>
          <cell r="E408">
            <v>23.2</v>
          </cell>
          <cell r="F408">
            <v>33.799999999999997</v>
          </cell>
          <cell r="G408">
            <v>33.799999999999997</v>
          </cell>
          <cell r="H408">
            <v>31</v>
          </cell>
          <cell r="I408">
            <v>25.1</v>
          </cell>
          <cell r="J408">
            <v>30.6</v>
          </cell>
          <cell r="K408">
            <v>26.4</v>
          </cell>
          <cell r="L408">
            <v>26.6</v>
          </cell>
          <cell r="M408">
            <v>23.2</v>
          </cell>
        </row>
        <row r="409">
          <cell r="C409" t="str">
            <v>110kV 171 Cái Bè - 173 Mỹ Thuận</v>
          </cell>
          <cell r="D409">
            <v>171</v>
          </cell>
          <cell r="E409">
            <v>0</v>
          </cell>
          <cell r="F409">
            <v>-58.8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-58.8</v>
          </cell>
          <cell r="M409">
            <v>0</v>
          </cell>
        </row>
        <row r="410">
          <cell r="C410" t="str">
            <v>110kV 172 Cái Bè - 175 Cai Lậy</v>
          </cell>
          <cell r="D410">
            <v>172</v>
          </cell>
          <cell r="E410">
            <v>-49.4</v>
          </cell>
          <cell r="F410">
            <v>-75.599999999999994</v>
          </cell>
          <cell r="G410">
            <v>-75.599999999999994</v>
          </cell>
          <cell r="H410">
            <v>-70.900000000000006</v>
          </cell>
          <cell r="I410">
            <v>-57.1</v>
          </cell>
          <cell r="J410">
            <v>-67.599999999999994</v>
          </cell>
          <cell r="K410">
            <v>-58.7</v>
          </cell>
          <cell r="L410">
            <v>-52.4</v>
          </cell>
          <cell r="M410">
            <v>-49.4</v>
          </cell>
        </row>
        <row r="411">
          <cell r="C411" t="str">
            <v>Cái Bè MBA T1 (phía 22kV)</v>
          </cell>
          <cell r="D411">
            <v>431</v>
          </cell>
          <cell r="E411">
            <v>-26.3</v>
          </cell>
          <cell r="F411">
            <v>-43</v>
          </cell>
          <cell r="G411">
            <v>-43</v>
          </cell>
          <cell r="H411">
            <v>-39.9</v>
          </cell>
          <cell r="I411">
            <v>-32.1</v>
          </cell>
          <cell r="J411">
            <v>-37.4</v>
          </cell>
          <cell r="K411">
            <v>-32.299999999999997</v>
          </cell>
          <cell r="L411">
            <v>-34.1</v>
          </cell>
          <cell r="M411">
            <v>-26.3</v>
          </cell>
        </row>
        <row r="412">
          <cell r="C412" t="str">
            <v>Cái Bè MBA T2 (phía 22kV)</v>
          </cell>
          <cell r="D412">
            <v>432</v>
          </cell>
          <cell r="E412">
            <v>-23.2</v>
          </cell>
          <cell r="F412">
            <v>-33.799999999999997</v>
          </cell>
          <cell r="G412">
            <v>-33.799999999999997</v>
          </cell>
          <cell r="H412">
            <v>-31.2</v>
          </cell>
          <cell r="I412">
            <v>-25.1</v>
          </cell>
          <cell r="J412">
            <v>-30.6</v>
          </cell>
          <cell r="K412">
            <v>-26.4</v>
          </cell>
          <cell r="L412">
            <v>-26.6</v>
          </cell>
          <cell r="M412">
            <v>-23.2</v>
          </cell>
        </row>
        <row r="413">
          <cell r="C413" t="str">
            <v>110kV 171 Cái Dầu - 171 An Châu</v>
          </cell>
          <cell r="E413">
            <v>0</v>
          </cell>
          <cell r="F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</row>
        <row r="414">
          <cell r="C414" t="str">
            <v>110kV 172 Cái Dầu - 171 Phú Tân</v>
          </cell>
          <cell r="E414">
            <v>0</v>
          </cell>
          <cell r="F414">
            <v>52.8</v>
          </cell>
          <cell r="H414">
            <v>52.8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</row>
        <row r="415">
          <cell r="C415" t="str">
            <v>Cái Dầu MBA T1 (phía 110kV)</v>
          </cell>
          <cell r="F415">
            <v>18.899999999999999</v>
          </cell>
          <cell r="H415">
            <v>17.8</v>
          </cell>
          <cell r="I415">
            <v>15.5</v>
          </cell>
          <cell r="J415">
            <v>18.899999999999999</v>
          </cell>
          <cell r="K415">
            <v>15.9</v>
          </cell>
          <cell r="L415">
            <v>17.3</v>
          </cell>
          <cell r="M415">
            <v>14.9</v>
          </cell>
        </row>
        <row r="416">
          <cell r="C416" t="str">
            <v>Cái Dầu MBA T2 (phía 110kV)</v>
          </cell>
          <cell r="F416">
            <v>20</v>
          </cell>
          <cell r="H416">
            <v>16.5</v>
          </cell>
          <cell r="I416">
            <v>20</v>
          </cell>
          <cell r="J416">
            <v>16.399999999999999</v>
          </cell>
          <cell r="K416">
            <v>16.2</v>
          </cell>
          <cell r="L416">
            <v>15.1</v>
          </cell>
          <cell r="M416">
            <v>13.6</v>
          </cell>
        </row>
        <row r="417">
          <cell r="C417" t="str">
            <v>Cái Dầu MBA T1 (phía 22kV)</v>
          </cell>
          <cell r="F417">
            <v>-18.7</v>
          </cell>
          <cell r="H417">
            <v>-17.5</v>
          </cell>
          <cell r="I417">
            <v>-15.3</v>
          </cell>
          <cell r="J417">
            <v>-18.7</v>
          </cell>
          <cell r="K417">
            <v>-15.9</v>
          </cell>
          <cell r="L417">
            <v>-16.8</v>
          </cell>
          <cell r="M417">
            <v>-15</v>
          </cell>
        </row>
        <row r="418">
          <cell r="C418" t="str">
            <v>Cái Dầu MBA T2 (phía 22kV)</v>
          </cell>
          <cell r="F418">
            <v>-19.8</v>
          </cell>
          <cell r="H418">
            <v>-16.600000000000001</v>
          </cell>
          <cell r="I418">
            <v>-19.8</v>
          </cell>
          <cell r="J418">
            <v>-16.399999999999999</v>
          </cell>
          <cell r="K418">
            <v>-16.3</v>
          </cell>
          <cell r="L418">
            <v>-15.3</v>
          </cell>
          <cell r="M418">
            <v>-13.4</v>
          </cell>
        </row>
        <row r="419">
          <cell r="C419" t="str">
            <v>110kV 173 Cái Dầu - 171 Châu Đốc 2</v>
          </cell>
          <cell r="F419">
            <v>-86.5</v>
          </cell>
          <cell r="H419">
            <v>-86.5</v>
          </cell>
          <cell r="I419">
            <v>-31.2</v>
          </cell>
          <cell r="J419">
            <v>-35.4</v>
          </cell>
          <cell r="K419">
            <v>-31.2</v>
          </cell>
          <cell r="L419">
            <v>-30.8</v>
          </cell>
          <cell r="M419">
            <v>-26.7</v>
          </cell>
        </row>
        <row r="420">
          <cell r="C420" t="str">
            <v>Cai Lậy MBA AT1 (phía 110kV)</v>
          </cell>
          <cell r="D420">
            <v>131</v>
          </cell>
          <cell r="E420">
            <v>-124.8</v>
          </cell>
          <cell r="F420">
            <v>-174.6</v>
          </cell>
          <cell r="G420">
            <v>-174.6</v>
          </cell>
          <cell r="H420">
            <v>-156.9</v>
          </cell>
          <cell r="I420">
            <v>-129.6</v>
          </cell>
          <cell r="J420">
            <v>-169.8</v>
          </cell>
          <cell r="K420">
            <v>-134.30000000000001</v>
          </cell>
          <cell r="L420">
            <v>-131.80000000000001</v>
          </cell>
          <cell r="M420">
            <v>-124.8</v>
          </cell>
        </row>
        <row r="421">
          <cell r="C421" t="str">
            <v>Cai Lậy MBA AT2 (phía 110kV)</v>
          </cell>
          <cell r="D421">
            <v>132</v>
          </cell>
          <cell r="E421">
            <v>-55.7</v>
          </cell>
          <cell r="F421">
            <v>-73.5</v>
          </cell>
          <cell r="G421">
            <v>-73.5</v>
          </cell>
          <cell r="H421">
            <v>-65.900000000000006</v>
          </cell>
          <cell r="I421">
            <v>-55.7</v>
          </cell>
          <cell r="J421">
            <v>-68.900000000000006</v>
          </cell>
          <cell r="K421">
            <v>-61.1</v>
          </cell>
          <cell r="L421">
            <v>-57.3</v>
          </cell>
          <cell r="M421">
            <v>-55.7</v>
          </cell>
        </row>
        <row r="422">
          <cell r="C422" t="str">
            <v>Cai Lậy MBA T3 (phía 110kV)</v>
          </cell>
          <cell r="D422">
            <v>133</v>
          </cell>
          <cell r="E422">
            <v>28.5</v>
          </cell>
          <cell r="F422">
            <v>34.4</v>
          </cell>
          <cell r="G422">
            <v>34.4</v>
          </cell>
          <cell r="H422">
            <v>30.9</v>
          </cell>
          <cell r="I422">
            <v>28.5</v>
          </cell>
          <cell r="J422">
            <v>33.6</v>
          </cell>
          <cell r="K422">
            <v>28.7</v>
          </cell>
          <cell r="L422">
            <v>29.6</v>
          </cell>
          <cell r="M422">
            <v>34.200000000000003</v>
          </cell>
        </row>
        <row r="423">
          <cell r="C423" t="str">
            <v>Cai Lậy MBA T4 (phía 110kV)</v>
          </cell>
          <cell r="D423">
            <v>134</v>
          </cell>
          <cell r="E423">
            <v>22.7</v>
          </cell>
          <cell r="F423">
            <v>30.2</v>
          </cell>
          <cell r="G423">
            <v>30.2</v>
          </cell>
          <cell r="H423">
            <v>24.6</v>
          </cell>
          <cell r="I423">
            <v>22.7</v>
          </cell>
          <cell r="J423">
            <v>26</v>
          </cell>
          <cell r="K423">
            <v>22.8</v>
          </cell>
          <cell r="L423">
            <v>22.8</v>
          </cell>
          <cell r="M423">
            <v>24.8</v>
          </cell>
        </row>
        <row r="424">
          <cell r="C424" t="str">
            <v>110kV 172 Cai Lậy - 174 Mỹ Tho 2</v>
          </cell>
          <cell r="D424">
            <v>172</v>
          </cell>
          <cell r="E424">
            <v>36.299999999999997</v>
          </cell>
          <cell r="F424">
            <v>67.5</v>
          </cell>
          <cell r="G424">
            <v>67.5</v>
          </cell>
          <cell r="H424">
            <v>66.400000000000006</v>
          </cell>
          <cell r="I424">
            <v>56.4</v>
          </cell>
          <cell r="J424">
            <v>64.599999999999994</v>
          </cell>
          <cell r="K424">
            <v>63.1</v>
          </cell>
          <cell r="L424">
            <v>42.6</v>
          </cell>
          <cell r="M424">
            <v>36.299999999999997</v>
          </cell>
        </row>
        <row r="425">
          <cell r="C425" t="str">
            <v>110kV 174 Cai Lậy - 171 Tân Thạnh</v>
          </cell>
          <cell r="D425">
            <v>174</v>
          </cell>
          <cell r="E425">
            <v>51.2</v>
          </cell>
          <cell r="F425">
            <v>63.4</v>
          </cell>
          <cell r="G425">
            <v>63.2</v>
          </cell>
          <cell r="H425">
            <v>60.4</v>
          </cell>
          <cell r="I425">
            <v>51.8</v>
          </cell>
          <cell r="J425">
            <v>63.4</v>
          </cell>
          <cell r="K425">
            <v>51.2</v>
          </cell>
          <cell r="L425">
            <v>55</v>
          </cell>
          <cell r="M425">
            <v>54.3</v>
          </cell>
        </row>
        <row r="426">
          <cell r="C426" t="str">
            <v>110kV 175 Cai Lậy - 172 Cái Bè</v>
          </cell>
          <cell r="D426">
            <v>175</v>
          </cell>
          <cell r="E426">
            <v>49.8</v>
          </cell>
          <cell r="F426">
            <v>76.400000000000006</v>
          </cell>
          <cell r="G426">
            <v>76.400000000000006</v>
          </cell>
          <cell r="H426">
            <v>71.5</v>
          </cell>
          <cell r="I426">
            <v>57.6</v>
          </cell>
          <cell r="J426">
            <v>68.3</v>
          </cell>
          <cell r="K426">
            <v>58.7</v>
          </cell>
          <cell r="L426">
            <v>53.1</v>
          </cell>
          <cell r="M426">
            <v>49.8</v>
          </cell>
        </row>
        <row r="427">
          <cell r="C427" t="str">
            <v>Cai Lậy MBA AT1 (phía 220kV)</v>
          </cell>
          <cell r="D427">
            <v>231</v>
          </cell>
          <cell r="E427">
            <v>124.8</v>
          </cell>
          <cell r="F427">
            <v>174.4</v>
          </cell>
          <cell r="G427">
            <v>174.4</v>
          </cell>
          <cell r="H427">
            <v>156.1</v>
          </cell>
          <cell r="I427">
            <v>129.6</v>
          </cell>
          <cell r="J427">
            <v>168.8</v>
          </cell>
          <cell r="K427">
            <v>134.69999999999999</v>
          </cell>
          <cell r="L427">
            <v>131.80000000000001</v>
          </cell>
          <cell r="M427">
            <v>124.8</v>
          </cell>
        </row>
        <row r="428">
          <cell r="C428" t="str">
            <v>Cai Lậy MBA AT2 (phía 220kV)</v>
          </cell>
          <cell r="D428">
            <v>232</v>
          </cell>
          <cell r="E428">
            <v>55.5</v>
          </cell>
          <cell r="F428">
            <v>73.599999999999994</v>
          </cell>
          <cell r="G428">
            <v>73.599999999999994</v>
          </cell>
          <cell r="H428">
            <v>65.900000000000006</v>
          </cell>
          <cell r="I428">
            <v>56</v>
          </cell>
          <cell r="J428">
            <v>69</v>
          </cell>
          <cell r="K428">
            <v>61.1</v>
          </cell>
          <cell r="L428">
            <v>57.3</v>
          </cell>
          <cell r="M428">
            <v>55.5</v>
          </cell>
        </row>
        <row r="429">
          <cell r="C429" t="str">
            <v>220kV 272 Cai Lậy - 271 Mỹ Tho 500kV</v>
          </cell>
          <cell r="D429">
            <v>272</v>
          </cell>
          <cell r="E429">
            <v>-132.1</v>
          </cell>
          <cell r="F429">
            <v>-194.1</v>
          </cell>
          <cell r="G429">
            <v>-159.19999999999999</v>
          </cell>
          <cell r="H429">
            <v>-153.4</v>
          </cell>
          <cell r="I429">
            <v>-149.19999999999999</v>
          </cell>
          <cell r="J429">
            <v>-179.5</v>
          </cell>
          <cell r="K429">
            <v>-132.1</v>
          </cell>
          <cell r="L429">
            <v>-152.30000000000001</v>
          </cell>
          <cell r="M429">
            <v>-194.1</v>
          </cell>
        </row>
        <row r="430">
          <cell r="C430" t="str">
            <v>220kV 273 Cai Lậy - 272 Mỹ Tho 500kV</v>
          </cell>
          <cell r="D430">
            <v>273</v>
          </cell>
          <cell r="E430">
            <v>-144.19999999999999</v>
          </cell>
          <cell r="F430">
            <v>-250.1</v>
          </cell>
          <cell r="G430">
            <v>-250.1</v>
          </cell>
          <cell r="H430">
            <v>-188.4</v>
          </cell>
          <cell r="I430">
            <v>-169.6</v>
          </cell>
          <cell r="J430">
            <v>-196.2</v>
          </cell>
          <cell r="K430">
            <v>-144.19999999999999</v>
          </cell>
          <cell r="L430">
            <v>-171.3</v>
          </cell>
          <cell r="M430">
            <v>-201.3</v>
          </cell>
        </row>
        <row r="431">
          <cell r="C431" t="str">
            <v>220kV 274 Cai Lậy - 272 Cao Lãnh 2</v>
          </cell>
          <cell r="D431">
            <v>274</v>
          </cell>
          <cell r="E431">
            <v>167.4</v>
          </cell>
          <cell r="F431">
            <v>225.5</v>
          </cell>
          <cell r="G431">
            <v>186.4</v>
          </cell>
          <cell r="H431">
            <v>189.2</v>
          </cell>
          <cell r="I431">
            <v>178.8</v>
          </cell>
          <cell r="J431">
            <v>212.4</v>
          </cell>
          <cell r="K431">
            <v>167.4</v>
          </cell>
          <cell r="L431">
            <v>192.3</v>
          </cell>
          <cell r="M431">
            <v>225.5</v>
          </cell>
        </row>
        <row r="432">
          <cell r="C432" t="str">
            <v>220kV 275 Cai Lậy - 271 Cao Lãnh 2</v>
          </cell>
          <cell r="D432">
            <v>275</v>
          </cell>
          <cell r="E432">
            <v>166.2</v>
          </cell>
          <cell r="F432">
            <v>226.3</v>
          </cell>
          <cell r="G432">
            <v>186.4</v>
          </cell>
          <cell r="H432">
            <v>187.6</v>
          </cell>
          <cell r="I432">
            <v>178.5</v>
          </cell>
          <cell r="J432">
            <v>212.2</v>
          </cell>
          <cell r="K432">
            <v>166.2</v>
          </cell>
          <cell r="L432">
            <v>190.3</v>
          </cell>
          <cell r="M432">
            <v>226.3</v>
          </cell>
        </row>
        <row r="433">
          <cell r="C433" t="str">
            <v>220kV 276 Cai Lậy - 273 Mỹ Tho 500kV</v>
          </cell>
          <cell r="D433">
            <v>276</v>
          </cell>
          <cell r="E433">
            <v>-113.5</v>
          </cell>
          <cell r="F433">
            <v>-166.1</v>
          </cell>
          <cell r="G433">
            <v>-135.6</v>
          </cell>
          <cell r="H433">
            <v>-132.6</v>
          </cell>
          <cell r="I433">
            <v>-128.6</v>
          </cell>
          <cell r="J433">
            <v>-153.6</v>
          </cell>
          <cell r="K433">
            <v>-113.5</v>
          </cell>
          <cell r="L433">
            <v>-132.6</v>
          </cell>
          <cell r="M433">
            <v>-166.1</v>
          </cell>
        </row>
        <row r="434">
          <cell r="C434" t="str">
            <v>220kV 277 Cai Lậy - 274 Mỹ Tho 500kV</v>
          </cell>
          <cell r="D434">
            <v>277</v>
          </cell>
          <cell r="E434">
            <v>-123.5</v>
          </cell>
          <cell r="F434">
            <v>-219.6</v>
          </cell>
          <cell r="G434">
            <v>-219.6</v>
          </cell>
          <cell r="H434">
            <v>-162.19999999999999</v>
          </cell>
          <cell r="I434">
            <v>-145.5</v>
          </cell>
          <cell r="J434">
            <v>-168</v>
          </cell>
          <cell r="K434">
            <v>-123.5</v>
          </cell>
          <cell r="L434">
            <v>-148.4</v>
          </cell>
          <cell r="M434">
            <v>-173.8</v>
          </cell>
        </row>
        <row r="435">
          <cell r="C435" t="str">
            <v>220kV 278 Cai Lậy - 275 Vĩnh Long 2</v>
          </cell>
          <cell r="D435">
            <v>278</v>
          </cell>
          <cell r="E435">
            <v>-33.4</v>
          </cell>
          <cell r="F435">
            <v>-83.8</v>
          </cell>
          <cell r="G435">
            <v>68.8</v>
          </cell>
          <cell r="H435">
            <v>-33.4</v>
          </cell>
          <cell r="I435">
            <v>-45.9</v>
          </cell>
          <cell r="J435">
            <v>-39.6</v>
          </cell>
          <cell r="K435">
            <v>-83.8</v>
          </cell>
          <cell r="L435">
            <v>39.1</v>
          </cell>
          <cell r="M435">
            <v>52.8</v>
          </cell>
        </row>
        <row r="436">
          <cell r="C436" t="str">
            <v>220kV 279 Cai Lậy - 276 Vĩnh Long 2</v>
          </cell>
          <cell r="D436">
            <v>279</v>
          </cell>
          <cell r="E436">
            <v>-28.9</v>
          </cell>
          <cell r="F436">
            <v>70.7</v>
          </cell>
          <cell r="G436">
            <v>70.7</v>
          </cell>
          <cell r="H436">
            <v>-33</v>
          </cell>
          <cell r="I436">
            <v>-47.7</v>
          </cell>
          <cell r="J436">
            <v>-41.7</v>
          </cell>
          <cell r="K436">
            <v>-28.9</v>
          </cell>
          <cell r="L436">
            <v>62.6</v>
          </cell>
          <cell r="M436">
            <v>53.5</v>
          </cell>
        </row>
        <row r="437">
          <cell r="C437" t="str">
            <v>Cai Lậy MBA T3 (phía 22kV)</v>
          </cell>
          <cell r="D437">
            <v>433</v>
          </cell>
          <cell r="E437">
            <v>-28.4</v>
          </cell>
          <cell r="F437">
            <v>-34.299999999999997</v>
          </cell>
          <cell r="G437">
            <v>-34.299999999999997</v>
          </cell>
          <cell r="H437">
            <v>-31.1</v>
          </cell>
          <cell r="I437">
            <v>-28.4</v>
          </cell>
          <cell r="J437">
            <v>-33.5</v>
          </cell>
          <cell r="K437">
            <v>-28.6</v>
          </cell>
          <cell r="L437">
            <v>-29.5</v>
          </cell>
          <cell r="M437">
            <v>-34</v>
          </cell>
        </row>
        <row r="438">
          <cell r="C438" t="str">
            <v>Cai Lậy MBA T4 (phía 22kV)</v>
          </cell>
          <cell r="D438">
            <v>434</v>
          </cell>
          <cell r="E438">
            <v>-22.7</v>
          </cell>
          <cell r="F438">
            <v>-30.2</v>
          </cell>
          <cell r="G438">
            <v>-30.2</v>
          </cell>
          <cell r="H438">
            <v>-24.5</v>
          </cell>
          <cell r="I438">
            <v>-22.7</v>
          </cell>
          <cell r="J438">
            <v>-25.9</v>
          </cell>
          <cell r="K438">
            <v>-22.7</v>
          </cell>
          <cell r="L438">
            <v>-22.8</v>
          </cell>
          <cell r="M438">
            <v>-24.8</v>
          </cell>
        </row>
        <row r="439">
          <cell r="C439" t="str">
            <v>110kV 171 Cái Mép - 174 Hyosung Vina Chemicals</v>
          </cell>
          <cell r="F439">
            <v>-13.4</v>
          </cell>
          <cell r="H439">
            <v>-8.6</v>
          </cell>
          <cell r="I439">
            <v>-6.9</v>
          </cell>
          <cell r="J439">
            <v>-7.3</v>
          </cell>
          <cell r="K439">
            <v>-13.3</v>
          </cell>
          <cell r="L439">
            <v>-13.4</v>
          </cell>
          <cell r="M439">
            <v>-10.3</v>
          </cell>
        </row>
        <row r="440">
          <cell r="C440" t="str">
            <v>110kV 172 Cái Mép - 171 Hyosung Vina Chemicals</v>
          </cell>
          <cell r="F440">
            <v>-13.3</v>
          </cell>
          <cell r="H440">
            <v>-8.6999999999999993</v>
          </cell>
          <cell r="I440">
            <v>-6.7</v>
          </cell>
          <cell r="J440">
            <v>-7.2</v>
          </cell>
          <cell r="K440">
            <v>-13.2</v>
          </cell>
          <cell r="L440">
            <v>-13.3</v>
          </cell>
          <cell r="M440">
            <v>-10.199999999999999</v>
          </cell>
        </row>
        <row r="441">
          <cell r="C441" t="str">
            <v>Cái Mép MBA T1 (phía 110kV)</v>
          </cell>
          <cell r="F441">
            <v>26.9</v>
          </cell>
          <cell r="H441">
            <v>17.2</v>
          </cell>
          <cell r="I441">
            <v>13.5</v>
          </cell>
          <cell r="J441">
            <v>14.6</v>
          </cell>
          <cell r="K441">
            <v>26.7</v>
          </cell>
          <cell r="L441">
            <v>26.9</v>
          </cell>
          <cell r="M441">
            <v>20.399999999999999</v>
          </cell>
        </row>
        <row r="442">
          <cell r="C442" t="str">
            <v>Cái Mép MBA T1 (phía 22 kV)</v>
          </cell>
          <cell r="F442">
            <v>-26.7</v>
          </cell>
          <cell r="H442">
            <v>-17.100000000000001</v>
          </cell>
          <cell r="I442">
            <v>-13.9</v>
          </cell>
          <cell r="J442">
            <v>-14.5</v>
          </cell>
          <cell r="K442">
            <v>-26.6</v>
          </cell>
          <cell r="L442">
            <v>-26.7</v>
          </cell>
          <cell r="M442">
            <v>-20.5</v>
          </cell>
        </row>
        <row r="443">
          <cell r="C443" t="str">
            <v>110kV 171 Cái Nước - 132 Ngọc Hiển</v>
          </cell>
          <cell r="F443">
            <v>28.9</v>
          </cell>
          <cell r="H443">
            <v>28.1</v>
          </cell>
          <cell r="I443">
            <v>28.4</v>
          </cell>
          <cell r="J443">
            <v>28.7</v>
          </cell>
          <cell r="K443">
            <v>24.9</v>
          </cell>
          <cell r="L443">
            <v>28.9</v>
          </cell>
          <cell r="M443">
            <v>27</v>
          </cell>
        </row>
        <row r="444">
          <cell r="C444" t="str">
            <v>110kV 172 Cái Nước - 171 Đầm Dơi</v>
          </cell>
          <cell r="F444">
            <v>-47.5</v>
          </cell>
          <cell r="H444">
            <v>-45.2</v>
          </cell>
          <cell r="I444">
            <v>-44.6</v>
          </cell>
          <cell r="J444">
            <v>-47</v>
          </cell>
          <cell r="K444">
            <v>-41.4</v>
          </cell>
          <cell r="L444">
            <v>-47.5</v>
          </cell>
          <cell r="M444">
            <v>-45.3</v>
          </cell>
        </row>
        <row r="445">
          <cell r="C445" t="str">
            <v>Cái Nước MBA T2 (phía 110kV)</v>
          </cell>
          <cell r="F445">
            <v>18.899999999999999</v>
          </cell>
          <cell r="H445">
            <v>17.600000000000001</v>
          </cell>
          <cell r="I445">
            <v>16.8</v>
          </cell>
          <cell r="J445">
            <v>18.899999999999999</v>
          </cell>
          <cell r="K445">
            <v>17.600000000000001</v>
          </cell>
          <cell r="L445">
            <v>18.7</v>
          </cell>
          <cell r="M445">
            <v>18.5</v>
          </cell>
        </row>
        <row r="446">
          <cell r="C446" t="str">
            <v>Cái Nước MBA T2 (phía 22kV)</v>
          </cell>
          <cell r="F446">
            <v>-18.8</v>
          </cell>
          <cell r="H446">
            <v>-17.600000000000001</v>
          </cell>
          <cell r="I446">
            <v>-16.8</v>
          </cell>
          <cell r="J446">
            <v>-18.8</v>
          </cell>
          <cell r="K446">
            <v>-17.600000000000001</v>
          </cell>
          <cell r="L446">
            <v>-18.7</v>
          </cell>
          <cell r="M446">
            <v>-18.399999999999999</v>
          </cell>
        </row>
        <row r="447">
          <cell r="C447" t="str">
            <v>110kV 171 Cẩm Mỹ - 174 Xuân Lộc 2</v>
          </cell>
          <cell r="F447">
            <v>-22.6</v>
          </cell>
          <cell r="H447">
            <v>-22.5</v>
          </cell>
          <cell r="I447">
            <v>-20.399999999999999</v>
          </cell>
          <cell r="J447">
            <v>-22.6</v>
          </cell>
          <cell r="K447">
            <v>-21.5</v>
          </cell>
          <cell r="L447">
            <v>-20.9</v>
          </cell>
          <cell r="M447">
            <v>-21.1</v>
          </cell>
        </row>
        <row r="448">
          <cell r="C448" t="str">
            <v>Cẩm Mỹ MBA T1 (phía 110kV)</v>
          </cell>
          <cell r="F448">
            <v>12.7</v>
          </cell>
          <cell r="H448">
            <v>12.7</v>
          </cell>
          <cell r="I448">
            <v>11.2</v>
          </cell>
          <cell r="J448">
            <v>12.4</v>
          </cell>
          <cell r="K448">
            <v>11.4</v>
          </cell>
          <cell r="L448">
            <v>11.3</v>
          </cell>
          <cell r="M448">
            <v>11.4</v>
          </cell>
        </row>
        <row r="449">
          <cell r="C449" t="str">
            <v>Cẩm Mỹ MBA T1 (phía 22kV)</v>
          </cell>
          <cell r="F449">
            <v>-12.8</v>
          </cell>
          <cell r="H449">
            <v>-12.8</v>
          </cell>
          <cell r="I449">
            <v>-11.3</v>
          </cell>
          <cell r="J449">
            <v>-12.5</v>
          </cell>
          <cell r="K449">
            <v>-11.6</v>
          </cell>
          <cell r="L449">
            <v>-11.4</v>
          </cell>
          <cell r="M449">
            <v>-11.4</v>
          </cell>
        </row>
        <row r="450">
          <cell r="C450" t="str">
            <v>110kV 172 Cẩm Mỹ - 171 Ngãi Giao</v>
          </cell>
          <cell r="E450">
            <v>0</v>
          </cell>
          <cell r="F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</row>
        <row r="451">
          <cell r="C451" t="str">
            <v>Cẩm Mỹ MBA T2 (phía 110kV)</v>
          </cell>
          <cell r="F451">
            <v>10</v>
          </cell>
          <cell r="H451">
            <v>10</v>
          </cell>
          <cell r="I451">
            <v>9</v>
          </cell>
          <cell r="J451">
            <v>10</v>
          </cell>
          <cell r="K451">
            <v>10</v>
          </cell>
          <cell r="L451">
            <v>10</v>
          </cell>
          <cell r="M451">
            <v>10</v>
          </cell>
        </row>
        <row r="452">
          <cell r="C452" t="str">
            <v>Cẩm Mỹ MBA T2 (phía 22kV)</v>
          </cell>
          <cell r="F452">
            <v>-10</v>
          </cell>
          <cell r="H452">
            <v>-10</v>
          </cell>
          <cell r="I452">
            <v>-9</v>
          </cell>
          <cell r="J452">
            <v>-10</v>
          </cell>
          <cell r="K452">
            <v>-10</v>
          </cell>
          <cell r="L452">
            <v>-10</v>
          </cell>
          <cell r="M452">
            <v>-10</v>
          </cell>
        </row>
        <row r="453">
          <cell r="C453" t="str">
            <v>Cần Đước MBA T1 (phía 110kV)</v>
          </cell>
          <cell r="F453">
            <v>22.1</v>
          </cell>
          <cell r="H453">
            <v>22.1</v>
          </cell>
          <cell r="I453">
            <v>20.2</v>
          </cell>
          <cell r="J453">
            <v>21.7</v>
          </cell>
          <cell r="K453">
            <v>9.1</v>
          </cell>
          <cell r="L453">
            <v>15.3</v>
          </cell>
          <cell r="M453">
            <v>8.9</v>
          </cell>
        </row>
        <row r="454">
          <cell r="C454" t="str">
            <v>Cần Đước MBA T1 (phía 22kV)</v>
          </cell>
          <cell r="F454">
            <v>-22.2</v>
          </cell>
          <cell r="H454">
            <v>-22.2</v>
          </cell>
          <cell r="I454">
            <v>-20.2</v>
          </cell>
          <cell r="J454">
            <v>-21.6</v>
          </cell>
          <cell r="K454">
            <v>-9</v>
          </cell>
          <cell r="L454">
            <v>-15.2</v>
          </cell>
          <cell r="M454">
            <v>-8.9</v>
          </cell>
        </row>
        <row r="455">
          <cell r="C455" t="str">
            <v>110kV 172 Cần Đước - 172 Gò Công</v>
          </cell>
          <cell r="F455">
            <v>94.3</v>
          </cell>
          <cell r="H455">
            <v>94.3</v>
          </cell>
          <cell r="I455">
            <v>81.3</v>
          </cell>
          <cell r="J455">
            <v>92.7</v>
          </cell>
          <cell r="K455">
            <v>88.4</v>
          </cell>
          <cell r="L455">
            <v>84.9</v>
          </cell>
          <cell r="M455">
            <v>94</v>
          </cell>
        </row>
        <row r="456">
          <cell r="C456" t="str">
            <v>110kV 171 Cần Đước - 175 Cần Đước 2</v>
          </cell>
          <cell r="F456">
            <v>-127.8</v>
          </cell>
          <cell r="H456">
            <v>-127.8</v>
          </cell>
          <cell r="I456">
            <v>-111.9</v>
          </cell>
          <cell r="J456">
            <v>-126.4</v>
          </cell>
          <cell r="K456">
            <v>-110.3</v>
          </cell>
          <cell r="L456">
            <v>-112.2</v>
          </cell>
          <cell r="M456">
            <v>-116.9</v>
          </cell>
        </row>
        <row r="457">
          <cell r="C457" t="str">
            <v>Cần Đước MBA T2 (phía 22kV)</v>
          </cell>
          <cell r="F457">
            <v>-14.4</v>
          </cell>
          <cell r="H457">
            <v>-14.4</v>
          </cell>
          <cell r="I457">
            <v>-12.5</v>
          </cell>
          <cell r="J457">
            <v>-13.3</v>
          </cell>
          <cell r="K457">
            <v>-12.5</v>
          </cell>
          <cell r="L457">
            <v>-12.3</v>
          </cell>
          <cell r="M457">
            <v>-13.9</v>
          </cell>
        </row>
        <row r="458">
          <cell r="C458" t="str">
            <v>Cần Đước MBA T2 (phía 110kV)</v>
          </cell>
          <cell r="F458">
            <v>14.3</v>
          </cell>
          <cell r="H458">
            <v>14.3</v>
          </cell>
          <cell r="I458">
            <v>12.4</v>
          </cell>
          <cell r="J458">
            <v>13.3</v>
          </cell>
          <cell r="K458">
            <v>12.4</v>
          </cell>
          <cell r="L458">
            <v>12.2</v>
          </cell>
          <cell r="M458">
            <v>13.8</v>
          </cell>
        </row>
        <row r="459">
          <cell r="C459" t="str">
            <v>220kV 273 Cần Đước 2 - 275 Mỹ Tho 2</v>
          </cell>
          <cell r="F459">
            <v>-166</v>
          </cell>
          <cell r="H459">
            <v>-144.1</v>
          </cell>
          <cell r="I459">
            <v>-136.5</v>
          </cell>
          <cell r="J459">
            <v>-166</v>
          </cell>
          <cell r="K459">
            <v>-154.30000000000001</v>
          </cell>
          <cell r="L459">
            <v>-116.2</v>
          </cell>
          <cell r="M459">
            <v>-152.5</v>
          </cell>
        </row>
        <row r="460">
          <cell r="C460" t="str">
            <v>220kV 274 Cần Đước 2 - 283 NMĐ Phú Mỹ 1</v>
          </cell>
          <cell r="F460">
            <v>-144.30000000000001</v>
          </cell>
          <cell r="H460">
            <v>-144.30000000000001</v>
          </cell>
          <cell r="I460">
            <v>-98.8</v>
          </cell>
          <cell r="J460">
            <v>-132.19999999999999</v>
          </cell>
          <cell r="K460">
            <v>-77.599999999999994</v>
          </cell>
          <cell r="L460">
            <v>-120.6</v>
          </cell>
          <cell r="M460">
            <v>-104.7</v>
          </cell>
        </row>
        <row r="461">
          <cell r="C461" t="str">
            <v>Cần Đước 2 MBA AT2 (phía 220kV)</v>
          </cell>
          <cell r="F461">
            <v>237.9</v>
          </cell>
          <cell r="H461">
            <v>237.9</v>
          </cell>
          <cell r="I461">
            <v>205.1</v>
          </cell>
          <cell r="J461">
            <v>236.7</v>
          </cell>
          <cell r="K461">
            <v>217.5</v>
          </cell>
          <cell r="L461">
            <v>194.7</v>
          </cell>
          <cell r="M461">
            <v>190.3</v>
          </cell>
        </row>
        <row r="462">
          <cell r="C462" t="str">
            <v>110kV 174 Cần Đước 2 - (171-7) Tân Tập</v>
          </cell>
          <cell r="F462">
            <v>14.3</v>
          </cell>
          <cell r="H462">
            <v>14.1</v>
          </cell>
          <cell r="I462">
            <v>13.4</v>
          </cell>
          <cell r="J462">
            <v>14.3</v>
          </cell>
          <cell r="K462">
            <v>13</v>
          </cell>
          <cell r="L462">
            <v>13.3</v>
          </cell>
          <cell r="M462">
            <v>13.1</v>
          </cell>
        </row>
        <row r="463">
          <cell r="C463" t="str">
            <v>110kV 175 Cần Đước 2 - 171 Cần Đước</v>
          </cell>
          <cell r="F463">
            <v>128.30000000000001</v>
          </cell>
          <cell r="H463">
            <v>128.30000000000001</v>
          </cell>
          <cell r="I463">
            <v>111.5</v>
          </cell>
          <cell r="J463">
            <v>126.3</v>
          </cell>
          <cell r="K463">
            <v>109.8</v>
          </cell>
          <cell r="L463">
            <v>111.8</v>
          </cell>
          <cell r="M463">
            <v>116.4</v>
          </cell>
        </row>
        <row r="464">
          <cell r="C464" t="str">
            <v>110kV 176 Cần Đước 2 - 171 Cần Giuộc</v>
          </cell>
          <cell r="F464">
            <v>78</v>
          </cell>
          <cell r="H464">
            <v>78</v>
          </cell>
          <cell r="I464">
            <v>70.400000000000006</v>
          </cell>
          <cell r="J464">
            <v>74.8</v>
          </cell>
          <cell r="K464">
            <v>73.099999999999994</v>
          </cell>
          <cell r="L464">
            <v>53.6</v>
          </cell>
          <cell r="M464">
            <v>51.3</v>
          </cell>
        </row>
        <row r="465">
          <cell r="C465" t="str">
            <v>Cần Đước 2 MBA AT2 (phía 110kV)</v>
          </cell>
          <cell r="F465">
            <v>-237.6</v>
          </cell>
          <cell r="H465">
            <v>-237.6</v>
          </cell>
          <cell r="I465">
            <v>-205.4</v>
          </cell>
          <cell r="J465">
            <v>-237</v>
          </cell>
          <cell r="K465">
            <v>-217.9</v>
          </cell>
          <cell r="L465">
            <v>-195.2</v>
          </cell>
          <cell r="M465">
            <v>-190.9</v>
          </cell>
        </row>
        <row r="466">
          <cell r="C466" t="str">
            <v>Cần Đước 2 MBA T4 (phía 110kV)</v>
          </cell>
          <cell r="F466">
            <v>34.200000000000003</v>
          </cell>
          <cell r="H466">
            <v>29.9</v>
          </cell>
          <cell r="I466">
            <v>26</v>
          </cell>
          <cell r="J466">
            <v>28.8</v>
          </cell>
          <cell r="K466">
            <v>34.200000000000003</v>
          </cell>
          <cell r="L466">
            <v>21.5</v>
          </cell>
          <cell r="M466">
            <v>24</v>
          </cell>
        </row>
        <row r="467">
          <cell r="C467" t="str">
            <v>Cần Đước 2 MBA T4 (phía 22kV)</v>
          </cell>
          <cell r="F467">
            <v>-32.700000000000003</v>
          </cell>
          <cell r="H467">
            <v>-28.9</v>
          </cell>
          <cell r="I467">
            <v>-25.2</v>
          </cell>
          <cell r="J467">
            <v>-28.1</v>
          </cell>
          <cell r="K467">
            <v>-32.700000000000003</v>
          </cell>
          <cell r="L467">
            <v>-21.2</v>
          </cell>
          <cell r="M467">
            <v>-23.2</v>
          </cell>
        </row>
        <row r="468">
          <cell r="C468" t="str">
            <v>Cần Giờ MBA T1 (phía 110kV)</v>
          </cell>
          <cell r="D468">
            <v>131</v>
          </cell>
          <cell r="E468">
            <v>1.7</v>
          </cell>
          <cell r="F468">
            <v>2</v>
          </cell>
          <cell r="G468">
            <v>2</v>
          </cell>
          <cell r="H468">
            <v>2</v>
          </cell>
          <cell r="I468">
            <v>1.7</v>
          </cell>
          <cell r="J468">
            <v>1.9</v>
          </cell>
          <cell r="K468">
            <v>1.7</v>
          </cell>
          <cell r="L468">
            <v>1.7</v>
          </cell>
          <cell r="M468">
            <v>1.9</v>
          </cell>
        </row>
        <row r="469">
          <cell r="C469" t="str">
            <v>Cần Giờ MBA T2 (phía 110kV)</v>
          </cell>
          <cell r="D469">
            <v>132</v>
          </cell>
          <cell r="E469">
            <v>3.3</v>
          </cell>
          <cell r="F469">
            <v>4.2</v>
          </cell>
          <cell r="G469">
            <v>4.2</v>
          </cell>
          <cell r="H469">
            <v>4.0999999999999996</v>
          </cell>
          <cell r="I469">
            <v>3.3</v>
          </cell>
          <cell r="J469">
            <v>4</v>
          </cell>
          <cell r="K469">
            <v>3.6</v>
          </cell>
          <cell r="L469">
            <v>3.6</v>
          </cell>
          <cell r="M469">
            <v>4</v>
          </cell>
        </row>
        <row r="470">
          <cell r="C470" t="str">
            <v>110kV 171 Cần Giờ - 176 Nhà Bè</v>
          </cell>
          <cell r="D470">
            <v>171</v>
          </cell>
          <cell r="E470">
            <v>-5.2</v>
          </cell>
          <cell r="F470">
            <v>-6.5</v>
          </cell>
          <cell r="G470">
            <v>-6.5</v>
          </cell>
          <cell r="H470">
            <v>-6.3</v>
          </cell>
          <cell r="I470">
            <v>-5.2</v>
          </cell>
          <cell r="J470">
            <v>-6.2</v>
          </cell>
          <cell r="K470">
            <v>-5.4</v>
          </cell>
          <cell r="L470">
            <v>-5.4</v>
          </cell>
          <cell r="M470">
            <v>-6.2</v>
          </cell>
        </row>
        <row r="471">
          <cell r="C471" t="str">
            <v>110kV 172 Cần Giờ - 171 An Nghĩa</v>
          </cell>
          <cell r="D471">
            <v>172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</row>
        <row r="472">
          <cell r="C472" t="str">
            <v>Cần Giờ MBA T1 (phía 22kV)</v>
          </cell>
          <cell r="D472">
            <v>431</v>
          </cell>
          <cell r="E472">
            <v>-1.9</v>
          </cell>
          <cell r="F472">
            <v>-2.2000000000000002</v>
          </cell>
          <cell r="G472">
            <v>-2.2000000000000002</v>
          </cell>
          <cell r="H472">
            <v>-2.2000000000000002</v>
          </cell>
          <cell r="I472">
            <v>-1.9</v>
          </cell>
          <cell r="J472">
            <v>-2.2000000000000002</v>
          </cell>
          <cell r="K472">
            <v>-1.9</v>
          </cell>
          <cell r="L472">
            <v>-1.9</v>
          </cell>
          <cell r="M472">
            <v>-2.2000000000000002</v>
          </cell>
        </row>
        <row r="473">
          <cell r="C473" t="str">
            <v>Cần Giờ MBA T2 (phía 22kV)</v>
          </cell>
          <cell r="D473">
            <v>432</v>
          </cell>
          <cell r="E473">
            <v>-3.3</v>
          </cell>
          <cell r="F473">
            <v>-4.2</v>
          </cell>
          <cell r="G473">
            <v>-4.2</v>
          </cell>
          <cell r="H473">
            <v>-4.0999999999999996</v>
          </cell>
          <cell r="I473">
            <v>-3.3</v>
          </cell>
          <cell r="J473">
            <v>-4</v>
          </cell>
          <cell r="K473">
            <v>-3.6</v>
          </cell>
          <cell r="L473">
            <v>-3.6</v>
          </cell>
          <cell r="M473">
            <v>-4</v>
          </cell>
        </row>
        <row r="474">
          <cell r="C474" t="str">
            <v>110kV 171 Cần Giuộc - 176 Cần Đước 2</v>
          </cell>
          <cell r="F474">
            <v>-77.8</v>
          </cell>
          <cell r="H474">
            <v>-77.8</v>
          </cell>
          <cell r="I474">
            <v>-70.5</v>
          </cell>
          <cell r="J474">
            <v>-75.099999999999994</v>
          </cell>
          <cell r="K474">
            <v>-72.400000000000006</v>
          </cell>
          <cell r="L474">
            <v>-53.7</v>
          </cell>
          <cell r="M474">
            <v>-51.4</v>
          </cell>
        </row>
        <row r="475">
          <cell r="C475" t="str">
            <v>110kV 172 Cần Giuộc - 172 Long Hậu</v>
          </cell>
          <cell r="F475">
            <v>53.8</v>
          </cell>
          <cell r="H475">
            <v>53.8</v>
          </cell>
          <cell r="I475">
            <v>48.6</v>
          </cell>
          <cell r="J475">
            <v>53.8</v>
          </cell>
          <cell r="K475">
            <v>52.2</v>
          </cell>
          <cell r="L475">
            <v>27.9</v>
          </cell>
          <cell r="M475">
            <v>27.7</v>
          </cell>
        </row>
        <row r="476">
          <cell r="C476" t="str">
            <v>Cần Giuộc MBA T1 (phía 110kV)</v>
          </cell>
          <cell r="F476">
            <v>31.2</v>
          </cell>
          <cell r="H476">
            <v>31.2</v>
          </cell>
          <cell r="I476">
            <v>26.5</v>
          </cell>
          <cell r="J476">
            <v>26.6</v>
          </cell>
          <cell r="K476">
            <v>26.5</v>
          </cell>
          <cell r="L476">
            <v>26</v>
          </cell>
          <cell r="M476">
            <v>23.9</v>
          </cell>
        </row>
        <row r="477">
          <cell r="C477" t="str">
            <v>Cần Giuộc MBA T1 (phía 22kV)</v>
          </cell>
          <cell r="F477">
            <v>-31.2</v>
          </cell>
          <cell r="H477">
            <v>-31.2</v>
          </cell>
          <cell r="I477">
            <v>-26.4</v>
          </cell>
          <cell r="J477">
            <v>-26.8</v>
          </cell>
          <cell r="K477">
            <v>-26.6</v>
          </cell>
          <cell r="L477">
            <v>-26</v>
          </cell>
          <cell r="M477">
            <v>-23.7</v>
          </cell>
        </row>
        <row r="478">
          <cell r="C478" t="str">
            <v>Cần Thơ MBA T1 (phía 110kV)</v>
          </cell>
          <cell r="D478">
            <v>131</v>
          </cell>
          <cell r="E478">
            <v>38.200000000000003</v>
          </cell>
          <cell r="F478">
            <v>47</v>
          </cell>
          <cell r="G478">
            <v>38.200000000000003</v>
          </cell>
          <cell r="H478">
            <v>46.7</v>
          </cell>
          <cell r="I478">
            <v>39.200000000000003</v>
          </cell>
          <cell r="J478">
            <v>47</v>
          </cell>
          <cell r="K478">
            <v>39.700000000000003</v>
          </cell>
          <cell r="L478">
            <v>41.7</v>
          </cell>
          <cell r="M478">
            <v>40.299999999999997</v>
          </cell>
        </row>
        <row r="479">
          <cell r="C479" t="str">
            <v>Cần Thơ MBA T2 (phía 110kV)</v>
          </cell>
          <cell r="D479">
            <v>132</v>
          </cell>
          <cell r="E479">
            <v>35</v>
          </cell>
          <cell r="F479">
            <v>60.1</v>
          </cell>
          <cell r="G479">
            <v>60.1</v>
          </cell>
          <cell r="H479">
            <v>45</v>
          </cell>
          <cell r="I479">
            <v>36.299999999999997</v>
          </cell>
          <cell r="J479">
            <v>42.6</v>
          </cell>
          <cell r="K479">
            <v>36.1</v>
          </cell>
          <cell r="L479">
            <v>36.5</v>
          </cell>
          <cell r="M479">
            <v>35</v>
          </cell>
        </row>
        <row r="480">
          <cell r="C480" t="str">
            <v>110kV 171 Cần Thơ - 172 Long Hòa</v>
          </cell>
          <cell r="D480">
            <v>171</v>
          </cell>
          <cell r="E480">
            <v>-38.299999999999997</v>
          </cell>
          <cell r="F480">
            <v>-47</v>
          </cell>
          <cell r="G480">
            <v>-38.299999999999997</v>
          </cell>
          <cell r="H480">
            <v>-46.5</v>
          </cell>
          <cell r="I480">
            <v>-39.299999999999997</v>
          </cell>
          <cell r="J480">
            <v>-47</v>
          </cell>
          <cell r="K480">
            <v>-39.799999999999997</v>
          </cell>
          <cell r="L480">
            <v>-41.9</v>
          </cell>
          <cell r="M480">
            <v>-40.4</v>
          </cell>
        </row>
        <row r="481">
          <cell r="C481" t="str">
            <v>110kV 172 Cần Thơ - 178 Cần Thơ 2</v>
          </cell>
          <cell r="D481">
            <v>172</v>
          </cell>
          <cell r="E481">
            <v>-35.200000000000003</v>
          </cell>
          <cell r="F481">
            <v>-60.3</v>
          </cell>
          <cell r="G481">
            <v>-60.3</v>
          </cell>
          <cell r="H481">
            <v>-45.2</v>
          </cell>
          <cell r="I481">
            <v>-36.5</v>
          </cell>
          <cell r="J481">
            <v>-42.7</v>
          </cell>
          <cell r="K481">
            <v>-36.299999999999997</v>
          </cell>
          <cell r="L481">
            <v>-36.799999999999997</v>
          </cell>
          <cell r="M481">
            <v>-35.200000000000003</v>
          </cell>
        </row>
        <row r="482">
          <cell r="C482" t="str">
            <v>Cần Thơ MBA T1 (phía 22kV)</v>
          </cell>
          <cell r="D482">
            <v>431</v>
          </cell>
          <cell r="E482">
            <v>-38.4</v>
          </cell>
          <cell r="F482">
            <v>-46.8</v>
          </cell>
          <cell r="G482">
            <v>-38.4</v>
          </cell>
          <cell r="H482">
            <v>-46.4</v>
          </cell>
          <cell r="I482">
            <v>-39</v>
          </cell>
          <cell r="J482">
            <v>-46.8</v>
          </cell>
          <cell r="K482">
            <v>-39.799999999999997</v>
          </cell>
          <cell r="L482">
            <v>-41.6</v>
          </cell>
          <cell r="M482">
            <v>-40.200000000000003</v>
          </cell>
        </row>
        <row r="483">
          <cell r="C483" t="str">
            <v>Cần Thơ MBA T2 (phía 22kV)</v>
          </cell>
          <cell r="D483">
            <v>432</v>
          </cell>
          <cell r="E483">
            <v>-34.9</v>
          </cell>
          <cell r="F483">
            <v>-59.9</v>
          </cell>
          <cell r="G483">
            <v>-59.9</v>
          </cell>
          <cell r="H483">
            <v>-44.9</v>
          </cell>
          <cell r="I483">
            <v>-36.200000000000003</v>
          </cell>
          <cell r="J483">
            <v>-42.4</v>
          </cell>
          <cell r="K483">
            <v>-36</v>
          </cell>
          <cell r="L483">
            <v>-36.5</v>
          </cell>
          <cell r="M483">
            <v>-34.9</v>
          </cell>
        </row>
        <row r="484">
          <cell r="C484" t="str">
            <v>220kV 276 Cần Thơ 2 - 272 Ô Môn 2</v>
          </cell>
          <cell r="F484">
            <v>-114.8</v>
          </cell>
          <cell r="H484">
            <v>-110.1</v>
          </cell>
          <cell r="I484">
            <v>-94.7</v>
          </cell>
          <cell r="J484">
            <v>-114.8</v>
          </cell>
          <cell r="K484">
            <v>-97.8</v>
          </cell>
          <cell r="L484">
            <v>-85.5</v>
          </cell>
          <cell r="M484">
            <v>-84</v>
          </cell>
        </row>
        <row r="485">
          <cell r="C485" t="str">
            <v>220kV 275 Cần Thơ 2 - 271 Trà Nóc</v>
          </cell>
          <cell r="F485">
            <v>-67.2</v>
          </cell>
          <cell r="H485">
            <v>-64.400000000000006</v>
          </cell>
          <cell r="I485">
            <v>-58.8</v>
          </cell>
          <cell r="J485">
            <v>-67.2</v>
          </cell>
          <cell r="K485">
            <v>-63.4</v>
          </cell>
          <cell r="L485">
            <v>-54.7</v>
          </cell>
          <cell r="M485">
            <v>-54.7</v>
          </cell>
        </row>
        <row r="486">
          <cell r="C486" t="str">
            <v>Cần Thơ 2 MBA AT2 (phía 220kV)</v>
          </cell>
          <cell r="F486">
            <v>181.6</v>
          </cell>
          <cell r="H486">
            <v>177.8</v>
          </cell>
          <cell r="I486">
            <v>160.6</v>
          </cell>
          <cell r="J486">
            <v>181.6</v>
          </cell>
          <cell r="K486">
            <v>163.6</v>
          </cell>
          <cell r="L486">
            <v>139.1</v>
          </cell>
          <cell r="M486">
            <v>146.80000000000001</v>
          </cell>
        </row>
        <row r="487">
          <cell r="C487" t="str">
            <v>110kV 180 Cần Thơ 2 - 173 Trà Nóc</v>
          </cell>
          <cell r="E487">
            <v>0</v>
          </cell>
          <cell r="F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</row>
        <row r="488">
          <cell r="C488" t="str">
            <v>110kV 179 Cần Thơ 2 - 171 Châu Thành</v>
          </cell>
          <cell r="F488">
            <v>74.900000000000006</v>
          </cell>
          <cell r="H488">
            <v>67</v>
          </cell>
          <cell r="I488">
            <v>63.1</v>
          </cell>
          <cell r="J488">
            <v>74.900000000000006</v>
          </cell>
          <cell r="K488">
            <v>64.3</v>
          </cell>
          <cell r="L488">
            <v>66</v>
          </cell>
          <cell r="M488">
            <v>60.2</v>
          </cell>
        </row>
        <row r="489">
          <cell r="C489" t="str">
            <v>110kV 178 Cần Thơ 2 - 172 Cần Thơ</v>
          </cell>
          <cell r="F489">
            <v>43.8</v>
          </cell>
          <cell r="H489">
            <v>43.8</v>
          </cell>
          <cell r="I489">
            <v>32.200000000000003</v>
          </cell>
          <cell r="J489">
            <v>39.799999999999997</v>
          </cell>
          <cell r="K489">
            <v>35.799999999999997</v>
          </cell>
          <cell r="L489">
            <v>32.1</v>
          </cell>
          <cell r="M489">
            <v>28.3</v>
          </cell>
        </row>
        <row r="490">
          <cell r="C490" t="str">
            <v>Cần Thơ 2 MBA AT2 (phía 110kV)</v>
          </cell>
          <cell r="F490">
            <v>-182.2</v>
          </cell>
          <cell r="H490">
            <v>-176.9</v>
          </cell>
          <cell r="I490">
            <v>-160.69999999999999</v>
          </cell>
          <cell r="J490">
            <v>-182.2</v>
          </cell>
          <cell r="K490">
            <v>-163.6</v>
          </cell>
          <cell r="L490">
            <v>-138.9</v>
          </cell>
          <cell r="M490">
            <v>-143.5</v>
          </cell>
        </row>
        <row r="491">
          <cell r="C491" t="str">
            <v>110kV 177 Cần Thơ 2 - 172 Hưng Phú</v>
          </cell>
          <cell r="F491">
            <v>41.2</v>
          </cell>
          <cell r="H491">
            <v>40.700000000000003</v>
          </cell>
          <cell r="I491">
            <v>32.9</v>
          </cell>
          <cell r="J491">
            <v>41.2</v>
          </cell>
          <cell r="K491">
            <v>35.5</v>
          </cell>
          <cell r="L491">
            <v>35.1</v>
          </cell>
          <cell r="M491">
            <v>32.1</v>
          </cell>
        </row>
        <row r="492">
          <cell r="C492" t="str">
            <v>110kV 176 Cần Thơ 2 - 171 Phú Xuân</v>
          </cell>
          <cell r="F492">
            <v>27.6</v>
          </cell>
          <cell r="H492">
            <v>24.3</v>
          </cell>
          <cell r="I492">
            <v>18.899999999999999</v>
          </cell>
          <cell r="J492">
            <v>27.6</v>
          </cell>
          <cell r="K492">
            <v>23.4</v>
          </cell>
          <cell r="L492">
            <v>20.399999999999999</v>
          </cell>
          <cell r="M492">
            <v>22</v>
          </cell>
        </row>
        <row r="493">
          <cell r="C493" t="str">
            <v>Cao Lãnh MBA T1 (phía 110kV)</v>
          </cell>
          <cell r="D493">
            <v>131</v>
          </cell>
          <cell r="E493">
            <v>25.8</v>
          </cell>
          <cell r="F493">
            <v>32.9</v>
          </cell>
          <cell r="G493">
            <v>32.9</v>
          </cell>
          <cell r="H493">
            <v>29</v>
          </cell>
          <cell r="I493">
            <v>26.6</v>
          </cell>
          <cell r="J493">
            <v>32.700000000000003</v>
          </cell>
          <cell r="K493">
            <v>25.8</v>
          </cell>
          <cell r="L493">
            <v>27.7</v>
          </cell>
          <cell r="M493">
            <v>27.7</v>
          </cell>
        </row>
        <row r="494">
          <cell r="C494" t="str">
            <v>Cao Lãnh MBA T2 (phía 110kV)</v>
          </cell>
          <cell r="D494">
            <v>132</v>
          </cell>
          <cell r="E494">
            <v>21.8</v>
          </cell>
          <cell r="F494">
            <v>27.7</v>
          </cell>
          <cell r="G494">
            <v>27.7</v>
          </cell>
          <cell r="H494">
            <v>24.5</v>
          </cell>
          <cell r="I494">
            <v>22.4</v>
          </cell>
          <cell r="J494">
            <v>27.3</v>
          </cell>
          <cell r="K494">
            <v>21.8</v>
          </cell>
          <cell r="L494">
            <v>22.2</v>
          </cell>
          <cell r="M494">
            <v>21.8</v>
          </cell>
        </row>
        <row r="495">
          <cell r="C495" t="str">
            <v>110kV 171 Cao Lãnh - 173 Cao Lãnh 2</v>
          </cell>
          <cell r="D495">
            <v>171</v>
          </cell>
          <cell r="E495">
            <v>-74.099999999999994</v>
          </cell>
          <cell r="F495">
            <v>-89.4</v>
          </cell>
          <cell r="G495">
            <v>-87.9</v>
          </cell>
          <cell r="H495">
            <v>-82.8</v>
          </cell>
          <cell r="I495">
            <v>-75.099999999999994</v>
          </cell>
          <cell r="J495">
            <v>-89.4</v>
          </cell>
          <cell r="K495">
            <v>-74.099999999999994</v>
          </cell>
          <cell r="L495">
            <v>-77.599999999999994</v>
          </cell>
          <cell r="M495">
            <v>-74.099999999999994</v>
          </cell>
        </row>
        <row r="496">
          <cell r="C496" t="str">
            <v>110kV 172 Cao Lãnh - 172 Trần Quốc Toản</v>
          </cell>
          <cell r="D496">
            <v>172</v>
          </cell>
          <cell r="E496">
            <v>92</v>
          </cell>
          <cell r="F496">
            <v>120.7</v>
          </cell>
          <cell r="G496">
            <v>107.7</v>
          </cell>
          <cell r="H496">
            <v>107.9</v>
          </cell>
          <cell r="I496">
            <v>97.1</v>
          </cell>
          <cell r="J496">
            <v>120.7</v>
          </cell>
          <cell r="K496">
            <v>94.5</v>
          </cell>
          <cell r="L496">
            <v>98.6</v>
          </cell>
          <cell r="M496">
            <v>92</v>
          </cell>
        </row>
        <row r="497">
          <cell r="C497" t="str">
            <v>110kV 173 Cao Lãnh - 171 Cao Lãnh 2</v>
          </cell>
          <cell r="D497">
            <v>173</v>
          </cell>
          <cell r="E497">
            <v>-68.400000000000006</v>
          </cell>
          <cell r="F497">
            <v>-82.8</v>
          </cell>
          <cell r="G497">
            <v>-81.7</v>
          </cell>
          <cell r="H497">
            <v>-77.099999999999994</v>
          </cell>
          <cell r="I497">
            <v>-69.5</v>
          </cell>
          <cell r="J497">
            <v>-82.8</v>
          </cell>
          <cell r="K497">
            <v>-68.400000000000006</v>
          </cell>
          <cell r="L497">
            <v>-71.5</v>
          </cell>
          <cell r="M497">
            <v>-68.400000000000006</v>
          </cell>
        </row>
        <row r="498">
          <cell r="C498" t="str">
            <v>Cao Lãnh MBA T1 (phía 22kV)</v>
          </cell>
          <cell r="D498">
            <v>431</v>
          </cell>
          <cell r="E498">
            <v>-25.6</v>
          </cell>
          <cell r="F498">
            <v>-32.6</v>
          </cell>
          <cell r="G498">
            <v>-32.6</v>
          </cell>
          <cell r="H498">
            <v>-28.8</v>
          </cell>
          <cell r="I498">
            <v>-26.3</v>
          </cell>
          <cell r="J498">
            <v>-32.5</v>
          </cell>
          <cell r="K498">
            <v>-25.6</v>
          </cell>
          <cell r="L498">
            <v>-27.3</v>
          </cell>
          <cell r="M498">
            <v>-27.5</v>
          </cell>
        </row>
        <row r="499">
          <cell r="C499" t="str">
            <v>Cao Lãnh MBA T2 (phía 22kV)</v>
          </cell>
          <cell r="D499">
            <v>432</v>
          </cell>
          <cell r="E499">
            <v>-22.6</v>
          </cell>
          <cell r="F499">
            <v>-28.9</v>
          </cell>
          <cell r="G499">
            <v>-28.9</v>
          </cell>
          <cell r="H499">
            <v>-25.6</v>
          </cell>
          <cell r="I499">
            <v>-23.4</v>
          </cell>
          <cell r="J499">
            <v>-28.1</v>
          </cell>
          <cell r="K499">
            <v>-22.6</v>
          </cell>
          <cell r="L499">
            <v>-23.4</v>
          </cell>
          <cell r="M499">
            <v>-23</v>
          </cell>
        </row>
        <row r="500">
          <cell r="C500" t="str">
            <v>Cao Lãnh 2 MBA AT1 (phía 110kV)</v>
          </cell>
          <cell r="D500">
            <v>131</v>
          </cell>
          <cell r="E500">
            <v>-141.80000000000001</v>
          </cell>
          <cell r="F500">
            <v>-179.2</v>
          </cell>
          <cell r="G500">
            <v>-141.80000000000001</v>
          </cell>
          <cell r="H500">
            <v>-152</v>
          </cell>
          <cell r="I500">
            <v>-149.80000000000001</v>
          </cell>
          <cell r="J500">
            <v>-179.2</v>
          </cell>
          <cell r="K500">
            <v>-146.80000000000001</v>
          </cell>
          <cell r="L500">
            <v>-170.6</v>
          </cell>
          <cell r="M500">
            <v>-149.9</v>
          </cell>
        </row>
        <row r="501">
          <cell r="C501" t="str">
            <v>Cao Lãnh 2 MBA AT2 (phía 110kV)</v>
          </cell>
          <cell r="D501">
            <v>132</v>
          </cell>
          <cell r="E501">
            <v>-141</v>
          </cell>
          <cell r="F501">
            <v>-178.2</v>
          </cell>
          <cell r="G501">
            <v>-141</v>
          </cell>
          <cell r="H501">
            <v>-152</v>
          </cell>
          <cell r="I501">
            <v>-149</v>
          </cell>
          <cell r="J501">
            <v>-178.2</v>
          </cell>
          <cell r="K501">
            <v>-146.30000000000001</v>
          </cell>
          <cell r="L501">
            <v>-170.6</v>
          </cell>
          <cell r="M501">
            <v>-149.4</v>
          </cell>
        </row>
        <row r="502">
          <cell r="C502" t="str">
            <v>110kV 171 Cao Lãnh 2 - 173 Cao Lãnh</v>
          </cell>
          <cell r="D502">
            <v>171</v>
          </cell>
          <cell r="E502">
            <v>67.2</v>
          </cell>
          <cell r="F502">
            <v>82.2</v>
          </cell>
          <cell r="G502">
            <v>70.7</v>
          </cell>
          <cell r="H502">
            <v>76.7</v>
          </cell>
          <cell r="I502">
            <v>68.2</v>
          </cell>
          <cell r="J502">
            <v>82.2</v>
          </cell>
          <cell r="K502">
            <v>67.2</v>
          </cell>
          <cell r="L502">
            <v>71</v>
          </cell>
          <cell r="M502">
            <v>67.599999999999994</v>
          </cell>
        </row>
        <row r="503">
          <cell r="C503" t="str">
            <v>110kV 172 Cao Lãnh 2 - 172 Thạnh Hưng</v>
          </cell>
          <cell r="D503">
            <v>172</v>
          </cell>
          <cell r="E503">
            <v>74.3</v>
          </cell>
          <cell r="F503">
            <v>113.3</v>
          </cell>
          <cell r="G503">
            <v>74.3</v>
          </cell>
          <cell r="H503">
            <v>79.5</v>
          </cell>
          <cell r="I503">
            <v>102.1</v>
          </cell>
          <cell r="J503">
            <v>113.3</v>
          </cell>
          <cell r="K503">
            <v>98.7</v>
          </cell>
          <cell r="L503">
            <v>102.6</v>
          </cell>
          <cell r="M503">
            <v>100.8</v>
          </cell>
        </row>
        <row r="504">
          <cell r="C504" t="str">
            <v>110kV 173 Cao Lãnh 2 - 171 Cao Lãnh</v>
          </cell>
          <cell r="D504">
            <v>173</v>
          </cell>
          <cell r="E504">
            <v>72.7</v>
          </cell>
          <cell r="F504">
            <v>81.400000000000006</v>
          </cell>
          <cell r="G504">
            <v>76.099999999999994</v>
          </cell>
          <cell r="H504">
            <v>81.400000000000006</v>
          </cell>
          <cell r="I504">
            <v>74.3</v>
          </cell>
          <cell r="J504">
            <v>79.900000000000006</v>
          </cell>
          <cell r="K504">
            <v>79.900000000000006</v>
          </cell>
          <cell r="L504">
            <v>76.099999999999994</v>
          </cell>
          <cell r="M504">
            <v>72.7</v>
          </cell>
        </row>
        <row r="505">
          <cell r="C505" t="str">
            <v>110kV 174 Cao Lãnh 2 - 172 Mỹ Thuận</v>
          </cell>
          <cell r="D505">
            <v>174</v>
          </cell>
          <cell r="E505">
            <v>21.9</v>
          </cell>
          <cell r="F505">
            <v>84</v>
          </cell>
          <cell r="G505">
            <v>25.2</v>
          </cell>
          <cell r="H505">
            <v>25.5</v>
          </cell>
          <cell r="I505">
            <v>21.9</v>
          </cell>
          <cell r="J505">
            <v>27.9</v>
          </cell>
          <cell r="K505">
            <v>22.4</v>
          </cell>
          <cell r="L505">
            <v>84</v>
          </cell>
          <cell r="M505">
            <v>23.8</v>
          </cell>
        </row>
        <row r="506">
          <cell r="C506" t="str">
            <v>110kV 175 Cao Lãnh 2 - 171 Tháp Mười</v>
          </cell>
          <cell r="D506">
            <v>175</v>
          </cell>
          <cell r="E506">
            <v>37.1</v>
          </cell>
          <cell r="F506">
            <v>48</v>
          </cell>
          <cell r="G506">
            <v>37.1</v>
          </cell>
          <cell r="H506">
            <v>43.4</v>
          </cell>
          <cell r="I506">
            <v>40.299999999999997</v>
          </cell>
          <cell r="J506">
            <v>48</v>
          </cell>
          <cell r="K506">
            <v>40.700000000000003</v>
          </cell>
          <cell r="L506">
            <v>41.3</v>
          </cell>
          <cell r="M506">
            <v>37.799999999999997</v>
          </cell>
        </row>
        <row r="507">
          <cell r="C507" t="str">
            <v>Cao Lãnh 2 MBA AT1 (phía 220kV)</v>
          </cell>
          <cell r="D507">
            <v>231</v>
          </cell>
          <cell r="E507">
            <v>78.900000000000006</v>
          </cell>
          <cell r="F507">
            <v>179.2</v>
          </cell>
          <cell r="G507">
            <v>138.4</v>
          </cell>
          <cell r="H507">
            <v>152.6</v>
          </cell>
          <cell r="I507">
            <v>150</v>
          </cell>
          <cell r="J507">
            <v>179.2</v>
          </cell>
          <cell r="K507">
            <v>78.900000000000006</v>
          </cell>
          <cell r="L507">
            <v>171.6</v>
          </cell>
          <cell r="M507">
            <v>150.69999999999999</v>
          </cell>
        </row>
        <row r="508">
          <cell r="C508" t="str">
            <v>Cao Lãnh 2 MBA AT2 (phía 220kV)</v>
          </cell>
          <cell r="D508">
            <v>232</v>
          </cell>
          <cell r="E508">
            <v>141.6</v>
          </cell>
          <cell r="F508">
            <v>179.2</v>
          </cell>
          <cell r="G508">
            <v>141.6</v>
          </cell>
          <cell r="H508">
            <v>152.1</v>
          </cell>
          <cell r="I508">
            <v>149</v>
          </cell>
          <cell r="J508">
            <v>179.2</v>
          </cell>
          <cell r="K508">
            <v>146.1</v>
          </cell>
          <cell r="L508">
            <v>170.9</v>
          </cell>
          <cell r="M508">
            <v>149.80000000000001</v>
          </cell>
        </row>
        <row r="509">
          <cell r="C509" t="str">
            <v>220kV 271 Cao Lãnh 2 - 275 Cai Lậy</v>
          </cell>
          <cell r="D509">
            <v>271</v>
          </cell>
          <cell r="E509">
            <v>-165.7</v>
          </cell>
          <cell r="F509">
            <v>-223.8</v>
          </cell>
          <cell r="G509">
            <v>-181.7</v>
          </cell>
          <cell r="H509">
            <v>-188</v>
          </cell>
          <cell r="I509">
            <v>-177.4</v>
          </cell>
          <cell r="J509">
            <v>-211.6</v>
          </cell>
          <cell r="K509">
            <v>-165.7</v>
          </cell>
          <cell r="L509">
            <v>-190.3</v>
          </cell>
          <cell r="M509">
            <v>-223.8</v>
          </cell>
        </row>
        <row r="510">
          <cell r="C510" t="str">
            <v>220kV 272 Cao Lãnh 2 - 274 Cai Lậy</v>
          </cell>
          <cell r="D510">
            <v>272</v>
          </cell>
          <cell r="E510">
            <v>-166</v>
          </cell>
          <cell r="F510">
            <v>-224.9</v>
          </cell>
          <cell r="G510">
            <v>-182.1</v>
          </cell>
          <cell r="H510">
            <v>-187.8</v>
          </cell>
          <cell r="I510">
            <v>-179.1</v>
          </cell>
          <cell r="J510">
            <v>-212.2</v>
          </cell>
          <cell r="K510">
            <v>-166</v>
          </cell>
          <cell r="L510">
            <v>-190.6</v>
          </cell>
          <cell r="M510">
            <v>-224.9</v>
          </cell>
        </row>
        <row r="511">
          <cell r="C511" t="str">
            <v>220kV 273 Cao Lãnh 2 - 277 Thốt Nốt 2</v>
          </cell>
          <cell r="D511">
            <v>273</v>
          </cell>
          <cell r="E511">
            <v>33.4</v>
          </cell>
          <cell r="F511">
            <v>74.900000000000006</v>
          </cell>
          <cell r="G511">
            <v>-44.5</v>
          </cell>
          <cell r="H511">
            <v>56.3</v>
          </cell>
          <cell r="I511">
            <v>-44.2</v>
          </cell>
          <cell r="J511">
            <v>-45.4</v>
          </cell>
          <cell r="K511">
            <v>-47.8</v>
          </cell>
          <cell r="L511">
            <v>33.4</v>
          </cell>
          <cell r="M511">
            <v>74.900000000000006</v>
          </cell>
        </row>
        <row r="512">
          <cell r="C512" t="str">
            <v>220kV 274 Cao Lãnh 2 - 276 Thốt Nốt 2</v>
          </cell>
          <cell r="D512">
            <v>274</v>
          </cell>
          <cell r="E512">
            <v>31.7</v>
          </cell>
          <cell r="F512">
            <v>72.900000000000006</v>
          </cell>
          <cell r="G512">
            <v>-44.8</v>
          </cell>
          <cell r="H512">
            <v>54.5</v>
          </cell>
          <cell r="I512">
            <v>-45.5</v>
          </cell>
          <cell r="J512">
            <v>-44.4</v>
          </cell>
          <cell r="K512">
            <v>-48.1</v>
          </cell>
          <cell r="L512">
            <v>31.7</v>
          </cell>
          <cell r="M512">
            <v>72.900000000000006</v>
          </cell>
        </row>
        <row r="513">
          <cell r="C513" t="str">
            <v>Cát Lái MBA AT1 (phía 110kV)</v>
          </cell>
          <cell r="D513">
            <v>131</v>
          </cell>
          <cell r="E513">
            <v>-56.4</v>
          </cell>
          <cell r="F513">
            <v>-125.4</v>
          </cell>
          <cell r="G513">
            <v>-73.8</v>
          </cell>
          <cell r="H513">
            <v>-73.7</v>
          </cell>
          <cell r="I513">
            <v>-61.4</v>
          </cell>
          <cell r="J513">
            <v>-125.4</v>
          </cell>
          <cell r="K513">
            <v>-65.2</v>
          </cell>
          <cell r="L513">
            <v>-57.4</v>
          </cell>
          <cell r="M513">
            <v>-56.4</v>
          </cell>
        </row>
        <row r="514">
          <cell r="C514" t="str">
            <v>Cát Lái MBA AT2 (phía 110kV)</v>
          </cell>
          <cell r="D514">
            <v>132</v>
          </cell>
          <cell r="E514">
            <v>-59.9</v>
          </cell>
          <cell r="F514">
            <v>-133.80000000000001</v>
          </cell>
          <cell r="G514">
            <v>-79.099999999999994</v>
          </cell>
          <cell r="H514">
            <v>-78.599999999999994</v>
          </cell>
          <cell r="I514">
            <v>-64.900000000000006</v>
          </cell>
          <cell r="J514">
            <v>-133.80000000000001</v>
          </cell>
          <cell r="K514">
            <v>-69.900000000000006</v>
          </cell>
          <cell r="L514">
            <v>-61.5</v>
          </cell>
          <cell r="M514">
            <v>-59.9</v>
          </cell>
        </row>
        <row r="515">
          <cell r="C515" t="str">
            <v>Cát Lái MBA T4 (phía 110kV)</v>
          </cell>
          <cell r="D515">
            <v>134</v>
          </cell>
          <cell r="E515">
            <v>32</v>
          </cell>
          <cell r="F515">
            <v>60.1</v>
          </cell>
          <cell r="G515">
            <v>43.7</v>
          </cell>
          <cell r="H515">
            <v>44.5</v>
          </cell>
          <cell r="I515">
            <v>32</v>
          </cell>
          <cell r="J515">
            <v>48</v>
          </cell>
          <cell r="K515">
            <v>40.1</v>
          </cell>
          <cell r="L515">
            <v>37.299999999999997</v>
          </cell>
          <cell r="M515">
            <v>60.1</v>
          </cell>
        </row>
        <row r="516">
          <cell r="C516" t="str">
            <v>Cát Lái MBA T5 (phía 110kV)</v>
          </cell>
          <cell r="D516">
            <v>135</v>
          </cell>
          <cell r="E516">
            <v>43.1</v>
          </cell>
          <cell r="F516">
            <v>55.6</v>
          </cell>
          <cell r="G516">
            <v>55.6</v>
          </cell>
          <cell r="H516">
            <v>46.7</v>
          </cell>
          <cell r="I516">
            <v>43.1</v>
          </cell>
          <cell r="J516">
            <v>51.5</v>
          </cell>
          <cell r="K516">
            <v>44.2</v>
          </cell>
          <cell r="L516">
            <v>53.1</v>
          </cell>
          <cell r="M516">
            <v>45</v>
          </cell>
        </row>
        <row r="517">
          <cell r="C517" t="str">
            <v>110kV 171 Cát Lái - 171 Thủ Đức Đông - (178-7) Intel</v>
          </cell>
          <cell r="D517">
            <v>171</v>
          </cell>
          <cell r="E517">
            <v>18</v>
          </cell>
          <cell r="F517">
            <v>79.3</v>
          </cell>
          <cell r="G517">
            <v>35.4</v>
          </cell>
          <cell r="H517">
            <v>33.4</v>
          </cell>
          <cell r="I517">
            <v>26.3</v>
          </cell>
          <cell r="J517">
            <v>79.3</v>
          </cell>
          <cell r="K517">
            <v>27.5</v>
          </cell>
          <cell r="L517">
            <v>18</v>
          </cell>
          <cell r="M517">
            <v>21.3</v>
          </cell>
        </row>
        <row r="518">
          <cell r="C518" t="str">
            <v>110kV 172 Cát Lái - 173 Tăng Nhơn Phú - 172 Thủ Đức Đông</v>
          </cell>
          <cell r="D518">
            <v>172</v>
          </cell>
          <cell r="E518">
            <v>17.7</v>
          </cell>
          <cell r="F518">
            <v>80.599999999999994</v>
          </cell>
          <cell r="G518">
            <v>36.5</v>
          </cell>
          <cell r="H518">
            <v>33.4</v>
          </cell>
          <cell r="I518">
            <v>26.7</v>
          </cell>
          <cell r="J518">
            <v>80.599999999999994</v>
          </cell>
          <cell r="K518">
            <v>27.6</v>
          </cell>
          <cell r="L518">
            <v>17.7</v>
          </cell>
          <cell r="M518">
            <v>21</v>
          </cell>
        </row>
        <row r="519">
          <cell r="C519" t="str">
            <v>110kV 175 Cát Lái - 172 Công Nghệ Cao</v>
          </cell>
          <cell r="D519">
            <v>175</v>
          </cell>
          <cell r="E519">
            <v>-0.2</v>
          </cell>
          <cell r="F519">
            <v>-0.4</v>
          </cell>
          <cell r="G519">
            <v>0.3</v>
          </cell>
          <cell r="H519">
            <v>-0.3</v>
          </cell>
          <cell r="I519">
            <v>-0.4</v>
          </cell>
          <cell r="J519">
            <v>-0.2</v>
          </cell>
          <cell r="K519">
            <v>-0.2</v>
          </cell>
          <cell r="L519">
            <v>-0.3</v>
          </cell>
          <cell r="M519">
            <v>-0.4</v>
          </cell>
        </row>
        <row r="520">
          <cell r="C520" t="str">
            <v>110kV 178 Cát Lái - 131 Sao Mai</v>
          </cell>
          <cell r="D520">
            <v>178</v>
          </cell>
          <cell r="E520">
            <v>0.2</v>
          </cell>
          <cell r="F520">
            <v>1.9</v>
          </cell>
          <cell r="G520">
            <v>1.9</v>
          </cell>
          <cell r="H520">
            <v>1.4</v>
          </cell>
          <cell r="I520">
            <v>0.6</v>
          </cell>
          <cell r="J520">
            <v>1.1000000000000001</v>
          </cell>
          <cell r="K520">
            <v>0.2</v>
          </cell>
          <cell r="L520">
            <v>1.2</v>
          </cell>
          <cell r="M520">
            <v>-0.3</v>
          </cell>
        </row>
        <row r="521">
          <cell r="C521" t="str">
            <v>Cát Lái MBA AT1 (phía 220kV)</v>
          </cell>
          <cell r="D521">
            <v>231</v>
          </cell>
          <cell r="E521">
            <v>56.4</v>
          </cell>
          <cell r="F521">
            <v>126</v>
          </cell>
          <cell r="G521">
            <v>73.8</v>
          </cell>
          <cell r="H521">
            <v>73.8</v>
          </cell>
          <cell r="I521">
            <v>61.4</v>
          </cell>
          <cell r="J521">
            <v>126</v>
          </cell>
          <cell r="K521">
            <v>65.5</v>
          </cell>
          <cell r="L521">
            <v>57.4</v>
          </cell>
          <cell r="M521">
            <v>56.4</v>
          </cell>
        </row>
        <row r="522">
          <cell r="C522" t="str">
            <v>Cát Lái MBA AT2 (phía 220kV)</v>
          </cell>
          <cell r="D522">
            <v>232</v>
          </cell>
          <cell r="E522">
            <v>59.2</v>
          </cell>
          <cell r="F522">
            <v>132.69999999999999</v>
          </cell>
          <cell r="G522">
            <v>78.8</v>
          </cell>
          <cell r="H522">
            <v>78.099999999999994</v>
          </cell>
          <cell r="I522">
            <v>64.5</v>
          </cell>
          <cell r="J522">
            <v>132.69999999999999</v>
          </cell>
          <cell r="K522">
            <v>68.900000000000006</v>
          </cell>
          <cell r="L522">
            <v>60.9</v>
          </cell>
          <cell r="M522">
            <v>59.2</v>
          </cell>
        </row>
        <row r="523">
          <cell r="C523" t="str">
            <v>220kV 271 Cát Lái - 276 Mỹ Xuân 2</v>
          </cell>
          <cell r="D523">
            <v>271</v>
          </cell>
          <cell r="E523">
            <v>-137.1</v>
          </cell>
          <cell r="F523">
            <v>-230.4</v>
          </cell>
          <cell r="G523">
            <v>-224.8</v>
          </cell>
          <cell r="H523">
            <v>-207.9</v>
          </cell>
          <cell r="I523">
            <v>-137.1</v>
          </cell>
          <cell r="J523">
            <v>-222.9</v>
          </cell>
          <cell r="K523">
            <v>-211.6</v>
          </cell>
          <cell r="L523">
            <v>-230.4</v>
          </cell>
          <cell r="M523">
            <v>-170.6</v>
          </cell>
        </row>
        <row r="524">
          <cell r="C524" t="str">
            <v>220kV 272 Cát Lái - 275 Mỹ Xuân 2</v>
          </cell>
          <cell r="D524">
            <v>272</v>
          </cell>
          <cell r="E524">
            <v>-130.5</v>
          </cell>
          <cell r="F524">
            <v>-223.1</v>
          </cell>
          <cell r="G524">
            <v>-214.5</v>
          </cell>
          <cell r="H524">
            <v>-198.4</v>
          </cell>
          <cell r="I524">
            <v>-130.5</v>
          </cell>
          <cell r="J524">
            <v>-211.5</v>
          </cell>
          <cell r="K524">
            <v>-204.8</v>
          </cell>
          <cell r="L524">
            <v>-223.1</v>
          </cell>
          <cell r="M524">
            <v>-166.3</v>
          </cell>
        </row>
        <row r="525">
          <cell r="C525" t="str">
            <v>220kV 273 Cát Lái - 273 NMĐ Nhơn Trạch 1 &amp; 2</v>
          </cell>
          <cell r="D525">
            <v>273</v>
          </cell>
          <cell r="E525">
            <v>-56.1</v>
          </cell>
          <cell r="F525">
            <v>-256.89999999999998</v>
          </cell>
          <cell r="G525">
            <v>-177.2</v>
          </cell>
          <cell r="H525">
            <v>-169.9</v>
          </cell>
          <cell r="I525">
            <v>-146.69999999999999</v>
          </cell>
          <cell r="J525">
            <v>-256.89999999999998</v>
          </cell>
          <cell r="K525">
            <v>-181.9</v>
          </cell>
          <cell r="L525">
            <v>-152.19999999999999</v>
          </cell>
          <cell r="M525">
            <v>-56.1</v>
          </cell>
        </row>
        <row r="526">
          <cell r="C526" t="str">
            <v>220kV 274 Cát Lái - 274 NMĐ Nhơn Trạch 1 &amp; 2</v>
          </cell>
          <cell r="D526">
            <v>274</v>
          </cell>
          <cell r="E526">
            <v>-45.4</v>
          </cell>
          <cell r="F526">
            <v>-234.3</v>
          </cell>
          <cell r="G526">
            <v>-159.9</v>
          </cell>
          <cell r="H526">
            <v>-155.5</v>
          </cell>
          <cell r="I526">
            <v>-130.80000000000001</v>
          </cell>
          <cell r="J526">
            <v>-234.3</v>
          </cell>
          <cell r="K526">
            <v>-170</v>
          </cell>
          <cell r="L526">
            <v>-141.30000000000001</v>
          </cell>
          <cell r="M526">
            <v>-45.4</v>
          </cell>
        </row>
        <row r="527">
          <cell r="C527" t="str">
            <v>220kV 275 Cát Lái - 271 Công Nghệ Cao</v>
          </cell>
          <cell r="D527">
            <v>275</v>
          </cell>
          <cell r="E527">
            <v>0</v>
          </cell>
          <cell r="F527">
            <v>102.8</v>
          </cell>
          <cell r="G527">
            <v>102.8</v>
          </cell>
          <cell r="H527">
            <v>95.2</v>
          </cell>
          <cell r="I527">
            <v>86.5</v>
          </cell>
          <cell r="J527">
            <v>0</v>
          </cell>
          <cell r="K527">
            <v>85.4</v>
          </cell>
          <cell r="L527">
            <v>81.8</v>
          </cell>
          <cell r="M527">
            <v>80.5</v>
          </cell>
        </row>
        <row r="528">
          <cell r="C528" t="str">
            <v>220kV 276 Cát Lái - 272 Công Nghệ Cao</v>
          </cell>
          <cell r="D528">
            <v>276</v>
          </cell>
          <cell r="E528">
            <v>0</v>
          </cell>
          <cell r="F528">
            <v>56.7</v>
          </cell>
          <cell r="G528">
            <v>31.3</v>
          </cell>
          <cell r="H528">
            <v>33.1</v>
          </cell>
          <cell r="I528">
            <v>36.6</v>
          </cell>
          <cell r="J528">
            <v>0</v>
          </cell>
          <cell r="K528">
            <v>56.7</v>
          </cell>
          <cell r="L528">
            <v>34.4</v>
          </cell>
          <cell r="M528">
            <v>54.1</v>
          </cell>
        </row>
        <row r="529">
          <cell r="C529" t="str">
            <v>220kV 277 Cát Lái - 275 Thủ Đức</v>
          </cell>
          <cell r="D529">
            <v>277</v>
          </cell>
          <cell r="E529">
            <v>147.1</v>
          </cell>
          <cell r="F529">
            <v>364.3</v>
          </cell>
          <cell r="G529">
            <v>317.8</v>
          </cell>
          <cell r="H529">
            <v>280.7</v>
          </cell>
          <cell r="I529">
            <v>206.3</v>
          </cell>
          <cell r="J529">
            <v>364.3</v>
          </cell>
          <cell r="K529">
            <v>240.8</v>
          </cell>
          <cell r="L529">
            <v>283.5</v>
          </cell>
          <cell r="M529">
            <v>147.1</v>
          </cell>
        </row>
        <row r="530">
          <cell r="C530" t="str">
            <v>220kV 278 Cát Lái - 276 Thủ Đức</v>
          </cell>
          <cell r="D530">
            <v>278</v>
          </cell>
          <cell r="E530">
            <v>83.1</v>
          </cell>
          <cell r="F530">
            <v>298.89999999999998</v>
          </cell>
          <cell r="G530">
            <v>194.9</v>
          </cell>
          <cell r="H530">
            <v>177.7</v>
          </cell>
          <cell r="I530">
            <v>113.5</v>
          </cell>
          <cell r="J530">
            <v>298.89999999999998</v>
          </cell>
          <cell r="K530">
            <v>156.9</v>
          </cell>
          <cell r="L530">
            <v>207</v>
          </cell>
          <cell r="M530">
            <v>83.1</v>
          </cell>
        </row>
        <row r="531">
          <cell r="C531" t="str">
            <v>Cát Lái MBA T4 (phía 22kV)</v>
          </cell>
          <cell r="D531">
            <v>434</v>
          </cell>
          <cell r="E531">
            <v>-17.3</v>
          </cell>
          <cell r="F531">
            <v>-30.7</v>
          </cell>
          <cell r="G531">
            <v>-23.8</v>
          </cell>
          <cell r="H531">
            <v>-22.1</v>
          </cell>
          <cell r="I531">
            <v>-17.3</v>
          </cell>
          <cell r="J531">
            <v>-23.6</v>
          </cell>
          <cell r="K531">
            <v>-17.8</v>
          </cell>
          <cell r="L531">
            <v>-18.600000000000001</v>
          </cell>
          <cell r="M531">
            <v>-30.7</v>
          </cell>
        </row>
        <row r="532">
          <cell r="C532" t="str">
            <v>Cát Lái MBA T5 (phía 22kV)</v>
          </cell>
          <cell r="D532">
            <v>435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</row>
        <row r="533">
          <cell r="C533" t="str">
            <v>500kV 573 Cầu Bông - 574 Pleiku 2</v>
          </cell>
          <cell r="F533">
            <v>-547.79999999999995</v>
          </cell>
          <cell r="H533">
            <v>-547.79999999999995</v>
          </cell>
          <cell r="I533">
            <v>-542.4</v>
          </cell>
          <cell r="J533">
            <v>-202.7</v>
          </cell>
          <cell r="K533">
            <v>-277.8</v>
          </cell>
          <cell r="L533">
            <v>251.6</v>
          </cell>
          <cell r="M533">
            <v>-468.8</v>
          </cell>
        </row>
        <row r="534">
          <cell r="C534" t="str">
            <v>500kV 574 Cầu Bông - 572 Đắk Nông</v>
          </cell>
          <cell r="F534">
            <v>-852.5</v>
          </cell>
          <cell r="H534">
            <v>-852.5</v>
          </cell>
          <cell r="I534">
            <v>-757.4</v>
          </cell>
          <cell r="J534">
            <v>-427.6</v>
          </cell>
          <cell r="K534">
            <v>-631.70000000000005</v>
          </cell>
          <cell r="L534">
            <v>283.8</v>
          </cell>
          <cell r="M534">
            <v>-714.3</v>
          </cell>
        </row>
        <row r="535">
          <cell r="C535" t="str">
            <v>500kV 575 Cầu Bông - 572 Tân Định</v>
          </cell>
          <cell r="F535">
            <v>-884.4</v>
          </cell>
          <cell r="H535">
            <v>-884.4</v>
          </cell>
          <cell r="I535">
            <v>-622.6</v>
          </cell>
          <cell r="J535">
            <v>-766.9</v>
          </cell>
          <cell r="K535">
            <v>-724</v>
          </cell>
          <cell r="L535">
            <v>-808.6</v>
          </cell>
          <cell r="M535">
            <v>-813.8</v>
          </cell>
        </row>
        <row r="536">
          <cell r="C536" t="str">
            <v>500kV 584 Cầu Bông - 574 Phú Lâm</v>
          </cell>
          <cell r="F536">
            <v>435</v>
          </cell>
          <cell r="H536">
            <v>435</v>
          </cell>
          <cell r="I536">
            <v>411.1</v>
          </cell>
          <cell r="J536">
            <v>-332.2</v>
          </cell>
          <cell r="K536">
            <v>-271.89999999999998</v>
          </cell>
          <cell r="L536">
            <v>-421.4</v>
          </cell>
          <cell r="M536">
            <v>388.4</v>
          </cell>
        </row>
        <row r="537">
          <cell r="C537" t="str">
            <v>500kV 585 Cầu Bông - 576 Phú Lâm</v>
          </cell>
          <cell r="F537">
            <v>426.7</v>
          </cell>
          <cell r="H537">
            <v>426.7</v>
          </cell>
          <cell r="I537">
            <v>399.6</v>
          </cell>
          <cell r="J537">
            <v>-330.3</v>
          </cell>
          <cell r="K537">
            <v>-272.60000000000002</v>
          </cell>
          <cell r="L537">
            <v>-422.1</v>
          </cell>
          <cell r="M537">
            <v>377.1</v>
          </cell>
        </row>
        <row r="538">
          <cell r="C538" t="str">
            <v>Cầu Bông MBA AT1 (phía 500kV)</v>
          </cell>
          <cell r="F538">
            <v>610.29999999999995</v>
          </cell>
          <cell r="H538">
            <v>610.29999999999995</v>
          </cell>
          <cell r="I538">
            <v>584</v>
          </cell>
          <cell r="J538">
            <v>537.5</v>
          </cell>
          <cell r="K538">
            <v>557.20000000000005</v>
          </cell>
          <cell r="L538">
            <v>443.7</v>
          </cell>
          <cell r="M538">
            <v>500</v>
          </cell>
        </row>
        <row r="539">
          <cell r="C539" t="str">
            <v>Cầu Bông MBA AT1 (phía 220kV)</v>
          </cell>
          <cell r="F539">
            <v>-607.79999999999995</v>
          </cell>
          <cell r="H539">
            <v>-607.79999999999995</v>
          </cell>
          <cell r="I539">
            <v>-582.9</v>
          </cell>
          <cell r="J539">
            <v>-534.70000000000005</v>
          </cell>
          <cell r="K539">
            <v>-555.1</v>
          </cell>
          <cell r="L539">
            <v>-443</v>
          </cell>
          <cell r="M539">
            <v>-499.5</v>
          </cell>
        </row>
        <row r="540">
          <cell r="C540" t="str">
            <v>220kV 275 Cầu Bông - 278 Củ Chi 2</v>
          </cell>
          <cell r="F540">
            <v>201.8</v>
          </cell>
          <cell r="H540">
            <v>184.3</v>
          </cell>
          <cell r="I540">
            <v>195</v>
          </cell>
          <cell r="J540">
            <v>199.3</v>
          </cell>
          <cell r="K540">
            <v>201.8</v>
          </cell>
          <cell r="L540">
            <v>187.7</v>
          </cell>
          <cell r="M540">
            <v>167.2</v>
          </cell>
        </row>
        <row r="541">
          <cell r="C541" t="str">
            <v>220kV 276 Cầu Bông - 277 Củ Chi 2</v>
          </cell>
          <cell r="F541">
            <v>205.8</v>
          </cell>
          <cell r="H541">
            <v>188.5</v>
          </cell>
          <cell r="I541">
            <v>199.2</v>
          </cell>
          <cell r="J541">
            <v>203.3</v>
          </cell>
          <cell r="K541">
            <v>205.8</v>
          </cell>
          <cell r="L541">
            <v>190.6</v>
          </cell>
          <cell r="M541">
            <v>170.6</v>
          </cell>
        </row>
        <row r="542">
          <cell r="C542" t="str">
            <v>220kV 277 Cầu Bông - 275 Đức Hòa 2</v>
          </cell>
          <cell r="F542">
            <v>191.1</v>
          </cell>
          <cell r="H542">
            <v>191.1</v>
          </cell>
          <cell r="I542">
            <v>173.7</v>
          </cell>
          <cell r="J542">
            <v>174.1</v>
          </cell>
          <cell r="K542">
            <v>185.1</v>
          </cell>
          <cell r="L542">
            <v>167.8</v>
          </cell>
          <cell r="M542">
            <v>143.30000000000001</v>
          </cell>
        </row>
        <row r="543">
          <cell r="C543" t="str">
            <v>220kV 278 Cầu Bông - 276 Đức Hòa 2</v>
          </cell>
          <cell r="F543">
            <v>193.8</v>
          </cell>
          <cell r="H543">
            <v>193.8</v>
          </cell>
          <cell r="I543">
            <v>177.1</v>
          </cell>
          <cell r="J543">
            <v>176.6</v>
          </cell>
          <cell r="K543">
            <v>187.8</v>
          </cell>
          <cell r="L543">
            <v>170.2</v>
          </cell>
          <cell r="M543">
            <v>145.6</v>
          </cell>
        </row>
        <row r="544">
          <cell r="C544" t="str">
            <v>220kV 279 Cầu Bông - 276 Hóc Môn</v>
          </cell>
          <cell r="F544">
            <v>130.19999999999999</v>
          </cell>
          <cell r="H544">
            <v>130.19999999999999</v>
          </cell>
          <cell r="I544">
            <v>95.3</v>
          </cell>
          <cell r="J544">
            <v>110.3</v>
          </cell>
          <cell r="K544">
            <v>111.5</v>
          </cell>
          <cell r="L544">
            <v>88.7</v>
          </cell>
          <cell r="M544">
            <v>119.5</v>
          </cell>
        </row>
        <row r="545">
          <cell r="C545" t="str">
            <v>220kV 280 Cầu Bông - 271 Hóc Môn</v>
          </cell>
          <cell r="F545">
            <v>130.5</v>
          </cell>
          <cell r="H545">
            <v>130.5</v>
          </cell>
          <cell r="I545">
            <v>96.7</v>
          </cell>
          <cell r="J545">
            <v>110.1</v>
          </cell>
          <cell r="K545">
            <v>112.5</v>
          </cell>
          <cell r="L545">
            <v>89.4</v>
          </cell>
          <cell r="M545">
            <v>120.1</v>
          </cell>
        </row>
        <row r="546">
          <cell r="C546" t="str">
            <v>220kV 281 Cầu Bông - 274 Bình Tân</v>
          </cell>
          <cell r="F546">
            <v>110.7</v>
          </cell>
          <cell r="H546">
            <v>110.7</v>
          </cell>
          <cell r="I546">
            <v>48.1</v>
          </cell>
          <cell r="J546">
            <v>-62.1</v>
          </cell>
          <cell r="K546">
            <v>71.3</v>
          </cell>
          <cell r="L546">
            <v>67.400000000000006</v>
          </cell>
          <cell r="M546">
            <v>91.9</v>
          </cell>
        </row>
        <row r="547">
          <cell r="C547" t="str">
            <v>220kV 282 Cầu Bông - 273 Bình Tân</v>
          </cell>
          <cell r="F547">
            <v>112.6</v>
          </cell>
          <cell r="H547">
            <v>112.6</v>
          </cell>
          <cell r="I547">
            <v>49.5</v>
          </cell>
          <cell r="J547">
            <v>-60.6</v>
          </cell>
          <cell r="K547">
            <v>71.8</v>
          </cell>
          <cell r="L547">
            <v>67.900000000000006</v>
          </cell>
          <cell r="M547">
            <v>92.8</v>
          </cell>
        </row>
        <row r="548">
          <cell r="C548" t="str">
            <v>Cầu Bông MBA AT5 (phía 220kV)</v>
          </cell>
          <cell r="F548">
            <v>166.7</v>
          </cell>
          <cell r="H548">
            <v>156.30000000000001</v>
          </cell>
          <cell r="I548">
            <v>125.8</v>
          </cell>
          <cell r="J548">
            <v>166.7</v>
          </cell>
          <cell r="K548">
            <v>128.80000000000001</v>
          </cell>
          <cell r="L548">
            <v>117.3</v>
          </cell>
          <cell r="M548">
            <v>118.2</v>
          </cell>
        </row>
        <row r="549">
          <cell r="C549" t="str">
            <v>Cầu Bông MBA AT6 (phía 220kV)</v>
          </cell>
          <cell r="F549">
            <v>168.5</v>
          </cell>
          <cell r="H549">
            <v>158.1</v>
          </cell>
          <cell r="I549">
            <v>127.9</v>
          </cell>
          <cell r="J549">
            <v>168.5</v>
          </cell>
          <cell r="K549">
            <v>130.30000000000001</v>
          </cell>
          <cell r="L549">
            <v>118.8</v>
          </cell>
          <cell r="M549">
            <v>119.8</v>
          </cell>
        </row>
        <row r="550">
          <cell r="C550" t="str">
            <v>Cầu Bông MBA AT5 (phía 110kV)</v>
          </cell>
          <cell r="F550">
            <v>-165.8</v>
          </cell>
          <cell r="H550">
            <v>-155.69999999999999</v>
          </cell>
          <cell r="I550">
            <v>-125.2</v>
          </cell>
          <cell r="J550">
            <v>-165.8</v>
          </cell>
          <cell r="K550">
            <v>-128.30000000000001</v>
          </cell>
          <cell r="L550">
            <v>-117</v>
          </cell>
          <cell r="M550">
            <v>-117.8</v>
          </cell>
        </row>
        <row r="551">
          <cell r="C551" t="str">
            <v>Cầu Bông MBA AT6 (phía 110kV)</v>
          </cell>
          <cell r="F551">
            <v>-167.8</v>
          </cell>
          <cell r="H551">
            <v>-157.30000000000001</v>
          </cell>
          <cell r="I551">
            <v>-126.6</v>
          </cell>
          <cell r="J551">
            <v>-167.8</v>
          </cell>
          <cell r="K551">
            <v>-129.9</v>
          </cell>
          <cell r="L551">
            <v>-118.4</v>
          </cell>
          <cell r="M551">
            <v>-119.5</v>
          </cell>
        </row>
        <row r="552">
          <cell r="C552" t="str">
            <v>110kV 171 Cầu Bông - 171 Tân Quy</v>
          </cell>
          <cell r="F552">
            <v>54</v>
          </cell>
          <cell r="H552">
            <v>50.5</v>
          </cell>
          <cell r="I552">
            <v>46.7</v>
          </cell>
          <cell r="J552">
            <v>54</v>
          </cell>
          <cell r="K552">
            <v>47.3</v>
          </cell>
          <cell r="L552">
            <v>33</v>
          </cell>
          <cell r="M552">
            <v>28.2</v>
          </cell>
        </row>
        <row r="553">
          <cell r="C553" t="str">
            <v>110kV 172 Cầu Bông - 172 Củ Chi</v>
          </cell>
          <cell r="F553">
            <v>47</v>
          </cell>
          <cell r="H553">
            <v>47</v>
          </cell>
          <cell r="I553">
            <v>41.8</v>
          </cell>
          <cell r="J553">
            <v>46.7</v>
          </cell>
          <cell r="K553">
            <v>44.1</v>
          </cell>
          <cell r="L553">
            <v>35.9</v>
          </cell>
          <cell r="M553">
            <v>33.700000000000003</v>
          </cell>
        </row>
        <row r="554">
          <cell r="C554" t="str">
            <v>110kV 177 Cầu Bông - 171 Tân Hiệp</v>
          </cell>
          <cell r="F554">
            <v>68.900000000000006</v>
          </cell>
          <cell r="H554">
            <v>63.9</v>
          </cell>
          <cell r="I554">
            <v>59.2</v>
          </cell>
          <cell r="J554">
            <v>68.900000000000006</v>
          </cell>
          <cell r="K554">
            <v>63.5</v>
          </cell>
          <cell r="L554">
            <v>59.4</v>
          </cell>
          <cell r="M554">
            <v>44</v>
          </cell>
        </row>
        <row r="555">
          <cell r="C555" t="str">
            <v>110kV 178 Cầu Bông - 172 Đông Nam - 171 Gò Đậu</v>
          </cell>
          <cell r="F555">
            <v>91.4</v>
          </cell>
          <cell r="H555">
            <v>75.900000000000006</v>
          </cell>
          <cell r="I555">
            <v>31.2</v>
          </cell>
          <cell r="J555">
            <v>80.8</v>
          </cell>
          <cell r="K555">
            <v>32.299999999999997</v>
          </cell>
          <cell r="L555">
            <v>62.7</v>
          </cell>
          <cell r="M555">
            <v>91.4</v>
          </cell>
        </row>
        <row r="556">
          <cell r="C556" t="str">
            <v>500kV 572 Cầu Bông - 574 Chơn Thành 500</v>
          </cell>
          <cell r="F556">
            <v>-547.20000000000005</v>
          </cell>
          <cell r="H556">
            <v>-547.20000000000005</v>
          </cell>
          <cell r="I556">
            <v>-543.4</v>
          </cell>
          <cell r="J556">
            <v>-202.4</v>
          </cell>
          <cell r="K556">
            <v>-279</v>
          </cell>
          <cell r="L556">
            <v>250</v>
          </cell>
          <cell r="M556">
            <v>-471.5</v>
          </cell>
        </row>
        <row r="557">
          <cell r="C557" t="str">
            <v>Cầu Bông MBA AT2 (phía 500kV)</v>
          </cell>
          <cell r="F557">
            <v>626.70000000000005</v>
          </cell>
          <cell r="H557">
            <v>626.70000000000005</v>
          </cell>
          <cell r="I557">
            <v>599.1</v>
          </cell>
          <cell r="J557">
            <v>551.79999999999995</v>
          </cell>
          <cell r="K557">
            <v>571.29999999999995</v>
          </cell>
          <cell r="L557">
            <v>454.5</v>
          </cell>
          <cell r="M557">
            <v>512.79999999999995</v>
          </cell>
        </row>
        <row r="558">
          <cell r="C558" t="str">
            <v>Cầu Bông MBA AT2 (phía 220kV)</v>
          </cell>
          <cell r="F558">
            <v>-624.5</v>
          </cell>
          <cell r="H558">
            <v>-624.5</v>
          </cell>
          <cell r="I558">
            <v>-597.9</v>
          </cell>
          <cell r="J558">
            <v>-550.29999999999995</v>
          </cell>
          <cell r="K558">
            <v>-569.4</v>
          </cell>
          <cell r="L558">
            <v>-453.7</v>
          </cell>
          <cell r="M558">
            <v>-511.6</v>
          </cell>
        </row>
        <row r="559">
          <cell r="C559" t="str">
            <v>Cầu Kè MBA T1 (phía 110kV)</v>
          </cell>
          <cell r="D559">
            <v>131</v>
          </cell>
          <cell r="E559">
            <v>22.1</v>
          </cell>
          <cell r="F559">
            <v>26.7</v>
          </cell>
          <cell r="G559">
            <v>26.1</v>
          </cell>
          <cell r="H559">
            <v>26</v>
          </cell>
          <cell r="I559">
            <v>22.1</v>
          </cell>
          <cell r="J559">
            <v>26.7</v>
          </cell>
          <cell r="K559">
            <v>23.2</v>
          </cell>
          <cell r="L559">
            <v>23.3</v>
          </cell>
          <cell r="M559">
            <v>23.5</v>
          </cell>
        </row>
        <row r="560">
          <cell r="C560" t="str">
            <v>Cầu Kè MBA T2 (phía 110kV)</v>
          </cell>
          <cell r="D560">
            <v>132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</row>
        <row r="561">
          <cell r="C561" t="str">
            <v>110kV 171 Cầu Kè - 172 Bình Minh</v>
          </cell>
          <cell r="D561">
            <v>171</v>
          </cell>
          <cell r="E561">
            <v>0</v>
          </cell>
          <cell r="F561">
            <v>420.6</v>
          </cell>
          <cell r="G561">
            <v>0</v>
          </cell>
          <cell r="H561">
            <v>0</v>
          </cell>
          <cell r="I561">
            <v>0</v>
          </cell>
          <cell r="J561">
            <v>420.6</v>
          </cell>
          <cell r="K561">
            <v>391.8</v>
          </cell>
          <cell r="L561">
            <v>335.3</v>
          </cell>
          <cell r="M561">
            <v>33</v>
          </cell>
        </row>
        <row r="562">
          <cell r="C562" t="str">
            <v>110kV 172 Cầu Kè - 174 Trà Vinh 2</v>
          </cell>
          <cell r="D562">
            <v>172</v>
          </cell>
          <cell r="E562">
            <v>-22.1</v>
          </cell>
          <cell r="F562">
            <v>-67.2</v>
          </cell>
          <cell r="G562">
            <v>-26.1</v>
          </cell>
          <cell r="H562">
            <v>-26.1</v>
          </cell>
          <cell r="I562">
            <v>-22.1</v>
          </cell>
          <cell r="J562">
            <v>-67.2</v>
          </cell>
          <cell r="K562">
            <v>-62.7</v>
          </cell>
          <cell r="L562">
            <v>-57</v>
          </cell>
          <cell r="M562">
            <v>-56.8</v>
          </cell>
        </row>
        <row r="563">
          <cell r="C563" t="str">
            <v>Cầu Kè MBA T1 (phía 22kV)</v>
          </cell>
          <cell r="D563">
            <v>431</v>
          </cell>
          <cell r="E563">
            <v>-22</v>
          </cell>
          <cell r="F563">
            <v>-26.7</v>
          </cell>
          <cell r="G563">
            <v>-25.9</v>
          </cell>
          <cell r="H563">
            <v>-25.9</v>
          </cell>
          <cell r="I563">
            <v>-22</v>
          </cell>
          <cell r="J563">
            <v>-26.7</v>
          </cell>
          <cell r="K563">
            <v>-23.3</v>
          </cell>
          <cell r="L563">
            <v>-23.4</v>
          </cell>
          <cell r="M563">
            <v>-23.3</v>
          </cell>
        </row>
        <row r="564">
          <cell r="C564" t="str">
            <v>Cầu Kè MBA T2 (phía 22kV)</v>
          </cell>
          <cell r="D564">
            <v>432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</row>
        <row r="565">
          <cell r="C565" t="str">
            <v>110kV 171 Cầu Ngang - 131 Duyên Trà</v>
          </cell>
          <cell r="F565">
            <v>52.3</v>
          </cell>
          <cell r="H565">
            <v>52.3</v>
          </cell>
          <cell r="I565">
            <v>47.7</v>
          </cell>
          <cell r="J565">
            <v>49.6</v>
          </cell>
          <cell r="K565">
            <v>47.1</v>
          </cell>
          <cell r="L565">
            <v>46.7</v>
          </cell>
          <cell r="M565">
            <v>47</v>
          </cell>
        </row>
        <row r="566">
          <cell r="C566" t="str">
            <v>110kV 172 Cầu Ngang - 172 Trà Vinh 2</v>
          </cell>
          <cell r="F566">
            <v>-72.3</v>
          </cell>
          <cell r="H566">
            <v>-72.3</v>
          </cell>
          <cell r="I566">
            <v>-67.3</v>
          </cell>
          <cell r="J566">
            <v>-70.7</v>
          </cell>
          <cell r="K566">
            <v>-67.599999999999994</v>
          </cell>
          <cell r="L566">
            <v>-67.2</v>
          </cell>
          <cell r="M566">
            <v>-67.400000000000006</v>
          </cell>
        </row>
        <row r="567">
          <cell r="C567" t="str">
            <v>Cầu Ngang MBA T1 (phía 110kV)</v>
          </cell>
          <cell r="F567">
            <v>21.6</v>
          </cell>
          <cell r="H567">
            <v>20.2</v>
          </cell>
          <cell r="I567">
            <v>19.600000000000001</v>
          </cell>
          <cell r="J567">
            <v>21.6</v>
          </cell>
          <cell r="K567">
            <v>20.2</v>
          </cell>
          <cell r="L567">
            <v>20.9</v>
          </cell>
          <cell r="M567">
            <v>20.3</v>
          </cell>
        </row>
        <row r="568">
          <cell r="C568" t="str">
            <v>Cầu Ngang MBA T1 (phía 22kV)</v>
          </cell>
          <cell r="F568">
            <v>-21.5</v>
          </cell>
          <cell r="H568">
            <v>-20.100000000000001</v>
          </cell>
          <cell r="I568">
            <v>-19.5</v>
          </cell>
          <cell r="J568">
            <v>-21.5</v>
          </cell>
          <cell r="K568">
            <v>-20.2</v>
          </cell>
          <cell r="L568">
            <v>-20.8</v>
          </cell>
          <cell r="M568">
            <v>-20.3</v>
          </cell>
        </row>
        <row r="569">
          <cell r="C569" t="str">
            <v>Chánh Hưng MBA T1 (phía 110kV)</v>
          </cell>
          <cell r="D569">
            <v>131</v>
          </cell>
          <cell r="E569">
            <v>24.4</v>
          </cell>
          <cell r="F569">
            <v>33.6</v>
          </cell>
          <cell r="G569">
            <v>33.6</v>
          </cell>
          <cell r="H569">
            <v>30.5</v>
          </cell>
          <cell r="I569">
            <v>24.4</v>
          </cell>
          <cell r="J569">
            <v>28</v>
          </cell>
          <cell r="K569">
            <v>27.5</v>
          </cell>
          <cell r="L569">
            <v>28.1</v>
          </cell>
          <cell r="M569">
            <v>28.6</v>
          </cell>
        </row>
        <row r="570">
          <cell r="C570" t="str">
            <v>Chánh Hưng MBA T3 (phía 110kV)</v>
          </cell>
          <cell r="D570">
            <v>133</v>
          </cell>
          <cell r="E570">
            <v>0</v>
          </cell>
          <cell r="F570">
            <v>13.8</v>
          </cell>
          <cell r="G570">
            <v>13.8</v>
          </cell>
          <cell r="H570">
            <v>12.2</v>
          </cell>
          <cell r="I570">
            <v>0</v>
          </cell>
          <cell r="J570">
            <v>6.9</v>
          </cell>
          <cell r="K570">
            <v>6.7</v>
          </cell>
          <cell r="L570">
            <v>7.1</v>
          </cell>
          <cell r="M570">
            <v>7.3</v>
          </cell>
        </row>
        <row r="571">
          <cell r="C571" t="str">
            <v>110kV 171 Chánh Hưng - 171 Việt Thành</v>
          </cell>
          <cell r="D571">
            <v>171</v>
          </cell>
          <cell r="E571">
            <v>0</v>
          </cell>
          <cell r="F571">
            <v>58.3</v>
          </cell>
          <cell r="G571">
            <v>0</v>
          </cell>
          <cell r="H571">
            <v>58.3</v>
          </cell>
          <cell r="I571">
            <v>44.3</v>
          </cell>
          <cell r="J571">
            <v>54.3</v>
          </cell>
          <cell r="K571">
            <v>48.7</v>
          </cell>
          <cell r="L571">
            <v>43</v>
          </cell>
          <cell r="M571">
            <v>52.8</v>
          </cell>
        </row>
        <row r="572">
          <cell r="C572" t="str">
            <v>110kV 172 Chánh Hưng - 176 Quận 8</v>
          </cell>
          <cell r="D572">
            <v>172</v>
          </cell>
          <cell r="E572">
            <v>-49.2</v>
          </cell>
          <cell r="F572">
            <v>-101.5</v>
          </cell>
          <cell r="G572">
            <v>-49.2</v>
          </cell>
          <cell r="H572">
            <v>-101.5</v>
          </cell>
          <cell r="I572">
            <v>-67.7</v>
          </cell>
          <cell r="J572">
            <v>-88.9</v>
          </cell>
          <cell r="K572">
            <v>-82.9</v>
          </cell>
          <cell r="L572">
            <v>-78.2</v>
          </cell>
          <cell r="M572">
            <v>-88.8</v>
          </cell>
        </row>
        <row r="573">
          <cell r="C573" t="str">
            <v>Chánh Hưng MBA T1 (phía 22kV)</v>
          </cell>
          <cell r="D573">
            <v>431</v>
          </cell>
          <cell r="E573">
            <v>-24.2</v>
          </cell>
          <cell r="F573">
            <v>-33.4</v>
          </cell>
          <cell r="G573">
            <v>-33.4</v>
          </cell>
          <cell r="H573">
            <v>-30.3</v>
          </cell>
          <cell r="I573">
            <v>-24.2</v>
          </cell>
          <cell r="J573">
            <v>-27.8</v>
          </cell>
          <cell r="K573">
            <v>-27.4</v>
          </cell>
          <cell r="L573">
            <v>-28</v>
          </cell>
          <cell r="M573">
            <v>-28.4</v>
          </cell>
        </row>
        <row r="574">
          <cell r="C574" t="str">
            <v>Chánh Hưng MBA T3 (phía 22kV)</v>
          </cell>
          <cell r="D574">
            <v>433</v>
          </cell>
          <cell r="E574">
            <v>0</v>
          </cell>
          <cell r="F574">
            <v>-13.8</v>
          </cell>
          <cell r="G574">
            <v>-13.8</v>
          </cell>
          <cell r="H574">
            <v>-12.2</v>
          </cell>
          <cell r="I574">
            <v>0</v>
          </cell>
          <cell r="J574">
            <v>-6.9</v>
          </cell>
          <cell r="K574">
            <v>-6.7</v>
          </cell>
          <cell r="L574">
            <v>-7.1</v>
          </cell>
          <cell r="M574">
            <v>-7.3</v>
          </cell>
        </row>
        <row r="575">
          <cell r="C575" t="str">
            <v>110kV 172 Châu Đốc - 172 Châu Đốc 2</v>
          </cell>
          <cell r="D575">
            <v>172</v>
          </cell>
          <cell r="E575">
            <v>-23.7</v>
          </cell>
          <cell r="F575">
            <v>-30.6</v>
          </cell>
          <cell r="G575">
            <v>-27.5</v>
          </cell>
          <cell r="H575">
            <v>-28.1</v>
          </cell>
          <cell r="I575">
            <v>-24.3</v>
          </cell>
          <cell r="J575">
            <v>-30.6</v>
          </cell>
          <cell r="K575">
            <v>-24.7</v>
          </cell>
          <cell r="L575">
            <v>-28.7</v>
          </cell>
          <cell r="M575">
            <v>-23.7</v>
          </cell>
        </row>
        <row r="576">
          <cell r="C576" t="str">
            <v>Châu Đốc MBA T1 (phía 22kV)</v>
          </cell>
          <cell r="D576">
            <v>431</v>
          </cell>
          <cell r="E576">
            <v>-23.4</v>
          </cell>
          <cell r="F576">
            <v>-30.2</v>
          </cell>
          <cell r="G576">
            <v>-27.5</v>
          </cell>
          <cell r="H576">
            <v>-27.4</v>
          </cell>
          <cell r="I576">
            <v>-24.4</v>
          </cell>
          <cell r="J576">
            <v>-30.2</v>
          </cell>
          <cell r="K576">
            <v>-24.4</v>
          </cell>
          <cell r="L576">
            <v>-28.4</v>
          </cell>
          <cell r="M576">
            <v>-23.4</v>
          </cell>
        </row>
        <row r="577">
          <cell r="C577" t="str">
            <v>Châu Đốc MBA T2 (phía 22kV)</v>
          </cell>
          <cell r="D577">
            <v>432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</row>
        <row r="578">
          <cell r="C578" t="str">
            <v>Châu Đốc 2 MBA AT1 (phía 110kV)</v>
          </cell>
          <cell r="D578">
            <v>131</v>
          </cell>
          <cell r="E578">
            <v>-67</v>
          </cell>
          <cell r="F578">
            <v>-117.3</v>
          </cell>
          <cell r="G578">
            <v>-117.3</v>
          </cell>
          <cell r="H578">
            <v>-98.8</v>
          </cell>
          <cell r="I578">
            <v>-68.3</v>
          </cell>
          <cell r="J578">
            <v>-84.8</v>
          </cell>
          <cell r="K578">
            <v>-70.400000000000006</v>
          </cell>
          <cell r="L578">
            <v>-76.099999999999994</v>
          </cell>
          <cell r="M578">
            <v>-67</v>
          </cell>
        </row>
        <row r="579">
          <cell r="C579" t="str">
            <v>Châu Đốc 2 MBA AT2 (phía 110kV)</v>
          </cell>
          <cell r="D579">
            <v>132</v>
          </cell>
          <cell r="E579">
            <v>-66.900000000000006</v>
          </cell>
          <cell r="F579">
            <v>-116.2</v>
          </cell>
          <cell r="G579">
            <v>-116.2</v>
          </cell>
          <cell r="H579">
            <v>-98.5</v>
          </cell>
          <cell r="I579">
            <v>-68.3</v>
          </cell>
          <cell r="J579">
            <v>-84.2</v>
          </cell>
          <cell r="K579">
            <v>-70.3</v>
          </cell>
          <cell r="L579">
            <v>-75.7</v>
          </cell>
          <cell r="M579">
            <v>-66.900000000000006</v>
          </cell>
        </row>
        <row r="580">
          <cell r="C580" t="str">
            <v>110kV 171 Châu Đốc 2 - 173 Cái Dầu</v>
          </cell>
          <cell r="D580">
            <v>171</v>
          </cell>
          <cell r="E580">
            <v>26.8</v>
          </cell>
          <cell r="F580">
            <v>100.3</v>
          </cell>
          <cell r="G580">
            <v>100.3</v>
          </cell>
          <cell r="H580">
            <v>86.5</v>
          </cell>
          <cell r="I580">
            <v>30.8</v>
          </cell>
          <cell r="J580">
            <v>34.700000000000003</v>
          </cell>
          <cell r="K580">
            <v>31.5</v>
          </cell>
          <cell r="L580">
            <v>31.7</v>
          </cell>
          <cell r="M580">
            <v>26.8</v>
          </cell>
        </row>
        <row r="581">
          <cell r="C581" t="str">
            <v>110kV 172 Châu Đốc 2 - 172 Châu Đốc</v>
          </cell>
          <cell r="D581">
            <v>172</v>
          </cell>
          <cell r="E581">
            <v>23.8</v>
          </cell>
          <cell r="F581">
            <v>30.5</v>
          </cell>
          <cell r="G581">
            <v>27.7</v>
          </cell>
          <cell r="H581">
            <v>27.7</v>
          </cell>
          <cell r="I581">
            <v>24.8</v>
          </cell>
          <cell r="J581">
            <v>30.5</v>
          </cell>
          <cell r="K581">
            <v>24.6</v>
          </cell>
          <cell r="L581">
            <v>28.7</v>
          </cell>
          <cell r="M581">
            <v>23.8</v>
          </cell>
        </row>
        <row r="582">
          <cell r="C582" t="str">
            <v>110kV 173 Châu Đốc 2 - 172 Phú Châu</v>
          </cell>
          <cell r="D582">
            <v>173</v>
          </cell>
          <cell r="E582">
            <v>23.5</v>
          </cell>
          <cell r="F582">
            <v>32.1</v>
          </cell>
          <cell r="G582">
            <v>32.1</v>
          </cell>
          <cell r="H582">
            <v>24.2</v>
          </cell>
          <cell r="I582">
            <v>23.5</v>
          </cell>
          <cell r="J582">
            <v>31.1</v>
          </cell>
          <cell r="K582">
            <v>24.3</v>
          </cell>
          <cell r="L582">
            <v>26.3</v>
          </cell>
          <cell r="M582">
            <v>23.6</v>
          </cell>
        </row>
        <row r="583">
          <cell r="C583" t="str">
            <v>110kV 174 Châu Đốc 2 - 132 An Phú</v>
          </cell>
          <cell r="D583">
            <v>174</v>
          </cell>
          <cell r="E583">
            <v>21.5</v>
          </cell>
          <cell r="F583">
            <v>27.3</v>
          </cell>
          <cell r="G583">
            <v>27.1</v>
          </cell>
          <cell r="H583">
            <v>24.3</v>
          </cell>
          <cell r="I583">
            <v>22.1</v>
          </cell>
          <cell r="J583">
            <v>27.3</v>
          </cell>
          <cell r="K583">
            <v>22.4</v>
          </cell>
          <cell r="L583">
            <v>24.6</v>
          </cell>
          <cell r="M583">
            <v>21.5</v>
          </cell>
        </row>
        <row r="584">
          <cell r="C584" t="str">
            <v>110kV 175 Châu Đốc 2 - 171 Tịnh Biên</v>
          </cell>
          <cell r="D584">
            <v>175</v>
          </cell>
          <cell r="E584">
            <v>-87.7</v>
          </cell>
          <cell r="F584">
            <v>-120.5</v>
          </cell>
          <cell r="G584">
            <v>-120.5</v>
          </cell>
          <cell r="H584">
            <v>-119.2</v>
          </cell>
          <cell r="I584">
            <v>-118.1</v>
          </cell>
          <cell r="J584">
            <v>-118.7</v>
          </cell>
          <cell r="K584">
            <v>-117.5</v>
          </cell>
          <cell r="L584">
            <v>-87.7</v>
          </cell>
          <cell r="M584">
            <v>-99.7</v>
          </cell>
        </row>
        <row r="585">
          <cell r="C585" t="str">
            <v>Châu Đốc 2 MBA AT1 (phía 220kV)</v>
          </cell>
          <cell r="D585">
            <v>231</v>
          </cell>
          <cell r="E585">
            <v>66.8</v>
          </cell>
          <cell r="F585">
            <v>116.4</v>
          </cell>
          <cell r="G585">
            <v>116.4</v>
          </cell>
          <cell r="H585">
            <v>98.4</v>
          </cell>
          <cell r="I585">
            <v>68</v>
          </cell>
          <cell r="J585">
            <v>84.5</v>
          </cell>
          <cell r="K585">
            <v>69.900000000000006</v>
          </cell>
          <cell r="L585">
            <v>75.599999999999994</v>
          </cell>
          <cell r="M585">
            <v>66.8</v>
          </cell>
        </row>
        <row r="586">
          <cell r="C586" t="str">
            <v>Châu Đốc 2 MBA AT2 (phía 220kV)</v>
          </cell>
          <cell r="D586">
            <v>232</v>
          </cell>
          <cell r="E586">
            <v>66.8</v>
          </cell>
          <cell r="F586">
            <v>117</v>
          </cell>
          <cell r="G586">
            <v>117</v>
          </cell>
          <cell r="H586">
            <v>98.8</v>
          </cell>
          <cell r="I586">
            <v>68.5</v>
          </cell>
          <cell r="J586">
            <v>84.4</v>
          </cell>
          <cell r="K586">
            <v>70.599999999999994</v>
          </cell>
          <cell r="L586">
            <v>76.099999999999994</v>
          </cell>
          <cell r="M586">
            <v>66.8</v>
          </cell>
        </row>
        <row r="587">
          <cell r="C587" t="str">
            <v>220kV 271 Châu Đốc 2 - 272 Long Xuyên 2</v>
          </cell>
          <cell r="D587">
            <v>271</v>
          </cell>
          <cell r="E587">
            <v>-141.69999999999999</v>
          </cell>
          <cell r="F587">
            <v>-229.6</v>
          </cell>
          <cell r="G587">
            <v>-192</v>
          </cell>
          <cell r="H587">
            <v>-141.69999999999999</v>
          </cell>
          <cell r="I587">
            <v>-173.3</v>
          </cell>
          <cell r="J587">
            <v>-229.6</v>
          </cell>
          <cell r="K587">
            <v>-175.5</v>
          </cell>
          <cell r="L587">
            <v>-211.9</v>
          </cell>
          <cell r="M587">
            <v>-197.2</v>
          </cell>
        </row>
        <row r="588">
          <cell r="C588" t="str">
            <v>220kV 272 Châu Đốc 2 - 274 Thốt Nốt 2</v>
          </cell>
          <cell r="D588">
            <v>272</v>
          </cell>
          <cell r="E588">
            <v>0</v>
          </cell>
          <cell r="F588">
            <v>-218.1</v>
          </cell>
          <cell r="G588">
            <v>-218.1</v>
          </cell>
          <cell r="H588">
            <v>-164.5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</row>
        <row r="589">
          <cell r="C589" t="str">
            <v>220kV 273 Châu Đốc 2 - 272 Kiên Bình</v>
          </cell>
          <cell r="D589">
            <v>273</v>
          </cell>
          <cell r="E589">
            <v>30.4</v>
          </cell>
          <cell r="F589">
            <v>66.5</v>
          </cell>
          <cell r="G589">
            <v>-47</v>
          </cell>
          <cell r="H589">
            <v>33.700000000000003</v>
          </cell>
          <cell r="I589">
            <v>38</v>
          </cell>
          <cell r="J589">
            <v>30.4</v>
          </cell>
          <cell r="K589">
            <v>43.5</v>
          </cell>
          <cell r="L589">
            <v>50.8</v>
          </cell>
          <cell r="M589">
            <v>66.5</v>
          </cell>
        </row>
        <row r="590">
          <cell r="C590" t="str">
            <v>220kV 274 Châu Đốc 2 - 274 Takeo</v>
          </cell>
          <cell r="D590">
            <v>274</v>
          </cell>
          <cell r="E590">
            <v>14.2</v>
          </cell>
          <cell r="F590">
            <v>116.8</v>
          </cell>
          <cell r="G590">
            <v>116.8</v>
          </cell>
          <cell r="H590">
            <v>60</v>
          </cell>
          <cell r="I590">
            <v>38.5</v>
          </cell>
          <cell r="J590">
            <v>42.2</v>
          </cell>
          <cell r="K590">
            <v>14.2</v>
          </cell>
          <cell r="L590">
            <v>46.3</v>
          </cell>
          <cell r="M590">
            <v>17.8</v>
          </cell>
        </row>
        <row r="591">
          <cell r="C591" t="str">
            <v>220kV 275 Châu Đốc 2 - 275 Takeo</v>
          </cell>
          <cell r="D591">
            <v>275</v>
          </cell>
          <cell r="E591">
            <v>14.3</v>
          </cell>
          <cell r="F591">
            <v>116.9</v>
          </cell>
          <cell r="G591">
            <v>116.9</v>
          </cell>
          <cell r="H591">
            <v>60.9</v>
          </cell>
          <cell r="I591">
            <v>38.1</v>
          </cell>
          <cell r="J591">
            <v>42.4</v>
          </cell>
          <cell r="K591">
            <v>14.3</v>
          </cell>
          <cell r="L591">
            <v>47.3</v>
          </cell>
          <cell r="M591">
            <v>17.600000000000001</v>
          </cell>
        </row>
        <row r="592">
          <cell r="C592" t="str">
            <v>110kV 171 Châu Đức - 172 Ngãi Giao</v>
          </cell>
          <cell r="F592">
            <v>45.6</v>
          </cell>
          <cell r="H592">
            <v>45.6</v>
          </cell>
          <cell r="I592">
            <v>33.6</v>
          </cell>
          <cell r="J592">
            <v>43.8</v>
          </cell>
          <cell r="K592">
            <v>43</v>
          </cell>
          <cell r="L592">
            <v>42.1</v>
          </cell>
          <cell r="M592">
            <v>43.7</v>
          </cell>
        </row>
        <row r="593">
          <cell r="C593" t="str">
            <v>110kV 172 Châu Đức - 173 Bà Rịa</v>
          </cell>
          <cell r="F593">
            <v>-75.7</v>
          </cell>
          <cell r="H593">
            <v>-75.7</v>
          </cell>
          <cell r="I593">
            <v>-58.4</v>
          </cell>
          <cell r="J593">
            <v>-72.099999999999994</v>
          </cell>
          <cell r="K593">
            <v>-71.8</v>
          </cell>
          <cell r="L593">
            <v>-62.4</v>
          </cell>
          <cell r="M593">
            <v>-66.2</v>
          </cell>
        </row>
        <row r="594">
          <cell r="C594" t="str">
            <v>Châu Đức MBA T1 (phía 110kV)</v>
          </cell>
          <cell r="F594">
            <v>36</v>
          </cell>
          <cell r="H594">
            <v>36</v>
          </cell>
          <cell r="I594">
            <v>30.8</v>
          </cell>
          <cell r="J594">
            <v>33.5</v>
          </cell>
          <cell r="K594">
            <v>34.799999999999997</v>
          </cell>
          <cell r="L594">
            <v>20</v>
          </cell>
          <cell r="M594">
            <v>22.3</v>
          </cell>
        </row>
        <row r="595">
          <cell r="C595" t="str">
            <v>Châu Đức MBA T1 (phía 22kV)</v>
          </cell>
          <cell r="F595">
            <v>-35.700000000000003</v>
          </cell>
          <cell r="H595">
            <v>-35.700000000000003</v>
          </cell>
          <cell r="I595">
            <v>-31</v>
          </cell>
          <cell r="J595">
            <v>-33.200000000000003</v>
          </cell>
          <cell r="K595">
            <v>-34.5</v>
          </cell>
          <cell r="L595">
            <v>-20.100000000000001</v>
          </cell>
          <cell r="M595">
            <v>-22.3</v>
          </cell>
        </row>
        <row r="596">
          <cell r="C596" t="str">
            <v>110kV 173 Châu Đức - 171 NMĐ MT Châu Đức</v>
          </cell>
          <cell r="F596">
            <v>-47.4</v>
          </cell>
          <cell r="H596">
            <v>-36.4</v>
          </cell>
          <cell r="I596">
            <v>-19.600000000000001</v>
          </cell>
          <cell r="J596">
            <v>-45.6</v>
          </cell>
          <cell r="K596">
            <v>-47.4</v>
          </cell>
          <cell r="L596">
            <v>-30.7</v>
          </cell>
          <cell r="M596">
            <v>-42.2</v>
          </cell>
        </row>
        <row r="597">
          <cell r="C597" t="str">
            <v>220kV 271 Châu Đức 2 - 275 Tân Thành</v>
          </cell>
          <cell r="F597">
            <v>375.5</v>
          </cell>
          <cell r="H597">
            <v>375.5</v>
          </cell>
          <cell r="I597">
            <v>237</v>
          </cell>
          <cell r="J597">
            <v>322.8</v>
          </cell>
          <cell r="K597">
            <v>326.10000000000002</v>
          </cell>
          <cell r="L597">
            <v>252.4</v>
          </cell>
          <cell r="M597">
            <v>286.60000000000002</v>
          </cell>
        </row>
        <row r="598">
          <cell r="C598" t="str">
            <v>Châu Đức 2 MBA AT1 (phía 220kV)</v>
          </cell>
          <cell r="F598">
            <v>0.1</v>
          </cell>
          <cell r="H598">
            <v>0.1</v>
          </cell>
          <cell r="I598">
            <v>0.1</v>
          </cell>
          <cell r="J598">
            <v>0.1</v>
          </cell>
          <cell r="K598">
            <v>0.1</v>
          </cell>
          <cell r="L598">
            <v>0.1</v>
          </cell>
          <cell r="M598">
            <v>0.1</v>
          </cell>
        </row>
        <row r="599">
          <cell r="C599" t="str">
            <v>220kV 274 Châu Đức 2 - 271 NMĐ MT Đá Bạc</v>
          </cell>
          <cell r="F599">
            <v>-376</v>
          </cell>
          <cell r="H599">
            <v>-376</v>
          </cell>
          <cell r="I599">
            <v>-237.9</v>
          </cell>
          <cell r="J599">
            <v>-319.7</v>
          </cell>
          <cell r="K599">
            <v>-324.60000000000002</v>
          </cell>
          <cell r="L599">
            <v>-252.2</v>
          </cell>
          <cell r="M599">
            <v>-288</v>
          </cell>
        </row>
        <row r="600">
          <cell r="C600" t="str">
            <v>Châu Đức 2 MBA AT1 (phía 110kV)</v>
          </cell>
          <cell r="E600">
            <v>0</v>
          </cell>
          <cell r="F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</row>
        <row r="601">
          <cell r="C601" t="str">
            <v>110kV 171 Châu Thành - 179 Cần Thơ 2</v>
          </cell>
          <cell r="F601">
            <v>-75.2</v>
          </cell>
          <cell r="H601">
            <v>-70.8</v>
          </cell>
          <cell r="I601">
            <v>-63.5</v>
          </cell>
          <cell r="J601">
            <v>-75.2</v>
          </cell>
          <cell r="K601">
            <v>-66.900000000000006</v>
          </cell>
          <cell r="L601">
            <v>-70.900000000000006</v>
          </cell>
          <cell r="M601">
            <v>-64.099999999999994</v>
          </cell>
        </row>
        <row r="602">
          <cell r="C602" t="str">
            <v>110kV 172 Châu Thành - 171 Phụng Hiệp</v>
          </cell>
          <cell r="F602">
            <v>54.8</v>
          </cell>
          <cell r="H602">
            <v>35.6</v>
          </cell>
          <cell r="I602">
            <v>32.6</v>
          </cell>
          <cell r="J602">
            <v>38.9</v>
          </cell>
          <cell r="K602">
            <v>34.700000000000003</v>
          </cell>
          <cell r="L602">
            <v>54.8</v>
          </cell>
          <cell r="M602">
            <v>35</v>
          </cell>
        </row>
        <row r="603">
          <cell r="C603" t="str">
            <v>Châu Thành MBA T1 (phía 110kV)</v>
          </cell>
          <cell r="F603">
            <v>17.8</v>
          </cell>
          <cell r="H603">
            <v>17.7</v>
          </cell>
          <cell r="I603">
            <v>17.8</v>
          </cell>
          <cell r="J603">
            <v>17</v>
          </cell>
          <cell r="K603">
            <v>16.899999999999999</v>
          </cell>
          <cell r="L603">
            <v>14.2</v>
          </cell>
          <cell r="M603">
            <v>13.9</v>
          </cell>
        </row>
        <row r="604">
          <cell r="C604" t="str">
            <v>Châu Thành MBA T1 (phía 22kV)</v>
          </cell>
          <cell r="F604">
            <v>-17.8</v>
          </cell>
          <cell r="H604">
            <v>-17.8</v>
          </cell>
          <cell r="I604">
            <v>-17.8</v>
          </cell>
          <cell r="J604">
            <v>-17</v>
          </cell>
          <cell r="K604">
            <v>-16.8</v>
          </cell>
          <cell r="L604">
            <v>-14.2</v>
          </cell>
          <cell r="M604">
            <v>-13.8</v>
          </cell>
        </row>
        <row r="605">
          <cell r="C605" t="str">
            <v>Châu Thành MBA T2 (phía 110kV)</v>
          </cell>
          <cell r="F605">
            <v>20.3</v>
          </cell>
          <cell r="H605">
            <v>19.899999999999999</v>
          </cell>
          <cell r="I605">
            <v>20.3</v>
          </cell>
          <cell r="J605">
            <v>19.3</v>
          </cell>
          <cell r="K605">
            <v>19.2</v>
          </cell>
          <cell r="L605">
            <v>15.8</v>
          </cell>
          <cell r="M605">
            <v>15.5</v>
          </cell>
        </row>
        <row r="606">
          <cell r="C606" t="str">
            <v>Châu Thành MBA T2 (phía 22kV)</v>
          </cell>
          <cell r="F606">
            <v>-20.100000000000001</v>
          </cell>
          <cell r="H606">
            <v>-19.8</v>
          </cell>
          <cell r="I606">
            <v>-20.100000000000001</v>
          </cell>
          <cell r="J606">
            <v>-19.399999999999999</v>
          </cell>
          <cell r="K606">
            <v>-19.2</v>
          </cell>
          <cell r="L606">
            <v>-15.9</v>
          </cell>
          <cell r="M606">
            <v>-15.5</v>
          </cell>
        </row>
        <row r="607">
          <cell r="C607" t="str">
            <v>China Steel MBA T1 (phía 110kV)</v>
          </cell>
          <cell r="D607">
            <v>131</v>
          </cell>
          <cell r="E607">
            <v>0</v>
          </cell>
          <cell r="F607">
            <v>16.600000000000001</v>
          </cell>
          <cell r="G607">
            <v>15.4</v>
          </cell>
          <cell r="H607">
            <v>0</v>
          </cell>
          <cell r="I607">
            <v>16.600000000000001</v>
          </cell>
          <cell r="J607">
            <v>14.9</v>
          </cell>
          <cell r="K607">
            <v>0</v>
          </cell>
          <cell r="L607">
            <v>0</v>
          </cell>
          <cell r="M607">
            <v>16.100000000000001</v>
          </cell>
        </row>
        <row r="608">
          <cell r="C608" t="str">
            <v>China Steel MBA T2 (phía 110kV)</v>
          </cell>
          <cell r="D608">
            <v>132</v>
          </cell>
          <cell r="E608">
            <v>0</v>
          </cell>
          <cell r="F608">
            <v>16.600000000000001</v>
          </cell>
          <cell r="G608">
            <v>15.4</v>
          </cell>
          <cell r="H608">
            <v>0</v>
          </cell>
          <cell r="I608">
            <v>16.600000000000001</v>
          </cell>
          <cell r="J608">
            <v>15.6</v>
          </cell>
          <cell r="K608">
            <v>0</v>
          </cell>
          <cell r="L608">
            <v>0</v>
          </cell>
          <cell r="M608">
            <v>16</v>
          </cell>
        </row>
        <row r="609">
          <cell r="C609" t="str">
            <v>110kV 171 China Steel - 175 Mỹ Xuân 2</v>
          </cell>
          <cell r="D609">
            <v>171</v>
          </cell>
          <cell r="E609">
            <v>0</v>
          </cell>
          <cell r="F609">
            <v>-16.8</v>
          </cell>
          <cell r="G609">
            <v>-15.6</v>
          </cell>
          <cell r="H609">
            <v>-13.3</v>
          </cell>
          <cell r="I609">
            <v>-16.8</v>
          </cell>
          <cell r="J609">
            <v>-15.7</v>
          </cell>
          <cell r="K609">
            <v>0</v>
          </cell>
          <cell r="L609">
            <v>-12.8</v>
          </cell>
          <cell r="M609">
            <v>-16.100000000000001</v>
          </cell>
        </row>
        <row r="610">
          <cell r="C610" t="str">
            <v>110kV 172 China Steel - 176 Mỹ Xuân 2</v>
          </cell>
          <cell r="D610">
            <v>172</v>
          </cell>
          <cell r="E610">
            <v>0</v>
          </cell>
          <cell r="F610">
            <v>-16.399999999999999</v>
          </cell>
          <cell r="G610">
            <v>-15.8</v>
          </cell>
          <cell r="H610">
            <v>0</v>
          </cell>
          <cell r="I610">
            <v>-16.399999999999999</v>
          </cell>
          <cell r="J610">
            <v>-14.8</v>
          </cell>
          <cell r="K610">
            <v>0</v>
          </cell>
          <cell r="L610">
            <v>0</v>
          </cell>
          <cell r="M610">
            <v>-15.9</v>
          </cell>
        </row>
        <row r="611">
          <cell r="C611" t="str">
            <v>China Steel MBA T1 (phía 22kV)</v>
          </cell>
          <cell r="D611">
            <v>431</v>
          </cell>
          <cell r="E611">
            <v>0</v>
          </cell>
          <cell r="F611">
            <v>-17</v>
          </cell>
          <cell r="G611">
            <v>-15</v>
          </cell>
          <cell r="H611">
            <v>-14</v>
          </cell>
          <cell r="I611">
            <v>-17</v>
          </cell>
          <cell r="J611">
            <v>-15</v>
          </cell>
          <cell r="K611">
            <v>0</v>
          </cell>
          <cell r="L611">
            <v>-13</v>
          </cell>
          <cell r="M611">
            <v>-16</v>
          </cell>
        </row>
        <row r="612">
          <cell r="C612" t="str">
            <v>China Steel MBA T2 (phía 22kV)</v>
          </cell>
          <cell r="D612">
            <v>432</v>
          </cell>
          <cell r="E612">
            <v>0</v>
          </cell>
          <cell r="F612">
            <v>-16</v>
          </cell>
          <cell r="G612">
            <v>-15</v>
          </cell>
          <cell r="H612">
            <v>-14</v>
          </cell>
          <cell r="I612">
            <v>-16</v>
          </cell>
          <cell r="J612">
            <v>-15</v>
          </cell>
          <cell r="K612">
            <v>0</v>
          </cell>
          <cell r="L612">
            <v>-12</v>
          </cell>
          <cell r="M612">
            <v>-16</v>
          </cell>
        </row>
        <row r="613">
          <cell r="C613" t="str">
            <v>Ching Luh MBA T1 (phía 110kV)</v>
          </cell>
          <cell r="F613">
            <v>9.1999999999999993</v>
          </cell>
          <cell r="H613">
            <v>9.1999999999999993</v>
          </cell>
          <cell r="I613">
            <v>8.6</v>
          </cell>
          <cell r="J613">
            <v>8.8000000000000007</v>
          </cell>
          <cell r="K613">
            <v>8.8000000000000007</v>
          </cell>
          <cell r="L613">
            <v>1.2</v>
          </cell>
          <cell r="M613">
            <v>1.2</v>
          </cell>
        </row>
        <row r="614">
          <cell r="C614" t="str">
            <v>Ching Luh MBA T1 (phía 15kV)</v>
          </cell>
          <cell r="F614">
            <v>-9.3000000000000007</v>
          </cell>
          <cell r="H614">
            <v>-9.3000000000000007</v>
          </cell>
          <cell r="I614">
            <v>-8.6</v>
          </cell>
          <cell r="J614">
            <v>-8.6999999999999993</v>
          </cell>
          <cell r="K614">
            <v>-9</v>
          </cell>
          <cell r="L614">
            <v>-1.1000000000000001</v>
          </cell>
          <cell r="M614">
            <v>-1.1000000000000001</v>
          </cell>
        </row>
        <row r="615">
          <cell r="C615" t="str">
            <v>Ching Luh MBA T2 (phía 110kV)</v>
          </cell>
          <cell r="F615">
            <v>12.8</v>
          </cell>
          <cell r="H615">
            <v>11.8</v>
          </cell>
          <cell r="I615">
            <v>12.8</v>
          </cell>
          <cell r="J615">
            <v>12.1</v>
          </cell>
          <cell r="K615">
            <v>12.3</v>
          </cell>
          <cell r="L615">
            <v>8</v>
          </cell>
          <cell r="M615">
            <v>7.4</v>
          </cell>
        </row>
        <row r="616">
          <cell r="C616" t="str">
            <v>Ching Luh MBA T2 (phía 15kV)</v>
          </cell>
          <cell r="F616">
            <v>-12.9</v>
          </cell>
          <cell r="H616">
            <v>-12.2</v>
          </cell>
          <cell r="I616">
            <v>-12.9</v>
          </cell>
          <cell r="J616">
            <v>-12.3</v>
          </cell>
          <cell r="K616">
            <v>-12.4</v>
          </cell>
          <cell r="L616">
            <v>-8</v>
          </cell>
          <cell r="M616">
            <v>-7.5</v>
          </cell>
        </row>
        <row r="617">
          <cell r="C617" t="str">
            <v>110kV 171 Chợ Gạo - 172 Bình Đức</v>
          </cell>
          <cell r="F617">
            <v>-10.3</v>
          </cell>
          <cell r="H617">
            <v>-9.1999999999999993</v>
          </cell>
          <cell r="I617">
            <v>-8.6</v>
          </cell>
          <cell r="J617">
            <v>-8.9</v>
          </cell>
          <cell r="K617">
            <v>-10.199999999999999</v>
          </cell>
          <cell r="L617">
            <v>-8.6</v>
          </cell>
          <cell r="M617">
            <v>-10.3</v>
          </cell>
        </row>
        <row r="618">
          <cell r="C618" t="str">
            <v>110kV 172 Chợ Gạo - 172 Gò Công Tây</v>
          </cell>
          <cell r="F618">
            <v>-18.7</v>
          </cell>
          <cell r="H618">
            <v>-18.5</v>
          </cell>
          <cell r="I618">
            <v>-16.399999999999999</v>
          </cell>
          <cell r="J618">
            <v>-18.600000000000001</v>
          </cell>
          <cell r="K618">
            <v>-17.399999999999999</v>
          </cell>
          <cell r="L618">
            <v>-17.5</v>
          </cell>
          <cell r="M618">
            <v>-18.7</v>
          </cell>
        </row>
        <row r="619">
          <cell r="C619" t="str">
            <v>Chợ Gạo MBA T1 (phía 110kV)</v>
          </cell>
          <cell r="F619">
            <v>10.4</v>
          </cell>
          <cell r="H619">
            <v>9.1999999999999993</v>
          </cell>
          <cell r="I619">
            <v>8.5</v>
          </cell>
          <cell r="J619">
            <v>8.8000000000000007</v>
          </cell>
          <cell r="K619">
            <v>10.1</v>
          </cell>
          <cell r="L619">
            <v>8.6</v>
          </cell>
          <cell r="M619">
            <v>10.4</v>
          </cell>
        </row>
        <row r="620">
          <cell r="C620" t="str">
            <v>Chợ Gạo MBA T1 (phía 22kV)</v>
          </cell>
          <cell r="F620">
            <v>-10.3</v>
          </cell>
          <cell r="H620">
            <v>-9.1999999999999993</v>
          </cell>
          <cell r="I620">
            <v>-8.6</v>
          </cell>
          <cell r="J620">
            <v>-8.9</v>
          </cell>
          <cell r="K620">
            <v>-10.1</v>
          </cell>
          <cell r="L620">
            <v>-8.6</v>
          </cell>
          <cell r="M620">
            <v>-10.3</v>
          </cell>
        </row>
        <row r="621">
          <cell r="C621" t="str">
            <v>Chợ Gạo MBA T2 (phía 110kV)</v>
          </cell>
          <cell r="F621">
            <v>18.600000000000001</v>
          </cell>
          <cell r="H621">
            <v>18.399999999999999</v>
          </cell>
          <cell r="I621">
            <v>16.399999999999999</v>
          </cell>
          <cell r="J621">
            <v>18.5</v>
          </cell>
          <cell r="K621">
            <v>17.5</v>
          </cell>
          <cell r="L621">
            <v>17.5</v>
          </cell>
          <cell r="M621">
            <v>18.600000000000001</v>
          </cell>
        </row>
        <row r="622">
          <cell r="C622" t="str">
            <v>Chợ Gạo MBA T2 (phía 22kV)</v>
          </cell>
          <cell r="F622">
            <v>-18.600000000000001</v>
          </cell>
          <cell r="H622">
            <v>-18.399999999999999</v>
          </cell>
          <cell r="I622">
            <v>-16.399999999999999</v>
          </cell>
          <cell r="J622">
            <v>-18.600000000000001</v>
          </cell>
          <cell r="K622">
            <v>-17.399999999999999</v>
          </cell>
          <cell r="L622">
            <v>-17.5</v>
          </cell>
          <cell r="M622">
            <v>-18.600000000000001</v>
          </cell>
        </row>
        <row r="623">
          <cell r="C623" t="str">
            <v>110kV 171 Chợ Lách - 171 Mỏ Cày 2</v>
          </cell>
          <cell r="F623">
            <v>-19.100000000000001</v>
          </cell>
          <cell r="H623">
            <v>-17.7</v>
          </cell>
          <cell r="I623">
            <v>-16.5</v>
          </cell>
          <cell r="J623">
            <v>-18.600000000000001</v>
          </cell>
          <cell r="K623">
            <v>-16.899999999999999</v>
          </cell>
          <cell r="L623">
            <v>-16.8</v>
          </cell>
          <cell r="M623">
            <v>-19.100000000000001</v>
          </cell>
        </row>
        <row r="624">
          <cell r="C624" t="str">
            <v>110kV 172 Chợ Lách - 172 Cổ Chiên</v>
          </cell>
          <cell r="E624">
            <v>0</v>
          </cell>
          <cell r="F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</row>
        <row r="625">
          <cell r="C625" t="str">
            <v>Chợ Lách MBA T2 (phía 110kV)</v>
          </cell>
          <cell r="F625">
            <v>19.100000000000001</v>
          </cell>
          <cell r="H625">
            <v>17.7</v>
          </cell>
          <cell r="I625">
            <v>16.5</v>
          </cell>
          <cell r="J625">
            <v>18.600000000000001</v>
          </cell>
          <cell r="K625">
            <v>16.899999999999999</v>
          </cell>
          <cell r="L625">
            <v>16.7</v>
          </cell>
          <cell r="M625">
            <v>19.100000000000001</v>
          </cell>
        </row>
        <row r="626">
          <cell r="C626" t="str">
            <v>Chợ Lách MBA T2 (phía 22kV)</v>
          </cell>
          <cell r="F626">
            <v>-19.100000000000001</v>
          </cell>
          <cell r="H626">
            <v>-17.7</v>
          </cell>
          <cell r="I626">
            <v>-16.600000000000001</v>
          </cell>
          <cell r="J626">
            <v>-18.5</v>
          </cell>
          <cell r="K626">
            <v>-16.899999999999999</v>
          </cell>
          <cell r="L626">
            <v>-16.8</v>
          </cell>
          <cell r="M626">
            <v>-19.100000000000001</v>
          </cell>
        </row>
        <row r="627">
          <cell r="C627" t="str">
            <v>Chợ Lớn MBA T1 (phía 110kV)</v>
          </cell>
          <cell r="D627">
            <v>131</v>
          </cell>
          <cell r="E627">
            <v>30.9</v>
          </cell>
          <cell r="F627">
            <v>43</v>
          </cell>
          <cell r="G627">
            <v>43</v>
          </cell>
          <cell r="H627">
            <v>40.5</v>
          </cell>
          <cell r="I627">
            <v>33.4</v>
          </cell>
          <cell r="J627">
            <v>41.2</v>
          </cell>
          <cell r="K627">
            <v>37.299999999999997</v>
          </cell>
          <cell r="L627">
            <v>31.7</v>
          </cell>
          <cell r="M627">
            <v>30.9</v>
          </cell>
        </row>
        <row r="628">
          <cell r="C628" t="str">
            <v>Chợ Lớn MBA T2 (phía 110kV)</v>
          </cell>
          <cell r="D628">
            <v>132</v>
          </cell>
          <cell r="E628">
            <v>31.7</v>
          </cell>
          <cell r="F628">
            <v>42.8</v>
          </cell>
          <cell r="G628">
            <v>42.8</v>
          </cell>
          <cell r="H628">
            <v>38.6</v>
          </cell>
          <cell r="I628">
            <v>31.7</v>
          </cell>
          <cell r="J628">
            <v>38.6</v>
          </cell>
          <cell r="K628">
            <v>35</v>
          </cell>
          <cell r="L628">
            <v>32.700000000000003</v>
          </cell>
          <cell r="M628">
            <v>33.1</v>
          </cell>
        </row>
        <row r="629">
          <cell r="C629" t="str">
            <v>110kV 171 Chợ Lớn - 174 Bà Quẹo - 171 Trường Đua</v>
          </cell>
          <cell r="D629">
            <v>171</v>
          </cell>
          <cell r="E629">
            <v>0</v>
          </cell>
          <cell r="F629">
            <v>86.7</v>
          </cell>
          <cell r="G629">
            <v>0</v>
          </cell>
          <cell r="H629">
            <v>86.7</v>
          </cell>
          <cell r="I629">
            <v>0</v>
          </cell>
          <cell r="J629">
            <v>0</v>
          </cell>
          <cell r="K629">
            <v>66.900000000000006</v>
          </cell>
          <cell r="L629">
            <v>62.3</v>
          </cell>
          <cell r="M629">
            <v>0</v>
          </cell>
        </row>
        <row r="630">
          <cell r="C630" t="str">
            <v>110kV 172 Chợ Lớn - 172 Phú Lâm</v>
          </cell>
          <cell r="D630">
            <v>172</v>
          </cell>
          <cell r="E630">
            <v>-32</v>
          </cell>
          <cell r="F630">
            <v>-81.400000000000006</v>
          </cell>
          <cell r="G630">
            <v>-43</v>
          </cell>
          <cell r="H630">
            <v>-81.400000000000006</v>
          </cell>
          <cell r="I630">
            <v>-32.6</v>
          </cell>
          <cell r="J630">
            <v>-40</v>
          </cell>
          <cell r="K630">
            <v>-69.7</v>
          </cell>
          <cell r="L630">
            <v>-62.4</v>
          </cell>
          <cell r="M630">
            <v>-32</v>
          </cell>
        </row>
        <row r="631">
          <cell r="C631" t="str">
            <v>110kV 173 Chợ Lớn - 173 Phú Lâm</v>
          </cell>
          <cell r="D631">
            <v>173</v>
          </cell>
          <cell r="E631">
            <v>-31.9</v>
          </cell>
          <cell r="F631">
            <v>-81.2</v>
          </cell>
          <cell r="G631">
            <v>-42.8</v>
          </cell>
          <cell r="H631">
            <v>-81.2</v>
          </cell>
          <cell r="I631">
            <v>-32.5</v>
          </cell>
          <cell r="J631">
            <v>-39.9</v>
          </cell>
          <cell r="K631">
            <v>-69.8</v>
          </cell>
          <cell r="L631">
            <v>-62.4</v>
          </cell>
          <cell r="M631">
            <v>-31.9</v>
          </cell>
        </row>
        <row r="632">
          <cell r="C632" t="str">
            <v>Chợ Lớn MBA T1 (phía 22kV)</v>
          </cell>
          <cell r="D632">
            <v>431</v>
          </cell>
          <cell r="E632">
            <v>-30.8</v>
          </cell>
          <cell r="F632">
            <v>-43</v>
          </cell>
          <cell r="G632">
            <v>-43</v>
          </cell>
          <cell r="H632">
            <v>-40.4</v>
          </cell>
          <cell r="I632">
            <v>-33.5</v>
          </cell>
          <cell r="J632">
            <v>-41.3</v>
          </cell>
          <cell r="K632">
            <v>-37.4</v>
          </cell>
          <cell r="L632">
            <v>-31.7</v>
          </cell>
          <cell r="M632">
            <v>-30.8</v>
          </cell>
        </row>
        <row r="633">
          <cell r="C633" t="str">
            <v>Chợ Lớn MBA T2 (phía 22kV)</v>
          </cell>
          <cell r="D633">
            <v>432</v>
          </cell>
          <cell r="E633">
            <v>-31.6</v>
          </cell>
          <cell r="F633">
            <v>-42.8</v>
          </cell>
          <cell r="G633">
            <v>-42.8</v>
          </cell>
          <cell r="H633">
            <v>-38.4</v>
          </cell>
          <cell r="I633">
            <v>-31.6</v>
          </cell>
          <cell r="J633">
            <v>-38.6</v>
          </cell>
          <cell r="K633">
            <v>-34.9</v>
          </cell>
          <cell r="L633">
            <v>-32.6</v>
          </cell>
          <cell r="M633">
            <v>-33.1</v>
          </cell>
        </row>
        <row r="634">
          <cell r="C634" t="str">
            <v>Chợ Mới MBA T1 (phía 110kV)</v>
          </cell>
          <cell r="D634">
            <v>131</v>
          </cell>
          <cell r="E634">
            <v>21.8</v>
          </cell>
          <cell r="F634">
            <v>28.1</v>
          </cell>
          <cell r="G634">
            <v>28.1</v>
          </cell>
          <cell r="H634">
            <v>21.8</v>
          </cell>
          <cell r="I634">
            <v>22.7</v>
          </cell>
          <cell r="J634">
            <v>26.4</v>
          </cell>
          <cell r="K634">
            <v>23.7</v>
          </cell>
          <cell r="L634">
            <v>24</v>
          </cell>
          <cell r="M634">
            <v>23.9</v>
          </cell>
        </row>
        <row r="635">
          <cell r="C635" t="str">
            <v>Chợ Mới MBA T2 (phía 110kV)</v>
          </cell>
          <cell r="D635">
            <v>132</v>
          </cell>
          <cell r="E635">
            <v>21.2</v>
          </cell>
          <cell r="F635">
            <v>23.5</v>
          </cell>
          <cell r="G635">
            <v>23.5</v>
          </cell>
          <cell r="H635">
            <v>21.6</v>
          </cell>
          <cell r="I635">
            <v>23.1</v>
          </cell>
          <cell r="J635">
            <v>23.1</v>
          </cell>
          <cell r="K635">
            <v>21.8</v>
          </cell>
          <cell r="L635">
            <v>21.2</v>
          </cell>
          <cell r="M635">
            <v>22.5</v>
          </cell>
        </row>
        <row r="636">
          <cell r="C636" t="str">
            <v>110kV 171 Chợ Mới - 174 Thạnh Hưng</v>
          </cell>
          <cell r="D636">
            <v>171</v>
          </cell>
          <cell r="E636">
            <v>-21.7</v>
          </cell>
          <cell r="F636">
            <v>-78.3</v>
          </cell>
          <cell r="G636">
            <v>-28.2</v>
          </cell>
          <cell r="H636">
            <v>-21.7</v>
          </cell>
          <cell r="I636">
            <v>-76.900000000000006</v>
          </cell>
          <cell r="J636">
            <v>-78.3</v>
          </cell>
          <cell r="K636">
            <v>-71.8</v>
          </cell>
          <cell r="L636">
            <v>-77.099999999999994</v>
          </cell>
          <cell r="M636">
            <v>-69.7</v>
          </cell>
        </row>
        <row r="637">
          <cell r="C637" t="str">
            <v>110kV 172 Chợ Mới - 172 Phú Tân</v>
          </cell>
          <cell r="D637">
            <v>172</v>
          </cell>
          <cell r="E637">
            <v>-21.6</v>
          </cell>
          <cell r="F637">
            <v>37.6</v>
          </cell>
          <cell r="G637">
            <v>-23.5</v>
          </cell>
          <cell r="H637">
            <v>-21.6</v>
          </cell>
          <cell r="I637">
            <v>33.299999999999997</v>
          </cell>
          <cell r="J637">
            <v>34.9</v>
          </cell>
          <cell r="K637">
            <v>30.4</v>
          </cell>
          <cell r="L637">
            <v>37.6</v>
          </cell>
          <cell r="M637">
            <v>33</v>
          </cell>
        </row>
        <row r="638">
          <cell r="C638" t="str">
            <v>Chợ Mới MBA T1 (phía 22kV)</v>
          </cell>
          <cell r="D638">
            <v>431</v>
          </cell>
          <cell r="E638">
            <v>-21.8</v>
          </cell>
          <cell r="F638">
            <v>-28.2</v>
          </cell>
          <cell r="G638">
            <v>-28.2</v>
          </cell>
          <cell r="H638">
            <v>-21.8</v>
          </cell>
          <cell r="I638">
            <v>-22.8</v>
          </cell>
          <cell r="J638">
            <v>-26.4</v>
          </cell>
          <cell r="K638">
            <v>-23.7</v>
          </cell>
          <cell r="L638">
            <v>-24</v>
          </cell>
          <cell r="M638">
            <v>-23.9</v>
          </cell>
        </row>
        <row r="639">
          <cell r="C639" t="str">
            <v>Chợ Mới MBA T2 (phía 22kV)</v>
          </cell>
          <cell r="D639">
            <v>432</v>
          </cell>
          <cell r="E639">
            <v>-21.4</v>
          </cell>
          <cell r="F639">
            <v>-23.6</v>
          </cell>
          <cell r="G639">
            <v>-23.6</v>
          </cell>
          <cell r="H639">
            <v>-21.7</v>
          </cell>
          <cell r="I639">
            <v>-23</v>
          </cell>
          <cell r="J639">
            <v>-23.3</v>
          </cell>
          <cell r="K639">
            <v>-21.9</v>
          </cell>
          <cell r="L639">
            <v>-21.4</v>
          </cell>
          <cell r="M639">
            <v>-22.4</v>
          </cell>
        </row>
        <row r="640">
          <cell r="C640" t="str">
            <v>110kV 171 Chợ Quán - 172 Quận 8</v>
          </cell>
          <cell r="F640">
            <v>-28.1</v>
          </cell>
          <cell r="H640">
            <v>-25</v>
          </cell>
          <cell r="I640">
            <v>-19.3</v>
          </cell>
          <cell r="J640">
            <v>-21.3</v>
          </cell>
          <cell r="K640">
            <v>-19.100000000000001</v>
          </cell>
          <cell r="L640">
            <v>-28.1</v>
          </cell>
          <cell r="M640">
            <v>-16.3</v>
          </cell>
        </row>
        <row r="641">
          <cell r="C641" t="str">
            <v>110kV 172 Chợ Quán - 175 Quận 8</v>
          </cell>
          <cell r="F641">
            <v>-20.8</v>
          </cell>
          <cell r="H641">
            <v>-20.8</v>
          </cell>
          <cell r="I641">
            <v>-15.5</v>
          </cell>
          <cell r="J641">
            <v>-17.899999999999999</v>
          </cell>
          <cell r="K641">
            <v>-16</v>
          </cell>
          <cell r="L641">
            <v>-13.8</v>
          </cell>
          <cell r="M641">
            <v>-14.2</v>
          </cell>
        </row>
        <row r="642">
          <cell r="C642" t="str">
            <v>Chợ Quán MBA T1 (phía 110kV)</v>
          </cell>
          <cell r="F642">
            <v>28.5</v>
          </cell>
          <cell r="H642">
            <v>28.5</v>
          </cell>
          <cell r="I642">
            <v>21.9</v>
          </cell>
          <cell r="J642">
            <v>23.9</v>
          </cell>
          <cell r="K642">
            <v>21.5</v>
          </cell>
          <cell r="L642">
            <v>17.8</v>
          </cell>
          <cell r="M642">
            <v>17.7</v>
          </cell>
        </row>
        <row r="643">
          <cell r="C643" t="str">
            <v>Chợ Quán MBA T2 (phía 110kV)</v>
          </cell>
          <cell r="F643">
            <v>17.600000000000001</v>
          </cell>
          <cell r="H643">
            <v>17.600000000000001</v>
          </cell>
          <cell r="I643">
            <v>13.1</v>
          </cell>
          <cell r="J643">
            <v>15.5</v>
          </cell>
          <cell r="K643">
            <v>13.7</v>
          </cell>
          <cell r="L643">
            <v>12.4</v>
          </cell>
          <cell r="M643">
            <v>13</v>
          </cell>
        </row>
        <row r="644">
          <cell r="C644" t="str">
            <v>Chợ Quán MBA T1 (phía 22kV)</v>
          </cell>
          <cell r="F644">
            <v>28.5</v>
          </cell>
          <cell r="H644">
            <v>28.5</v>
          </cell>
          <cell r="I644">
            <v>21.8</v>
          </cell>
          <cell r="J644">
            <v>23.7</v>
          </cell>
          <cell r="K644">
            <v>21.4</v>
          </cell>
          <cell r="L644">
            <v>17.8</v>
          </cell>
          <cell r="M644">
            <v>17.600000000000001</v>
          </cell>
        </row>
        <row r="645">
          <cell r="C645" t="str">
            <v>Chợ Quán MBA T2 (phía 22kV)</v>
          </cell>
          <cell r="F645">
            <v>-17.5</v>
          </cell>
          <cell r="H645">
            <v>-17.5</v>
          </cell>
          <cell r="I645">
            <v>-13.1</v>
          </cell>
          <cell r="J645">
            <v>-15.4</v>
          </cell>
          <cell r="K645">
            <v>-13.6</v>
          </cell>
          <cell r="L645">
            <v>-12.5</v>
          </cell>
          <cell r="M645">
            <v>-12.9</v>
          </cell>
        </row>
        <row r="646">
          <cell r="C646" t="str">
            <v>Chơn Thành MBA T1 (phía 110kV)</v>
          </cell>
          <cell r="F646">
            <v>34.700000000000003</v>
          </cell>
          <cell r="H646">
            <v>34.700000000000003</v>
          </cell>
          <cell r="I646">
            <v>17</v>
          </cell>
          <cell r="J646">
            <v>18.5</v>
          </cell>
          <cell r="K646">
            <v>19.8</v>
          </cell>
          <cell r="L646">
            <v>12</v>
          </cell>
          <cell r="M646">
            <v>7.5</v>
          </cell>
        </row>
        <row r="647">
          <cell r="C647" t="str">
            <v>Chơn Thành MBA T1 (phía 22kV)</v>
          </cell>
          <cell r="F647">
            <v>-34.5</v>
          </cell>
          <cell r="H647">
            <v>-34.5</v>
          </cell>
          <cell r="I647">
            <v>-17.3</v>
          </cell>
          <cell r="J647">
            <v>-18.5</v>
          </cell>
          <cell r="K647">
            <v>-19.8</v>
          </cell>
          <cell r="L647">
            <v>-12.1</v>
          </cell>
          <cell r="M647">
            <v>-7.4</v>
          </cell>
        </row>
        <row r="648">
          <cell r="C648" t="str">
            <v>110kV 171 Chơn Thành - 172 Viễn Đông</v>
          </cell>
          <cell r="E648">
            <v>0</v>
          </cell>
          <cell r="F648">
            <v>-17.600000000000001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-17.600000000000001</v>
          </cell>
        </row>
        <row r="649">
          <cell r="C649" t="str">
            <v>110kV 172 Chơn Thành - 172 XM Bình Phước</v>
          </cell>
          <cell r="F649">
            <v>-59.5</v>
          </cell>
          <cell r="H649">
            <v>-59.5</v>
          </cell>
          <cell r="I649">
            <v>-41.2</v>
          </cell>
          <cell r="J649">
            <v>-44.6</v>
          </cell>
          <cell r="K649">
            <v>-47.5</v>
          </cell>
          <cell r="L649">
            <v>-35.799999999999997</v>
          </cell>
          <cell r="M649">
            <v>-31.7</v>
          </cell>
        </row>
        <row r="650">
          <cell r="C650" t="str">
            <v>Chơn Thành MBA T2 (phía 110kV)</v>
          </cell>
          <cell r="F650">
            <v>32</v>
          </cell>
          <cell r="H650">
            <v>28.5</v>
          </cell>
          <cell r="I650">
            <v>24.9</v>
          </cell>
          <cell r="J650">
            <v>27.3</v>
          </cell>
          <cell r="K650">
            <v>32</v>
          </cell>
          <cell r="L650">
            <v>24.7</v>
          </cell>
          <cell r="M650">
            <v>25.6</v>
          </cell>
        </row>
        <row r="651">
          <cell r="C651" t="str">
            <v>Chơn Thành MBA T2 (phía 22kV)</v>
          </cell>
          <cell r="F651">
            <v>-32</v>
          </cell>
          <cell r="H651">
            <v>-28.6</v>
          </cell>
          <cell r="I651">
            <v>-25.6</v>
          </cell>
          <cell r="J651">
            <v>-27.4</v>
          </cell>
          <cell r="K651">
            <v>-32</v>
          </cell>
          <cell r="L651">
            <v>-24.6</v>
          </cell>
          <cell r="M651">
            <v>-25.6</v>
          </cell>
        </row>
        <row r="652">
          <cell r="C652" t="str">
            <v>500kV 571 Chơn Thành 500 - 573 Pleiku 2</v>
          </cell>
          <cell r="F652">
            <v>-440.3</v>
          </cell>
          <cell r="H652">
            <v>-440.3</v>
          </cell>
          <cell r="I652">
            <v>-429.2</v>
          </cell>
          <cell r="J652">
            <v>-287.3</v>
          </cell>
          <cell r="K652">
            <v>-329.2</v>
          </cell>
          <cell r="L652">
            <v>182.6</v>
          </cell>
          <cell r="M652">
            <v>-376.2</v>
          </cell>
        </row>
        <row r="653">
          <cell r="C653" t="str">
            <v>500kV 572 Chơn Thành 500 - 574 Pleiku 2</v>
          </cell>
          <cell r="F653">
            <v>-636.79999999999995</v>
          </cell>
          <cell r="H653">
            <v>-636.79999999999995</v>
          </cell>
          <cell r="I653">
            <v>-629.79999999999995</v>
          </cell>
          <cell r="J653">
            <v>163.1</v>
          </cell>
          <cell r="K653">
            <v>-318</v>
          </cell>
          <cell r="L653">
            <v>313.7</v>
          </cell>
          <cell r="M653">
            <v>-553</v>
          </cell>
        </row>
        <row r="654">
          <cell r="C654" t="str">
            <v>500kV 573 Chơn Thành 500 - 573 Cầu Bông</v>
          </cell>
          <cell r="F654">
            <v>545.20000000000005</v>
          </cell>
          <cell r="H654">
            <v>545.20000000000005</v>
          </cell>
          <cell r="I654">
            <v>540</v>
          </cell>
          <cell r="J654">
            <v>206.5</v>
          </cell>
          <cell r="K654">
            <v>272.39999999999998</v>
          </cell>
          <cell r="L654">
            <v>-253</v>
          </cell>
          <cell r="M654">
            <v>471.4</v>
          </cell>
        </row>
        <row r="655">
          <cell r="C655" t="str">
            <v>500kV 574 Chơn Thành 500 - 572 Cầu Bông</v>
          </cell>
          <cell r="F655">
            <v>545.4</v>
          </cell>
          <cell r="H655">
            <v>545.4</v>
          </cell>
          <cell r="I655">
            <v>539.5</v>
          </cell>
          <cell r="J655">
            <v>206.6</v>
          </cell>
          <cell r="K655">
            <v>272.7</v>
          </cell>
          <cell r="L655">
            <v>-252.4</v>
          </cell>
          <cell r="M655">
            <v>470.9</v>
          </cell>
        </row>
        <row r="656">
          <cell r="C656" t="str">
            <v>110kV 171 Chung Sư - 171 Rạch Giá 2</v>
          </cell>
          <cell r="F656">
            <v>-22.4</v>
          </cell>
          <cell r="H656">
            <v>-21.5</v>
          </cell>
          <cell r="I656">
            <v>-22.4</v>
          </cell>
          <cell r="J656">
            <v>-20.399999999999999</v>
          </cell>
          <cell r="K656">
            <v>-19.3</v>
          </cell>
          <cell r="L656">
            <v>-17.600000000000001</v>
          </cell>
          <cell r="M656">
            <v>-18.3</v>
          </cell>
        </row>
        <row r="657">
          <cell r="C657" t="str">
            <v>Chung Sư MBA T1 (phía 22kV)</v>
          </cell>
          <cell r="F657">
            <v>-22.6</v>
          </cell>
          <cell r="H657">
            <v>-21.6</v>
          </cell>
          <cell r="I657">
            <v>-22.6</v>
          </cell>
          <cell r="J657">
            <v>-20.3</v>
          </cell>
          <cell r="K657">
            <v>-19.3</v>
          </cell>
          <cell r="L657">
            <v>-17.600000000000001</v>
          </cell>
          <cell r="M657">
            <v>-18.3</v>
          </cell>
        </row>
        <row r="658">
          <cell r="C658" t="str">
            <v>Chung Sư MBA T1 (phía 110kV)</v>
          </cell>
          <cell r="E658">
            <v>0</v>
          </cell>
          <cell r="F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</row>
        <row r="659">
          <cell r="C659" t="str">
            <v>110kV 171 Cổ Chiên - 175 Vĩnh Long 2</v>
          </cell>
          <cell r="F659">
            <v>-23.2</v>
          </cell>
          <cell r="H659">
            <v>-22.1</v>
          </cell>
          <cell r="I659">
            <v>-19</v>
          </cell>
          <cell r="J659">
            <v>-23.2</v>
          </cell>
          <cell r="K659">
            <v>-19.7</v>
          </cell>
          <cell r="L659">
            <v>-14.8</v>
          </cell>
          <cell r="M659">
            <v>-17.7</v>
          </cell>
        </row>
        <row r="660">
          <cell r="C660" t="str">
            <v>110kV 172 Cổ Chiên - 172 Chợ Lách</v>
          </cell>
          <cell r="E660">
            <v>0</v>
          </cell>
          <cell r="F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</row>
        <row r="661">
          <cell r="C661" t="str">
            <v>Cổ Chiên MBA T1 (phía 110kV)</v>
          </cell>
          <cell r="F661">
            <v>23.1</v>
          </cell>
          <cell r="H661">
            <v>22</v>
          </cell>
          <cell r="I661">
            <v>18.899999999999999</v>
          </cell>
          <cell r="J661">
            <v>23.1</v>
          </cell>
          <cell r="K661">
            <v>19.7</v>
          </cell>
          <cell r="L661">
            <v>14.8</v>
          </cell>
          <cell r="M661">
            <v>17.600000000000001</v>
          </cell>
        </row>
        <row r="662">
          <cell r="C662" t="str">
            <v>Cổ Chiên MBA T1 (phía 22kV)</v>
          </cell>
          <cell r="F662">
            <v>-23.3</v>
          </cell>
          <cell r="H662">
            <v>-22.1</v>
          </cell>
          <cell r="I662">
            <v>-19</v>
          </cell>
          <cell r="J662">
            <v>-23.3</v>
          </cell>
          <cell r="K662">
            <v>-19.8</v>
          </cell>
          <cell r="L662">
            <v>-14.8</v>
          </cell>
          <cell r="M662">
            <v>-17.8</v>
          </cell>
        </row>
        <row r="663">
          <cell r="C663" t="str">
            <v>Công Nghệ Cao MBA T3 (phía 110kV)</v>
          </cell>
          <cell r="F663">
            <v>14.8</v>
          </cell>
          <cell r="H663">
            <v>14.8</v>
          </cell>
          <cell r="I663">
            <v>13.8</v>
          </cell>
          <cell r="J663">
            <v>14.1</v>
          </cell>
          <cell r="K663">
            <v>13.8</v>
          </cell>
          <cell r="L663">
            <v>10.8</v>
          </cell>
          <cell r="M663">
            <v>10.199999999999999</v>
          </cell>
        </row>
        <row r="664">
          <cell r="C664" t="str">
            <v>110kV 172 Công Nghệ Cao - 175 Cát Lái</v>
          </cell>
          <cell r="E664">
            <v>0</v>
          </cell>
          <cell r="F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</row>
        <row r="665">
          <cell r="C665" t="str">
            <v>110kV 173 Công Nghệ Cao - (174-7) Intel</v>
          </cell>
          <cell r="F665">
            <v>35.299999999999997</v>
          </cell>
          <cell r="H665">
            <v>35.299999999999997</v>
          </cell>
          <cell r="I665">
            <v>31.9</v>
          </cell>
          <cell r="J665">
            <v>-19.399999999999999</v>
          </cell>
          <cell r="K665">
            <v>33</v>
          </cell>
          <cell r="L665">
            <v>35.1</v>
          </cell>
          <cell r="M665">
            <v>33.4</v>
          </cell>
        </row>
        <row r="666">
          <cell r="C666" t="str">
            <v>110kV 174 Công Nghệ Cao - 172 Tăng Nhơn Phú</v>
          </cell>
          <cell r="F666">
            <v>44.2</v>
          </cell>
          <cell r="H666">
            <v>44.2</v>
          </cell>
          <cell r="I666">
            <v>40.1</v>
          </cell>
          <cell r="J666">
            <v>-23.5</v>
          </cell>
          <cell r="K666">
            <v>41.4</v>
          </cell>
          <cell r="L666">
            <v>43.1</v>
          </cell>
          <cell r="M666">
            <v>41.2</v>
          </cell>
        </row>
        <row r="667">
          <cell r="C667" t="str">
            <v>Công Nghệ Cao MBA T4 (phía 110kV)</v>
          </cell>
          <cell r="F667">
            <v>30.1</v>
          </cell>
          <cell r="H667">
            <v>30.1</v>
          </cell>
          <cell r="I667">
            <v>29.1</v>
          </cell>
          <cell r="J667">
            <v>29.5</v>
          </cell>
          <cell r="K667">
            <v>29.4</v>
          </cell>
          <cell r="L667">
            <v>18.600000000000001</v>
          </cell>
          <cell r="M667">
            <v>18.5</v>
          </cell>
        </row>
        <row r="668">
          <cell r="C668" t="str">
            <v>Công Nghệ Cao MBA T5 (phía 110kV)</v>
          </cell>
          <cell r="E668">
            <v>0</v>
          </cell>
          <cell r="F668">
            <v>14.1</v>
          </cell>
          <cell r="H668">
            <v>14.1</v>
          </cell>
          <cell r="I668">
            <v>11.2</v>
          </cell>
          <cell r="J668">
            <v>0</v>
          </cell>
          <cell r="K668">
            <v>11.3</v>
          </cell>
          <cell r="L668">
            <v>9.4</v>
          </cell>
          <cell r="M668">
            <v>11.3</v>
          </cell>
        </row>
        <row r="669">
          <cell r="C669" t="str">
            <v>Công Nghệ Cao MBA T3 (phía 22kV)</v>
          </cell>
          <cell r="F669">
            <v>-14.8</v>
          </cell>
          <cell r="H669">
            <v>-14.8</v>
          </cell>
          <cell r="I669">
            <v>-14</v>
          </cell>
          <cell r="J669">
            <v>-13.9</v>
          </cell>
          <cell r="K669">
            <v>-13.7</v>
          </cell>
          <cell r="L669">
            <v>-10.5</v>
          </cell>
          <cell r="M669">
            <v>-10.3</v>
          </cell>
        </row>
        <row r="670">
          <cell r="C670" t="str">
            <v>Công Nghệ Cao MBA T4 (phía 22kV)</v>
          </cell>
          <cell r="F670">
            <v>-30</v>
          </cell>
          <cell r="H670">
            <v>-30</v>
          </cell>
          <cell r="I670">
            <v>-28.8</v>
          </cell>
          <cell r="J670">
            <v>-29.4</v>
          </cell>
          <cell r="K670">
            <v>-29</v>
          </cell>
          <cell r="L670">
            <v>-18.600000000000001</v>
          </cell>
          <cell r="M670">
            <v>-18.399999999999999</v>
          </cell>
        </row>
        <row r="671">
          <cell r="C671" t="str">
            <v>Công Nghệ Cao MBA AT1 (phía 110kV)</v>
          </cell>
          <cell r="E671">
            <v>0</v>
          </cell>
          <cell r="F671">
            <v>-64</v>
          </cell>
          <cell r="H671">
            <v>-64</v>
          </cell>
          <cell r="I671">
            <v>-58.9</v>
          </cell>
          <cell r="J671">
            <v>0</v>
          </cell>
          <cell r="K671">
            <v>-59.9</v>
          </cell>
          <cell r="L671">
            <v>-56.3</v>
          </cell>
          <cell r="M671">
            <v>-54.3</v>
          </cell>
        </row>
        <row r="672">
          <cell r="C672" t="str">
            <v>Công Nghệ Cao MBA AT2 (phía 110kV)</v>
          </cell>
          <cell r="E672">
            <v>0</v>
          </cell>
          <cell r="F672">
            <v>-63.9</v>
          </cell>
          <cell r="H672">
            <v>-63.9</v>
          </cell>
          <cell r="I672">
            <v>-59.3</v>
          </cell>
          <cell r="J672">
            <v>0</v>
          </cell>
          <cell r="K672">
            <v>-60.3</v>
          </cell>
          <cell r="L672">
            <v>-56.9</v>
          </cell>
          <cell r="M672">
            <v>-55.5</v>
          </cell>
        </row>
        <row r="673">
          <cell r="C673" t="str">
            <v>Công Nghệ Cao MBA AT1 (phía 220kV)</v>
          </cell>
          <cell r="F673">
            <v>63.8</v>
          </cell>
          <cell r="H673">
            <v>63.8</v>
          </cell>
          <cell r="I673">
            <v>58.3</v>
          </cell>
          <cell r="J673">
            <v>0.1</v>
          </cell>
          <cell r="K673">
            <v>59.5</v>
          </cell>
          <cell r="L673">
            <v>56.3</v>
          </cell>
          <cell r="M673">
            <v>54.5</v>
          </cell>
        </row>
        <row r="674">
          <cell r="C674" t="str">
            <v>220kV 271 Công Nghệ Cao - 275 Cát Lái</v>
          </cell>
          <cell r="E674">
            <v>0</v>
          </cell>
          <cell r="F674">
            <v>-94.5</v>
          </cell>
          <cell r="H674">
            <v>-94.5</v>
          </cell>
          <cell r="I674">
            <v>-84.5</v>
          </cell>
          <cell r="J674">
            <v>0</v>
          </cell>
          <cell r="K674">
            <v>-86.2</v>
          </cell>
          <cell r="L674">
            <v>-77.5</v>
          </cell>
          <cell r="M674">
            <v>-78.8</v>
          </cell>
        </row>
        <row r="675">
          <cell r="C675" t="str">
            <v>220kV 272 Công Nghệ Cao - 276 Cát Lái</v>
          </cell>
          <cell r="E675">
            <v>0</v>
          </cell>
          <cell r="F675">
            <v>-57.8</v>
          </cell>
          <cell r="H675">
            <v>-37.700000000000003</v>
          </cell>
          <cell r="I675">
            <v>-35.5</v>
          </cell>
          <cell r="J675">
            <v>0</v>
          </cell>
          <cell r="K675">
            <v>-57.8</v>
          </cell>
          <cell r="L675">
            <v>-36.4</v>
          </cell>
          <cell r="M675">
            <v>-50.4</v>
          </cell>
        </row>
        <row r="676">
          <cell r="C676" t="str">
            <v>Công Nghệ Cao MBA AT2 (phía 220kV)</v>
          </cell>
          <cell r="F676">
            <v>64.2</v>
          </cell>
          <cell r="H676">
            <v>64.2</v>
          </cell>
          <cell r="I676">
            <v>59.2</v>
          </cell>
          <cell r="J676">
            <v>0.1</v>
          </cell>
          <cell r="K676">
            <v>60.2</v>
          </cell>
          <cell r="L676">
            <v>56.9</v>
          </cell>
          <cell r="M676">
            <v>55.5</v>
          </cell>
        </row>
        <row r="677">
          <cell r="C677" t="str">
            <v>Công Nghệ Cao MBA T5 (phía 22kV)</v>
          </cell>
          <cell r="E677">
            <v>0</v>
          </cell>
          <cell r="F677">
            <v>14</v>
          </cell>
          <cell r="H677">
            <v>14</v>
          </cell>
          <cell r="I677">
            <v>11.2</v>
          </cell>
          <cell r="J677">
            <v>0</v>
          </cell>
          <cell r="K677">
            <v>11.3</v>
          </cell>
          <cell r="L677">
            <v>9.3000000000000007</v>
          </cell>
          <cell r="M677">
            <v>11.2</v>
          </cell>
        </row>
        <row r="678">
          <cell r="C678" t="str">
            <v>Củ Chi MBA T1 (phía 110kV)</v>
          </cell>
          <cell r="D678">
            <v>131</v>
          </cell>
          <cell r="E678">
            <v>21.7</v>
          </cell>
          <cell r="F678">
            <v>39.299999999999997</v>
          </cell>
          <cell r="G678">
            <v>39.299999999999997</v>
          </cell>
          <cell r="H678">
            <v>37.9</v>
          </cell>
          <cell r="I678">
            <v>34.1</v>
          </cell>
          <cell r="J678">
            <v>38.200000000000003</v>
          </cell>
          <cell r="K678">
            <v>37.6</v>
          </cell>
          <cell r="L678">
            <v>24.4</v>
          </cell>
          <cell r="M678">
            <v>21.7</v>
          </cell>
        </row>
        <row r="679">
          <cell r="C679" t="str">
            <v>Củ Chi MBA T2 (phía 110kV)</v>
          </cell>
          <cell r="D679">
            <v>132</v>
          </cell>
          <cell r="E679">
            <v>32.9</v>
          </cell>
          <cell r="F679">
            <v>47.4</v>
          </cell>
          <cell r="G679">
            <v>47.4</v>
          </cell>
          <cell r="H679">
            <v>46.3</v>
          </cell>
          <cell r="I679">
            <v>41</v>
          </cell>
          <cell r="J679">
            <v>46.1</v>
          </cell>
          <cell r="K679">
            <v>43.5</v>
          </cell>
          <cell r="L679">
            <v>35.700000000000003</v>
          </cell>
          <cell r="M679">
            <v>32.9</v>
          </cell>
        </row>
        <row r="680">
          <cell r="C680" t="str">
            <v>110kV 171 Củ Chi - 179 Củ Chi 2</v>
          </cell>
          <cell r="D680">
            <v>171</v>
          </cell>
          <cell r="E680">
            <v>-22</v>
          </cell>
          <cell r="F680">
            <v>-39.200000000000003</v>
          </cell>
          <cell r="G680">
            <v>-39.200000000000003</v>
          </cell>
          <cell r="H680">
            <v>-37.700000000000003</v>
          </cell>
          <cell r="I680">
            <v>-33.9</v>
          </cell>
          <cell r="J680">
            <v>-38</v>
          </cell>
          <cell r="K680">
            <v>-37.299999999999997</v>
          </cell>
          <cell r="L680">
            <v>-24.1</v>
          </cell>
          <cell r="M680">
            <v>-22</v>
          </cell>
        </row>
        <row r="681">
          <cell r="C681" t="str">
            <v>110kV 172 Củ Chi - 172 Cầu Bông</v>
          </cell>
          <cell r="D681">
            <v>172</v>
          </cell>
          <cell r="E681">
            <v>-33</v>
          </cell>
          <cell r="F681">
            <v>-47.2</v>
          </cell>
          <cell r="G681">
            <v>-47.2</v>
          </cell>
          <cell r="H681">
            <v>-46.3</v>
          </cell>
          <cell r="I681">
            <v>-41</v>
          </cell>
          <cell r="J681">
            <v>-46.2</v>
          </cell>
          <cell r="K681">
            <v>-43.5</v>
          </cell>
          <cell r="L681">
            <v>-35.799999999999997</v>
          </cell>
          <cell r="M681">
            <v>-33</v>
          </cell>
        </row>
        <row r="682">
          <cell r="C682" t="str">
            <v>Củ Chi MBA T1 (phía 22kV)</v>
          </cell>
          <cell r="D682">
            <v>431</v>
          </cell>
          <cell r="E682">
            <v>-22.5</v>
          </cell>
          <cell r="F682">
            <v>-39.6</v>
          </cell>
          <cell r="G682">
            <v>-39.6</v>
          </cell>
          <cell r="H682">
            <v>-37.5</v>
          </cell>
          <cell r="I682">
            <v>-33.700000000000003</v>
          </cell>
          <cell r="J682">
            <v>-38.200000000000003</v>
          </cell>
          <cell r="K682">
            <v>-37.5</v>
          </cell>
          <cell r="L682">
            <v>-24</v>
          </cell>
          <cell r="M682">
            <v>-22.5</v>
          </cell>
        </row>
        <row r="683">
          <cell r="C683" t="str">
            <v>Củ Chi MBA T2 (phía 22kV)</v>
          </cell>
          <cell r="D683">
            <v>432</v>
          </cell>
          <cell r="E683">
            <v>-33</v>
          </cell>
          <cell r="F683">
            <v>-47</v>
          </cell>
          <cell r="G683">
            <v>-47</v>
          </cell>
          <cell r="H683">
            <v>-46.8</v>
          </cell>
          <cell r="I683">
            <v>-41.2</v>
          </cell>
          <cell r="J683">
            <v>-46.5</v>
          </cell>
          <cell r="K683">
            <v>-43.7</v>
          </cell>
          <cell r="L683">
            <v>-35.799999999999997</v>
          </cell>
          <cell r="M683">
            <v>-33</v>
          </cell>
        </row>
        <row r="684">
          <cell r="C684" t="str">
            <v>Củ Chi 2 MBA AT2 (phía 220kV)</v>
          </cell>
          <cell r="F684">
            <v>83.6</v>
          </cell>
          <cell r="H684">
            <v>78.599999999999994</v>
          </cell>
          <cell r="I684">
            <v>74.099999999999994</v>
          </cell>
          <cell r="J684">
            <v>83.6</v>
          </cell>
          <cell r="K684">
            <v>80.8</v>
          </cell>
          <cell r="L684">
            <v>53</v>
          </cell>
          <cell r="M684">
            <v>48.1</v>
          </cell>
        </row>
        <row r="685">
          <cell r="C685" t="str">
            <v>Củ Chi 2 MBA AT3 (phía 220kV)</v>
          </cell>
          <cell r="F685">
            <v>84.3</v>
          </cell>
          <cell r="H685">
            <v>79.3</v>
          </cell>
          <cell r="I685">
            <v>74.599999999999994</v>
          </cell>
          <cell r="J685">
            <v>84.3</v>
          </cell>
          <cell r="K685">
            <v>81.400000000000006</v>
          </cell>
          <cell r="L685">
            <v>53</v>
          </cell>
          <cell r="M685">
            <v>48.5</v>
          </cell>
        </row>
        <row r="686">
          <cell r="C686" t="str">
            <v>220kV 273 Củ Chi 2 - 271 Trảng Bàng 2</v>
          </cell>
          <cell r="F686">
            <v>244</v>
          </cell>
          <cell r="H686">
            <v>222</v>
          </cell>
          <cell r="I686">
            <v>222.6</v>
          </cell>
          <cell r="J686">
            <v>240.3</v>
          </cell>
          <cell r="K686">
            <v>231.9</v>
          </cell>
          <cell r="L686">
            <v>244</v>
          </cell>
          <cell r="M686">
            <v>198.2</v>
          </cell>
        </row>
        <row r="687">
          <cell r="C687" t="str">
            <v>220kV 274 Củ Chi 2 - 272 Trảng Bàng 2</v>
          </cell>
          <cell r="F687">
            <v>244</v>
          </cell>
          <cell r="H687">
            <v>222.1</v>
          </cell>
          <cell r="I687">
            <v>221.7</v>
          </cell>
          <cell r="J687">
            <v>240.2</v>
          </cell>
          <cell r="K687">
            <v>231.4</v>
          </cell>
          <cell r="L687">
            <v>244</v>
          </cell>
          <cell r="M687">
            <v>198.7</v>
          </cell>
        </row>
        <row r="688">
          <cell r="C688" t="str">
            <v>220kV 275 Củ Chi 2 - 271 Tân Định</v>
          </cell>
          <cell r="F688">
            <v>-130.6</v>
          </cell>
          <cell r="H688">
            <v>-129.4</v>
          </cell>
          <cell r="I688">
            <v>-117.8</v>
          </cell>
          <cell r="J688">
            <v>-126.8</v>
          </cell>
          <cell r="K688">
            <v>-112.8</v>
          </cell>
          <cell r="L688">
            <v>-130.6</v>
          </cell>
          <cell r="M688">
            <v>-112.6</v>
          </cell>
        </row>
        <row r="689">
          <cell r="C689" t="str">
            <v>220kV 276 Củ Chi 2 - 276 Uyên Hưng</v>
          </cell>
          <cell r="F689">
            <v>-114.8</v>
          </cell>
          <cell r="H689">
            <v>-87.8</v>
          </cell>
          <cell r="I689">
            <v>-76.400000000000006</v>
          </cell>
          <cell r="J689">
            <v>-86.5</v>
          </cell>
          <cell r="K689">
            <v>-71.400000000000006</v>
          </cell>
          <cell r="L689">
            <v>-114.8</v>
          </cell>
          <cell r="M689">
            <v>-85.3</v>
          </cell>
        </row>
        <row r="690">
          <cell r="C690" t="str">
            <v>220kV 277 Củ Chi 2 - 276 Cầu Bông</v>
          </cell>
          <cell r="F690">
            <v>-204.8</v>
          </cell>
          <cell r="H690">
            <v>-188.4</v>
          </cell>
          <cell r="I690">
            <v>-199.5</v>
          </cell>
          <cell r="J690">
            <v>-202.4</v>
          </cell>
          <cell r="K690">
            <v>-204.8</v>
          </cell>
          <cell r="L690">
            <v>-190.5</v>
          </cell>
          <cell r="M690">
            <v>-169.3</v>
          </cell>
        </row>
        <row r="691">
          <cell r="C691" t="str">
            <v>220kV 278 Củ Chi 2 - 275 Cầu Bông</v>
          </cell>
          <cell r="F691">
            <v>-200.9</v>
          </cell>
          <cell r="H691">
            <v>-183.8</v>
          </cell>
          <cell r="I691">
            <v>-195.1</v>
          </cell>
          <cell r="J691">
            <v>-198.6</v>
          </cell>
          <cell r="K691">
            <v>-200.9</v>
          </cell>
          <cell r="L691">
            <v>-186.4</v>
          </cell>
          <cell r="M691">
            <v>-166</v>
          </cell>
        </row>
        <row r="692">
          <cell r="C692" t="str">
            <v>110kV 172 Củ Chi 2 - 172 KCN Trảng Bàng</v>
          </cell>
          <cell r="F692">
            <v>27</v>
          </cell>
          <cell r="H692">
            <v>27</v>
          </cell>
          <cell r="I692">
            <v>25.2</v>
          </cell>
          <cell r="J692">
            <v>26.2</v>
          </cell>
          <cell r="K692">
            <v>26.6</v>
          </cell>
          <cell r="L692">
            <v>15.9</v>
          </cell>
          <cell r="M692">
            <v>15.9</v>
          </cell>
        </row>
        <row r="693">
          <cell r="C693" t="str">
            <v>Củ Chi 2 MBA AT2 (phía 110kV)</v>
          </cell>
          <cell r="F693">
            <v>-83.7</v>
          </cell>
          <cell r="H693">
            <v>-78.599999999999994</v>
          </cell>
          <cell r="I693">
            <v>-73.900000000000006</v>
          </cell>
          <cell r="J693">
            <v>-83.7</v>
          </cell>
          <cell r="K693">
            <v>-80.5</v>
          </cell>
          <cell r="L693">
            <v>-52.7</v>
          </cell>
          <cell r="M693">
            <v>-48.1</v>
          </cell>
        </row>
        <row r="694">
          <cell r="C694" t="str">
            <v>Củ Chi 2 MBA AT3 (phía 110kV)</v>
          </cell>
          <cell r="F694">
            <v>-84.2</v>
          </cell>
          <cell r="H694">
            <v>-79.2</v>
          </cell>
          <cell r="I694">
            <v>-74.7</v>
          </cell>
          <cell r="J694">
            <v>-84.2</v>
          </cell>
          <cell r="K694">
            <v>-81.2</v>
          </cell>
          <cell r="L694">
            <v>-53.3</v>
          </cell>
          <cell r="M694">
            <v>-48.6</v>
          </cell>
        </row>
        <row r="695">
          <cell r="C695" t="str">
            <v>110kV 179 Củ Chi 2 - 171 Củ Chi</v>
          </cell>
          <cell r="F695">
            <v>38.1</v>
          </cell>
          <cell r="H695">
            <v>37.700000000000003</v>
          </cell>
          <cell r="I695">
            <v>33.9</v>
          </cell>
          <cell r="J695">
            <v>38.1</v>
          </cell>
          <cell r="K695">
            <v>37.799999999999997</v>
          </cell>
          <cell r="L695">
            <v>24.1</v>
          </cell>
          <cell r="M695">
            <v>22.1</v>
          </cell>
        </row>
        <row r="696">
          <cell r="C696" t="str">
            <v>110kV 180 Củ Chi 2 - 171 Phú Hòa Đông</v>
          </cell>
          <cell r="F696">
            <v>76.5</v>
          </cell>
          <cell r="H696">
            <v>70.599999999999994</v>
          </cell>
          <cell r="I696">
            <v>71.099999999999994</v>
          </cell>
          <cell r="J696">
            <v>76.5</v>
          </cell>
          <cell r="K696">
            <v>73.8</v>
          </cell>
          <cell r="L696">
            <v>54.8</v>
          </cell>
          <cell r="M696">
            <v>39.700000000000003</v>
          </cell>
        </row>
        <row r="697">
          <cell r="C697" t="str">
            <v>Củ Chi 2 MBA T4 (phía 110kV)</v>
          </cell>
          <cell r="F697">
            <v>20.9</v>
          </cell>
          <cell r="H697">
            <v>19.5</v>
          </cell>
          <cell r="I697">
            <v>17.8</v>
          </cell>
          <cell r="J697">
            <v>20.9</v>
          </cell>
          <cell r="K697">
            <v>19</v>
          </cell>
          <cell r="L697">
            <v>16.100000000000001</v>
          </cell>
          <cell r="M697">
            <v>16.2</v>
          </cell>
        </row>
        <row r="698">
          <cell r="C698" t="str">
            <v>110kV 181 Củ Chi 2 - 171 Bàu Đưng</v>
          </cell>
          <cell r="F698">
            <v>5.0999999999999996</v>
          </cell>
          <cell r="H698">
            <v>5.0999999999999996</v>
          </cell>
          <cell r="I698">
            <v>4.9000000000000004</v>
          </cell>
          <cell r="J698">
            <v>5.0999999999999996</v>
          </cell>
          <cell r="K698">
            <v>5</v>
          </cell>
          <cell r="L698">
            <v>4.5</v>
          </cell>
          <cell r="M698">
            <v>4.3</v>
          </cell>
        </row>
        <row r="699">
          <cell r="C699" t="str">
            <v>110kV 182 Củ Chi 2 - 172 Bàu Đưng</v>
          </cell>
          <cell r="F699">
            <v>4.5999999999999996</v>
          </cell>
          <cell r="H699">
            <v>4.2</v>
          </cell>
          <cell r="I699">
            <v>4.2</v>
          </cell>
          <cell r="J699">
            <v>4.5999999999999996</v>
          </cell>
          <cell r="K699">
            <v>4.5999999999999996</v>
          </cell>
          <cell r="L699">
            <v>4.3</v>
          </cell>
          <cell r="M699">
            <v>4.4000000000000004</v>
          </cell>
        </row>
        <row r="700">
          <cell r="C700" t="str">
            <v>Củ Chi 2 MBA T4 (phía 22kV)</v>
          </cell>
          <cell r="F700">
            <v>20.7</v>
          </cell>
          <cell r="H700">
            <v>19.3</v>
          </cell>
          <cell r="I700">
            <v>17.399999999999999</v>
          </cell>
          <cell r="J700">
            <v>20.7</v>
          </cell>
          <cell r="K700">
            <v>18.8</v>
          </cell>
          <cell r="L700">
            <v>15.9</v>
          </cell>
          <cell r="M700">
            <v>15.8</v>
          </cell>
        </row>
        <row r="701">
          <cell r="C701" t="str">
            <v>110kV 171 Cù Lao Dung - 171 Trần Đề</v>
          </cell>
          <cell r="F701">
            <v>30.6</v>
          </cell>
          <cell r="H701">
            <v>30.6</v>
          </cell>
          <cell r="I701">
            <v>25.6</v>
          </cell>
          <cell r="J701">
            <v>27.9</v>
          </cell>
          <cell r="K701">
            <v>25.7</v>
          </cell>
          <cell r="L701">
            <v>26.2</v>
          </cell>
          <cell r="M701">
            <v>24.9</v>
          </cell>
        </row>
        <row r="702">
          <cell r="C702" t="str">
            <v>110kV 172 Cù Lao Dung - 172 Đại Ngãi</v>
          </cell>
          <cell r="F702">
            <v>-43.2</v>
          </cell>
          <cell r="H702">
            <v>-43.2</v>
          </cell>
          <cell r="I702">
            <v>-36.799999999999997</v>
          </cell>
          <cell r="J702">
            <v>-41</v>
          </cell>
          <cell r="K702">
            <v>-38.299999999999997</v>
          </cell>
          <cell r="L702">
            <v>-40</v>
          </cell>
          <cell r="M702">
            <v>-38.5</v>
          </cell>
        </row>
        <row r="703">
          <cell r="C703" t="str">
            <v>Cù Lao Dung T1 (phía 110kV)</v>
          </cell>
          <cell r="F703">
            <v>14</v>
          </cell>
          <cell r="H703">
            <v>13.9</v>
          </cell>
          <cell r="I703">
            <v>12.5</v>
          </cell>
          <cell r="J703">
            <v>13.8</v>
          </cell>
          <cell r="K703">
            <v>13.6</v>
          </cell>
          <cell r="L703">
            <v>13.7</v>
          </cell>
          <cell r="M703">
            <v>14</v>
          </cell>
        </row>
        <row r="704">
          <cell r="C704" t="str">
            <v>Cù Lao Dung T1 (phía 22kV)</v>
          </cell>
          <cell r="F704">
            <v>-14</v>
          </cell>
          <cell r="H704">
            <v>-13.9</v>
          </cell>
          <cell r="I704">
            <v>-12.5</v>
          </cell>
          <cell r="J704">
            <v>-13.8</v>
          </cell>
          <cell r="K704">
            <v>-13.6</v>
          </cell>
          <cell r="L704">
            <v>-13.7</v>
          </cell>
          <cell r="M704">
            <v>-14</v>
          </cell>
        </row>
        <row r="705">
          <cell r="C705" t="str">
            <v>Đa Kao MBA T1 (phía 110kV)</v>
          </cell>
          <cell r="D705">
            <v>131</v>
          </cell>
          <cell r="E705">
            <v>33.6</v>
          </cell>
          <cell r="F705">
            <v>58</v>
          </cell>
          <cell r="G705">
            <v>58</v>
          </cell>
          <cell r="H705">
            <v>45.1</v>
          </cell>
          <cell r="I705">
            <v>33.700000000000003</v>
          </cell>
          <cell r="J705">
            <v>47.5</v>
          </cell>
          <cell r="K705">
            <v>36.799999999999997</v>
          </cell>
          <cell r="L705">
            <v>39.4</v>
          </cell>
          <cell r="M705">
            <v>33.6</v>
          </cell>
        </row>
        <row r="706">
          <cell r="C706" t="str">
            <v>Đa Kao MBA T2 (phía 110kV)</v>
          </cell>
          <cell r="D706">
            <v>132</v>
          </cell>
          <cell r="E706">
            <v>25.5</v>
          </cell>
          <cell r="F706">
            <v>50.5</v>
          </cell>
          <cell r="G706">
            <v>50.5</v>
          </cell>
          <cell r="H706">
            <v>47.8</v>
          </cell>
          <cell r="I706">
            <v>37.200000000000003</v>
          </cell>
          <cell r="J706">
            <v>40.6</v>
          </cell>
          <cell r="K706">
            <v>41.1</v>
          </cell>
          <cell r="L706">
            <v>25.5</v>
          </cell>
          <cell r="M706">
            <v>25.7</v>
          </cell>
        </row>
        <row r="707">
          <cell r="C707" t="str">
            <v>110kV 171 Đa Kao - (174-7) Bến Thành</v>
          </cell>
          <cell r="D707">
            <v>171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</row>
        <row r="708">
          <cell r="C708" t="str">
            <v>110kV 172 Đakao - 180 Tao Đàn</v>
          </cell>
          <cell r="D708">
            <v>172</v>
          </cell>
          <cell r="E708">
            <v>-59.1</v>
          </cell>
          <cell r="F708">
            <v>-108.6</v>
          </cell>
          <cell r="G708">
            <v>-108.6</v>
          </cell>
          <cell r="H708">
            <v>-92.8</v>
          </cell>
          <cell r="I708">
            <v>-69.7</v>
          </cell>
          <cell r="J708">
            <v>-88.1</v>
          </cell>
          <cell r="K708">
            <v>-77.8</v>
          </cell>
          <cell r="L708">
            <v>-63.9</v>
          </cell>
          <cell r="M708">
            <v>-59.1</v>
          </cell>
        </row>
        <row r="709">
          <cell r="C709" t="str">
            <v>110kV 173 Đa Kao - 174 Xa Lộ (mới)</v>
          </cell>
          <cell r="D709">
            <v>173</v>
          </cell>
          <cell r="E709">
            <v>0</v>
          </cell>
          <cell r="F709">
            <v>0</v>
          </cell>
          <cell r="G709">
            <v>0</v>
          </cell>
        </row>
        <row r="710">
          <cell r="C710" t="str">
            <v>Đa Kao MBA T1 (phía 22kV)</v>
          </cell>
          <cell r="D710">
            <v>431</v>
          </cell>
          <cell r="E710">
            <v>-33.4</v>
          </cell>
          <cell r="F710">
            <v>-57.7</v>
          </cell>
          <cell r="G710">
            <v>-57.7</v>
          </cell>
          <cell r="H710">
            <v>-45.2</v>
          </cell>
          <cell r="I710">
            <v>-33.4</v>
          </cell>
          <cell r="J710">
            <v>-47.2</v>
          </cell>
          <cell r="K710">
            <v>-36.5</v>
          </cell>
          <cell r="L710">
            <v>-39.5</v>
          </cell>
          <cell r="M710">
            <v>-33.6</v>
          </cell>
        </row>
        <row r="711">
          <cell r="C711" t="str">
            <v>Đa Kao MBA T2 (phía 22kV)</v>
          </cell>
          <cell r="D711">
            <v>432</v>
          </cell>
          <cell r="E711">
            <v>-24</v>
          </cell>
          <cell r="F711">
            <v>-50.2</v>
          </cell>
          <cell r="G711">
            <v>-50.2</v>
          </cell>
          <cell r="H711">
            <v>-47.5</v>
          </cell>
          <cell r="I711">
            <v>-37.1</v>
          </cell>
          <cell r="J711">
            <v>-39.5</v>
          </cell>
          <cell r="K711">
            <v>-40.9</v>
          </cell>
          <cell r="L711">
            <v>-25.1</v>
          </cell>
          <cell r="M711">
            <v>-24</v>
          </cell>
        </row>
        <row r="712">
          <cell r="C712" t="str">
            <v>110kV 173 Đa Kao - 174 Xa Lộ</v>
          </cell>
          <cell r="E712">
            <v>0</v>
          </cell>
          <cell r="F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</row>
        <row r="713">
          <cell r="C713" t="str">
            <v>Đà Lạt 1 MBA T1 (phía 110kV)</v>
          </cell>
          <cell r="D713">
            <v>131</v>
          </cell>
          <cell r="E713">
            <v>17.7</v>
          </cell>
          <cell r="F713">
            <v>21.2</v>
          </cell>
          <cell r="G713">
            <v>21.2</v>
          </cell>
          <cell r="H713">
            <v>20.6</v>
          </cell>
          <cell r="I713">
            <v>18.3</v>
          </cell>
          <cell r="J713">
            <v>17.7</v>
          </cell>
          <cell r="K713">
            <v>20.100000000000001</v>
          </cell>
          <cell r="L713">
            <v>18.899999999999999</v>
          </cell>
          <cell r="M713">
            <v>17.899999999999999</v>
          </cell>
        </row>
        <row r="714">
          <cell r="C714" t="str">
            <v>Đà Lạt 1 MBA T2 (phía 110kV)</v>
          </cell>
          <cell r="D714">
            <v>132</v>
          </cell>
          <cell r="E714">
            <v>19.5</v>
          </cell>
          <cell r="F714">
            <v>22.4</v>
          </cell>
          <cell r="G714">
            <v>22.4</v>
          </cell>
          <cell r="H714">
            <v>21.7</v>
          </cell>
          <cell r="I714">
            <v>22</v>
          </cell>
          <cell r="J714">
            <v>20.2</v>
          </cell>
          <cell r="K714">
            <v>21.3</v>
          </cell>
          <cell r="L714">
            <v>19.5</v>
          </cell>
          <cell r="M714">
            <v>20.3</v>
          </cell>
        </row>
        <row r="715">
          <cell r="C715" t="str">
            <v>110kV 171 Đà Lạt 1 - 172 Đà Lạt 2</v>
          </cell>
          <cell r="D715">
            <v>171</v>
          </cell>
          <cell r="E715">
            <v>-35</v>
          </cell>
          <cell r="F715">
            <v>-53.7</v>
          </cell>
          <cell r="G715">
            <v>-53.7</v>
          </cell>
          <cell r="H715">
            <v>-53.4</v>
          </cell>
          <cell r="I715">
            <v>-53.7</v>
          </cell>
          <cell r="J715">
            <v>-49.3</v>
          </cell>
          <cell r="K715">
            <v>-45.5</v>
          </cell>
          <cell r="L715">
            <v>-35</v>
          </cell>
          <cell r="M715">
            <v>-38.799999999999997</v>
          </cell>
        </row>
        <row r="716">
          <cell r="C716" t="str">
            <v>110kV 172 Đà Lạt 1 - 174 Đức Trọng 2</v>
          </cell>
          <cell r="D716">
            <v>172</v>
          </cell>
          <cell r="E716">
            <v>-14.8</v>
          </cell>
          <cell r="F716">
            <v>-53.7</v>
          </cell>
          <cell r="G716">
            <v>18.399999999999999</v>
          </cell>
          <cell r="H716">
            <v>23.5</v>
          </cell>
          <cell r="I716">
            <v>23.8</v>
          </cell>
          <cell r="J716">
            <v>21.5</v>
          </cell>
          <cell r="K716">
            <v>-53.7</v>
          </cell>
          <cell r="L716">
            <v>-14.8</v>
          </cell>
          <cell r="M716">
            <v>-15.8</v>
          </cell>
        </row>
        <row r="717">
          <cell r="C717" t="str">
            <v>Đà Lạt 1 MBA T1 (phía 22kV)</v>
          </cell>
          <cell r="D717">
            <v>431</v>
          </cell>
          <cell r="E717">
            <v>-17.8</v>
          </cell>
          <cell r="F717">
            <v>-21.4</v>
          </cell>
          <cell r="G717">
            <v>-21.4</v>
          </cell>
          <cell r="H717">
            <v>-20.6</v>
          </cell>
          <cell r="I717">
            <v>-18.3</v>
          </cell>
          <cell r="J717">
            <v>-17.8</v>
          </cell>
          <cell r="K717">
            <v>-20.100000000000001</v>
          </cell>
          <cell r="L717">
            <v>-18.899999999999999</v>
          </cell>
          <cell r="M717">
            <v>-17.899999999999999</v>
          </cell>
        </row>
        <row r="718">
          <cell r="C718" t="str">
            <v>Đà Lạt 1 MBA T2 (phía 22kV)</v>
          </cell>
          <cell r="D718">
            <v>432</v>
          </cell>
          <cell r="E718">
            <v>-19.5</v>
          </cell>
          <cell r="F718">
            <v>-22.2</v>
          </cell>
          <cell r="G718">
            <v>-22.2</v>
          </cell>
          <cell r="H718">
            <v>-21.7</v>
          </cell>
          <cell r="I718">
            <v>-22</v>
          </cell>
          <cell r="J718">
            <v>-20.2</v>
          </cell>
          <cell r="K718">
            <v>-21.2</v>
          </cell>
          <cell r="L718">
            <v>-19.5</v>
          </cell>
          <cell r="M718">
            <v>-20.2</v>
          </cell>
        </row>
        <row r="719">
          <cell r="C719" t="str">
            <v>Đà Lạt 2 MBA T1 (phía 110kV)</v>
          </cell>
          <cell r="D719">
            <v>131</v>
          </cell>
          <cell r="E719">
            <v>13.6</v>
          </cell>
          <cell r="F719">
            <v>21.6</v>
          </cell>
          <cell r="G719">
            <v>21.6</v>
          </cell>
          <cell r="H719">
            <v>20.5</v>
          </cell>
          <cell r="I719">
            <v>19.100000000000001</v>
          </cell>
          <cell r="J719">
            <v>14.8</v>
          </cell>
          <cell r="K719">
            <v>14.2</v>
          </cell>
          <cell r="L719">
            <v>13.6</v>
          </cell>
          <cell r="M719">
            <v>20</v>
          </cell>
        </row>
        <row r="720">
          <cell r="C720" t="str">
            <v>110kV 171 Đà Lạt 2 - 172 Suối Vàng</v>
          </cell>
          <cell r="D720">
            <v>171</v>
          </cell>
          <cell r="E720">
            <v>-43.6</v>
          </cell>
          <cell r="F720">
            <v>-69</v>
          </cell>
          <cell r="G720">
            <v>-69</v>
          </cell>
          <cell r="H720">
            <v>-65.5</v>
          </cell>
          <cell r="I720">
            <v>-64.599999999999994</v>
          </cell>
          <cell r="J720">
            <v>-59.7</v>
          </cell>
          <cell r="K720">
            <v>-55</v>
          </cell>
          <cell r="L720">
            <v>-43.6</v>
          </cell>
          <cell r="M720">
            <v>-57.5</v>
          </cell>
        </row>
        <row r="721">
          <cell r="C721" t="str">
            <v>110kV 172 Đà Lạt 2 - 171 Đà Lạt 1</v>
          </cell>
          <cell r="D721">
            <v>172</v>
          </cell>
          <cell r="E721">
            <v>35.5</v>
          </cell>
          <cell r="F721">
            <v>54.3</v>
          </cell>
          <cell r="G721">
            <v>54.3</v>
          </cell>
          <cell r="H721">
            <v>53.9</v>
          </cell>
          <cell r="I721">
            <v>54.3</v>
          </cell>
          <cell r="J721">
            <v>50</v>
          </cell>
          <cell r="K721">
            <v>46.1</v>
          </cell>
          <cell r="L721">
            <v>35.5</v>
          </cell>
          <cell r="M721">
            <v>39.299999999999997</v>
          </cell>
        </row>
        <row r="722">
          <cell r="C722" t="str">
            <v>Đà Lạt 2 MBA T1 (phía 22kV)</v>
          </cell>
          <cell r="D722">
            <v>431</v>
          </cell>
          <cell r="E722">
            <v>-13.6</v>
          </cell>
          <cell r="F722">
            <v>-21.6</v>
          </cell>
          <cell r="G722">
            <v>-21.6</v>
          </cell>
          <cell r="H722">
            <v>-20.5</v>
          </cell>
          <cell r="I722">
            <v>-19.100000000000001</v>
          </cell>
          <cell r="J722">
            <v>-14.7</v>
          </cell>
          <cell r="K722">
            <v>-14.2</v>
          </cell>
          <cell r="L722">
            <v>-13.6</v>
          </cell>
          <cell r="M722">
            <v>-19.899999999999999</v>
          </cell>
        </row>
        <row r="723">
          <cell r="C723" t="str">
            <v>110kV 172 Đạ Tẻh - 172 Tân Phú</v>
          </cell>
          <cell r="F723">
            <v>26.2</v>
          </cell>
          <cell r="H723">
            <v>24</v>
          </cell>
          <cell r="I723">
            <v>23.1</v>
          </cell>
          <cell r="J723">
            <v>26.2</v>
          </cell>
          <cell r="K723">
            <v>23.1</v>
          </cell>
          <cell r="L723">
            <v>23</v>
          </cell>
          <cell r="M723">
            <v>23.4</v>
          </cell>
        </row>
        <row r="724">
          <cell r="C724" t="str">
            <v>Đạ Tẻh MBA T2 (phía 110kV)</v>
          </cell>
          <cell r="F724">
            <v>-25</v>
          </cell>
          <cell r="H724">
            <v>-25</v>
          </cell>
          <cell r="I724">
            <v>-19.100000000000001</v>
          </cell>
          <cell r="J724">
            <v>-23.1</v>
          </cell>
          <cell r="K724">
            <v>-23.9</v>
          </cell>
          <cell r="L724">
            <v>-17.899999999999999</v>
          </cell>
          <cell r="M724">
            <v>-24.9</v>
          </cell>
        </row>
        <row r="725">
          <cell r="C725" t="str">
            <v>Đạ Tẻh MBA T2 (phía 22kV)</v>
          </cell>
          <cell r="F725">
            <v>25.2</v>
          </cell>
          <cell r="H725">
            <v>25.2</v>
          </cell>
          <cell r="I725">
            <v>19.2</v>
          </cell>
          <cell r="J725">
            <v>23.3</v>
          </cell>
          <cell r="K725">
            <v>24.1</v>
          </cell>
          <cell r="L725">
            <v>18</v>
          </cell>
          <cell r="M725">
            <v>25.1</v>
          </cell>
        </row>
        <row r="726">
          <cell r="C726" t="str">
            <v>110kV 171 Đạ Tẻh - 174 NMĐ Đam B'ri</v>
          </cell>
          <cell r="F726">
            <v>-34.799999999999997</v>
          </cell>
          <cell r="H726">
            <v>-31.2</v>
          </cell>
          <cell r="I726">
            <v>-26.1</v>
          </cell>
          <cell r="J726">
            <v>-31.7</v>
          </cell>
          <cell r="K726">
            <v>-26.2</v>
          </cell>
          <cell r="L726">
            <v>-34.799999999999997</v>
          </cell>
          <cell r="M726">
            <v>-26.8</v>
          </cell>
        </row>
        <row r="727">
          <cell r="C727" t="str">
            <v>Đại Ngãi MBA T1 (phía 110kV)</v>
          </cell>
          <cell r="D727">
            <v>131</v>
          </cell>
          <cell r="E727">
            <v>13.8</v>
          </cell>
          <cell r="F727">
            <v>19.3</v>
          </cell>
          <cell r="G727">
            <v>19.3</v>
          </cell>
          <cell r="H727">
            <v>16.600000000000001</v>
          </cell>
          <cell r="I727">
            <v>14.9</v>
          </cell>
          <cell r="J727">
            <v>17.899999999999999</v>
          </cell>
          <cell r="K727">
            <v>13.8</v>
          </cell>
          <cell r="L727">
            <v>18.2</v>
          </cell>
          <cell r="M727">
            <v>14.6</v>
          </cell>
        </row>
        <row r="728">
          <cell r="C728" t="str">
            <v>Đại Ngãi MBA T2 (phía 110kV)</v>
          </cell>
          <cell r="D728">
            <v>132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</row>
        <row r="729">
          <cell r="C729" t="str">
            <v>110kV 171 Đại Ngãi - 176 Sóc Trăng 2</v>
          </cell>
          <cell r="D729">
            <v>171</v>
          </cell>
          <cell r="E729">
            <v>-21.2</v>
          </cell>
          <cell r="F729">
            <v>-67.8</v>
          </cell>
          <cell r="G729">
            <v>-67.8</v>
          </cell>
          <cell r="H729">
            <v>-24</v>
          </cell>
          <cell r="I729">
            <v>-21.2</v>
          </cell>
          <cell r="J729">
            <v>-59.2</v>
          </cell>
          <cell r="K729">
            <v>-52.2</v>
          </cell>
          <cell r="L729">
            <v>-57.9</v>
          </cell>
          <cell r="M729">
            <v>-53.4</v>
          </cell>
        </row>
        <row r="730">
          <cell r="C730" t="str">
            <v>110kV 172 Đại Ngãi - 172 Cù Lao Dung</v>
          </cell>
          <cell r="D730">
            <v>172</v>
          </cell>
          <cell r="E730">
            <v>6.7</v>
          </cell>
          <cell r="F730">
            <v>48.8</v>
          </cell>
          <cell r="G730">
            <v>48.8</v>
          </cell>
          <cell r="H730">
            <v>7.8</v>
          </cell>
          <cell r="I730">
            <v>6.7</v>
          </cell>
          <cell r="J730">
            <v>41.7</v>
          </cell>
          <cell r="K730">
            <v>39</v>
          </cell>
          <cell r="L730">
            <v>40.700000000000003</v>
          </cell>
          <cell r="M730">
            <v>39.200000000000003</v>
          </cell>
        </row>
        <row r="731">
          <cell r="C731" t="str">
            <v>Đại Ngãi MBA T1 (phía 22kV)</v>
          </cell>
          <cell r="D731">
            <v>431</v>
          </cell>
          <cell r="E731">
            <v>-13.6</v>
          </cell>
          <cell r="F731">
            <v>-18.3</v>
          </cell>
          <cell r="G731">
            <v>-13.6</v>
          </cell>
          <cell r="H731">
            <v>-13.6</v>
          </cell>
          <cell r="I731">
            <v>-13.6</v>
          </cell>
          <cell r="J731">
            <v>-17.899999999999999</v>
          </cell>
          <cell r="K731">
            <v>-13.8</v>
          </cell>
          <cell r="L731">
            <v>-18.3</v>
          </cell>
          <cell r="M731">
            <v>-14.6</v>
          </cell>
        </row>
        <row r="732">
          <cell r="C732" t="str">
            <v>Đại Ngãi MBA T2 (phía 22kV)</v>
          </cell>
          <cell r="D732">
            <v>432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</row>
        <row r="733">
          <cell r="C733" t="str">
            <v>110kV 171 Đầm Dơi - 172 Cái Nước</v>
          </cell>
          <cell r="F733">
            <v>48.5</v>
          </cell>
          <cell r="H733">
            <v>46.2</v>
          </cell>
          <cell r="I733">
            <v>45.6</v>
          </cell>
          <cell r="J733">
            <v>48.1</v>
          </cell>
          <cell r="K733">
            <v>42.2</v>
          </cell>
          <cell r="L733">
            <v>48.5</v>
          </cell>
          <cell r="M733">
            <v>46.2</v>
          </cell>
        </row>
        <row r="734">
          <cell r="C734" t="str">
            <v>110kV 172 Đầm Dơi - 173 Cà Mau 2</v>
          </cell>
          <cell r="F734">
            <v>-84.1</v>
          </cell>
          <cell r="H734">
            <v>-81.099999999999994</v>
          </cell>
          <cell r="I734">
            <v>-78</v>
          </cell>
          <cell r="J734">
            <v>-84.1</v>
          </cell>
          <cell r="K734">
            <v>-75.8</v>
          </cell>
          <cell r="L734">
            <v>-66.099999999999994</v>
          </cell>
          <cell r="M734">
            <v>-71.5</v>
          </cell>
        </row>
        <row r="735">
          <cell r="C735" t="str">
            <v>Đầm Dơi MBA T1 (phía 110kV)</v>
          </cell>
          <cell r="E735">
            <v>0</v>
          </cell>
          <cell r="F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</row>
        <row r="736">
          <cell r="C736" t="str">
            <v>Đầm Dơi MBA T1 (phía 22kV)</v>
          </cell>
          <cell r="E736">
            <v>0</v>
          </cell>
          <cell r="F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</row>
        <row r="737">
          <cell r="C737" t="str">
            <v>110kV 173 Đầm Dơi - 174 Đông Hải</v>
          </cell>
          <cell r="F737">
            <v>-35.6</v>
          </cell>
          <cell r="H737">
            <v>-30.3</v>
          </cell>
          <cell r="I737">
            <v>-35.6</v>
          </cell>
          <cell r="J737">
            <v>12.2</v>
          </cell>
          <cell r="K737">
            <v>11.5</v>
          </cell>
          <cell r="L737">
            <v>-26.1</v>
          </cell>
          <cell r="M737">
            <v>-34.299999999999997</v>
          </cell>
        </row>
        <row r="738">
          <cell r="C738" t="str">
            <v>Đầm Dơi MBA T2 (phía 110kV)</v>
          </cell>
          <cell r="F738">
            <v>24.8</v>
          </cell>
          <cell r="H738">
            <v>23.5</v>
          </cell>
          <cell r="I738">
            <v>24.8</v>
          </cell>
          <cell r="J738">
            <v>23.9</v>
          </cell>
          <cell r="K738">
            <v>22.7</v>
          </cell>
          <cell r="L738">
            <v>23.3</v>
          </cell>
          <cell r="M738">
            <v>22.9</v>
          </cell>
        </row>
        <row r="739">
          <cell r="C739" t="str">
            <v>Đầm Dơi MBA T2 (phía 22kV)</v>
          </cell>
          <cell r="F739">
            <v>-24.8</v>
          </cell>
          <cell r="H739">
            <v>-23.5</v>
          </cell>
          <cell r="I739">
            <v>-24.8</v>
          </cell>
          <cell r="J739">
            <v>-23.9</v>
          </cell>
          <cell r="K739">
            <v>-22.7</v>
          </cell>
          <cell r="L739">
            <v>-23.3</v>
          </cell>
          <cell r="M739">
            <v>-23</v>
          </cell>
        </row>
        <row r="740">
          <cell r="C740" t="str">
            <v>Đất Cuốc MBA T1 (phía 110kV)</v>
          </cell>
          <cell r="D740">
            <v>131</v>
          </cell>
          <cell r="E740">
            <v>30.2</v>
          </cell>
          <cell r="F740">
            <v>51.7</v>
          </cell>
          <cell r="G740">
            <v>45.1</v>
          </cell>
          <cell r="H740">
            <v>48.5</v>
          </cell>
          <cell r="I740">
            <v>50.6</v>
          </cell>
          <cell r="J740">
            <v>51.7</v>
          </cell>
          <cell r="K740">
            <v>48.4</v>
          </cell>
          <cell r="L740">
            <v>30.2</v>
          </cell>
          <cell r="M740">
            <v>32.700000000000003</v>
          </cell>
        </row>
        <row r="741">
          <cell r="C741" t="str">
            <v>Đất Cuốc MBA T2 (phía 110kV)</v>
          </cell>
          <cell r="D741">
            <v>132</v>
          </cell>
          <cell r="E741">
            <v>24.3</v>
          </cell>
          <cell r="F741">
            <v>51.5</v>
          </cell>
          <cell r="G741">
            <v>40.6</v>
          </cell>
          <cell r="H741">
            <v>46.6</v>
          </cell>
          <cell r="I741">
            <v>38.5</v>
          </cell>
          <cell r="J741">
            <v>50</v>
          </cell>
          <cell r="K741">
            <v>51.5</v>
          </cell>
          <cell r="L741">
            <v>24.5</v>
          </cell>
          <cell r="M741">
            <v>24.3</v>
          </cell>
        </row>
        <row r="742">
          <cell r="C742" t="str">
            <v>110kV 171 Đất Cuốc - 175 Uyên Hưng</v>
          </cell>
          <cell r="D742">
            <v>171</v>
          </cell>
          <cell r="E742">
            <v>-66.7</v>
          </cell>
          <cell r="F742">
            <v>-89.8</v>
          </cell>
          <cell r="G742">
            <v>-79.900000000000006</v>
          </cell>
          <cell r="H742">
            <v>-75.099999999999994</v>
          </cell>
          <cell r="I742">
            <v>-89.8</v>
          </cell>
          <cell r="J742">
            <v>-87.5</v>
          </cell>
          <cell r="K742">
            <v>-89.4</v>
          </cell>
          <cell r="L742">
            <v>-69.2</v>
          </cell>
          <cell r="M742">
            <v>-66.7</v>
          </cell>
        </row>
        <row r="743">
          <cell r="C743" t="str">
            <v>110kV 172 Đất Cuốc - 171 Thép Tuệ Minh</v>
          </cell>
          <cell r="D743">
            <v>172</v>
          </cell>
          <cell r="E743">
            <v>15.2</v>
          </cell>
          <cell r="F743">
            <v>25.1</v>
          </cell>
          <cell r="G743">
            <v>22.3</v>
          </cell>
          <cell r="H743">
            <v>-24.3</v>
          </cell>
          <cell r="I743">
            <v>-19.3</v>
          </cell>
          <cell r="J743">
            <v>-21.8</v>
          </cell>
          <cell r="K743">
            <v>15.2</v>
          </cell>
          <cell r="L743">
            <v>20.399999999999999</v>
          </cell>
          <cell r="M743">
            <v>25.1</v>
          </cell>
        </row>
        <row r="744">
          <cell r="C744" t="str">
            <v>Đất Cuốc MBA T1 (phía 22kV)</v>
          </cell>
          <cell r="D744">
            <v>431</v>
          </cell>
          <cell r="E744">
            <v>-30.4</v>
          </cell>
          <cell r="F744">
            <v>-51.7</v>
          </cell>
          <cell r="G744">
            <v>-45.3</v>
          </cell>
          <cell r="H744">
            <v>-48.5</v>
          </cell>
          <cell r="I744">
            <v>-50.3</v>
          </cell>
          <cell r="J744">
            <v>-51.7</v>
          </cell>
          <cell r="K744">
            <v>-48.5</v>
          </cell>
          <cell r="L744">
            <v>-30.4</v>
          </cell>
          <cell r="M744">
            <v>-32.799999999999997</v>
          </cell>
        </row>
        <row r="745">
          <cell r="C745" t="str">
            <v>Đất Cuốc MBA T2 (phía 22kV)</v>
          </cell>
          <cell r="D745">
            <v>432</v>
          </cell>
          <cell r="E745">
            <v>-24.1</v>
          </cell>
          <cell r="F745">
            <v>-51.3</v>
          </cell>
          <cell r="G745">
            <v>-40.6</v>
          </cell>
          <cell r="H745">
            <v>-46.7</v>
          </cell>
          <cell r="I745">
            <v>-37.9</v>
          </cell>
          <cell r="J745">
            <v>-50.3</v>
          </cell>
          <cell r="K745">
            <v>-51.3</v>
          </cell>
          <cell r="L745">
            <v>-24.4</v>
          </cell>
          <cell r="M745">
            <v>-24.1</v>
          </cell>
        </row>
        <row r="746">
          <cell r="C746" t="str">
            <v>Dầu Giây MBA T1 (phía 110kV)</v>
          </cell>
          <cell r="F746">
            <v>21</v>
          </cell>
          <cell r="H746">
            <v>16.899999999999999</v>
          </cell>
          <cell r="I746">
            <v>16.100000000000001</v>
          </cell>
          <cell r="J746">
            <v>21</v>
          </cell>
          <cell r="K746">
            <v>15.7</v>
          </cell>
          <cell r="L746">
            <v>17.3</v>
          </cell>
          <cell r="M746">
            <v>17.3</v>
          </cell>
        </row>
        <row r="747">
          <cell r="C747" t="str">
            <v>110kV 171 Dầu Giây - 171 Long Khánh</v>
          </cell>
          <cell r="F747">
            <v>-64.900000000000006</v>
          </cell>
          <cell r="H747">
            <v>-64.900000000000006</v>
          </cell>
          <cell r="I747">
            <v>-59.6</v>
          </cell>
          <cell r="J747">
            <v>-64.400000000000006</v>
          </cell>
          <cell r="K747">
            <v>-59.6</v>
          </cell>
          <cell r="L747">
            <v>-38.299999999999997</v>
          </cell>
          <cell r="M747">
            <v>-57.6</v>
          </cell>
        </row>
        <row r="748">
          <cell r="C748" t="str">
            <v>110kV 172 Dầu Giây - 172 Bàu Xéo</v>
          </cell>
          <cell r="F748">
            <v>40</v>
          </cell>
          <cell r="H748">
            <v>34.5</v>
          </cell>
          <cell r="I748">
            <v>36.9</v>
          </cell>
          <cell r="J748">
            <v>40</v>
          </cell>
          <cell r="K748">
            <v>39.6</v>
          </cell>
          <cell r="L748">
            <v>13.9</v>
          </cell>
          <cell r="M748">
            <v>35.200000000000003</v>
          </cell>
        </row>
        <row r="749">
          <cell r="C749" t="str">
            <v>Dầu Giây MBA T1 (phía 22kV)</v>
          </cell>
          <cell r="F749">
            <v>-21.1</v>
          </cell>
          <cell r="H749">
            <v>-17</v>
          </cell>
          <cell r="I749">
            <v>-16.100000000000001</v>
          </cell>
          <cell r="J749">
            <v>-21.1</v>
          </cell>
          <cell r="K749">
            <v>-15.8</v>
          </cell>
          <cell r="L749">
            <v>-17.399999999999999</v>
          </cell>
          <cell r="M749">
            <v>-17.399999999999999</v>
          </cell>
        </row>
        <row r="750">
          <cell r="C750" t="str">
            <v>Dầu Giây MBA T2 (phía 110kV)</v>
          </cell>
          <cell r="F750">
            <v>18.600000000000001</v>
          </cell>
          <cell r="H750">
            <v>18.600000000000001</v>
          </cell>
          <cell r="I750">
            <v>17.600000000000001</v>
          </cell>
          <cell r="J750">
            <v>18.2</v>
          </cell>
          <cell r="K750">
            <v>17.899999999999999</v>
          </cell>
          <cell r="L750">
            <v>12.2</v>
          </cell>
          <cell r="M750">
            <v>12.4</v>
          </cell>
        </row>
        <row r="751">
          <cell r="C751" t="str">
            <v>Dầu Giây MBA T2 (phía 22kV)</v>
          </cell>
          <cell r="F751">
            <v>-18.5</v>
          </cell>
          <cell r="H751">
            <v>-18.5</v>
          </cell>
          <cell r="I751">
            <v>-17.399999999999999</v>
          </cell>
          <cell r="J751">
            <v>-18.399999999999999</v>
          </cell>
          <cell r="K751">
            <v>-17.100000000000001</v>
          </cell>
          <cell r="L751">
            <v>-12</v>
          </cell>
          <cell r="M751">
            <v>-12.2</v>
          </cell>
        </row>
        <row r="752">
          <cell r="C752" t="str">
            <v>110kV 171 Dầu Tiếng - 172 Tây Ninh 2</v>
          </cell>
          <cell r="F752">
            <v>-14.7</v>
          </cell>
          <cell r="H752">
            <v>-14.6</v>
          </cell>
          <cell r="I752">
            <v>-13.7</v>
          </cell>
          <cell r="J752">
            <v>-14.7</v>
          </cell>
          <cell r="K752">
            <v>-12.4</v>
          </cell>
          <cell r="L752">
            <v>-10.7</v>
          </cell>
          <cell r="M752">
            <v>-10.6</v>
          </cell>
        </row>
        <row r="753">
          <cell r="C753" t="str">
            <v>110kV 172 Dầu Tiếng - 172 Minh Hưng</v>
          </cell>
          <cell r="F753">
            <v>51.3</v>
          </cell>
          <cell r="H753">
            <v>48.9</v>
          </cell>
          <cell r="I753">
            <v>48.7</v>
          </cell>
          <cell r="J753">
            <v>51.3</v>
          </cell>
          <cell r="K753">
            <v>37.5</v>
          </cell>
          <cell r="L753">
            <v>34.6</v>
          </cell>
          <cell r="M753">
            <v>33.799999999999997</v>
          </cell>
        </row>
        <row r="754">
          <cell r="C754" t="str">
            <v>Dầu Tiếng MBA T1 (phía 110kV)</v>
          </cell>
          <cell r="F754">
            <v>12.7</v>
          </cell>
          <cell r="H754">
            <v>12.3</v>
          </cell>
          <cell r="I754">
            <v>10.7</v>
          </cell>
          <cell r="J754">
            <v>12.7</v>
          </cell>
          <cell r="K754">
            <v>12.2</v>
          </cell>
          <cell r="L754">
            <v>10.3</v>
          </cell>
          <cell r="M754">
            <v>-9.6</v>
          </cell>
        </row>
        <row r="755">
          <cell r="C755" t="str">
            <v>Dầu Tiếng MBA T1 (phía 22kV)</v>
          </cell>
          <cell r="F755">
            <v>-12.8</v>
          </cell>
          <cell r="H755">
            <v>-12.4</v>
          </cell>
          <cell r="I755">
            <v>-10.8</v>
          </cell>
          <cell r="J755">
            <v>-12.8</v>
          </cell>
          <cell r="K755">
            <v>-12.3</v>
          </cell>
          <cell r="L755">
            <v>-10.3</v>
          </cell>
          <cell r="M755">
            <v>11.1</v>
          </cell>
        </row>
        <row r="756">
          <cell r="C756" t="str">
            <v>Dầu Tiếng MBA T2 (phía 110kV)</v>
          </cell>
          <cell r="F756">
            <v>15.6</v>
          </cell>
          <cell r="H756">
            <v>15.6</v>
          </cell>
          <cell r="I756">
            <v>13.7</v>
          </cell>
          <cell r="J756">
            <v>14.6</v>
          </cell>
          <cell r="K756">
            <v>14.3</v>
          </cell>
          <cell r="L756">
            <v>13.9</v>
          </cell>
          <cell r="M756">
            <v>12.7</v>
          </cell>
        </row>
        <row r="757">
          <cell r="C757" t="str">
            <v>Dầu Tiếng MBA T2 (phía 22kV)</v>
          </cell>
          <cell r="F757">
            <v>-15.5</v>
          </cell>
          <cell r="H757">
            <v>-15.5</v>
          </cell>
          <cell r="I757">
            <v>-13.7</v>
          </cell>
          <cell r="J757">
            <v>-14.7</v>
          </cell>
          <cell r="K757">
            <v>-14.2</v>
          </cell>
          <cell r="L757">
            <v>-13.9</v>
          </cell>
          <cell r="M757">
            <v>-12.7</v>
          </cell>
        </row>
        <row r="758">
          <cell r="C758" t="str">
            <v>Dệt May MBA T2 (phía 110kV)</v>
          </cell>
          <cell r="D758">
            <v>132</v>
          </cell>
          <cell r="E758">
            <v>15.9</v>
          </cell>
          <cell r="F758">
            <v>33.799999999999997</v>
          </cell>
          <cell r="G758">
            <v>25</v>
          </cell>
          <cell r="H758">
            <v>33.799999999999997</v>
          </cell>
          <cell r="I758">
            <v>28.1</v>
          </cell>
          <cell r="J758">
            <v>30.1</v>
          </cell>
          <cell r="K758">
            <v>25</v>
          </cell>
          <cell r="L758">
            <v>15.9</v>
          </cell>
          <cell r="M758">
            <v>16.8</v>
          </cell>
        </row>
        <row r="759">
          <cell r="C759" t="str">
            <v>110kV 171 Dệt May - 176 Long Thành</v>
          </cell>
          <cell r="D759">
            <v>171</v>
          </cell>
          <cell r="E759">
            <v>49</v>
          </cell>
          <cell r="F759">
            <v>56.3</v>
          </cell>
          <cell r="G759">
            <v>56</v>
          </cell>
          <cell r="H759">
            <v>56.3</v>
          </cell>
          <cell r="I759">
            <v>52.7</v>
          </cell>
          <cell r="J759">
            <v>55.5</v>
          </cell>
          <cell r="K759">
            <v>55</v>
          </cell>
          <cell r="L759">
            <v>49</v>
          </cell>
          <cell r="M759">
            <v>50.4</v>
          </cell>
        </row>
        <row r="760">
          <cell r="C760" t="str">
            <v>110kV 172 Dệt May - 171 Ông Kèo</v>
          </cell>
          <cell r="D760">
            <v>172</v>
          </cell>
          <cell r="E760">
            <v>-62.8</v>
          </cell>
          <cell r="F760">
            <v>-84.4</v>
          </cell>
          <cell r="G760">
            <v>-76.3</v>
          </cell>
          <cell r="H760">
            <v>-84.4</v>
          </cell>
          <cell r="I760">
            <v>-79.400000000000006</v>
          </cell>
          <cell r="J760">
            <v>-82.9</v>
          </cell>
          <cell r="K760">
            <v>-78.400000000000006</v>
          </cell>
          <cell r="L760">
            <v>-62.8</v>
          </cell>
          <cell r="M760">
            <v>-62.9</v>
          </cell>
        </row>
        <row r="761">
          <cell r="C761" t="str">
            <v>Dệt May MBA T2 (phía 22kV)</v>
          </cell>
          <cell r="D761">
            <v>432</v>
          </cell>
          <cell r="E761">
            <v>-15.6</v>
          </cell>
          <cell r="F761">
            <v>-31.9</v>
          </cell>
          <cell r="G761">
            <v>-24.9</v>
          </cell>
          <cell r="H761">
            <v>-31.9</v>
          </cell>
          <cell r="I761">
            <v>-27.8</v>
          </cell>
          <cell r="J761">
            <v>-30.7</v>
          </cell>
          <cell r="K761">
            <v>-24</v>
          </cell>
          <cell r="L761">
            <v>-15.6</v>
          </cell>
          <cell r="M761">
            <v>-16.7</v>
          </cell>
        </row>
        <row r="762">
          <cell r="C762" t="str">
            <v>Di Linh MBA AT1 (phía 220kV)</v>
          </cell>
          <cell r="D762">
            <v>231</v>
          </cell>
          <cell r="E762">
            <v>368.4</v>
          </cell>
          <cell r="F762">
            <v>559.4</v>
          </cell>
          <cell r="G762">
            <v>368.4</v>
          </cell>
          <cell r="H762">
            <v>412.5</v>
          </cell>
          <cell r="I762">
            <v>445.6</v>
          </cell>
          <cell r="J762">
            <v>559.4</v>
          </cell>
          <cell r="K762">
            <v>479.7</v>
          </cell>
          <cell r="L762">
            <v>380.7</v>
          </cell>
          <cell r="M762">
            <v>389</v>
          </cell>
        </row>
        <row r="763">
          <cell r="C763" t="str">
            <v>Di Linh MBA AT2 (phía 220kV)</v>
          </cell>
          <cell r="D763">
            <v>232</v>
          </cell>
          <cell r="E763">
            <v>217.3</v>
          </cell>
          <cell r="F763">
            <v>327.5</v>
          </cell>
          <cell r="G763">
            <v>217.3</v>
          </cell>
          <cell r="H763">
            <v>244.3</v>
          </cell>
          <cell r="I763">
            <v>262.7</v>
          </cell>
          <cell r="J763">
            <v>327.5</v>
          </cell>
          <cell r="K763">
            <v>281.89999999999998</v>
          </cell>
          <cell r="L763">
            <v>223.1</v>
          </cell>
          <cell r="M763">
            <v>227.5</v>
          </cell>
        </row>
        <row r="764">
          <cell r="C764" t="str">
            <v>220kV 271 Di Linh - 276 Bảo Lộc</v>
          </cell>
          <cell r="D764">
            <v>271</v>
          </cell>
          <cell r="E764">
            <v>-74.900000000000006</v>
          </cell>
          <cell r="F764">
            <v>133.5</v>
          </cell>
          <cell r="G764">
            <v>90.9</v>
          </cell>
          <cell r="H764">
            <v>122.3</v>
          </cell>
          <cell r="I764">
            <v>133.5</v>
          </cell>
          <cell r="J764">
            <v>-74.900000000000006</v>
          </cell>
          <cell r="K764">
            <v>-103.7</v>
          </cell>
          <cell r="L764">
            <v>-76.400000000000006</v>
          </cell>
          <cell r="M764">
            <v>-94.3</v>
          </cell>
        </row>
        <row r="765">
          <cell r="C765" t="str">
            <v>220kV 272 Di Linh - 275 Bảo Lộc</v>
          </cell>
          <cell r="D765">
            <v>272</v>
          </cell>
          <cell r="E765">
            <v>-73.400000000000006</v>
          </cell>
          <cell r="F765">
            <v>130.80000000000001</v>
          </cell>
          <cell r="G765">
            <v>88.8</v>
          </cell>
          <cell r="H765">
            <v>120.1</v>
          </cell>
          <cell r="I765">
            <v>130.80000000000001</v>
          </cell>
          <cell r="J765">
            <v>-73.400000000000006</v>
          </cell>
          <cell r="K765">
            <v>-101.9</v>
          </cell>
          <cell r="L765">
            <v>-75</v>
          </cell>
          <cell r="M765">
            <v>-92.6</v>
          </cell>
        </row>
        <row r="766">
          <cell r="C766" t="str">
            <v>220kV 273 Di Linh - 271 NMĐ Đại Ninh</v>
          </cell>
          <cell r="D766">
            <v>273</v>
          </cell>
          <cell r="E766">
            <v>-153.6</v>
          </cell>
          <cell r="F766">
            <v>-195</v>
          </cell>
          <cell r="G766">
            <v>-157.6</v>
          </cell>
          <cell r="H766">
            <v>-154</v>
          </cell>
          <cell r="I766">
            <v>-163.5</v>
          </cell>
          <cell r="J766">
            <v>-181.9</v>
          </cell>
          <cell r="K766">
            <v>-195</v>
          </cell>
          <cell r="L766">
            <v>-154.5</v>
          </cell>
          <cell r="M766">
            <v>-153.6</v>
          </cell>
        </row>
        <row r="767">
          <cell r="C767" t="str">
            <v>220kV 274 Di Linh - 272 NMĐ Đại Ninh</v>
          </cell>
          <cell r="D767">
            <v>274</v>
          </cell>
          <cell r="E767">
            <v>-155.30000000000001</v>
          </cell>
          <cell r="F767">
            <v>-196.9</v>
          </cell>
          <cell r="G767">
            <v>-159</v>
          </cell>
          <cell r="H767">
            <v>-155.9</v>
          </cell>
          <cell r="I767">
            <v>-165</v>
          </cell>
          <cell r="J767">
            <v>-183.3</v>
          </cell>
          <cell r="K767">
            <v>-196.9</v>
          </cell>
          <cell r="L767">
            <v>-156.69999999999999</v>
          </cell>
          <cell r="M767">
            <v>-155.30000000000001</v>
          </cell>
        </row>
        <row r="768">
          <cell r="C768" t="str">
            <v>220kV 275 Di Linh - 272 NMĐ Đồng Nai 2 - 273 NMĐ Đồng Nai 2</v>
          </cell>
          <cell r="D768">
            <v>275</v>
          </cell>
          <cell r="E768">
            <v>-55.2</v>
          </cell>
          <cell r="F768">
            <v>-59.6</v>
          </cell>
          <cell r="G768">
            <v>-59.6</v>
          </cell>
          <cell r="H768">
            <v>-59.6</v>
          </cell>
          <cell r="I768">
            <v>-59.6</v>
          </cell>
          <cell r="J768">
            <v>-59.6</v>
          </cell>
          <cell r="K768">
            <v>-57.4</v>
          </cell>
          <cell r="L768">
            <v>-59.6</v>
          </cell>
          <cell r="M768">
            <v>-55.2</v>
          </cell>
        </row>
        <row r="769">
          <cell r="C769" t="str">
            <v>220kV 276 Di Linh - 272 Đức Trọng 2</v>
          </cell>
          <cell r="D769">
            <v>276</v>
          </cell>
          <cell r="E769">
            <v>-218.8</v>
          </cell>
          <cell r="F769">
            <v>-287.39999999999998</v>
          </cell>
          <cell r="G769">
            <v>-279.60000000000002</v>
          </cell>
          <cell r="H769">
            <v>-285.10000000000002</v>
          </cell>
          <cell r="I769">
            <v>-287.39999999999998</v>
          </cell>
          <cell r="J769">
            <v>-273.2</v>
          </cell>
          <cell r="K769">
            <v>-218.8</v>
          </cell>
          <cell r="L769">
            <v>-263.7</v>
          </cell>
          <cell r="M769">
            <v>-242</v>
          </cell>
        </row>
        <row r="770">
          <cell r="C770" t="str">
            <v>Di Linh MBA AT1 (phía 500kV)</v>
          </cell>
          <cell r="D770">
            <v>531</v>
          </cell>
          <cell r="E770">
            <v>-220.2</v>
          </cell>
          <cell r="F770">
            <v>-333.6</v>
          </cell>
          <cell r="G770">
            <v>-220.2</v>
          </cell>
          <cell r="H770">
            <v>-246.3</v>
          </cell>
          <cell r="I770">
            <v>-265.89999999999998</v>
          </cell>
          <cell r="J770">
            <v>-333.6</v>
          </cell>
          <cell r="K770">
            <v>-285.7</v>
          </cell>
          <cell r="L770">
            <v>-226.6</v>
          </cell>
          <cell r="M770">
            <v>-231.8</v>
          </cell>
        </row>
        <row r="771">
          <cell r="C771" t="str">
            <v>Di Linh MBA AT2 (phía 500kV)</v>
          </cell>
          <cell r="D771">
            <v>532</v>
          </cell>
          <cell r="E771">
            <v>-217.4</v>
          </cell>
          <cell r="F771">
            <v>-329.8</v>
          </cell>
          <cell r="G771">
            <v>-217.4</v>
          </cell>
          <cell r="H771">
            <v>-243.8</v>
          </cell>
          <cell r="I771">
            <v>-262.60000000000002</v>
          </cell>
          <cell r="J771">
            <v>-329.8</v>
          </cell>
          <cell r="K771">
            <v>-284.3</v>
          </cell>
          <cell r="L771">
            <v>-218.3</v>
          </cell>
          <cell r="M771">
            <v>-225.3</v>
          </cell>
        </row>
        <row r="772">
          <cell r="C772" t="str">
            <v>500kV 573 Di Linh - 574 Tân Định</v>
          </cell>
          <cell r="D772" t="str">
            <v>573-7</v>
          </cell>
          <cell r="E772">
            <v>233.1</v>
          </cell>
          <cell r="F772">
            <v>688.1</v>
          </cell>
          <cell r="G772">
            <v>688.1</v>
          </cell>
          <cell r="H772">
            <v>475.3</v>
          </cell>
          <cell r="I772">
            <v>489.8</v>
          </cell>
          <cell r="J772">
            <v>233.1</v>
          </cell>
          <cell r="K772">
            <v>559.9</v>
          </cell>
          <cell r="L772">
            <v>257.7</v>
          </cell>
          <cell r="M772">
            <v>592.70000000000005</v>
          </cell>
        </row>
        <row r="773">
          <cell r="C773" t="str">
            <v>500kV 574 Di Linh - 575 Pleiku</v>
          </cell>
          <cell r="D773" t="str">
            <v>574-7</v>
          </cell>
          <cell r="E773">
            <v>302.89999999999998</v>
          </cell>
          <cell r="F773">
            <v>524.79999999999995</v>
          </cell>
          <cell r="G773">
            <v>-485.9</v>
          </cell>
          <cell r="H773">
            <v>-328.9</v>
          </cell>
          <cell r="I773">
            <v>302.89999999999998</v>
          </cell>
          <cell r="J773">
            <v>479.9</v>
          </cell>
          <cell r="K773">
            <v>520.29999999999995</v>
          </cell>
          <cell r="L773">
            <v>524.79999999999995</v>
          </cell>
          <cell r="M773">
            <v>-519.5</v>
          </cell>
        </row>
        <row r="774">
          <cell r="C774" t="str">
            <v>Di Linh 1 MBA T1 (phía 110kV)</v>
          </cell>
          <cell r="D774">
            <v>131</v>
          </cell>
          <cell r="E774">
            <v>9.6</v>
          </cell>
          <cell r="F774">
            <v>12.7</v>
          </cell>
          <cell r="G774">
            <v>12.7</v>
          </cell>
          <cell r="H774">
            <v>11</v>
          </cell>
          <cell r="I774">
            <v>-9.8000000000000007</v>
          </cell>
          <cell r="J774">
            <v>-10.8</v>
          </cell>
          <cell r="K774">
            <v>9.8000000000000007</v>
          </cell>
          <cell r="L774">
            <v>9.6999999999999993</v>
          </cell>
          <cell r="M774">
            <v>9.6</v>
          </cell>
        </row>
        <row r="775">
          <cell r="C775" t="str">
            <v>Di Linh 1 MBA T2 (phía 110kV)</v>
          </cell>
          <cell r="D775">
            <v>132</v>
          </cell>
          <cell r="E775">
            <v>-7.6</v>
          </cell>
          <cell r="F775">
            <v>-16</v>
          </cell>
          <cell r="G775">
            <v>-16</v>
          </cell>
          <cell r="H775">
            <v>-14.8</v>
          </cell>
          <cell r="I775">
            <v>-7.6</v>
          </cell>
          <cell r="J775">
            <v>-15.7</v>
          </cell>
          <cell r="K775">
            <v>-11.5</v>
          </cell>
          <cell r="L775">
            <v>-13.7</v>
          </cell>
          <cell r="M775">
            <v>-14.3</v>
          </cell>
        </row>
        <row r="776">
          <cell r="C776" t="str">
            <v>110kV 171 Di Linh 1 - 172 Bảo Lộc</v>
          </cell>
          <cell r="D776">
            <v>171</v>
          </cell>
          <cell r="E776">
            <v>50.3</v>
          </cell>
          <cell r="F776">
            <v>76</v>
          </cell>
          <cell r="G776">
            <v>50.3</v>
          </cell>
          <cell r="H776">
            <v>66.3</v>
          </cell>
          <cell r="I776">
            <v>76</v>
          </cell>
          <cell r="J776">
            <v>71.599999999999994</v>
          </cell>
          <cell r="K776">
            <v>52.4</v>
          </cell>
          <cell r="L776">
            <v>57.5</v>
          </cell>
          <cell r="M776">
            <v>60.9</v>
          </cell>
        </row>
        <row r="777">
          <cell r="C777" t="str">
            <v>110kV 172 Di Linh 1 - 172 NMĐ Đa Dâng 3</v>
          </cell>
          <cell r="D777">
            <v>172</v>
          </cell>
          <cell r="E777">
            <v>-44.9</v>
          </cell>
          <cell r="F777">
            <v>-64.400000000000006</v>
          </cell>
          <cell r="G777">
            <v>-46</v>
          </cell>
          <cell r="H777">
            <v>-63.5</v>
          </cell>
          <cell r="I777">
            <v>-64.400000000000006</v>
          </cell>
          <cell r="J777">
            <v>-59.8</v>
          </cell>
          <cell r="K777">
            <v>-51.9</v>
          </cell>
          <cell r="L777">
            <v>-44.9</v>
          </cell>
          <cell r="M777">
            <v>-50.5</v>
          </cell>
        </row>
        <row r="778">
          <cell r="C778" t="str">
            <v>Di Linh 1 MBA T1 (phía 22kV)</v>
          </cell>
          <cell r="D778">
            <v>431</v>
          </cell>
          <cell r="E778">
            <v>-9.6</v>
          </cell>
          <cell r="F778">
            <v>-12.8</v>
          </cell>
          <cell r="G778">
            <v>-12.8</v>
          </cell>
          <cell r="H778">
            <v>-11.1</v>
          </cell>
          <cell r="I778">
            <v>9.9</v>
          </cell>
          <cell r="J778">
            <v>11</v>
          </cell>
          <cell r="K778">
            <v>-9.8000000000000007</v>
          </cell>
          <cell r="L778">
            <v>-9.6999999999999993</v>
          </cell>
          <cell r="M778">
            <v>-9.6</v>
          </cell>
        </row>
        <row r="779">
          <cell r="C779" t="str">
            <v>Di Linh 1 MBA T2 (phía 22kV)</v>
          </cell>
          <cell r="D779">
            <v>432</v>
          </cell>
          <cell r="E779">
            <v>7.7</v>
          </cell>
          <cell r="F779">
            <v>15.9</v>
          </cell>
          <cell r="G779">
            <v>15.9</v>
          </cell>
          <cell r="H779">
            <v>14.9</v>
          </cell>
          <cell r="I779">
            <v>7.7</v>
          </cell>
          <cell r="J779">
            <v>15.8</v>
          </cell>
          <cell r="K779">
            <v>11.8</v>
          </cell>
          <cell r="L779">
            <v>13.8</v>
          </cell>
          <cell r="M779">
            <v>14.7</v>
          </cell>
        </row>
        <row r="780">
          <cell r="C780" t="str">
            <v>Định Quán MBA T1 (phía 110kV)</v>
          </cell>
          <cell r="D780">
            <v>131</v>
          </cell>
          <cell r="E780">
            <v>16.2</v>
          </cell>
          <cell r="F780">
            <v>20.2</v>
          </cell>
          <cell r="G780">
            <v>20.2</v>
          </cell>
          <cell r="H780">
            <v>17.100000000000001</v>
          </cell>
          <cell r="I780">
            <v>16.7</v>
          </cell>
          <cell r="J780">
            <v>18.3</v>
          </cell>
          <cell r="K780">
            <v>16.2</v>
          </cell>
          <cell r="L780">
            <v>16.2</v>
          </cell>
          <cell r="M780">
            <v>16.2</v>
          </cell>
        </row>
        <row r="781">
          <cell r="C781" t="str">
            <v>Định Quán MBA T2 (phía 110kV)</v>
          </cell>
          <cell r="D781">
            <v>132</v>
          </cell>
          <cell r="E781">
            <v>9.8000000000000007</v>
          </cell>
          <cell r="F781">
            <v>14.8</v>
          </cell>
          <cell r="G781">
            <v>14.8</v>
          </cell>
          <cell r="H781">
            <v>11.4</v>
          </cell>
          <cell r="I781">
            <v>10.9</v>
          </cell>
          <cell r="J781">
            <v>11.6</v>
          </cell>
          <cell r="K781">
            <v>11.4</v>
          </cell>
          <cell r="L781">
            <v>11</v>
          </cell>
          <cell r="M781">
            <v>9.8000000000000007</v>
          </cell>
        </row>
        <row r="782">
          <cell r="C782" t="str">
            <v>110kV 171 Định Quán - 172 Kiệm Tân</v>
          </cell>
          <cell r="D782">
            <v>171</v>
          </cell>
          <cell r="E782">
            <v>-25.9</v>
          </cell>
          <cell r="F782">
            <v>-31.4</v>
          </cell>
          <cell r="G782">
            <v>-31.4</v>
          </cell>
          <cell r="H782">
            <v>-28.5</v>
          </cell>
          <cell r="I782">
            <v>-27.6</v>
          </cell>
          <cell r="J782">
            <v>-29.6</v>
          </cell>
          <cell r="K782">
            <v>-27</v>
          </cell>
          <cell r="L782">
            <v>-25.9</v>
          </cell>
          <cell r="M782">
            <v>-26.1</v>
          </cell>
        </row>
        <row r="783">
          <cell r="C783" t="str">
            <v>110kV 172 Định Quán - 171 Tân Phú</v>
          </cell>
          <cell r="D783">
            <v>172</v>
          </cell>
          <cell r="E783">
            <v>0</v>
          </cell>
          <cell r="F783">
            <v>0.7</v>
          </cell>
          <cell r="G783">
            <v>0.4</v>
          </cell>
          <cell r="H783">
            <v>0</v>
          </cell>
          <cell r="I783">
            <v>0</v>
          </cell>
          <cell r="J783">
            <v>0</v>
          </cell>
          <cell r="K783">
            <v>0.7</v>
          </cell>
          <cell r="L783">
            <v>0</v>
          </cell>
          <cell r="M783">
            <v>0.2</v>
          </cell>
        </row>
        <row r="784">
          <cell r="C784" t="str">
            <v>Định Quán MBA T1 (phía 22kV)</v>
          </cell>
          <cell r="D784">
            <v>431</v>
          </cell>
          <cell r="E784">
            <v>-16</v>
          </cell>
          <cell r="F784">
            <v>-20.100000000000001</v>
          </cell>
          <cell r="G784">
            <v>-20.100000000000001</v>
          </cell>
          <cell r="H784">
            <v>-17.100000000000001</v>
          </cell>
          <cell r="I784">
            <v>-16.8</v>
          </cell>
          <cell r="J784">
            <v>-18.3</v>
          </cell>
          <cell r="K784">
            <v>-16</v>
          </cell>
          <cell r="L784">
            <v>-16.100000000000001</v>
          </cell>
          <cell r="M784">
            <v>-16.399999999999999</v>
          </cell>
        </row>
        <row r="785">
          <cell r="C785" t="str">
            <v>Định Quán MBA T2 (phía 22kV)</v>
          </cell>
          <cell r="D785">
            <v>432</v>
          </cell>
          <cell r="E785">
            <v>-9.8000000000000007</v>
          </cell>
          <cell r="F785">
            <v>-14.6</v>
          </cell>
          <cell r="G785">
            <v>-14.6</v>
          </cell>
          <cell r="H785">
            <v>-11.5</v>
          </cell>
          <cell r="I785">
            <v>-11.2</v>
          </cell>
          <cell r="J785">
            <v>-11.9</v>
          </cell>
          <cell r="K785">
            <v>-11.2</v>
          </cell>
          <cell r="L785">
            <v>-10.9</v>
          </cell>
          <cell r="M785">
            <v>-9.8000000000000007</v>
          </cell>
        </row>
        <row r="786">
          <cell r="C786" t="str">
            <v>110kV 171 Đơn Dương - 173 Đức Trọng</v>
          </cell>
          <cell r="F786">
            <v>55.8</v>
          </cell>
          <cell r="H786">
            <v>43.5</v>
          </cell>
          <cell r="I786">
            <v>40.799999999999997</v>
          </cell>
          <cell r="J786">
            <v>39.9</v>
          </cell>
          <cell r="K786">
            <v>55.8</v>
          </cell>
          <cell r="L786">
            <v>40.5</v>
          </cell>
          <cell r="M786">
            <v>38.4</v>
          </cell>
        </row>
        <row r="787">
          <cell r="C787" t="str">
            <v>110kV 172 Đơn Dương - 172 NMĐ Đa Nhim</v>
          </cell>
          <cell r="F787">
            <v>-75.5</v>
          </cell>
          <cell r="H787">
            <v>-44.1</v>
          </cell>
          <cell r="I787">
            <v>-39.700000000000003</v>
          </cell>
          <cell r="J787">
            <v>-46.4</v>
          </cell>
          <cell r="K787">
            <v>-75.5</v>
          </cell>
          <cell r="L787">
            <v>-47.5</v>
          </cell>
          <cell r="M787">
            <v>-44.4</v>
          </cell>
        </row>
        <row r="788">
          <cell r="C788" t="str">
            <v>Đơn Dương MBA T1 (phía 110kV)</v>
          </cell>
          <cell r="F788">
            <v>27.7</v>
          </cell>
          <cell r="H788">
            <v>27.7</v>
          </cell>
          <cell r="I788">
            <v>19.3</v>
          </cell>
          <cell r="J788">
            <v>19.8</v>
          </cell>
          <cell r="K788">
            <v>21.7</v>
          </cell>
          <cell r="L788">
            <v>22.2</v>
          </cell>
          <cell r="M788">
            <v>21</v>
          </cell>
        </row>
        <row r="789">
          <cell r="C789" t="str">
            <v>Đơn Dương MBA T1 (phía 22kV)</v>
          </cell>
          <cell r="F789">
            <v>-27.7</v>
          </cell>
          <cell r="H789">
            <v>-27.7</v>
          </cell>
          <cell r="I789">
            <v>-19.399999999999999</v>
          </cell>
          <cell r="J789">
            <v>-19.8</v>
          </cell>
          <cell r="K789">
            <v>-21.5</v>
          </cell>
          <cell r="L789">
            <v>-22.3</v>
          </cell>
          <cell r="M789">
            <v>-21</v>
          </cell>
        </row>
        <row r="790">
          <cell r="C790" t="str">
            <v>110kV 171 Đồng An - 177 Thuận An</v>
          </cell>
          <cell r="F790">
            <v>-127</v>
          </cell>
          <cell r="H790">
            <v>-127</v>
          </cell>
          <cell r="I790">
            <v>-122.3</v>
          </cell>
          <cell r="J790">
            <v>-126.4</v>
          </cell>
          <cell r="K790">
            <v>-119.5</v>
          </cell>
          <cell r="L790">
            <v>-74.5</v>
          </cell>
          <cell r="M790">
            <v>-66.400000000000006</v>
          </cell>
        </row>
        <row r="791">
          <cell r="C791" t="str">
            <v>110kV 172 Đồng An - 171 Sóng Thần</v>
          </cell>
          <cell r="F791">
            <v>41.8</v>
          </cell>
          <cell r="H791">
            <v>39.4</v>
          </cell>
          <cell r="I791">
            <v>37.6</v>
          </cell>
          <cell r="J791">
            <v>41.8</v>
          </cell>
          <cell r="K791">
            <v>34</v>
          </cell>
          <cell r="L791">
            <v>22.5</v>
          </cell>
          <cell r="M791">
            <v>21.3</v>
          </cell>
        </row>
        <row r="792">
          <cell r="C792" t="str">
            <v>Đồng An MBA T1 (phía 110kV)</v>
          </cell>
          <cell r="F792">
            <v>48.3</v>
          </cell>
          <cell r="H792">
            <v>48</v>
          </cell>
          <cell r="I792">
            <v>46.2</v>
          </cell>
          <cell r="J792">
            <v>48.3</v>
          </cell>
          <cell r="K792">
            <v>45.4</v>
          </cell>
          <cell r="L792">
            <v>32.4</v>
          </cell>
          <cell r="M792">
            <v>29.9</v>
          </cell>
        </row>
        <row r="793">
          <cell r="C793" t="str">
            <v>Đồng An MBA T2 (phía 110kV)</v>
          </cell>
          <cell r="F793">
            <v>43</v>
          </cell>
          <cell r="H793">
            <v>43</v>
          </cell>
          <cell r="I793">
            <v>38.5</v>
          </cell>
          <cell r="J793">
            <v>42.9</v>
          </cell>
          <cell r="K793">
            <v>40.9</v>
          </cell>
          <cell r="L793">
            <v>23.5</v>
          </cell>
          <cell r="M793">
            <v>21.7</v>
          </cell>
        </row>
        <row r="794">
          <cell r="C794" t="str">
            <v>Đồng An MBA T1 (phía 22kV)</v>
          </cell>
          <cell r="F794">
            <v>-48.1</v>
          </cell>
          <cell r="H794">
            <v>-47.8</v>
          </cell>
          <cell r="I794">
            <v>-46.1</v>
          </cell>
          <cell r="J794">
            <v>-48.1</v>
          </cell>
          <cell r="K794">
            <v>-45.6</v>
          </cell>
          <cell r="L794">
            <v>-32.299999999999997</v>
          </cell>
          <cell r="M794">
            <v>-29.6</v>
          </cell>
        </row>
        <row r="795">
          <cell r="C795" t="str">
            <v>Đồng An MBA T2 (phía 22kV)</v>
          </cell>
          <cell r="F795">
            <v>-43.5</v>
          </cell>
          <cell r="H795">
            <v>-43.5</v>
          </cell>
          <cell r="I795">
            <v>-38.6</v>
          </cell>
          <cell r="J795">
            <v>-42.9</v>
          </cell>
          <cell r="K795">
            <v>-41.3</v>
          </cell>
          <cell r="L795">
            <v>-23.4</v>
          </cell>
          <cell r="M795">
            <v>-21.6</v>
          </cell>
        </row>
        <row r="796">
          <cell r="C796" t="str">
            <v>Đông Hải MBA T1 (phía 110kV)</v>
          </cell>
          <cell r="F796">
            <v>13.2</v>
          </cell>
          <cell r="H796">
            <v>12.3</v>
          </cell>
          <cell r="I796">
            <v>10.6</v>
          </cell>
          <cell r="J796">
            <v>13.2</v>
          </cell>
          <cell r="K796">
            <v>12.1</v>
          </cell>
          <cell r="L796">
            <v>13.1</v>
          </cell>
          <cell r="M796">
            <v>12</v>
          </cell>
        </row>
        <row r="797">
          <cell r="C797" t="str">
            <v>Đông Hải MBA T1 (phía 22kV)</v>
          </cell>
          <cell r="F797">
            <v>-13.1</v>
          </cell>
          <cell r="H797">
            <v>-12.2</v>
          </cell>
          <cell r="I797">
            <v>-10.5</v>
          </cell>
          <cell r="J797">
            <v>-13.1</v>
          </cell>
          <cell r="K797">
            <v>-12</v>
          </cell>
          <cell r="L797">
            <v>-12.9</v>
          </cell>
          <cell r="M797">
            <v>-12</v>
          </cell>
        </row>
        <row r="798">
          <cell r="C798" t="str">
            <v>110kV 171 Đông Hải - 180 trạm cắt Hòa Bình 2</v>
          </cell>
          <cell r="F798">
            <v>-21.8</v>
          </cell>
          <cell r="H798">
            <v>-20.7</v>
          </cell>
          <cell r="I798">
            <v>-21.8</v>
          </cell>
          <cell r="J798">
            <v>-6.1</v>
          </cell>
          <cell r="K798">
            <v>-7.9</v>
          </cell>
          <cell r="L798">
            <v>-18.3</v>
          </cell>
          <cell r="M798">
            <v>-21.6</v>
          </cell>
        </row>
        <row r="799">
          <cell r="C799" t="str">
            <v>110kV 172 Đông Hải - 179 trạm cắt Hòa Bình 2</v>
          </cell>
          <cell r="F799">
            <v>-21.8</v>
          </cell>
          <cell r="H799">
            <v>-20.8</v>
          </cell>
          <cell r="I799">
            <v>-21.8</v>
          </cell>
          <cell r="J799">
            <v>-6</v>
          </cell>
          <cell r="K799">
            <v>-7.9</v>
          </cell>
          <cell r="L799">
            <v>-18.3</v>
          </cell>
          <cell r="M799">
            <v>-21.5</v>
          </cell>
        </row>
        <row r="800">
          <cell r="C800" t="str">
            <v>110kV 174 Đông Hải - 173 Đầm Dơi</v>
          </cell>
          <cell r="F800">
            <v>35.200000000000003</v>
          </cell>
          <cell r="H800">
            <v>29.5</v>
          </cell>
          <cell r="I800">
            <v>35.200000000000003</v>
          </cell>
          <cell r="J800">
            <v>-12.1</v>
          </cell>
          <cell r="K800">
            <v>-11.3</v>
          </cell>
          <cell r="L800">
            <v>26.1</v>
          </cell>
          <cell r="M800">
            <v>34.4</v>
          </cell>
        </row>
        <row r="801">
          <cell r="C801" t="str">
            <v>110kV 171 Đông Hòa - 171 Long Bình - 171 Bình An - 171 Đồng Nai</v>
          </cell>
          <cell r="E801">
            <v>0</v>
          </cell>
          <cell r="F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</row>
        <row r="802">
          <cell r="C802" t="str">
            <v>110kV 172 Đông Hòa - 171 Linh Trung 1</v>
          </cell>
          <cell r="F802">
            <v>-52</v>
          </cell>
          <cell r="H802">
            <v>-52</v>
          </cell>
          <cell r="I802">
            <v>-45.6</v>
          </cell>
          <cell r="J802">
            <v>-50.5</v>
          </cell>
          <cell r="K802">
            <v>-47</v>
          </cell>
          <cell r="L802">
            <v>-42.5</v>
          </cell>
          <cell r="M802">
            <v>-38.4</v>
          </cell>
        </row>
        <row r="803">
          <cell r="C803" t="str">
            <v>Đông Hòa MBA T1 (phía 110kV)</v>
          </cell>
          <cell r="F803">
            <v>29.1</v>
          </cell>
          <cell r="H803">
            <v>29.1</v>
          </cell>
          <cell r="I803">
            <v>25.3</v>
          </cell>
          <cell r="J803">
            <v>27.2</v>
          </cell>
          <cell r="K803">
            <v>25</v>
          </cell>
          <cell r="L803">
            <v>24.6</v>
          </cell>
          <cell r="M803">
            <v>22.3</v>
          </cell>
        </row>
        <row r="804">
          <cell r="C804" t="str">
            <v>Đông Hòa MBA T2 (phía 110kV)</v>
          </cell>
          <cell r="F804">
            <v>24</v>
          </cell>
          <cell r="H804">
            <v>24</v>
          </cell>
          <cell r="I804">
            <v>20.7</v>
          </cell>
          <cell r="J804">
            <v>23.5</v>
          </cell>
          <cell r="K804">
            <v>22.1</v>
          </cell>
          <cell r="L804">
            <v>18.2</v>
          </cell>
          <cell r="M804">
            <v>16.399999999999999</v>
          </cell>
        </row>
        <row r="805">
          <cell r="C805" t="str">
            <v>Đông Hòa MBA T1 (phía 22kV)</v>
          </cell>
          <cell r="F805">
            <v>-29</v>
          </cell>
          <cell r="H805">
            <v>-29</v>
          </cell>
          <cell r="I805">
            <v>-25.2</v>
          </cell>
          <cell r="J805">
            <v>-27.1</v>
          </cell>
          <cell r="K805">
            <v>-25.1</v>
          </cell>
          <cell r="L805">
            <v>-24.6</v>
          </cell>
          <cell r="M805">
            <v>-22.3</v>
          </cell>
        </row>
        <row r="806">
          <cell r="C806" t="str">
            <v>Đông Hòa MBA T2 (phía 22kV)</v>
          </cell>
          <cell r="F806">
            <v>-24.2</v>
          </cell>
          <cell r="H806">
            <v>-24.2</v>
          </cell>
          <cell r="I806">
            <v>-20.399999999999999</v>
          </cell>
          <cell r="J806">
            <v>-23.3</v>
          </cell>
          <cell r="K806">
            <v>-22.2</v>
          </cell>
          <cell r="L806">
            <v>-18.100000000000001</v>
          </cell>
          <cell r="M806">
            <v>-16.5</v>
          </cell>
        </row>
        <row r="807">
          <cell r="C807" t="str">
            <v>Đồng Nai MBA T1 (phía 110kV)</v>
          </cell>
          <cell r="D807">
            <v>131</v>
          </cell>
          <cell r="E807">
            <v>34.5</v>
          </cell>
          <cell r="F807">
            <v>47.5</v>
          </cell>
          <cell r="G807">
            <v>41.7</v>
          </cell>
          <cell r="H807">
            <v>47.5</v>
          </cell>
          <cell r="I807">
            <v>44.1</v>
          </cell>
          <cell r="J807">
            <v>46.1</v>
          </cell>
          <cell r="K807">
            <v>40.299999999999997</v>
          </cell>
          <cell r="L807">
            <v>36.5</v>
          </cell>
          <cell r="M807">
            <v>34.5</v>
          </cell>
        </row>
        <row r="808">
          <cell r="C808" t="str">
            <v>Đồng Nai MBA T2 (phía 110kV)</v>
          </cell>
          <cell r="D808">
            <v>132</v>
          </cell>
          <cell r="E808">
            <v>31.8</v>
          </cell>
          <cell r="F808">
            <v>38.5</v>
          </cell>
          <cell r="G808">
            <v>36.6</v>
          </cell>
          <cell r="H808">
            <v>34.299999999999997</v>
          </cell>
          <cell r="I808">
            <v>38.5</v>
          </cell>
          <cell r="J808">
            <v>37.700000000000003</v>
          </cell>
          <cell r="K808">
            <v>37.700000000000003</v>
          </cell>
          <cell r="L808">
            <v>31.8</v>
          </cell>
          <cell r="M808">
            <v>33.1</v>
          </cell>
        </row>
        <row r="809">
          <cell r="C809" t="str">
            <v>110kV 171 Đồng Nai - 171 Đông Hòa - 171 Long Bình - 171 Bình An</v>
          </cell>
          <cell r="D809">
            <v>171</v>
          </cell>
          <cell r="E809">
            <v>-34.700000000000003</v>
          </cell>
          <cell r="F809">
            <v>-47.2</v>
          </cell>
          <cell r="G809">
            <v>-41.6</v>
          </cell>
          <cell r="H809">
            <v>-47.2</v>
          </cell>
          <cell r="I809">
            <v>-43.8</v>
          </cell>
          <cell r="J809">
            <v>-46.1</v>
          </cell>
          <cell r="K809">
            <v>-40.299999999999997</v>
          </cell>
          <cell r="L809">
            <v>-36.4</v>
          </cell>
          <cell r="M809">
            <v>-34.700000000000003</v>
          </cell>
        </row>
        <row r="810">
          <cell r="C810" t="str">
            <v>110kV 172 Đồng Nai - 172 Long Bình</v>
          </cell>
          <cell r="D810">
            <v>172</v>
          </cell>
          <cell r="E810">
            <v>-31.8</v>
          </cell>
          <cell r="F810">
            <v>-38.5</v>
          </cell>
          <cell r="G810">
            <v>-36.6</v>
          </cell>
          <cell r="H810">
            <v>-34.200000000000003</v>
          </cell>
          <cell r="I810">
            <v>-38.5</v>
          </cell>
          <cell r="J810">
            <v>-37.700000000000003</v>
          </cell>
          <cell r="K810">
            <v>-37.700000000000003</v>
          </cell>
          <cell r="L810">
            <v>-31.8</v>
          </cell>
          <cell r="M810">
            <v>-33.1</v>
          </cell>
        </row>
        <row r="811">
          <cell r="C811" t="str">
            <v>110kV 173 Đồng Nai - 173 Tân Mai</v>
          </cell>
          <cell r="D811">
            <v>173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</row>
        <row r="812">
          <cell r="C812" t="str">
            <v>Đồng Nai MBA T1 (phía 22kV)</v>
          </cell>
          <cell r="D812">
            <v>431</v>
          </cell>
          <cell r="E812">
            <v>-34.9</v>
          </cell>
          <cell r="F812">
            <v>-47.6</v>
          </cell>
          <cell r="G812">
            <v>-41.6</v>
          </cell>
          <cell r="H812">
            <v>-47.6</v>
          </cell>
          <cell r="I812">
            <v>-44.2</v>
          </cell>
          <cell r="J812">
            <v>-46</v>
          </cell>
          <cell r="K812">
            <v>-40.4</v>
          </cell>
          <cell r="L812">
            <v>-36.6</v>
          </cell>
          <cell r="M812">
            <v>-34.9</v>
          </cell>
        </row>
        <row r="813">
          <cell r="C813" t="str">
            <v>Đồng Nai MBA T2 (phía 22kV)</v>
          </cell>
          <cell r="D813">
            <v>432</v>
          </cell>
          <cell r="E813">
            <v>-31.8</v>
          </cell>
          <cell r="F813">
            <v>-38.6</v>
          </cell>
          <cell r="G813">
            <v>-36.6</v>
          </cell>
          <cell r="H813">
            <v>-34.6</v>
          </cell>
          <cell r="I813">
            <v>-38.6</v>
          </cell>
          <cell r="J813">
            <v>-38</v>
          </cell>
          <cell r="K813">
            <v>-37.700000000000003</v>
          </cell>
          <cell r="L813">
            <v>-31.8</v>
          </cell>
          <cell r="M813">
            <v>-33.5</v>
          </cell>
        </row>
        <row r="814">
          <cell r="C814" t="str">
            <v>110kV 171 Đông Nam - 176 Hóc Môn</v>
          </cell>
          <cell r="F814">
            <v>-41.4</v>
          </cell>
          <cell r="H814">
            <v>-21.4</v>
          </cell>
          <cell r="I814">
            <v>-20.7</v>
          </cell>
          <cell r="J814">
            <v>-20</v>
          </cell>
          <cell r="K814">
            <v>-18.899999999999999</v>
          </cell>
          <cell r="L814">
            <v>-20.6</v>
          </cell>
          <cell r="M814">
            <v>-41.4</v>
          </cell>
        </row>
        <row r="815">
          <cell r="C815" t="str">
            <v>110kV 172 Đông Nam - 171 Gò Đậu - 178 Cầu Bông</v>
          </cell>
          <cell r="F815">
            <v>-34.200000000000003</v>
          </cell>
          <cell r="H815">
            <v>-33.6</v>
          </cell>
          <cell r="I815">
            <v>-31</v>
          </cell>
          <cell r="J815">
            <v>-34.200000000000003</v>
          </cell>
          <cell r="K815">
            <v>-32.4</v>
          </cell>
          <cell r="L815">
            <v>-23.1</v>
          </cell>
          <cell r="M815">
            <v>-22.8</v>
          </cell>
        </row>
        <row r="816">
          <cell r="C816" t="str">
            <v>Đông Nam MBA T1 (phía 110kV)</v>
          </cell>
          <cell r="F816">
            <v>21.3</v>
          </cell>
          <cell r="H816">
            <v>21.3</v>
          </cell>
          <cell r="I816">
            <v>20.5</v>
          </cell>
          <cell r="J816">
            <v>20.100000000000001</v>
          </cell>
          <cell r="K816">
            <v>18.8</v>
          </cell>
          <cell r="L816">
            <v>20.6</v>
          </cell>
          <cell r="M816">
            <v>19.600000000000001</v>
          </cell>
        </row>
        <row r="817">
          <cell r="C817" t="str">
            <v>Đông Nam MBA T1 (phía 22kV)</v>
          </cell>
          <cell r="F817">
            <v>-21.4</v>
          </cell>
          <cell r="H817">
            <v>-21.4</v>
          </cell>
          <cell r="I817">
            <v>-20.5</v>
          </cell>
          <cell r="J817">
            <v>-20</v>
          </cell>
          <cell r="K817">
            <v>-18.8</v>
          </cell>
          <cell r="L817">
            <v>-20.6</v>
          </cell>
          <cell r="M817">
            <v>-19.3</v>
          </cell>
        </row>
        <row r="818">
          <cell r="C818" t="str">
            <v>Đông Nam MBA T2 (phía 22kV)</v>
          </cell>
          <cell r="F818">
            <v>-17.899999999999999</v>
          </cell>
          <cell r="H818">
            <v>-17.2</v>
          </cell>
          <cell r="I818">
            <v>-16.2</v>
          </cell>
          <cell r="J818">
            <v>-16.899999999999999</v>
          </cell>
          <cell r="K818">
            <v>-16.3</v>
          </cell>
          <cell r="L818">
            <v>-17.899999999999999</v>
          </cell>
          <cell r="M818">
            <v>-16.5</v>
          </cell>
        </row>
        <row r="819">
          <cell r="C819" t="str">
            <v>Đông Nam MBA T2 (phía 110kV)</v>
          </cell>
          <cell r="F819">
            <v>17.899999999999999</v>
          </cell>
          <cell r="H819">
            <v>17.2</v>
          </cell>
          <cell r="I819">
            <v>16.3</v>
          </cell>
          <cell r="J819">
            <v>16.899999999999999</v>
          </cell>
          <cell r="K819">
            <v>16.399999999999999</v>
          </cell>
          <cell r="L819">
            <v>17.899999999999999</v>
          </cell>
          <cell r="M819">
            <v>16.5</v>
          </cell>
        </row>
        <row r="820">
          <cell r="C820" t="str">
            <v>Đông Nam MBA T3 (phía 22kV)</v>
          </cell>
          <cell r="F820">
            <v>-17.399999999999999</v>
          </cell>
          <cell r="H820">
            <v>-16.8</v>
          </cell>
          <cell r="I820">
            <v>-15.9</v>
          </cell>
          <cell r="J820">
            <v>-17.399999999999999</v>
          </cell>
          <cell r="K820">
            <v>-16.100000000000001</v>
          </cell>
          <cell r="L820">
            <v>-7.5</v>
          </cell>
          <cell r="M820">
            <v>-7.5</v>
          </cell>
        </row>
        <row r="821">
          <cell r="C821" t="str">
            <v>Đông Nam MBA T3 (phía 110kV)</v>
          </cell>
          <cell r="F821">
            <v>-17.5</v>
          </cell>
          <cell r="H821">
            <v>-16.8</v>
          </cell>
          <cell r="I821">
            <v>-15.9</v>
          </cell>
          <cell r="J821">
            <v>-17.5</v>
          </cell>
          <cell r="K821">
            <v>-16.100000000000001</v>
          </cell>
          <cell r="L821">
            <v>-7.6</v>
          </cell>
          <cell r="M821">
            <v>-7.7</v>
          </cell>
        </row>
        <row r="822">
          <cell r="C822" t="str">
            <v>110kV 171 Đồng Phú - 172 Phú Giáo</v>
          </cell>
          <cell r="E822">
            <v>0</v>
          </cell>
          <cell r="F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</row>
        <row r="823">
          <cell r="C823" t="str">
            <v>110kV 172 Đồng Phú - 172 Đồng Xoài</v>
          </cell>
          <cell r="F823">
            <v>-40.4</v>
          </cell>
          <cell r="H823">
            <v>-39.1</v>
          </cell>
          <cell r="I823">
            <v>-39.4</v>
          </cell>
          <cell r="J823">
            <v>-40.4</v>
          </cell>
          <cell r="K823">
            <v>-35.299999999999997</v>
          </cell>
          <cell r="L823">
            <v>-29.9</v>
          </cell>
          <cell r="M823">
            <v>-27.5</v>
          </cell>
        </row>
        <row r="824">
          <cell r="C824" t="str">
            <v>Đồng Phú MBA T1 (phía 110kV)</v>
          </cell>
          <cell r="F824">
            <v>40.299999999999997</v>
          </cell>
          <cell r="H824">
            <v>38.700000000000003</v>
          </cell>
          <cell r="I824">
            <v>39.200000000000003</v>
          </cell>
          <cell r="J824">
            <v>40.299999999999997</v>
          </cell>
          <cell r="K824">
            <v>35.200000000000003</v>
          </cell>
          <cell r="L824">
            <v>29.7</v>
          </cell>
          <cell r="M824">
            <v>27.7</v>
          </cell>
        </row>
        <row r="825">
          <cell r="C825" t="str">
            <v>Đồng Phú MBA T1 (phía 22kV)</v>
          </cell>
          <cell r="F825">
            <v>-40.4</v>
          </cell>
          <cell r="H825">
            <v>-38.6</v>
          </cell>
          <cell r="I825">
            <v>-39.299999999999997</v>
          </cell>
          <cell r="J825">
            <v>-40.4</v>
          </cell>
          <cell r="K825">
            <v>-34.9</v>
          </cell>
          <cell r="L825">
            <v>-29.7</v>
          </cell>
          <cell r="M825">
            <v>-27.6</v>
          </cell>
        </row>
        <row r="826">
          <cell r="C826" t="str">
            <v>110kV 171 Đông Thạnh - 172 Tân Hiệp</v>
          </cell>
          <cell r="E826">
            <v>0</v>
          </cell>
          <cell r="F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</row>
        <row r="827">
          <cell r="C827" t="str">
            <v>110kV 172 Đông Thạnh - 171 Hóc Môn</v>
          </cell>
          <cell r="F827">
            <v>-77.400000000000006</v>
          </cell>
          <cell r="H827">
            <v>-69.7</v>
          </cell>
          <cell r="I827">
            <v>-61.7</v>
          </cell>
          <cell r="J827">
            <v>-77.400000000000006</v>
          </cell>
          <cell r="K827">
            <v>-70.2</v>
          </cell>
          <cell r="L827">
            <v>-58.8</v>
          </cell>
          <cell r="M827">
            <v>-51.6</v>
          </cell>
        </row>
        <row r="828">
          <cell r="C828" t="str">
            <v>Đông Thạnh MBA T1 (phía 110kV)</v>
          </cell>
          <cell r="F828">
            <v>46.8</v>
          </cell>
          <cell r="H828">
            <v>41.9</v>
          </cell>
          <cell r="I828">
            <v>37.1</v>
          </cell>
          <cell r="J828">
            <v>45.3</v>
          </cell>
          <cell r="K828">
            <v>46.8</v>
          </cell>
          <cell r="L828">
            <v>34.700000000000003</v>
          </cell>
          <cell r="M828">
            <v>34.700000000000003</v>
          </cell>
        </row>
        <row r="829">
          <cell r="C829" t="str">
            <v>Đông Thạnh MBA T1 (phía 22kV)</v>
          </cell>
          <cell r="F829">
            <v>-46.6</v>
          </cell>
          <cell r="H829">
            <v>-41.8</v>
          </cell>
          <cell r="I829">
            <v>-37.1</v>
          </cell>
          <cell r="J829">
            <v>-45.4</v>
          </cell>
          <cell r="K829">
            <v>-46.6</v>
          </cell>
          <cell r="L829">
            <v>-34.4</v>
          </cell>
          <cell r="M829">
            <v>-34.4</v>
          </cell>
        </row>
        <row r="830">
          <cell r="C830" t="str">
            <v>Đông Thạnh MBA T2 (phía 110kV)</v>
          </cell>
          <cell r="F830">
            <v>32.4</v>
          </cell>
          <cell r="H830">
            <v>29.5</v>
          </cell>
          <cell r="I830">
            <v>25.4</v>
          </cell>
          <cell r="J830">
            <v>32.4</v>
          </cell>
          <cell r="K830">
            <v>23.7</v>
          </cell>
          <cell r="L830">
            <v>24.4</v>
          </cell>
          <cell r="M830">
            <v>17.600000000000001</v>
          </cell>
        </row>
        <row r="831">
          <cell r="C831" t="str">
            <v>Đông Thạnh MBA T2 (phía 22kV)</v>
          </cell>
          <cell r="F831">
            <v>-32.4</v>
          </cell>
          <cell r="H831">
            <v>-29.5</v>
          </cell>
          <cell r="I831">
            <v>-25.5</v>
          </cell>
          <cell r="J831">
            <v>-32.4</v>
          </cell>
          <cell r="K831">
            <v>-23.7</v>
          </cell>
          <cell r="L831">
            <v>-24.4</v>
          </cell>
          <cell r="M831">
            <v>-17.7</v>
          </cell>
        </row>
        <row r="832">
          <cell r="C832" t="str">
            <v>Đồng Tiến MBA T1 (phía 110kV)</v>
          </cell>
          <cell r="D832">
            <v>131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</row>
        <row r="833">
          <cell r="C833" t="str">
            <v>110kV 171 Đồng Tiến - 171 Mỹ Xuân B1</v>
          </cell>
          <cell r="D833">
            <v>171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</row>
        <row r="834">
          <cell r="C834" t="str">
            <v>110kV 172 Đồng Tiến - 175 NMĐ Phú Mỹ 1</v>
          </cell>
          <cell r="D834">
            <v>172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</row>
        <row r="835">
          <cell r="C835" t="str">
            <v>Đồng Tiến MBA T1 (phía 35kV)</v>
          </cell>
          <cell r="D835">
            <v>331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</row>
        <row r="836">
          <cell r="C836" t="str">
            <v>Đồng Tiến MBA T1 (phía 10kV)</v>
          </cell>
          <cell r="D836">
            <v>931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</row>
        <row r="837">
          <cell r="C837" t="str">
            <v>Đồng Xoài MBA T1 (phía 110kV)</v>
          </cell>
          <cell r="D837">
            <v>131</v>
          </cell>
          <cell r="E837">
            <v>19.7</v>
          </cell>
          <cell r="F837">
            <v>30.2</v>
          </cell>
          <cell r="G837">
            <v>30.2</v>
          </cell>
          <cell r="H837">
            <v>29</v>
          </cell>
          <cell r="I837">
            <v>28.4</v>
          </cell>
          <cell r="J837">
            <v>28.8</v>
          </cell>
          <cell r="K837">
            <v>27.9</v>
          </cell>
          <cell r="L837">
            <v>20.8</v>
          </cell>
          <cell r="M837">
            <v>19.7</v>
          </cell>
        </row>
        <row r="838">
          <cell r="C838" t="str">
            <v>Đồng Xoài MBA T2 (phía 110kV)</v>
          </cell>
          <cell r="D838">
            <v>132</v>
          </cell>
          <cell r="E838">
            <v>27.5</v>
          </cell>
          <cell r="F838">
            <v>32.5</v>
          </cell>
          <cell r="G838">
            <v>30.9</v>
          </cell>
          <cell r="H838">
            <v>30.4</v>
          </cell>
          <cell r="I838">
            <v>30</v>
          </cell>
          <cell r="J838">
            <v>32.5</v>
          </cell>
          <cell r="K838">
            <v>30.9</v>
          </cell>
          <cell r="L838">
            <v>28.4</v>
          </cell>
          <cell r="M838">
            <v>27.5</v>
          </cell>
        </row>
        <row r="839">
          <cell r="C839" t="str">
            <v>110kV 171 Đồng Xoài - 172 Vedan 2</v>
          </cell>
          <cell r="D839">
            <v>171</v>
          </cell>
          <cell r="E839">
            <v>-73.5</v>
          </cell>
          <cell r="F839">
            <v>-96.1</v>
          </cell>
          <cell r="G839">
            <v>-90.4</v>
          </cell>
          <cell r="H839">
            <v>-94</v>
          </cell>
          <cell r="I839">
            <v>-93.5</v>
          </cell>
          <cell r="J839">
            <v>-96.1</v>
          </cell>
          <cell r="K839">
            <v>-94</v>
          </cell>
          <cell r="L839">
            <v>-79.7</v>
          </cell>
          <cell r="M839">
            <v>-73.5</v>
          </cell>
        </row>
        <row r="840">
          <cell r="C840" t="str">
            <v>110kV 172 Đồng Xoài - 172 Đồng Phú</v>
          </cell>
          <cell r="D840">
            <v>172</v>
          </cell>
          <cell r="E840">
            <v>27.3</v>
          </cell>
          <cell r="F840">
            <v>41.1</v>
          </cell>
          <cell r="G840">
            <v>35</v>
          </cell>
          <cell r="H840">
            <v>38.799999999999997</v>
          </cell>
          <cell r="I840">
            <v>39.299999999999997</v>
          </cell>
          <cell r="J840">
            <v>41.1</v>
          </cell>
          <cell r="K840">
            <v>35.5</v>
          </cell>
          <cell r="L840">
            <v>29.7</v>
          </cell>
          <cell r="M840">
            <v>27.3</v>
          </cell>
        </row>
        <row r="841">
          <cell r="C841" t="str">
            <v>Đồng Xoài MBA T1 (phía 22kV)</v>
          </cell>
          <cell r="D841">
            <v>431</v>
          </cell>
          <cell r="E841">
            <v>-19.7</v>
          </cell>
          <cell r="F841">
            <v>-30</v>
          </cell>
          <cell r="G841">
            <v>-30</v>
          </cell>
          <cell r="H841">
            <v>-28.9</v>
          </cell>
          <cell r="I841">
            <v>-28.4</v>
          </cell>
          <cell r="J841">
            <v>-28.6</v>
          </cell>
          <cell r="K841">
            <v>-27.7</v>
          </cell>
          <cell r="L841">
            <v>-20.8</v>
          </cell>
          <cell r="M841">
            <v>-19.7</v>
          </cell>
        </row>
        <row r="842">
          <cell r="C842" t="str">
            <v>Đồng Xoài MBA T2 (phía 22kV)</v>
          </cell>
          <cell r="D842">
            <v>432</v>
          </cell>
          <cell r="E842">
            <v>-27.2</v>
          </cell>
          <cell r="F842">
            <v>-32.200000000000003</v>
          </cell>
          <cell r="G842">
            <v>-30.7</v>
          </cell>
          <cell r="H842">
            <v>-30.2</v>
          </cell>
          <cell r="I842">
            <v>-30</v>
          </cell>
          <cell r="J842">
            <v>-32.200000000000003</v>
          </cell>
          <cell r="K842">
            <v>-30.7</v>
          </cell>
          <cell r="L842">
            <v>-28.2</v>
          </cell>
          <cell r="M842">
            <v>-27.2</v>
          </cell>
        </row>
        <row r="843">
          <cell r="C843" t="str">
            <v>Đông Xuyên MBA T1 (phía 110kV)</v>
          </cell>
          <cell r="D843">
            <v>131</v>
          </cell>
          <cell r="E843">
            <v>10.9</v>
          </cell>
          <cell r="F843">
            <v>14.7</v>
          </cell>
          <cell r="G843">
            <v>13.4</v>
          </cell>
          <cell r="H843">
            <v>14.2</v>
          </cell>
          <cell r="I843">
            <v>11</v>
          </cell>
          <cell r="J843">
            <v>14.7</v>
          </cell>
          <cell r="K843">
            <v>12.9</v>
          </cell>
          <cell r="L843">
            <v>11.6</v>
          </cell>
          <cell r="M843">
            <v>10.9</v>
          </cell>
        </row>
        <row r="844">
          <cell r="C844" t="str">
            <v>Đông Xuyên MBA T2 (phía 110kV)</v>
          </cell>
          <cell r="D844">
            <v>132</v>
          </cell>
          <cell r="E844">
            <v>13.7</v>
          </cell>
          <cell r="F844">
            <v>24.9</v>
          </cell>
          <cell r="G844">
            <v>23.7</v>
          </cell>
          <cell r="H844">
            <v>24.9</v>
          </cell>
          <cell r="I844">
            <v>21.9</v>
          </cell>
          <cell r="J844">
            <v>24.7</v>
          </cell>
          <cell r="K844">
            <v>24.8</v>
          </cell>
          <cell r="L844">
            <v>15.9</v>
          </cell>
          <cell r="M844">
            <v>13.7</v>
          </cell>
        </row>
        <row r="845">
          <cell r="C845" t="str">
            <v>110kV 171 Đông Xuyên - 180 Vũng Tàu 2</v>
          </cell>
          <cell r="D845">
            <v>171</v>
          </cell>
          <cell r="E845">
            <v>-72.400000000000006</v>
          </cell>
          <cell r="F845">
            <v>-96.5</v>
          </cell>
          <cell r="G845">
            <v>-90.3</v>
          </cell>
          <cell r="H845">
            <v>-96.5</v>
          </cell>
          <cell r="I845">
            <v>-72.400000000000006</v>
          </cell>
          <cell r="J845">
            <v>-92.4</v>
          </cell>
          <cell r="K845">
            <v>-83.9</v>
          </cell>
          <cell r="L845">
            <v>-76.7</v>
          </cell>
          <cell r="M845">
            <v>-77</v>
          </cell>
        </row>
        <row r="846">
          <cell r="C846" t="str">
            <v>110kV 172 Đông Xuyên - 171 Vũng Tàu</v>
          </cell>
          <cell r="D846">
            <v>172</v>
          </cell>
          <cell r="E846">
            <v>44.8</v>
          </cell>
          <cell r="F846">
            <v>60.8</v>
          </cell>
          <cell r="G846">
            <v>60.8</v>
          </cell>
          <cell r="H846">
            <v>60.6</v>
          </cell>
          <cell r="I846">
            <v>44.8</v>
          </cell>
          <cell r="J846">
            <v>57.9</v>
          </cell>
          <cell r="K846">
            <v>46.5</v>
          </cell>
          <cell r="L846">
            <v>51.3</v>
          </cell>
          <cell r="M846">
            <v>52.7</v>
          </cell>
        </row>
        <row r="847">
          <cell r="C847" t="str">
            <v>Đông Xuyên MBA T1 (phía 22kV)</v>
          </cell>
          <cell r="D847">
            <v>431</v>
          </cell>
          <cell r="E847">
            <v>-10.9</v>
          </cell>
          <cell r="F847">
            <v>-14.7</v>
          </cell>
          <cell r="G847">
            <v>-13.7</v>
          </cell>
          <cell r="H847">
            <v>-14.3</v>
          </cell>
          <cell r="I847">
            <v>-11</v>
          </cell>
          <cell r="J847">
            <v>-14.7</v>
          </cell>
          <cell r="K847">
            <v>-12.9</v>
          </cell>
          <cell r="L847">
            <v>-11.8</v>
          </cell>
          <cell r="M847">
            <v>-10.9</v>
          </cell>
        </row>
        <row r="848">
          <cell r="C848" t="str">
            <v>Đông Xuyên MBA T2 (phía 22kV)</v>
          </cell>
          <cell r="D848">
            <v>432</v>
          </cell>
          <cell r="E848">
            <v>-13.7</v>
          </cell>
          <cell r="F848">
            <v>-25</v>
          </cell>
          <cell r="G848">
            <v>-23.9</v>
          </cell>
          <cell r="H848">
            <v>-24.9</v>
          </cell>
          <cell r="I848">
            <v>-22</v>
          </cell>
          <cell r="J848">
            <v>-24.8</v>
          </cell>
          <cell r="K848">
            <v>-25</v>
          </cell>
          <cell r="L848">
            <v>-15.9</v>
          </cell>
          <cell r="M848">
            <v>-13.7</v>
          </cell>
        </row>
        <row r="849">
          <cell r="C849" t="str">
            <v>Đức Hòa MBA T1 (phía 110kV)</v>
          </cell>
          <cell r="D849">
            <v>131</v>
          </cell>
          <cell r="E849">
            <v>36.4</v>
          </cell>
          <cell r="F849">
            <v>57.5</v>
          </cell>
          <cell r="G849">
            <v>55</v>
          </cell>
          <cell r="H849">
            <v>52.2</v>
          </cell>
          <cell r="I849">
            <v>49.8</v>
          </cell>
          <cell r="J849">
            <v>57.5</v>
          </cell>
          <cell r="K849">
            <v>52.7</v>
          </cell>
          <cell r="L849">
            <v>38.4</v>
          </cell>
          <cell r="M849">
            <v>36.4</v>
          </cell>
        </row>
        <row r="850">
          <cell r="C850" t="str">
            <v>Đức Hòa MBA T2 (phía 110kV)</v>
          </cell>
          <cell r="D850">
            <v>132</v>
          </cell>
          <cell r="E850">
            <v>34.799999999999997</v>
          </cell>
          <cell r="F850">
            <v>54.9</v>
          </cell>
          <cell r="G850">
            <v>52.4</v>
          </cell>
          <cell r="H850">
            <v>54.9</v>
          </cell>
          <cell r="I850">
            <v>53.5</v>
          </cell>
          <cell r="J850">
            <v>53.4</v>
          </cell>
          <cell r="K850">
            <v>52.5</v>
          </cell>
          <cell r="L850">
            <v>35.200000000000003</v>
          </cell>
          <cell r="M850">
            <v>34.799999999999997</v>
          </cell>
        </row>
        <row r="851">
          <cell r="C851" t="str">
            <v>110kV 171 Đức Hòa - 172 Đức Lập</v>
          </cell>
          <cell r="D851">
            <v>171</v>
          </cell>
          <cell r="E851">
            <v>-36.5</v>
          </cell>
          <cell r="F851">
            <v>-107.3</v>
          </cell>
          <cell r="G851">
            <v>-54.8</v>
          </cell>
          <cell r="H851">
            <v>-107.3</v>
          </cell>
          <cell r="I851">
            <v>-49.9</v>
          </cell>
          <cell r="J851">
            <v>-57.1</v>
          </cell>
          <cell r="K851">
            <v>-102.7</v>
          </cell>
          <cell r="L851">
            <v>-73.2</v>
          </cell>
          <cell r="M851">
            <v>-36.5</v>
          </cell>
        </row>
        <row r="852">
          <cell r="C852" t="str">
            <v>110kV 172 Đức Hòa - 179 Phú Lâm</v>
          </cell>
          <cell r="D852">
            <v>172</v>
          </cell>
          <cell r="E852">
            <v>0</v>
          </cell>
          <cell r="F852">
            <v>-53.8</v>
          </cell>
          <cell r="G852">
            <v>-52.2</v>
          </cell>
          <cell r="H852">
            <v>0</v>
          </cell>
          <cell r="I852">
            <v>-53.8</v>
          </cell>
          <cell r="J852">
            <v>-53.4</v>
          </cell>
          <cell r="K852">
            <v>0</v>
          </cell>
          <cell r="L852">
            <v>0</v>
          </cell>
          <cell r="M852">
            <v>-34.799999999999997</v>
          </cell>
        </row>
        <row r="853">
          <cell r="C853" t="str">
            <v>Đức Hòa MBA T1 (phía 22kV)</v>
          </cell>
          <cell r="D853">
            <v>431</v>
          </cell>
          <cell r="E853">
            <v>-36.5</v>
          </cell>
          <cell r="F853">
            <v>-56.8</v>
          </cell>
          <cell r="G853">
            <v>-55.3</v>
          </cell>
          <cell r="H853">
            <v>-52.1</v>
          </cell>
          <cell r="I853">
            <v>-49.8</v>
          </cell>
          <cell r="J853">
            <v>-56.8</v>
          </cell>
          <cell r="K853">
            <v>-52.9</v>
          </cell>
          <cell r="L853">
            <v>-38.299999999999997</v>
          </cell>
          <cell r="M853">
            <v>-36.5</v>
          </cell>
        </row>
        <row r="854">
          <cell r="C854" t="str">
            <v>Đức Hòa MBA T2 (phía 22kV)</v>
          </cell>
          <cell r="D854">
            <v>432</v>
          </cell>
          <cell r="E854">
            <v>-27.7</v>
          </cell>
          <cell r="F854">
            <v>-47.4</v>
          </cell>
          <cell r="G854">
            <v>-44.5</v>
          </cell>
          <cell r="H854">
            <v>-47.4</v>
          </cell>
          <cell r="I854">
            <v>-46.7</v>
          </cell>
          <cell r="J854">
            <v>-45.6</v>
          </cell>
          <cell r="K854">
            <v>-45.2</v>
          </cell>
          <cell r="L854">
            <v>-28.4</v>
          </cell>
          <cell r="M854">
            <v>-27.7</v>
          </cell>
        </row>
        <row r="855">
          <cell r="C855" t="str">
            <v>Đức Hòa 2 MBA AT1 (phía 110KV)</v>
          </cell>
          <cell r="D855">
            <v>131</v>
          </cell>
          <cell r="E855">
            <v>-147.6</v>
          </cell>
          <cell r="F855">
            <v>-195.6</v>
          </cell>
          <cell r="G855">
            <v>-181.3</v>
          </cell>
          <cell r="H855">
            <v>-195.6</v>
          </cell>
          <cell r="I855">
            <v>-179.7</v>
          </cell>
          <cell r="J855">
            <v>-179.6</v>
          </cell>
          <cell r="K855">
            <v>-190.4</v>
          </cell>
          <cell r="L855">
            <v>-172.8</v>
          </cell>
          <cell r="M855">
            <v>-147.6</v>
          </cell>
        </row>
        <row r="856">
          <cell r="C856" t="str">
            <v>Đức Hòa 2 MBA AT2 (phía 110KV)</v>
          </cell>
          <cell r="D856">
            <v>132</v>
          </cell>
          <cell r="E856">
            <v>-136.9</v>
          </cell>
          <cell r="F856">
            <v>-180.9</v>
          </cell>
          <cell r="G856">
            <v>-167.9</v>
          </cell>
          <cell r="H856">
            <v>-180.9</v>
          </cell>
          <cell r="I856">
            <v>-166.4</v>
          </cell>
          <cell r="J856">
            <v>-165.7</v>
          </cell>
          <cell r="K856">
            <v>-176.7</v>
          </cell>
          <cell r="L856">
            <v>-160.6</v>
          </cell>
          <cell r="M856">
            <v>-136.9</v>
          </cell>
        </row>
        <row r="857">
          <cell r="C857" t="str">
            <v>Đức Hòa 2 MBA T4 (phía 110KV)</v>
          </cell>
          <cell r="D857">
            <v>134</v>
          </cell>
          <cell r="E857">
            <v>19.100000000000001</v>
          </cell>
          <cell r="F857">
            <v>31.5</v>
          </cell>
          <cell r="G857">
            <v>31.5</v>
          </cell>
          <cell r="H857">
            <v>29.8</v>
          </cell>
          <cell r="I857">
            <v>28.5</v>
          </cell>
          <cell r="J857">
            <v>30.2</v>
          </cell>
          <cell r="K857">
            <v>30.4</v>
          </cell>
          <cell r="L857">
            <v>20.7</v>
          </cell>
          <cell r="M857">
            <v>19.100000000000001</v>
          </cell>
        </row>
        <row r="858">
          <cell r="C858" t="str">
            <v>110kV 175 Đức Hòa 2 - 171 Đức Lập</v>
          </cell>
          <cell r="D858">
            <v>175</v>
          </cell>
          <cell r="E858">
            <v>55.9</v>
          </cell>
          <cell r="F858">
            <v>139.6</v>
          </cell>
          <cell r="G858">
            <v>78.8</v>
          </cell>
          <cell r="H858">
            <v>127.5</v>
          </cell>
          <cell r="I858">
            <v>66.7</v>
          </cell>
          <cell r="J858">
            <v>83.1</v>
          </cell>
          <cell r="K858">
            <v>139.6</v>
          </cell>
          <cell r="L858">
            <v>90</v>
          </cell>
          <cell r="M858">
            <v>55.9</v>
          </cell>
        </row>
        <row r="859">
          <cell r="C859" t="str">
            <v>110kV 176 Đức Hòa 2 - 172 Đức Hòa 3</v>
          </cell>
          <cell r="D859">
            <v>176</v>
          </cell>
          <cell r="E859">
            <v>144.6</v>
          </cell>
          <cell r="F859">
            <v>214.2</v>
          </cell>
          <cell r="G859">
            <v>197.2</v>
          </cell>
          <cell r="H859">
            <v>214.2</v>
          </cell>
          <cell r="I859">
            <v>198.9</v>
          </cell>
          <cell r="J859">
            <v>209.2</v>
          </cell>
          <cell r="K859">
            <v>181.9</v>
          </cell>
          <cell r="L859">
            <v>151.80000000000001</v>
          </cell>
          <cell r="M859">
            <v>144.6</v>
          </cell>
        </row>
        <row r="860">
          <cell r="C860" t="str">
            <v>110kV 177 Đức Hòa 2 - 171 NMĐ MT TTC1</v>
          </cell>
          <cell r="D860">
            <v>177</v>
          </cell>
          <cell r="E860">
            <v>30.4</v>
          </cell>
          <cell r="F860">
            <v>-50</v>
          </cell>
          <cell r="G860">
            <v>-46.7</v>
          </cell>
          <cell r="H860">
            <v>-50</v>
          </cell>
          <cell r="I860">
            <v>30.4</v>
          </cell>
          <cell r="J860">
            <v>37.4</v>
          </cell>
          <cell r="K860">
            <v>-33.1</v>
          </cell>
          <cell r="L860">
            <v>38</v>
          </cell>
          <cell r="M860">
            <v>41</v>
          </cell>
        </row>
        <row r="861">
          <cell r="C861" t="str">
            <v>110kV 178 Đức Hòa 2 - 172 Đức Huệ</v>
          </cell>
          <cell r="D861">
            <v>178</v>
          </cell>
          <cell r="E861">
            <v>40.5</v>
          </cell>
          <cell r="F861">
            <v>54.6</v>
          </cell>
          <cell r="G861">
            <v>49.6</v>
          </cell>
          <cell r="H861">
            <v>41.1</v>
          </cell>
          <cell r="I861">
            <v>43.4</v>
          </cell>
          <cell r="J861">
            <v>47.9</v>
          </cell>
          <cell r="K861">
            <v>40.5</v>
          </cell>
          <cell r="L861">
            <v>50.7</v>
          </cell>
          <cell r="M861">
            <v>54.6</v>
          </cell>
        </row>
        <row r="862">
          <cell r="C862" t="str">
            <v>Đức Hòa 2 MBA AT1 (phía 220kV)</v>
          </cell>
          <cell r="D862">
            <v>231</v>
          </cell>
          <cell r="E862">
            <v>147.6</v>
          </cell>
          <cell r="F862">
            <v>196.8</v>
          </cell>
          <cell r="G862">
            <v>182.3</v>
          </cell>
          <cell r="H862">
            <v>196.8</v>
          </cell>
          <cell r="I862">
            <v>180</v>
          </cell>
          <cell r="J862">
            <v>180.8</v>
          </cell>
          <cell r="K862">
            <v>191</v>
          </cell>
          <cell r="L862">
            <v>173.7</v>
          </cell>
          <cell r="M862">
            <v>147.6</v>
          </cell>
        </row>
        <row r="863">
          <cell r="C863" t="str">
            <v>Đức Hòa 2 MBA AT2 (phía 220KV)</v>
          </cell>
          <cell r="D863">
            <v>232</v>
          </cell>
          <cell r="E863">
            <v>138.1</v>
          </cell>
          <cell r="F863">
            <v>183.3</v>
          </cell>
          <cell r="G863">
            <v>168.2</v>
          </cell>
          <cell r="H863">
            <v>183.3</v>
          </cell>
          <cell r="I863">
            <v>167.7</v>
          </cell>
          <cell r="J863">
            <v>166.8</v>
          </cell>
          <cell r="K863">
            <v>178.2</v>
          </cell>
          <cell r="L863">
            <v>162.1</v>
          </cell>
          <cell r="M863">
            <v>138.1</v>
          </cell>
        </row>
        <row r="864">
          <cell r="C864" t="str">
            <v>220kV 275 Đức Hòa 2 - 277 Cầu Bông</v>
          </cell>
          <cell r="D864">
            <v>275</v>
          </cell>
          <cell r="E864">
            <v>-141.4</v>
          </cell>
          <cell r="F864">
            <v>-188.4</v>
          </cell>
          <cell r="G864">
            <v>-171.8</v>
          </cell>
          <cell r="H864">
            <v>-188.4</v>
          </cell>
          <cell r="I864">
            <v>-172</v>
          </cell>
          <cell r="J864">
            <v>-172.2</v>
          </cell>
          <cell r="K864">
            <v>-183</v>
          </cell>
          <cell r="L864">
            <v>-166.7</v>
          </cell>
          <cell r="M864">
            <v>-141.4</v>
          </cell>
        </row>
        <row r="865">
          <cell r="C865" t="str">
            <v>220kV 276 Đức Hòa 2 - 278 Cầu Bông</v>
          </cell>
          <cell r="D865">
            <v>276</v>
          </cell>
          <cell r="E865">
            <v>-144.4</v>
          </cell>
          <cell r="F865">
            <v>-191.6</v>
          </cell>
          <cell r="G865">
            <v>-175.7</v>
          </cell>
          <cell r="H865">
            <v>-191.6</v>
          </cell>
          <cell r="I865">
            <v>-175</v>
          </cell>
          <cell r="J865">
            <v>-175</v>
          </cell>
          <cell r="K865">
            <v>-186.7</v>
          </cell>
          <cell r="L865">
            <v>-169</v>
          </cell>
          <cell r="M865">
            <v>-144.4</v>
          </cell>
        </row>
        <row r="866">
          <cell r="C866" t="str">
            <v>Đức Hòa 2 MBA T4 (phía 22KV)</v>
          </cell>
          <cell r="D866">
            <v>434</v>
          </cell>
          <cell r="E866">
            <v>-19.399999999999999</v>
          </cell>
          <cell r="F866">
            <v>-30.5</v>
          </cell>
          <cell r="G866">
            <v>-30.5</v>
          </cell>
          <cell r="H866">
            <v>-28.7</v>
          </cell>
          <cell r="I866">
            <v>-28.6</v>
          </cell>
          <cell r="J866">
            <v>-30.3</v>
          </cell>
          <cell r="K866">
            <v>-30.2</v>
          </cell>
          <cell r="L866">
            <v>-20.7</v>
          </cell>
          <cell r="M866">
            <v>-19.399999999999999</v>
          </cell>
        </row>
        <row r="867">
          <cell r="C867" t="str">
            <v>110kV 171 Đức Hòa 3 - 171 Le Long</v>
          </cell>
          <cell r="F867">
            <v>133.69999999999999</v>
          </cell>
          <cell r="H867">
            <v>133.69999999999999</v>
          </cell>
          <cell r="I867">
            <v>122.1</v>
          </cell>
          <cell r="J867">
            <v>131.1</v>
          </cell>
          <cell r="K867">
            <v>118.9</v>
          </cell>
          <cell r="L867">
            <v>93</v>
          </cell>
          <cell r="M867">
            <v>89.7</v>
          </cell>
        </row>
        <row r="868">
          <cell r="C868" t="str">
            <v>110kV 172 Đức Hòa 3 - 176 Đức Hòa 2</v>
          </cell>
          <cell r="F868">
            <v>-210.8</v>
          </cell>
          <cell r="H868">
            <v>-210.8</v>
          </cell>
          <cell r="I868">
            <v>-196.4</v>
          </cell>
          <cell r="J868">
            <v>-207</v>
          </cell>
          <cell r="K868">
            <v>-179.4</v>
          </cell>
          <cell r="L868">
            <v>-150.4</v>
          </cell>
          <cell r="M868">
            <v>-143.69999999999999</v>
          </cell>
        </row>
        <row r="869">
          <cell r="C869" t="str">
            <v>Đức Hòa 3 MBA T1 (phía 110kV)</v>
          </cell>
          <cell r="F869">
            <v>54.8</v>
          </cell>
          <cell r="H869">
            <v>54.8</v>
          </cell>
          <cell r="I869">
            <v>51.3</v>
          </cell>
          <cell r="J869">
            <v>52.7</v>
          </cell>
          <cell r="K869">
            <v>37.799999999999997</v>
          </cell>
          <cell r="L869">
            <v>37.4</v>
          </cell>
          <cell r="M869">
            <v>29.6</v>
          </cell>
        </row>
        <row r="870">
          <cell r="C870" t="str">
            <v>Đức Hòa 3 MBA T2 (phía 110kV)</v>
          </cell>
          <cell r="F870">
            <v>25.7</v>
          </cell>
          <cell r="H870">
            <v>25.2</v>
          </cell>
          <cell r="I870">
            <v>24.7</v>
          </cell>
          <cell r="J870">
            <v>25</v>
          </cell>
          <cell r="K870">
            <v>23.5</v>
          </cell>
          <cell r="L870">
            <v>19.8</v>
          </cell>
          <cell r="M870">
            <v>25.7</v>
          </cell>
        </row>
        <row r="871">
          <cell r="C871" t="str">
            <v>Đức Hòa 3 MBA T1 (phía 22kV)</v>
          </cell>
          <cell r="F871">
            <v>-54.5</v>
          </cell>
          <cell r="H871">
            <v>-54.5</v>
          </cell>
          <cell r="I871">
            <v>-51.2</v>
          </cell>
          <cell r="J871">
            <v>-52.9</v>
          </cell>
          <cell r="K871">
            <v>-37.799999999999997</v>
          </cell>
          <cell r="L871">
            <v>-37.4</v>
          </cell>
          <cell r="M871">
            <v>-29.6</v>
          </cell>
        </row>
        <row r="872">
          <cell r="C872" t="str">
            <v>Đức Hòa 3 MBA T2 (phía 22kV)</v>
          </cell>
          <cell r="F872">
            <v>-26</v>
          </cell>
          <cell r="H872">
            <v>-25.3</v>
          </cell>
          <cell r="I872">
            <v>-24.6</v>
          </cell>
          <cell r="J872">
            <v>-24.8</v>
          </cell>
          <cell r="K872">
            <v>-23.7</v>
          </cell>
          <cell r="L872">
            <v>-19.600000000000001</v>
          </cell>
          <cell r="M872">
            <v>-26</v>
          </cell>
        </row>
        <row r="873">
          <cell r="C873" t="str">
            <v>Đức Hòa 5 MBA AT2 (phía 500kV)</v>
          </cell>
          <cell r="F873">
            <v>0.3</v>
          </cell>
          <cell r="H873">
            <v>0.3</v>
          </cell>
          <cell r="I873">
            <v>0.3</v>
          </cell>
          <cell r="J873">
            <v>0.3</v>
          </cell>
          <cell r="K873">
            <v>0.3</v>
          </cell>
          <cell r="L873">
            <v>0.3</v>
          </cell>
          <cell r="M873">
            <v>0.3</v>
          </cell>
        </row>
        <row r="874">
          <cell r="C874" t="str">
            <v>500kV 573 Đức Hòa 5 - 573 Mỹ Tho 500</v>
          </cell>
          <cell r="F874">
            <v>-0.3</v>
          </cell>
          <cell r="H874">
            <v>-0.3</v>
          </cell>
          <cell r="I874">
            <v>-0.3</v>
          </cell>
          <cell r="J874">
            <v>-0.3</v>
          </cell>
          <cell r="K874">
            <v>-0.3</v>
          </cell>
          <cell r="L874">
            <v>-0.3</v>
          </cell>
          <cell r="M874">
            <v>-0.3</v>
          </cell>
        </row>
        <row r="875">
          <cell r="C875" t="str">
            <v>500kV 574 Đức Hòa 5</v>
          </cell>
          <cell r="E875">
            <v>0</v>
          </cell>
          <cell r="F875">
            <v>0.1</v>
          </cell>
          <cell r="H875">
            <v>0.1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</row>
        <row r="876">
          <cell r="C876" t="str">
            <v>220kV 276 Đức Hòa 5</v>
          </cell>
          <cell r="E876">
            <v>0</v>
          </cell>
          <cell r="F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</row>
        <row r="877">
          <cell r="C877" t="str">
            <v>220kV 277 Đức Hòa 5 - 273 Phú Lâm</v>
          </cell>
          <cell r="E877">
            <v>0</v>
          </cell>
          <cell r="F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</row>
        <row r="878">
          <cell r="C878" t="str">
            <v>Đức Hòa 5 MBA AT2 (phía 220kV)</v>
          </cell>
          <cell r="E878">
            <v>0</v>
          </cell>
          <cell r="F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</row>
        <row r="879">
          <cell r="C879" t="str">
            <v>220kV 278 Đức Hòa 5</v>
          </cell>
          <cell r="E879">
            <v>0</v>
          </cell>
          <cell r="F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</row>
        <row r="880">
          <cell r="C880" t="str">
            <v>220kV 279 Đức Hòa 5</v>
          </cell>
          <cell r="E880">
            <v>0</v>
          </cell>
          <cell r="F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</row>
        <row r="881">
          <cell r="C881" t="str">
            <v>Đức Huệ MBA T1 (phía 110kV)</v>
          </cell>
          <cell r="D881">
            <v>131</v>
          </cell>
          <cell r="E881">
            <v>34.200000000000003</v>
          </cell>
          <cell r="F881">
            <v>49.7</v>
          </cell>
          <cell r="G881">
            <v>49.7</v>
          </cell>
          <cell r="H881">
            <v>46.5</v>
          </cell>
          <cell r="I881">
            <v>34.200000000000003</v>
          </cell>
          <cell r="J881">
            <v>47.5</v>
          </cell>
          <cell r="K881">
            <v>44.7</v>
          </cell>
          <cell r="L881">
            <v>45.3</v>
          </cell>
          <cell r="M881">
            <v>45.3</v>
          </cell>
        </row>
        <row r="882">
          <cell r="C882" t="str">
            <v>110kV 171 Đức Huệ - 174 Trảng Bàng 2</v>
          </cell>
          <cell r="D882">
            <v>171</v>
          </cell>
          <cell r="E882">
            <v>8.4</v>
          </cell>
          <cell r="F882">
            <v>-32.4</v>
          </cell>
          <cell r="G882">
            <v>-17.7</v>
          </cell>
          <cell r="H882">
            <v>-32.4</v>
          </cell>
          <cell r="I882">
            <v>8.4</v>
          </cell>
          <cell r="J882">
            <v>23.7</v>
          </cell>
          <cell r="K882">
            <v>-11.9</v>
          </cell>
          <cell r="L882">
            <v>26.6</v>
          </cell>
          <cell r="M882">
            <v>13.2</v>
          </cell>
        </row>
        <row r="883">
          <cell r="C883" t="str">
            <v>110kV 172 Đức Huệ - 178 Đức Hòa 2</v>
          </cell>
          <cell r="D883">
            <v>172</v>
          </cell>
          <cell r="E883">
            <v>-34.799999999999997</v>
          </cell>
          <cell r="F883">
            <v>-54.1</v>
          </cell>
          <cell r="G883">
            <v>-51.2</v>
          </cell>
          <cell r="H883">
            <v>-40.1</v>
          </cell>
          <cell r="I883">
            <v>-34.799999999999997</v>
          </cell>
          <cell r="J883">
            <v>-47.8</v>
          </cell>
          <cell r="K883">
            <v>-41</v>
          </cell>
          <cell r="L883">
            <v>-50.1</v>
          </cell>
          <cell r="M883">
            <v>-54.1</v>
          </cell>
        </row>
        <row r="884">
          <cell r="C884" t="str">
            <v xml:space="preserve">110 kV 173 Đức Huệ - 131 NMĐ MT Europlast </v>
          </cell>
          <cell r="D884">
            <v>173</v>
          </cell>
          <cell r="E884">
            <v>-12.3</v>
          </cell>
          <cell r="F884">
            <v>-34.799999999999997</v>
          </cell>
          <cell r="G884">
            <v>-34.799999999999997</v>
          </cell>
          <cell r="H884">
            <v>-33.4</v>
          </cell>
          <cell r="I884">
            <v>-12.3</v>
          </cell>
          <cell r="J884">
            <v>-34.6</v>
          </cell>
          <cell r="K884">
            <v>-29.6</v>
          </cell>
          <cell r="L884">
            <v>-22.8</v>
          </cell>
          <cell r="M884">
            <v>-23</v>
          </cell>
        </row>
        <row r="885">
          <cell r="C885" t="str">
            <v>110kV 175 Đức Huệ - 171 NMĐ MT TTC Đức Huệ 1</v>
          </cell>
          <cell r="D885">
            <v>175</v>
          </cell>
          <cell r="E885">
            <v>-13</v>
          </cell>
          <cell r="F885">
            <v>-39.4</v>
          </cell>
          <cell r="G885">
            <v>-38.700000000000003</v>
          </cell>
          <cell r="H885">
            <v>-36.700000000000003</v>
          </cell>
          <cell r="I885">
            <v>-13</v>
          </cell>
          <cell r="J885">
            <v>-33.700000000000003</v>
          </cell>
          <cell r="K885">
            <v>-39.4</v>
          </cell>
          <cell r="L885">
            <v>-22.5</v>
          </cell>
          <cell r="M885">
            <v>-26.8</v>
          </cell>
        </row>
        <row r="886">
          <cell r="C886" t="str">
            <v>Đức Huệ MBA T1 (phía 22kV)</v>
          </cell>
          <cell r="D886">
            <v>431</v>
          </cell>
          <cell r="E886">
            <v>-34.200000000000003</v>
          </cell>
          <cell r="F886">
            <v>-49.9</v>
          </cell>
          <cell r="G886">
            <v>-49.9</v>
          </cell>
          <cell r="H886">
            <v>-46.7</v>
          </cell>
          <cell r="I886">
            <v>-34.200000000000003</v>
          </cell>
          <cell r="J886">
            <v>-47.7</v>
          </cell>
          <cell r="K886">
            <v>-45</v>
          </cell>
          <cell r="L886">
            <v>-45.2</v>
          </cell>
          <cell r="M886">
            <v>-45.6</v>
          </cell>
        </row>
        <row r="887">
          <cell r="C887" t="str">
            <v>Đức Lập MBA T1 (phía 110kV)</v>
          </cell>
          <cell r="D887">
            <v>131</v>
          </cell>
          <cell r="E887">
            <v>16.3</v>
          </cell>
          <cell r="F887">
            <v>35.6</v>
          </cell>
          <cell r="G887">
            <v>23.3</v>
          </cell>
          <cell r="H887">
            <v>20</v>
          </cell>
          <cell r="I887">
            <v>20.5</v>
          </cell>
          <cell r="J887">
            <v>25.1</v>
          </cell>
          <cell r="K887">
            <v>35.6</v>
          </cell>
          <cell r="L887">
            <v>16.3</v>
          </cell>
          <cell r="M887">
            <v>20.100000000000001</v>
          </cell>
        </row>
        <row r="888">
          <cell r="C888" t="str">
            <v>Đức Lập MBA T2 (phía 110kV)</v>
          </cell>
          <cell r="D888">
            <v>132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</row>
        <row r="889">
          <cell r="C889" t="str">
            <v>110kV 171 Đức Lập - 175 Đức Hòa 2</v>
          </cell>
          <cell r="D889">
            <v>171</v>
          </cell>
          <cell r="E889">
            <v>-55.7</v>
          </cell>
          <cell r="F889">
            <v>-139.1</v>
          </cell>
          <cell r="G889">
            <v>-78.2</v>
          </cell>
          <cell r="H889">
            <v>-126</v>
          </cell>
          <cell r="I889">
            <v>-64.7</v>
          </cell>
          <cell r="J889">
            <v>-82.4</v>
          </cell>
          <cell r="K889">
            <v>-139.1</v>
          </cell>
          <cell r="L889">
            <v>-89.1</v>
          </cell>
          <cell r="M889">
            <v>-55.7</v>
          </cell>
        </row>
        <row r="890">
          <cell r="C890" t="str">
            <v>110kV 172 Đức Lập - 171 Đức Hòa</v>
          </cell>
          <cell r="D890">
            <v>172</v>
          </cell>
          <cell r="E890">
            <v>35.4</v>
          </cell>
          <cell r="F890">
            <v>106.7</v>
          </cell>
          <cell r="G890">
            <v>54.1</v>
          </cell>
          <cell r="H890">
            <v>106.7</v>
          </cell>
          <cell r="I890">
            <v>49</v>
          </cell>
          <cell r="J890">
            <v>56.3</v>
          </cell>
          <cell r="K890">
            <v>102.5</v>
          </cell>
          <cell r="L890">
            <v>72.099999999999994</v>
          </cell>
          <cell r="M890">
            <v>35.4</v>
          </cell>
        </row>
        <row r="891">
          <cell r="C891" t="str">
            <v>Đức Lập MBA T1 (phía 22kV)</v>
          </cell>
          <cell r="D891">
            <v>431</v>
          </cell>
          <cell r="E891">
            <v>-16.5</v>
          </cell>
          <cell r="F891">
            <v>-35.700000000000003</v>
          </cell>
          <cell r="G891">
            <v>-23.3</v>
          </cell>
          <cell r="H891">
            <v>-20</v>
          </cell>
          <cell r="I891">
            <v>-20.399999999999999</v>
          </cell>
          <cell r="J891">
            <v>-25.2</v>
          </cell>
          <cell r="K891">
            <v>-35.700000000000003</v>
          </cell>
          <cell r="L891">
            <v>-16.5</v>
          </cell>
          <cell r="M891">
            <v>-20.100000000000001</v>
          </cell>
        </row>
        <row r="892">
          <cell r="C892" t="str">
            <v>Đức Lập MBA T2 (phía 22kV)</v>
          </cell>
          <cell r="D892">
            <v>432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</row>
        <row r="893">
          <cell r="C893" t="str">
            <v>Đức Linh MBA T1 (phía 110kV)</v>
          </cell>
          <cell r="D893">
            <v>131</v>
          </cell>
          <cell r="E893">
            <v>15.5</v>
          </cell>
          <cell r="F893">
            <v>20.9</v>
          </cell>
          <cell r="G893">
            <v>20.9</v>
          </cell>
          <cell r="H893">
            <v>19.7</v>
          </cell>
          <cell r="I893">
            <v>18.100000000000001</v>
          </cell>
          <cell r="J893">
            <v>19.899999999999999</v>
          </cell>
          <cell r="K893">
            <v>17.899999999999999</v>
          </cell>
          <cell r="L893">
            <v>17.3</v>
          </cell>
          <cell r="M893">
            <v>15.5</v>
          </cell>
        </row>
        <row r="894">
          <cell r="C894" t="str">
            <v>Đức Linh MBA T2 (phía 110kV)</v>
          </cell>
          <cell r="D894">
            <v>132</v>
          </cell>
          <cell r="E894">
            <v>14.2</v>
          </cell>
          <cell r="F894">
            <v>36.299999999999997</v>
          </cell>
          <cell r="G894">
            <v>16.3</v>
          </cell>
          <cell r="H894">
            <v>16.2</v>
          </cell>
          <cell r="I894">
            <v>14.2</v>
          </cell>
          <cell r="J894">
            <v>36.299999999999997</v>
          </cell>
          <cell r="K894">
            <v>14.9</v>
          </cell>
          <cell r="L894">
            <v>14.6</v>
          </cell>
          <cell r="M894">
            <v>33.700000000000003</v>
          </cell>
        </row>
        <row r="895">
          <cell r="C895" t="str">
            <v>110kV 171 Đức Linh - 172 NMĐ MT Đa Mi</v>
          </cell>
          <cell r="D895">
            <v>171</v>
          </cell>
          <cell r="E895">
            <v>-29.3</v>
          </cell>
          <cell r="F895">
            <v>-36.9</v>
          </cell>
          <cell r="G895">
            <v>-36.9</v>
          </cell>
          <cell r="H895">
            <v>-35.9</v>
          </cell>
          <cell r="I895">
            <v>-32.299999999999997</v>
          </cell>
          <cell r="J895">
            <v>-35.9</v>
          </cell>
          <cell r="K895">
            <v>-32.6</v>
          </cell>
          <cell r="L895">
            <v>-31.8</v>
          </cell>
          <cell r="M895">
            <v>-29.3</v>
          </cell>
        </row>
        <row r="896">
          <cell r="C896" t="str">
            <v>110kV 172 Đức Linh - 172 Xuân Trường</v>
          </cell>
          <cell r="D896">
            <v>172</v>
          </cell>
          <cell r="E896">
            <v>0</v>
          </cell>
          <cell r="F896">
            <v>-33.6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-33.6</v>
          </cell>
        </row>
        <row r="897">
          <cell r="C897" t="str">
            <v>Đức Linh MBA T1 (phía 22kV)</v>
          </cell>
          <cell r="D897">
            <v>431</v>
          </cell>
          <cell r="E897">
            <v>-15.6</v>
          </cell>
          <cell r="F897">
            <v>-20.9</v>
          </cell>
          <cell r="G897">
            <v>-20.9</v>
          </cell>
          <cell r="H897">
            <v>-19.8</v>
          </cell>
          <cell r="I897">
            <v>-18.2</v>
          </cell>
          <cell r="J897">
            <v>-20</v>
          </cell>
          <cell r="K897">
            <v>-18</v>
          </cell>
          <cell r="L897">
            <v>-17.399999999999999</v>
          </cell>
          <cell r="M897">
            <v>-15.6</v>
          </cell>
        </row>
        <row r="898">
          <cell r="C898" t="str">
            <v>Đức Linh MBA T2 (phía 22kV)</v>
          </cell>
          <cell r="D898">
            <v>432</v>
          </cell>
          <cell r="E898">
            <v>-14</v>
          </cell>
          <cell r="F898">
            <v>-35.799999999999997</v>
          </cell>
          <cell r="G898">
            <v>-16.2</v>
          </cell>
          <cell r="H898">
            <v>-16</v>
          </cell>
          <cell r="I898">
            <v>-14</v>
          </cell>
          <cell r="J898">
            <v>-35.799999999999997</v>
          </cell>
          <cell r="K898">
            <v>-14.8</v>
          </cell>
          <cell r="L898">
            <v>-14.5</v>
          </cell>
          <cell r="M898">
            <v>-33.4</v>
          </cell>
        </row>
        <row r="899">
          <cell r="C899" t="str">
            <v>Đức Trọng MBA T1 (phía 110kV)</v>
          </cell>
          <cell r="D899">
            <v>131</v>
          </cell>
          <cell r="E899">
            <v>20.2</v>
          </cell>
          <cell r="F899">
            <v>22.7</v>
          </cell>
          <cell r="G899">
            <v>22.1</v>
          </cell>
          <cell r="H899">
            <v>20.399999999999999</v>
          </cell>
          <cell r="I899">
            <v>22.2</v>
          </cell>
          <cell r="J899">
            <v>22.7</v>
          </cell>
          <cell r="K899">
            <v>21.7</v>
          </cell>
          <cell r="L899">
            <v>21.9</v>
          </cell>
          <cell r="M899">
            <v>20.2</v>
          </cell>
        </row>
        <row r="900">
          <cell r="C900" t="str">
            <v>Đức Trọng MBA T2 (phía 110kV)</v>
          </cell>
          <cell r="D900">
            <v>132</v>
          </cell>
          <cell r="E900">
            <v>8.1999999999999993</v>
          </cell>
          <cell r="F900">
            <v>10.6</v>
          </cell>
          <cell r="G900">
            <v>10.199999999999999</v>
          </cell>
          <cell r="H900">
            <v>10.6</v>
          </cell>
          <cell r="I900">
            <v>9.5</v>
          </cell>
          <cell r="J900">
            <v>9.3000000000000007</v>
          </cell>
          <cell r="K900">
            <v>8.8000000000000007</v>
          </cell>
          <cell r="L900">
            <v>8.9</v>
          </cell>
          <cell r="M900">
            <v>8.1999999999999993</v>
          </cell>
        </row>
        <row r="901">
          <cell r="C901" t="str">
            <v>110kV 171 Đức Trọng - 171 NMĐ Đa Dâng 2</v>
          </cell>
          <cell r="D901">
            <v>171</v>
          </cell>
          <cell r="E901">
            <v>21.2</v>
          </cell>
          <cell r="F901">
            <v>35.6</v>
          </cell>
          <cell r="G901">
            <v>28.4</v>
          </cell>
          <cell r="H901">
            <v>35.6</v>
          </cell>
          <cell r="I901">
            <v>-21.3</v>
          </cell>
          <cell r="J901">
            <v>31.8</v>
          </cell>
          <cell r="K901">
            <v>21.2</v>
          </cell>
          <cell r="L901">
            <v>-29</v>
          </cell>
          <cell r="M901">
            <v>-31.6</v>
          </cell>
        </row>
        <row r="902">
          <cell r="C902" t="str">
            <v>110kV 172 Đức Trọng - 173 Đức Trọng 2</v>
          </cell>
          <cell r="D902">
            <v>172</v>
          </cell>
          <cell r="E902">
            <v>14.8</v>
          </cell>
          <cell r="F902">
            <v>38.1</v>
          </cell>
          <cell r="G902">
            <v>18.5</v>
          </cell>
          <cell r="H902">
            <v>-23.1</v>
          </cell>
          <cell r="I902">
            <v>-23.4</v>
          </cell>
          <cell r="J902">
            <v>-21.2</v>
          </cell>
          <cell r="K902">
            <v>38.1</v>
          </cell>
          <cell r="L902">
            <v>14.8</v>
          </cell>
          <cell r="M902">
            <v>15.9</v>
          </cell>
        </row>
        <row r="903">
          <cell r="C903" t="str">
            <v>110kV 173 Đức Trọng - 171 Đơn Dương</v>
          </cell>
          <cell r="D903">
            <v>173</v>
          </cell>
          <cell r="E903">
            <v>-38</v>
          </cell>
          <cell r="F903">
            <v>-54.9</v>
          </cell>
          <cell r="G903">
            <v>-44.4</v>
          </cell>
          <cell r="H903">
            <v>-42.9</v>
          </cell>
          <cell r="I903">
            <v>-40.4</v>
          </cell>
          <cell r="J903">
            <v>-39.4</v>
          </cell>
          <cell r="K903">
            <v>-54.9</v>
          </cell>
          <cell r="L903">
            <v>-40</v>
          </cell>
          <cell r="M903">
            <v>-38</v>
          </cell>
        </row>
        <row r="904">
          <cell r="C904" t="str">
            <v>Đức Trọng MBA T1 (phía 22kV)</v>
          </cell>
          <cell r="D904">
            <v>431</v>
          </cell>
          <cell r="E904">
            <v>-20.100000000000001</v>
          </cell>
          <cell r="F904">
            <v>-22.7</v>
          </cell>
          <cell r="G904">
            <v>-22.1</v>
          </cell>
          <cell r="H904">
            <v>-20.399999999999999</v>
          </cell>
          <cell r="I904">
            <v>-22.2</v>
          </cell>
          <cell r="J904">
            <v>-22.7</v>
          </cell>
          <cell r="K904">
            <v>-21.7</v>
          </cell>
          <cell r="L904">
            <v>-21.8</v>
          </cell>
          <cell r="M904">
            <v>-20.100000000000001</v>
          </cell>
        </row>
        <row r="905">
          <cell r="C905" t="str">
            <v>Đức Trọng MBA T2 (phía 22kV)</v>
          </cell>
          <cell r="D905">
            <v>432</v>
          </cell>
          <cell r="E905">
            <v>-8.1999999999999993</v>
          </cell>
          <cell r="F905">
            <v>-10.5</v>
          </cell>
          <cell r="G905">
            <v>-10.199999999999999</v>
          </cell>
          <cell r="H905">
            <v>-10.5</v>
          </cell>
          <cell r="I905">
            <v>-9.5</v>
          </cell>
          <cell r="J905">
            <v>-9.1999999999999993</v>
          </cell>
          <cell r="K905">
            <v>-8.6999999999999993</v>
          </cell>
          <cell r="L905">
            <v>-8.8000000000000007</v>
          </cell>
          <cell r="M905">
            <v>-8.1999999999999993</v>
          </cell>
        </row>
        <row r="906">
          <cell r="C906" t="str">
            <v>Đức Trọng 2 MBA AT2 (phía 110kV)</v>
          </cell>
          <cell r="E906">
            <v>0</v>
          </cell>
          <cell r="F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</row>
        <row r="907">
          <cell r="C907" t="str">
            <v>Đức Trọng 2 MBA AT1 (phía 220kV)</v>
          </cell>
          <cell r="F907">
            <v>-35.1</v>
          </cell>
          <cell r="H907">
            <v>-34.1</v>
          </cell>
          <cell r="I907">
            <v>-26.4</v>
          </cell>
          <cell r="J907">
            <v>-35.1</v>
          </cell>
          <cell r="K907">
            <v>27.5</v>
          </cell>
          <cell r="L907">
            <v>-21.1</v>
          </cell>
          <cell r="M907">
            <v>-25</v>
          </cell>
        </row>
        <row r="908">
          <cell r="C908" t="str">
            <v>Đức Trọng 2 MBA AT1 (phía 110kV)</v>
          </cell>
          <cell r="F908">
            <v>35.1</v>
          </cell>
          <cell r="H908">
            <v>34.299999999999997</v>
          </cell>
          <cell r="I908">
            <v>26.5</v>
          </cell>
          <cell r="J908">
            <v>35.1</v>
          </cell>
          <cell r="K908">
            <v>-27.6</v>
          </cell>
          <cell r="L908">
            <v>21.2</v>
          </cell>
          <cell r="M908">
            <v>25.2</v>
          </cell>
        </row>
        <row r="909">
          <cell r="C909" t="str">
            <v>220kV 271 Đức Trọng 2 - 271 NMĐ Đa Nhim</v>
          </cell>
          <cell r="F909">
            <v>-271.2</v>
          </cell>
          <cell r="H909">
            <v>-265.8</v>
          </cell>
          <cell r="I909">
            <v>-271.2</v>
          </cell>
          <cell r="J909">
            <v>-263.3</v>
          </cell>
          <cell r="K909">
            <v>-220.3</v>
          </cell>
          <cell r="L909">
            <v>-257.39999999999998</v>
          </cell>
          <cell r="M909">
            <v>-245.3</v>
          </cell>
        </row>
        <row r="910">
          <cell r="C910" t="str">
            <v>220kV 272 Đức Trọng 2 - 276 Di Linh</v>
          </cell>
          <cell r="F910">
            <v>295.60000000000002</v>
          </cell>
          <cell r="H910">
            <v>290.3</v>
          </cell>
          <cell r="I910">
            <v>295.60000000000002</v>
          </cell>
          <cell r="J910">
            <v>281.39999999999998</v>
          </cell>
          <cell r="K910">
            <v>234.1</v>
          </cell>
          <cell r="L910">
            <v>265.60000000000002</v>
          </cell>
          <cell r="M910">
            <v>250.7</v>
          </cell>
        </row>
        <row r="911">
          <cell r="C911" t="str">
            <v>110kV 173 Đức Trọng 2 - 172 Đức Trọng</v>
          </cell>
          <cell r="F911">
            <v>-37.700000000000003</v>
          </cell>
          <cell r="H911">
            <v>23</v>
          </cell>
          <cell r="I911">
            <v>23.2</v>
          </cell>
          <cell r="J911">
            <v>21</v>
          </cell>
          <cell r="K911">
            <v>-37.700000000000003</v>
          </cell>
          <cell r="L911">
            <v>-14.7</v>
          </cell>
          <cell r="M911">
            <v>-15.7</v>
          </cell>
        </row>
        <row r="912">
          <cell r="C912" t="str">
            <v>110kV 174 Đức Trọng 2 - 172 Đà Lạt 1</v>
          </cell>
          <cell r="F912">
            <v>54.2</v>
          </cell>
          <cell r="H912">
            <v>-22.9</v>
          </cell>
          <cell r="I912">
            <v>-23.2</v>
          </cell>
          <cell r="J912">
            <v>-21</v>
          </cell>
          <cell r="K912">
            <v>54.2</v>
          </cell>
          <cell r="L912">
            <v>14.7</v>
          </cell>
          <cell r="M912">
            <v>15.7</v>
          </cell>
        </row>
        <row r="913">
          <cell r="C913" t="str">
            <v>110kV 176 Đức Trọng 2 - 131 Lâm Hà</v>
          </cell>
          <cell r="F913">
            <v>-35</v>
          </cell>
          <cell r="H913">
            <v>-34.299999999999997</v>
          </cell>
          <cell r="I913">
            <v>-26.3</v>
          </cell>
          <cell r="J913">
            <v>-35</v>
          </cell>
          <cell r="K913">
            <v>-14.6</v>
          </cell>
          <cell r="L913">
            <v>-21.1</v>
          </cell>
          <cell r="M913">
            <v>-25.1</v>
          </cell>
        </row>
        <row r="914">
          <cell r="C914" t="str">
            <v>Đức Trọng 2 MBA AT2 (phía 220kV)</v>
          </cell>
          <cell r="E914">
            <v>0</v>
          </cell>
          <cell r="F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</row>
        <row r="915">
          <cell r="C915" t="str">
            <v>Duyên Hải MBA AT2 (phía 500kV)</v>
          </cell>
          <cell r="F915">
            <v>237</v>
          </cell>
          <cell r="H915">
            <v>-74.400000000000006</v>
          </cell>
          <cell r="I915">
            <v>151.80000000000001</v>
          </cell>
          <cell r="J915">
            <v>237</v>
          </cell>
          <cell r="K915">
            <v>139.30000000000001</v>
          </cell>
          <cell r="L915">
            <v>128.4</v>
          </cell>
          <cell r="M915">
            <v>199.9</v>
          </cell>
        </row>
        <row r="916">
          <cell r="C916" t="str">
            <v>Duyên Hải MBA AT2 (phía 220kV)</v>
          </cell>
          <cell r="F916">
            <v>-239.4</v>
          </cell>
          <cell r="H916">
            <v>-74.7</v>
          </cell>
          <cell r="I916">
            <v>-155.4</v>
          </cell>
          <cell r="J916">
            <v>-239.4</v>
          </cell>
          <cell r="K916">
            <v>-142.9</v>
          </cell>
          <cell r="L916">
            <v>-132.1</v>
          </cell>
          <cell r="M916">
            <v>-202.8</v>
          </cell>
        </row>
        <row r="917">
          <cell r="C917" t="str">
            <v>220kV 271 Duyên Hải - 271 Mỏ Cày 2</v>
          </cell>
          <cell r="F917">
            <v>297</v>
          </cell>
          <cell r="H917">
            <v>266</v>
          </cell>
          <cell r="I917">
            <v>270.60000000000002</v>
          </cell>
          <cell r="J917">
            <v>296.7</v>
          </cell>
          <cell r="K917">
            <v>297</v>
          </cell>
          <cell r="L917">
            <v>258.2</v>
          </cell>
          <cell r="M917">
            <v>272</v>
          </cell>
        </row>
        <row r="918">
          <cell r="C918" t="str">
            <v>220kV 272 Duyên Hải - 272 Mỏ Cày 2</v>
          </cell>
          <cell r="F918">
            <v>295.7</v>
          </cell>
          <cell r="H918">
            <v>264.89999999999998</v>
          </cell>
          <cell r="I918">
            <v>270.7</v>
          </cell>
          <cell r="J918">
            <v>295.7</v>
          </cell>
          <cell r="K918">
            <v>295</v>
          </cell>
          <cell r="L918">
            <v>258.5</v>
          </cell>
          <cell r="M918">
            <v>270.10000000000002</v>
          </cell>
        </row>
        <row r="919">
          <cell r="C919" t="str">
            <v>220kV 273 Duyên Hải - 275 Trà Vinh 2</v>
          </cell>
          <cell r="F919">
            <v>434.2</v>
          </cell>
          <cell r="H919">
            <v>321.60000000000002</v>
          </cell>
          <cell r="I919">
            <v>301</v>
          </cell>
          <cell r="J919">
            <v>363.9</v>
          </cell>
          <cell r="K919">
            <v>332.1</v>
          </cell>
          <cell r="L919">
            <v>434.2</v>
          </cell>
          <cell r="M919">
            <v>348</v>
          </cell>
        </row>
        <row r="920">
          <cell r="C920" t="str">
            <v>220kV 283 Duyên Hải - NMĐ Duyên Hải 1 MBA T2 (phía 220kV)</v>
          </cell>
          <cell r="F920">
            <v>-579.6</v>
          </cell>
          <cell r="H920">
            <v>-520.4</v>
          </cell>
          <cell r="I920">
            <v>-511.9</v>
          </cell>
          <cell r="J920">
            <v>-579.6</v>
          </cell>
          <cell r="K920">
            <v>-573.5</v>
          </cell>
          <cell r="L920">
            <v>-575</v>
          </cell>
          <cell r="M920">
            <v>-566.79999999999995</v>
          </cell>
        </row>
        <row r="921">
          <cell r="C921" t="str">
            <v>220kV 274 Duyên Hải - 276 Trà Vinh 2</v>
          </cell>
          <cell r="F921">
            <v>401.6</v>
          </cell>
          <cell r="H921">
            <v>320.5</v>
          </cell>
          <cell r="I921">
            <v>300.89999999999998</v>
          </cell>
          <cell r="J921">
            <v>362.7</v>
          </cell>
          <cell r="K921">
            <v>332.1</v>
          </cell>
          <cell r="L921">
            <v>401.6</v>
          </cell>
          <cell r="M921">
            <v>348.2</v>
          </cell>
        </row>
        <row r="922">
          <cell r="C922" t="str">
            <v>220kV 284 Duyên Hải - NMĐ Duyên Hải 1 MBA TD21 (phía 220kV)</v>
          </cell>
          <cell r="E922">
            <v>0</v>
          </cell>
          <cell r="F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</row>
        <row r="923">
          <cell r="C923" t="str">
            <v>220kV 285 Duyên Hải - NMĐ Duyên Hải 1 MBA T1 (phía 220kV)</v>
          </cell>
          <cell r="F923">
            <v>-570.20000000000005</v>
          </cell>
          <cell r="H923">
            <v>-570.20000000000005</v>
          </cell>
          <cell r="I923">
            <v>-507.7</v>
          </cell>
          <cell r="J923">
            <v>-514</v>
          </cell>
          <cell r="K923">
            <v>-536.9</v>
          </cell>
          <cell r="L923">
            <v>-536</v>
          </cell>
          <cell r="M923">
            <v>-568.4</v>
          </cell>
        </row>
        <row r="924">
          <cell r="C924" t="str">
            <v>220kV 275 Duyên Hải - 273 NMĐ MT Trung Nam Trà Vinh</v>
          </cell>
          <cell r="F924">
            <v>-121.9</v>
          </cell>
          <cell r="H924">
            <v>-121.9</v>
          </cell>
          <cell r="I924">
            <v>-88.8</v>
          </cell>
          <cell r="J924">
            <v>-99.2</v>
          </cell>
          <cell r="K924">
            <v>-99.4</v>
          </cell>
          <cell r="L924">
            <v>-76.2</v>
          </cell>
          <cell r="M924">
            <v>-103.6</v>
          </cell>
        </row>
        <row r="925">
          <cell r="C925" t="str">
            <v>Duyên Trà MBA T1 (phía 110kV)</v>
          </cell>
          <cell r="D925">
            <v>131</v>
          </cell>
          <cell r="E925">
            <v>22.8</v>
          </cell>
          <cell r="F925">
            <v>26.8</v>
          </cell>
          <cell r="G925">
            <v>26.8</v>
          </cell>
          <cell r="H925">
            <v>25.6</v>
          </cell>
          <cell r="I925">
            <v>25.9</v>
          </cell>
          <cell r="J925">
            <v>24.6</v>
          </cell>
          <cell r="K925">
            <v>23</v>
          </cell>
          <cell r="L925">
            <v>22.9</v>
          </cell>
          <cell r="M925">
            <v>22.8</v>
          </cell>
        </row>
        <row r="926">
          <cell r="C926" t="str">
            <v>Duyên Trà MBA T2 (phía 110kV)</v>
          </cell>
          <cell r="D926">
            <v>132</v>
          </cell>
          <cell r="E926">
            <v>21.7</v>
          </cell>
          <cell r="F926">
            <v>28.7</v>
          </cell>
          <cell r="G926">
            <v>27.9</v>
          </cell>
          <cell r="H926">
            <v>28.7</v>
          </cell>
          <cell r="I926">
            <v>21.7</v>
          </cell>
          <cell r="J926">
            <v>25.7</v>
          </cell>
          <cell r="K926">
            <v>24</v>
          </cell>
          <cell r="L926">
            <v>25.1</v>
          </cell>
          <cell r="M926">
            <v>24.1</v>
          </cell>
        </row>
        <row r="927">
          <cell r="C927" t="str">
            <v>Duyên Trà MBA T1 (phía 22kV)</v>
          </cell>
          <cell r="D927">
            <v>431</v>
          </cell>
          <cell r="E927">
            <v>21.2</v>
          </cell>
          <cell r="F927">
            <v>21.5</v>
          </cell>
          <cell r="G927">
            <v>-21.4</v>
          </cell>
          <cell r="H927">
            <v>-21.3</v>
          </cell>
          <cell r="I927">
            <v>21.5</v>
          </cell>
          <cell r="J927">
            <v>21.5</v>
          </cell>
          <cell r="K927">
            <v>21.5</v>
          </cell>
          <cell r="L927">
            <v>21.5</v>
          </cell>
          <cell r="M927">
            <v>21.2</v>
          </cell>
        </row>
        <row r="928">
          <cell r="C928" t="str">
            <v>Duyên Trà MBA T2 (phía 22kV)</v>
          </cell>
          <cell r="D928">
            <v>432</v>
          </cell>
          <cell r="E928">
            <v>-21.7</v>
          </cell>
          <cell r="F928">
            <v>-28.6</v>
          </cell>
          <cell r="G928">
            <v>-27.8</v>
          </cell>
          <cell r="H928">
            <v>-28.6</v>
          </cell>
          <cell r="I928">
            <v>-21.7</v>
          </cell>
          <cell r="J928">
            <v>-25.7</v>
          </cell>
          <cell r="K928">
            <v>-24</v>
          </cell>
          <cell r="L928">
            <v>-25.2</v>
          </cell>
          <cell r="M928">
            <v>-24.1</v>
          </cell>
        </row>
        <row r="929">
          <cell r="C929" t="str">
            <v>Fuco MBA T1 (phía 110kV)</v>
          </cell>
          <cell r="D929">
            <v>131</v>
          </cell>
          <cell r="E929">
            <v>71</v>
          </cell>
          <cell r="F929">
            <v>95.9</v>
          </cell>
          <cell r="G929">
            <v>93</v>
          </cell>
          <cell r="H929">
            <v>89.4</v>
          </cell>
          <cell r="I929">
            <v>91.7</v>
          </cell>
          <cell r="J929">
            <v>71</v>
          </cell>
          <cell r="K929">
            <v>95.9</v>
          </cell>
          <cell r="L929">
            <v>94.3</v>
          </cell>
          <cell r="M929">
            <v>83.2</v>
          </cell>
        </row>
        <row r="930">
          <cell r="C930" t="str">
            <v>Fuco MBA T2 (phía 110kV)</v>
          </cell>
          <cell r="D930">
            <v>132</v>
          </cell>
          <cell r="E930">
            <v>15.9</v>
          </cell>
          <cell r="F930">
            <v>18.7</v>
          </cell>
          <cell r="G930">
            <v>18.7</v>
          </cell>
          <cell r="H930">
            <v>17.3</v>
          </cell>
          <cell r="I930">
            <v>17.3</v>
          </cell>
          <cell r="J930">
            <v>17.2</v>
          </cell>
          <cell r="K930">
            <v>16.899999999999999</v>
          </cell>
          <cell r="L930">
            <v>15.9</v>
          </cell>
          <cell r="M930">
            <v>16.7</v>
          </cell>
        </row>
        <row r="931">
          <cell r="C931" t="str">
            <v>Fuco MBA T3 (phía 110kV)</v>
          </cell>
          <cell r="D931">
            <v>133</v>
          </cell>
          <cell r="E931">
            <v>6.7</v>
          </cell>
          <cell r="F931">
            <v>11.3</v>
          </cell>
          <cell r="G931">
            <v>11.2</v>
          </cell>
          <cell r="H931">
            <v>11</v>
          </cell>
          <cell r="I931">
            <v>11.1</v>
          </cell>
          <cell r="J931">
            <v>11.3</v>
          </cell>
          <cell r="K931">
            <v>7.6</v>
          </cell>
          <cell r="L931">
            <v>11.1</v>
          </cell>
          <cell r="M931">
            <v>6.7</v>
          </cell>
        </row>
        <row r="932">
          <cell r="C932" t="str">
            <v>110kV 171 Fuco - 171 Tân Thành</v>
          </cell>
          <cell r="D932">
            <v>171</v>
          </cell>
          <cell r="E932">
            <v>-84.7</v>
          </cell>
          <cell r="F932">
            <v>-102.7</v>
          </cell>
          <cell r="G932">
            <v>-98.7</v>
          </cell>
          <cell r="H932">
            <v>-93.5</v>
          </cell>
          <cell r="I932">
            <v>-102.7</v>
          </cell>
          <cell r="J932">
            <v>-84.7</v>
          </cell>
          <cell r="K932">
            <v>-93.4</v>
          </cell>
          <cell r="L932">
            <v>-92.1</v>
          </cell>
          <cell r="M932">
            <v>-90.2</v>
          </cell>
        </row>
        <row r="933">
          <cell r="C933" t="str">
            <v>110kV 173 Fuco - 172 Posco</v>
          </cell>
          <cell r="D933">
            <v>173</v>
          </cell>
          <cell r="E933">
            <v>-18</v>
          </cell>
          <cell r="F933">
            <v>-23</v>
          </cell>
          <cell r="G933">
            <v>-21.1</v>
          </cell>
          <cell r="H933">
            <v>-19.899999999999999</v>
          </cell>
          <cell r="I933">
            <v>-19.100000000000001</v>
          </cell>
          <cell r="J933">
            <v>-23</v>
          </cell>
          <cell r="K933">
            <v>-21.8</v>
          </cell>
          <cell r="L933">
            <v>-22.9</v>
          </cell>
          <cell r="M933">
            <v>-18</v>
          </cell>
        </row>
        <row r="934">
          <cell r="C934" t="str">
            <v>Fuco MBA T1 (phía 35kV)</v>
          </cell>
          <cell r="D934">
            <v>331</v>
          </cell>
          <cell r="E934">
            <v>-78.7</v>
          </cell>
          <cell r="F934">
            <v>-96.1</v>
          </cell>
          <cell r="G934">
            <v>-96.1</v>
          </cell>
          <cell r="H934">
            <v>-92.2</v>
          </cell>
          <cell r="I934">
            <v>-91.1</v>
          </cell>
          <cell r="J934">
            <v>-78.7</v>
          </cell>
          <cell r="K934">
            <v>-95.1</v>
          </cell>
          <cell r="L934">
            <v>-95.7</v>
          </cell>
          <cell r="M934">
            <v>-88.1</v>
          </cell>
        </row>
        <row r="935">
          <cell r="C935" t="str">
            <v>Fuco MBA T2 (phía 22kV)</v>
          </cell>
          <cell r="D935">
            <v>432</v>
          </cell>
          <cell r="E935">
            <v>-16</v>
          </cell>
          <cell r="F935">
            <v>-18.8</v>
          </cell>
          <cell r="G935">
            <v>-18.8</v>
          </cell>
          <cell r="H935">
            <v>-17.100000000000001</v>
          </cell>
          <cell r="I935">
            <v>-17.2</v>
          </cell>
          <cell r="J935">
            <v>-17.3</v>
          </cell>
          <cell r="K935">
            <v>-17</v>
          </cell>
          <cell r="L935">
            <v>-16</v>
          </cell>
          <cell r="M935">
            <v>-17.100000000000001</v>
          </cell>
        </row>
        <row r="936">
          <cell r="C936" t="str">
            <v>Fuco MBA T3 (phía 22kV)</v>
          </cell>
          <cell r="D936">
            <v>433</v>
          </cell>
          <cell r="E936">
            <v>-7.2</v>
          </cell>
          <cell r="F936">
            <v>-11.3</v>
          </cell>
          <cell r="G936">
            <v>-11.3</v>
          </cell>
          <cell r="H936">
            <v>-11</v>
          </cell>
          <cell r="I936">
            <v>-11.2</v>
          </cell>
          <cell r="J936">
            <v>-11.3</v>
          </cell>
          <cell r="K936">
            <v>-7.5</v>
          </cell>
          <cell r="L936">
            <v>-10.9</v>
          </cell>
          <cell r="M936">
            <v>-7.2</v>
          </cell>
        </row>
        <row r="937">
          <cell r="C937" t="str">
            <v>110kV 171 Gia Lộc - 171 Phước Đông</v>
          </cell>
          <cell r="F937">
            <v>-86.3</v>
          </cell>
          <cell r="H937">
            <v>-83.8</v>
          </cell>
          <cell r="I937">
            <v>-83</v>
          </cell>
          <cell r="J937">
            <v>-84.1</v>
          </cell>
          <cell r="K937">
            <v>-85.8</v>
          </cell>
          <cell r="L937">
            <v>-86.3</v>
          </cell>
          <cell r="M937">
            <v>-85.5</v>
          </cell>
        </row>
        <row r="938">
          <cell r="C938" t="str">
            <v>110kV 172 Gia Lộc - 172 Phước Đức</v>
          </cell>
          <cell r="E938">
            <v>0</v>
          </cell>
          <cell r="F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</row>
        <row r="939">
          <cell r="C939" t="str">
            <v>Gia Lộc MBA T1 (phía 110kV)</v>
          </cell>
          <cell r="F939">
            <v>47.9</v>
          </cell>
          <cell r="H939">
            <v>47.6</v>
          </cell>
          <cell r="I939">
            <v>47.1</v>
          </cell>
          <cell r="J939">
            <v>46.4</v>
          </cell>
          <cell r="K939">
            <v>47.6</v>
          </cell>
          <cell r="L939">
            <v>47.9</v>
          </cell>
          <cell r="M939">
            <v>46.4</v>
          </cell>
        </row>
        <row r="940">
          <cell r="C940" t="str">
            <v>Gia Lộc MBA T1 (phía 22kV)</v>
          </cell>
          <cell r="F940">
            <v>-48</v>
          </cell>
          <cell r="H940">
            <v>-47.5</v>
          </cell>
          <cell r="I940">
            <v>-47</v>
          </cell>
          <cell r="J940">
            <v>-46.3</v>
          </cell>
          <cell r="K940">
            <v>-47.6</v>
          </cell>
          <cell r="L940">
            <v>-48</v>
          </cell>
          <cell r="M940">
            <v>-46.4</v>
          </cell>
        </row>
        <row r="941">
          <cell r="C941" t="str">
            <v>Gia Lộc MBA T2 (phía 110kV)</v>
          </cell>
          <cell r="F941">
            <v>39</v>
          </cell>
          <cell r="H941">
            <v>37.6</v>
          </cell>
          <cell r="I941">
            <v>36.299999999999997</v>
          </cell>
          <cell r="J941">
            <v>39</v>
          </cell>
          <cell r="K941">
            <v>38.6</v>
          </cell>
          <cell r="L941">
            <v>38.700000000000003</v>
          </cell>
          <cell r="M941">
            <v>39</v>
          </cell>
        </row>
        <row r="942">
          <cell r="C942" t="str">
            <v>Gia Lộc MBA T2 (phía 22kV)</v>
          </cell>
          <cell r="F942">
            <v>-39.5</v>
          </cell>
          <cell r="H942">
            <v>-37.4</v>
          </cell>
          <cell r="I942">
            <v>-36.6</v>
          </cell>
          <cell r="J942">
            <v>-38.700000000000003</v>
          </cell>
          <cell r="K942">
            <v>-38.6</v>
          </cell>
          <cell r="L942">
            <v>-38.6</v>
          </cell>
          <cell r="M942">
            <v>-39.5</v>
          </cell>
        </row>
        <row r="943">
          <cell r="C943" t="str">
            <v>Giá Rai MBA T1 (phía 110kV)</v>
          </cell>
          <cell r="D943">
            <v>131</v>
          </cell>
          <cell r="E943">
            <v>25.3</v>
          </cell>
          <cell r="F943">
            <v>27.9</v>
          </cell>
          <cell r="G943">
            <v>27.9</v>
          </cell>
          <cell r="H943">
            <v>27.1</v>
          </cell>
          <cell r="I943">
            <v>25.3</v>
          </cell>
          <cell r="J943">
            <v>27.9</v>
          </cell>
          <cell r="K943">
            <v>26.3</v>
          </cell>
          <cell r="L943">
            <v>27</v>
          </cell>
          <cell r="M943">
            <v>26.4</v>
          </cell>
        </row>
        <row r="944">
          <cell r="C944" t="str">
            <v>Giá Rai MBA T2 (phía 110kV)</v>
          </cell>
          <cell r="D944">
            <v>132</v>
          </cell>
          <cell r="E944">
            <v>25.3</v>
          </cell>
          <cell r="F944">
            <v>27.9</v>
          </cell>
          <cell r="G944">
            <v>27.9</v>
          </cell>
          <cell r="H944">
            <v>27.1</v>
          </cell>
          <cell r="I944">
            <v>25.3</v>
          </cell>
          <cell r="J944">
            <v>27.8</v>
          </cell>
          <cell r="K944">
            <v>26.3</v>
          </cell>
          <cell r="L944">
            <v>26.9</v>
          </cell>
          <cell r="M944">
            <v>26.4</v>
          </cell>
        </row>
        <row r="945">
          <cell r="C945" t="str">
            <v>110kV 171 Giá Rai - 171 Cà Mau</v>
          </cell>
          <cell r="D945">
            <v>171</v>
          </cell>
          <cell r="E945">
            <v>0</v>
          </cell>
          <cell r="F945">
            <v>0.1</v>
          </cell>
          <cell r="G945">
            <v>0.1</v>
          </cell>
          <cell r="H945">
            <v>-0.1</v>
          </cell>
          <cell r="I945">
            <v>0</v>
          </cell>
          <cell r="J945">
            <v>-0.1</v>
          </cell>
          <cell r="K945">
            <v>0.1</v>
          </cell>
          <cell r="L945">
            <v>0.1</v>
          </cell>
          <cell r="M945">
            <v>0.1</v>
          </cell>
        </row>
        <row r="946">
          <cell r="C946" t="str">
            <v>110kV 172 Giá Rai - 172 Bạc Liêu 2</v>
          </cell>
          <cell r="D946">
            <v>172</v>
          </cell>
          <cell r="E946">
            <v>-50.6</v>
          </cell>
          <cell r="F946">
            <v>-55.8</v>
          </cell>
          <cell r="G946">
            <v>-55.8</v>
          </cell>
          <cell r="H946">
            <v>-54.2</v>
          </cell>
          <cell r="I946">
            <v>-50.6</v>
          </cell>
          <cell r="J946">
            <v>-55.7</v>
          </cell>
          <cell r="K946">
            <v>-52.7</v>
          </cell>
          <cell r="L946">
            <v>-54</v>
          </cell>
          <cell r="M946">
            <v>-52.9</v>
          </cell>
        </row>
        <row r="947">
          <cell r="C947" t="str">
            <v>Giá Rai MBA T1 (phía 22kV)</v>
          </cell>
          <cell r="D947">
            <v>431</v>
          </cell>
          <cell r="E947">
            <v>-25.5</v>
          </cell>
          <cell r="F947">
            <v>-28</v>
          </cell>
          <cell r="G947">
            <v>-28</v>
          </cell>
          <cell r="H947">
            <v>-27.1</v>
          </cell>
          <cell r="I947">
            <v>-25.5</v>
          </cell>
          <cell r="J947">
            <v>-27.9</v>
          </cell>
          <cell r="K947">
            <v>-26.4</v>
          </cell>
          <cell r="L947">
            <v>-27</v>
          </cell>
          <cell r="M947">
            <v>-26.5</v>
          </cell>
        </row>
        <row r="948">
          <cell r="C948" t="str">
            <v>Giá Rai MBA T2 (phía 22kV)</v>
          </cell>
          <cell r="D948">
            <v>432</v>
          </cell>
          <cell r="E948">
            <v>-25.2</v>
          </cell>
          <cell r="F948">
            <v>-27.8</v>
          </cell>
          <cell r="G948">
            <v>-27.8</v>
          </cell>
          <cell r="H948">
            <v>-27</v>
          </cell>
          <cell r="I948">
            <v>-25.2</v>
          </cell>
          <cell r="J948">
            <v>-27.8</v>
          </cell>
          <cell r="K948">
            <v>-26.3</v>
          </cell>
          <cell r="L948">
            <v>-26.9</v>
          </cell>
          <cell r="M948">
            <v>-26.4</v>
          </cell>
        </row>
        <row r="949">
          <cell r="C949" t="str">
            <v>110kV 171 Giao Long - 176 Bến Tre 2</v>
          </cell>
          <cell r="F949">
            <v>-17.5</v>
          </cell>
          <cell r="H949">
            <v>-15.5</v>
          </cell>
          <cell r="I949">
            <v>-16.899999999999999</v>
          </cell>
          <cell r="J949">
            <v>-17.5</v>
          </cell>
          <cell r="K949">
            <v>-17.5</v>
          </cell>
          <cell r="L949">
            <v>-11.6</v>
          </cell>
          <cell r="M949">
            <v>-10.7</v>
          </cell>
        </row>
        <row r="950">
          <cell r="C950" t="str">
            <v>110kV 172 Giao Long - 177 Bến Tre 2</v>
          </cell>
          <cell r="F950">
            <v>-17.399999999999999</v>
          </cell>
          <cell r="H950">
            <v>-15.4</v>
          </cell>
          <cell r="I950">
            <v>-16.600000000000001</v>
          </cell>
          <cell r="J950">
            <v>-17.399999999999999</v>
          </cell>
          <cell r="K950">
            <v>-17.399999999999999</v>
          </cell>
          <cell r="L950">
            <v>-11.5</v>
          </cell>
          <cell r="M950">
            <v>-10.7</v>
          </cell>
        </row>
        <row r="951">
          <cell r="C951" t="str">
            <v>Giao Long MBA T1 (phía 110kV)</v>
          </cell>
          <cell r="F951">
            <v>27.1</v>
          </cell>
          <cell r="H951">
            <v>24.5</v>
          </cell>
          <cell r="I951">
            <v>26.1</v>
          </cell>
          <cell r="J951">
            <v>26.2</v>
          </cell>
          <cell r="K951">
            <v>27.1</v>
          </cell>
          <cell r="L951">
            <v>15.6</v>
          </cell>
          <cell r="M951">
            <v>14.7</v>
          </cell>
        </row>
        <row r="952">
          <cell r="C952" t="str">
            <v>Giao Long MBA T1 (phía 22kV)</v>
          </cell>
          <cell r="F952">
            <v>-27.1</v>
          </cell>
          <cell r="H952">
            <v>-24.6</v>
          </cell>
          <cell r="I952">
            <v>-26.1</v>
          </cell>
          <cell r="J952">
            <v>-26.2</v>
          </cell>
          <cell r="K952">
            <v>-27.1</v>
          </cell>
          <cell r="L952">
            <v>-15.7</v>
          </cell>
          <cell r="M952">
            <v>-14.8</v>
          </cell>
        </row>
        <row r="953">
          <cell r="C953" t="str">
            <v>Giao Long MBA T2 (phía 110kV)</v>
          </cell>
          <cell r="F953">
            <v>10.7</v>
          </cell>
          <cell r="H953">
            <v>10.7</v>
          </cell>
          <cell r="I953">
            <v>9.1999999999999993</v>
          </cell>
          <cell r="J953">
            <v>9.6999999999999993</v>
          </cell>
          <cell r="K953">
            <v>9.6999999999999993</v>
          </cell>
          <cell r="L953">
            <v>8.9</v>
          </cell>
          <cell r="M953">
            <v>9.9</v>
          </cell>
        </row>
        <row r="954">
          <cell r="C954" t="str">
            <v>Giao Long MBA T2 (phía 22kV)</v>
          </cell>
          <cell r="F954">
            <v>-10.6</v>
          </cell>
          <cell r="H954">
            <v>-10.6</v>
          </cell>
          <cell r="I954">
            <v>-9.1999999999999993</v>
          </cell>
          <cell r="J954">
            <v>-9.5</v>
          </cell>
          <cell r="K954">
            <v>-9.6</v>
          </cell>
          <cell r="L954">
            <v>-8.8000000000000007</v>
          </cell>
          <cell r="M954">
            <v>-9.9</v>
          </cell>
        </row>
        <row r="955">
          <cell r="C955" t="str">
            <v>Giồng Riềng MBA T1 (phía 110kV)</v>
          </cell>
          <cell r="D955">
            <v>131</v>
          </cell>
          <cell r="E955">
            <v>13.1</v>
          </cell>
          <cell r="F955">
            <v>18.600000000000001</v>
          </cell>
          <cell r="G955">
            <v>18.600000000000001</v>
          </cell>
          <cell r="H955">
            <v>14.3</v>
          </cell>
          <cell r="I955">
            <v>13.1</v>
          </cell>
          <cell r="J955">
            <v>15.6</v>
          </cell>
          <cell r="K955">
            <v>13.6</v>
          </cell>
          <cell r="L955">
            <v>15.1</v>
          </cell>
          <cell r="M955">
            <v>14.1</v>
          </cell>
        </row>
        <row r="956">
          <cell r="C956" t="str">
            <v>Giồng Riềng MBA T2 (phía 110kV)</v>
          </cell>
          <cell r="D956">
            <v>132</v>
          </cell>
          <cell r="E956">
            <v>4</v>
          </cell>
          <cell r="F956">
            <v>5.4</v>
          </cell>
          <cell r="G956">
            <v>5.4</v>
          </cell>
          <cell r="H956">
            <v>4.4000000000000004</v>
          </cell>
          <cell r="I956">
            <v>4</v>
          </cell>
          <cell r="J956">
            <v>4.8</v>
          </cell>
          <cell r="K956">
            <v>4.3</v>
          </cell>
          <cell r="L956">
            <v>4.3</v>
          </cell>
          <cell r="M956">
            <v>4</v>
          </cell>
        </row>
        <row r="957">
          <cell r="C957" t="str">
            <v>110kV 171 Giồng Riềng - 174 Rạch Giá 2</v>
          </cell>
          <cell r="D957">
            <v>171</v>
          </cell>
          <cell r="E957">
            <v>-49.6</v>
          </cell>
          <cell r="F957">
            <v>-65</v>
          </cell>
          <cell r="G957">
            <v>-65</v>
          </cell>
          <cell r="H957">
            <v>-55.3</v>
          </cell>
          <cell r="I957">
            <v>-49.6</v>
          </cell>
          <cell r="J957">
            <v>-60</v>
          </cell>
          <cell r="K957">
            <v>-50.9</v>
          </cell>
          <cell r="L957">
            <v>-55.4</v>
          </cell>
          <cell r="M957">
            <v>-52.6</v>
          </cell>
        </row>
        <row r="958">
          <cell r="C958" t="str">
            <v>110kV 172 Giồng Riềng - 171 Vị Thanh</v>
          </cell>
          <cell r="D958">
            <v>172</v>
          </cell>
          <cell r="E958">
            <v>22.3</v>
          </cell>
          <cell r="F958">
            <v>29.1</v>
          </cell>
          <cell r="G958">
            <v>29.1</v>
          </cell>
          <cell r="H958">
            <v>25.7</v>
          </cell>
          <cell r="I958">
            <v>22.3</v>
          </cell>
          <cell r="J958">
            <v>27.6</v>
          </cell>
          <cell r="K958">
            <v>22.8</v>
          </cell>
          <cell r="L958">
            <v>25.8</v>
          </cell>
          <cell r="M958">
            <v>23.5</v>
          </cell>
        </row>
        <row r="959">
          <cell r="C959" t="str">
            <v>110kV 174 Giồng Riềng - 131 Gò Quao</v>
          </cell>
          <cell r="D959">
            <v>174</v>
          </cell>
          <cell r="E959">
            <v>10.1</v>
          </cell>
          <cell r="F959">
            <v>12.6</v>
          </cell>
          <cell r="G959">
            <v>12.6</v>
          </cell>
          <cell r="H959">
            <v>11.1</v>
          </cell>
          <cell r="I959">
            <v>10.1</v>
          </cell>
          <cell r="J959">
            <v>12.2</v>
          </cell>
          <cell r="K959">
            <v>10.1</v>
          </cell>
          <cell r="L959">
            <v>11</v>
          </cell>
          <cell r="M959">
            <v>10.9</v>
          </cell>
        </row>
        <row r="960">
          <cell r="C960" t="str">
            <v>Giồng Riềng MBA T1 (phía 22kV)</v>
          </cell>
          <cell r="D960">
            <v>431</v>
          </cell>
          <cell r="E960">
            <v>-13.1</v>
          </cell>
          <cell r="F960">
            <v>-18.600000000000001</v>
          </cell>
          <cell r="G960">
            <v>-18.600000000000001</v>
          </cell>
          <cell r="H960">
            <v>-14.3</v>
          </cell>
          <cell r="I960">
            <v>-13.1</v>
          </cell>
          <cell r="J960">
            <v>-15.7</v>
          </cell>
          <cell r="K960">
            <v>-13.6</v>
          </cell>
          <cell r="L960">
            <v>-15.1</v>
          </cell>
          <cell r="M960">
            <v>-14.2</v>
          </cell>
        </row>
        <row r="961">
          <cell r="C961" t="str">
            <v>Giồng Riềng MBA T2 (phía 22kV)</v>
          </cell>
          <cell r="D961">
            <v>432</v>
          </cell>
          <cell r="E961">
            <v>-4</v>
          </cell>
          <cell r="F961">
            <v>-5.4</v>
          </cell>
          <cell r="G961">
            <v>-5.4</v>
          </cell>
          <cell r="H961">
            <v>-4.4000000000000004</v>
          </cell>
          <cell r="I961">
            <v>-4</v>
          </cell>
          <cell r="J961">
            <v>-4.8</v>
          </cell>
          <cell r="K961">
            <v>-4.3</v>
          </cell>
          <cell r="L961">
            <v>-4.4000000000000004</v>
          </cell>
          <cell r="M961">
            <v>-4</v>
          </cell>
        </row>
        <row r="962">
          <cell r="C962" t="str">
            <v>110kV 171 Giồng Trôm - 171 Ba Tri</v>
          </cell>
          <cell r="F962">
            <v>30.3</v>
          </cell>
          <cell r="H962">
            <v>30.3</v>
          </cell>
          <cell r="I962">
            <v>26.5</v>
          </cell>
          <cell r="J962">
            <v>29.7</v>
          </cell>
          <cell r="K962">
            <v>26.5</v>
          </cell>
          <cell r="L962">
            <v>26</v>
          </cell>
          <cell r="M962">
            <v>27.8</v>
          </cell>
        </row>
        <row r="963">
          <cell r="C963" t="str">
            <v>110kV 172 Giồng Trôm - 175 Bến Tre 2</v>
          </cell>
          <cell r="F963">
            <v>-82</v>
          </cell>
          <cell r="H963">
            <v>-80.400000000000006</v>
          </cell>
          <cell r="I963">
            <v>-75.900000000000006</v>
          </cell>
          <cell r="J963">
            <v>-82</v>
          </cell>
          <cell r="K963">
            <v>-78.900000000000006</v>
          </cell>
          <cell r="L963">
            <v>-77.3</v>
          </cell>
          <cell r="M963">
            <v>-81</v>
          </cell>
        </row>
        <row r="964">
          <cell r="C964" t="str">
            <v>Giồng Trôm MBA T1 (phía 110kV)</v>
          </cell>
          <cell r="F964">
            <v>15.2</v>
          </cell>
          <cell r="H964">
            <v>15.2</v>
          </cell>
          <cell r="I964">
            <v>13.2</v>
          </cell>
          <cell r="J964">
            <v>14.2</v>
          </cell>
          <cell r="K964">
            <v>15.2</v>
          </cell>
          <cell r="L964">
            <v>13.8</v>
          </cell>
          <cell r="M964">
            <v>14.6</v>
          </cell>
        </row>
        <row r="965">
          <cell r="C965" t="str">
            <v>Giồng Trôm MBA T1 (phía 22kV)</v>
          </cell>
          <cell r="F965">
            <v>-15.3</v>
          </cell>
          <cell r="H965">
            <v>-15.2</v>
          </cell>
          <cell r="I965">
            <v>-13.2</v>
          </cell>
          <cell r="J965">
            <v>-14.2</v>
          </cell>
          <cell r="K965">
            <v>-15.3</v>
          </cell>
          <cell r="L965">
            <v>-13.8</v>
          </cell>
          <cell r="M965">
            <v>-14.5</v>
          </cell>
        </row>
        <row r="966">
          <cell r="C966" t="str">
            <v>110kV 173 Giồng Trôm - 171 Bình Đại</v>
          </cell>
          <cell r="F966">
            <v>41.6</v>
          </cell>
          <cell r="H966">
            <v>41.6</v>
          </cell>
          <cell r="I966">
            <v>35.700000000000003</v>
          </cell>
          <cell r="J966">
            <v>39.1</v>
          </cell>
          <cell r="K966">
            <v>38.4</v>
          </cell>
          <cell r="L966">
            <v>38.1</v>
          </cell>
          <cell r="M966">
            <v>40</v>
          </cell>
        </row>
        <row r="967">
          <cell r="C967" t="str">
            <v>110kV 171 Gò Công - 171 Gò Công Tây</v>
          </cell>
          <cell r="F967">
            <v>38.299999999999997</v>
          </cell>
          <cell r="H967">
            <v>36.4</v>
          </cell>
          <cell r="I967">
            <v>33.5</v>
          </cell>
          <cell r="J967">
            <v>38.299999999999997</v>
          </cell>
          <cell r="K967">
            <v>35.1</v>
          </cell>
          <cell r="L967">
            <v>34</v>
          </cell>
          <cell r="M967">
            <v>37.9</v>
          </cell>
        </row>
        <row r="968">
          <cell r="C968" t="str">
            <v>110kV 172 Gò Công - 172 Cần Đước</v>
          </cell>
          <cell r="F968">
            <v>-93.3</v>
          </cell>
          <cell r="H968">
            <v>-93.3</v>
          </cell>
          <cell r="I968">
            <v>-80.7</v>
          </cell>
          <cell r="J968">
            <v>-91.9</v>
          </cell>
          <cell r="K968">
            <v>-87.6</v>
          </cell>
          <cell r="L968">
            <v>-84.1</v>
          </cell>
          <cell r="M968">
            <v>-93</v>
          </cell>
        </row>
        <row r="969">
          <cell r="C969" t="str">
            <v>Gò Công MBA T1 (phía 110kV)</v>
          </cell>
          <cell r="F969">
            <v>30.7</v>
          </cell>
          <cell r="H969">
            <v>30.7</v>
          </cell>
          <cell r="I969">
            <v>24.7</v>
          </cell>
          <cell r="J969">
            <v>30.1</v>
          </cell>
          <cell r="K969">
            <v>27.5</v>
          </cell>
          <cell r="L969">
            <v>25.8</v>
          </cell>
          <cell r="M969">
            <v>28.1</v>
          </cell>
        </row>
        <row r="970">
          <cell r="C970" t="str">
            <v>Gò Công MBA T2 (phía 110kV)</v>
          </cell>
          <cell r="F970">
            <v>27.2</v>
          </cell>
          <cell r="H970">
            <v>26.4</v>
          </cell>
          <cell r="I970">
            <v>22.5</v>
          </cell>
          <cell r="J970">
            <v>25.3</v>
          </cell>
          <cell r="K970">
            <v>25</v>
          </cell>
          <cell r="L970">
            <v>24.4</v>
          </cell>
          <cell r="M970">
            <v>27.2</v>
          </cell>
        </row>
        <row r="971">
          <cell r="C971" t="str">
            <v>Gò Công MBA T1 (phía 22kV)</v>
          </cell>
          <cell r="F971">
            <v>-30.6</v>
          </cell>
          <cell r="H971">
            <v>-30.6</v>
          </cell>
          <cell r="I971">
            <v>-24.6</v>
          </cell>
          <cell r="J971">
            <v>-30</v>
          </cell>
          <cell r="K971">
            <v>-27.4</v>
          </cell>
          <cell r="L971">
            <v>-25.9</v>
          </cell>
          <cell r="M971">
            <v>-28.1</v>
          </cell>
        </row>
        <row r="972">
          <cell r="C972" t="str">
            <v>Gò Công MBA T2 (phía 22kV)</v>
          </cell>
          <cell r="F972">
            <v>-27.3</v>
          </cell>
          <cell r="H972">
            <v>-26.4</v>
          </cell>
          <cell r="I972">
            <v>-22.4</v>
          </cell>
          <cell r="J972">
            <v>-25.4</v>
          </cell>
          <cell r="K972">
            <v>-25.1</v>
          </cell>
          <cell r="L972">
            <v>-24.3</v>
          </cell>
          <cell r="M972">
            <v>-27.3</v>
          </cell>
        </row>
        <row r="973">
          <cell r="C973" t="str">
            <v>110kV 171 Gò Công Tây - 171 Gò Công</v>
          </cell>
          <cell r="F973">
            <v>-38.4</v>
          </cell>
          <cell r="H973">
            <v>-36.4</v>
          </cell>
          <cell r="I973">
            <v>-33.5</v>
          </cell>
          <cell r="J973">
            <v>-38.4</v>
          </cell>
          <cell r="K973">
            <v>-35</v>
          </cell>
          <cell r="L973">
            <v>-33.9</v>
          </cell>
          <cell r="M973">
            <v>-37.799999999999997</v>
          </cell>
        </row>
        <row r="974">
          <cell r="C974" t="str">
            <v>110kV 172 Gò Công Tây - 172 Chợ Gạo</v>
          </cell>
          <cell r="F974">
            <v>18.7</v>
          </cell>
          <cell r="H974">
            <v>18.5</v>
          </cell>
          <cell r="I974">
            <v>16.5</v>
          </cell>
          <cell r="J974">
            <v>18.600000000000001</v>
          </cell>
          <cell r="K974">
            <v>17.5</v>
          </cell>
          <cell r="L974">
            <v>17.5</v>
          </cell>
          <cell r="M974">
            <v>18.7</v>
          </cell>
        </row>
        <row r="975">
          <cell r="C975" t="str">
            <v>Gò Công Tây MBA T1 (phía 110kV)</v>
          </cell>
          <cell r="E975">
            <v>0</v>
          </cell>
          <cell r="F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</row>
        <row r="976">
          <cell r="C976" t="str">
            <v>Gò Công Tây MBA T1 (phía 22kV)</v>
          </cell>
          <cell r="E976">
            <v>0</v>
          </cell>
          <cell r="F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</row>
        <row r="977">
          <cell r="C977" t="str">
            <v>Gò Công Tây MBA T2 (phía 110kV)</v>
          </cell>
          <cell r="F977">
            <v>20.100000000000001</v>
          </cell>
          <cell r="H977">
            <v>18.899999999999999</v>
          </cell>
          <cell r="I977">
            <v>18.600000000000001</v>
          </cell>
          <cell r="J977">
            <v>20.100000000000001</v>
          </cell>
          <cell r="K977">
            <v>19</v>
          </cell>
          <cell r="L977">
            <v>18.2</v>
          </cell>
          <cell r="M977">
            <v>19.7</v>
          </cell>
        </row>
        <row r="978">
          <cell r="C978" t="str">
            <v>Gò Công Tây MBA T2 (phía 22kV)</v>
          </cell>
          <cell r="F978">
            <v>-20.2</v>
          </cell>
          <cell r="H978">
            <v>-18.899999999999999</v>
          </cell>
          <cell r="I978">
            <v>-18.8</v>
          </cell>
          <cell r="J978">
            <v>-20.2</v>
          </cell>
          <cell r="K978">
            <v>-19</v>
          </cell>
          <cell r="L978">
            <v>-18.2</v>
          </cell>
          <cell r="M978">
            <v>-19.8</v>
          </cell>
        </row>
        <row r="979">
          <cell r="C979" t="str">
            <v>Gò Dầu MBA T1 (phía 110kV)</v>
          </cell>
          <cell r="D979">
            <v>131</v>
          </cell>
          <cell r="E979">
            <v>22.7</v>
          </cell>
          <cell r="F979">
            <v>26.8</v>
          </cell>
          <cell r="G979">
            <v>23.4</v>
          </cell>
          <cell r="H979">
            <v>26.4</v>
          </cell>
          <cell r="I979">
            <v>26</v>
          </cell>
          <cell r="J979">
            <v>26.8</v>
          </cell>
          <cell r="K979">
            <v>26.1</v>
          </cell>
          <cell r="L979">
            <v>22.7</v>
          </cell>
          <cell r="M979">
            <v>22.7</v>
          </cell>
        </row>
        <row r="980">
          <cell r="C980" t="str">
            <v>Gò Dầu MBA T2 (phía 110kV)</v>
          </cell>
          <cell r="D980">
            <v>132</v>
          </cell>
          <cell r="E980">
            <v>31.2</v>
          </cell>
          <cell r="F980">
            <v>40.700000000000003</v>
          </cell>
          <cell r="G980">
            <v>40.700000000000003</v>
          </cell>
          <cell r="H980">
            <v>38.6</v>
          </cell>
          <cell r="I980">
            <v>37.1</v>
          </cell>
          <cell r="J980">
            <v>37.4</v>
          </cell>
          <cell r="K980">
            <v>36.1</v>
          </cell>
          <cell r="L980">
            <v>31.2</v>
          </cell>
          <cell r="M980">
            <v>33.299999999999997</v>
          </cell>
        </row>
        <row r="981">
          <cell r="C981" t="str">
            <v>110kV 171 Gò Dầu - 171 Bình Sơn</v>
          </cell>
          <cell r="D981">
            <v>171</v>
          </cell>
          <cell r="E981">
            <v>17.899999999999999</v>
          </cell>
          <cell r="F981">
            <v>37.299999999999997</v>
          </cell>
          <cell r="G981">
            <v>24.8</v>
          </cell>
          <cell r="H981">
            <v>37.299999999999997</v>
          </cell>
          <cell r="I981">
            <v>24.1</v>
          </cell>
          <cell r="J981">
            <v>17.899999999999999</v>
          </cell>
          <cell r="K981">
            <v>36.200000000000003</v>
          </cell>
          <cell r="L981">
            <v>33.4</v>
          </cell>
          <cell r="M981">
            <v>28.2</v>
          </cell>
        </row>
        <row r="982">
          <cell r="C982" t="str">
            <v>110kV 172 Gò Dầu - 177 Mỹ Xuân 2</v>
          </cell>
          <cell r="D982">
            <v>172</v>
          </cell>
          <cell r="E982">
            <v>-77.3</v>
          </cell>
          <cell r="F982">
            <v>-98.8</v>
          </cell>
          <cell r="G982">
            <v>-81.5</v>
          </cell>
          <cell r="H982">
            <v>-98.8</v>
          </cell>
          <cell r="I982">
            <v>-77.3</v>
          </cell>
          <cell r="J982">
            <v>-78.8</v>
          </cell>
          <cell r="K982">
            <v>-95.7</v>
          </cell>
          <cell r="L982">
            <v>-83.4</v>
          </cell>
          <cell r="M982">
            <v>-78.3</v>
          </cell>
        </row>
        <row r="983">
          <cell r="C983" t="str">
            <v>Gò Dầu MBA T1 (phía 22kV)</v>
          </cell>
          <cell r="D983">
            <v>431</v>
          </cell>
          <cell r="E983">
            <v>-22.6</v>
          </cell>
          <cell r="F983">
            <v>-26.8</v>
          </cell>
          <cell r="G983">
            <v>-23.4</v>
          </cell>
          <cell r="H983">
            <v>-26.4</v>
          </cell>
          <cell r="I983">
            <v>-26.4</v>
          </cell>
          <cell r="J983">
            <v>-26.8</v>
          </cell>
          <cell r="K983">
            <v>-26.1</v>
          </cell>
          <cell r="L983">
            <v>-22.8</v>
          </cell>
          <cell r="M983">
            <v>-22.6</v>
          </cell>
        </row>
        <row r="984">
          <cell r="C984" t="str">
            <v>Gò Dầu MBA T2 (phía 22kV)</v>
          </cell>
          <cell r="D984">
            <v>432</v>
          </cell>
          <cell r="E984">
            <v>-31.4</v>
          </cell>
          <cell r="F984">
            <v>-40.9</v>
          </cell>
          <cell r="G984">
            <v>-40.9</v>
          </cell>
          <cell r="H984">
            <v>-38.9</v>
          </cell>
          <cell r="I984">
            <v>-36.9</v>
          </cell>
          <cell r="J984">
            <v>-37.4</v>
          </cell>
          <cell r="K984">
            <v>-36.299999999999997</v>
          </cell>
          <cell r="L984">
            <v>-31.4</v>
          </cell>
          <cell r="M984">
            <v>-33.5</v>
          </cell>
        </row>
        <row r="985">
          <cell r="C985" t="str">
            <v>Gò Đậu MBA T1 (phía 110kV)</v>
          </cell>
          <cell r="D985">
            <v>131</v>
          </cell>
          <cell r="E985">
            <v>39.299999999999997</v>
          </cell>
          <cell r="F985">
            <v>51.1</v>
          </cell>
          <cell r="G985">
            <v>51.1</v>
          </cell>
          <cell r="H985">
            <v>45.6</v>
          </cell>
          <cell r="I985">
            <v>41.9</v>
          </cell>
          <cell r="J985">
            <v>46.7</v>
          </cell>
          <cell r="K985">
            <v>41.2</v>
          </cell>
          <cell r="L985">
            <v>42.2</v>
          </cell>
          <cell r="M985">
            <v>39.299999999999997</v>
          </cell>
        </row>
        <row r="986">
          <cell r="C986" t="str">
            <v>Gò Đậu MBA T2 (phía 110kV)</v>
          </cell>
          <cell r="D986">
            <v>132</v>
          </cell>
          <cell r="E986">
            <v>26.5</v>
          </cell>
          <cell r="F986">
            <v>61.3</v>
          </cell>
          <cell r="G986">
            <v>61.3</v>
          </cell>
          <cell r="H986">
            <v>43.8</v>
          </cell>
          <cell r="I986">
            <v>39.299999999999997</v>
          </cell>
          <cell r="J986">
            <v>45.4</v>
          </cell>
          <cell r="K986">
            <v>39.6</v>
          </cell>
          <cell r="L986">
            <v>31.6</v>
          </cell>
          <cell r="M986">
            <v>26.5</v>
          </cell>
        </row>
        <row r="987">
          <cell r="C987" t="str">
            <v>110kV 171 Gò Đậu - 178 Cầu Bông - 172 Đông Nam</v>
          </cell>
          <cell r="D987">
            <v>171</v>
          </cell>
          <cell r="E987">
            <v>0</v>
          </cell>
          <cell r="F987">
            <v>-90.7</v>
          </cell>
          <cell r="G987">
            <v>-51.4</v>
          </cell>
          <cell r="H987">
            <v>-45.9</v>
          </cell>
          <cell r="I987">
            <v>0</v>
          </cell>
          <cell r="J987">
            <v>-46.7</v>
          </cell>
          <cell r="K987">
            <v>0</v>
          </cell>
          <cell r="L987">
            <v>-42.2</v>
          </cell>
          <cell r="M987">
            <v>-90.7</v>
          </cell>
        </row>
        <row r="988">
          <cell r="C988" t="str">
            <v>110kV 172 Gò Đậu - 171 Hưng Định</v>
          </cell>
          <cell r="D988">
            <v>172</v>
          </cell>
          <cell r="E988">
            <v>-31.6</v>
          </cell>
          <cell r="F988">
            <v>-81.3</v>
          </cell>
          <cell r="G988">
            <v>-60.8</v>
          </cell>
          <cell r="H988">
            <v>-44</v>
          </cell>
          <cell r="I988">
            <v>-81.3</v>
          </cell>
          <cell r="J988">
            <v>-45.6</v>
          </cell>
          <cell r="K988">
            <v>-79.7</v>
          </cell>
          <cell r="L988">
            <v>-31.6</v>
          </cell>
          <cell r="M988">
            <v>-65.8</v>
          </cell>
        </row>
        <row r="989">
          <cell r="C989" t="str">
            <v>Gò Đậu MBA T1 (phía 22kV)</v>
          </cell>
          <cell r="D989">
            <v>431</v>
          </cell>
          <cell r="E989">
            <v>-39.299999999999997</v>
          </cell>
          <cell r="F989">
            <v>-51.1</v>
          </cell>
          <cell r="G989">
            <v>-51.1</v>
          </cell>
          <cell r="H989">
            <v>-45.9</v>
          </cell>
          <cell r="I989">
            <v>-41.9</v>
          </cell>
          <cell r="J989">
            <v>-46.7</v>
          </cell>
          <cell r="K989">
            <v>-41.2</v>
          </cell>
          <cell r="L989">
            <v>-42.5</v>
          </cell>
          <cell r="M989">
            <v>-39.299999999999997</v>
          </cell>
        </row>
        <row r="990">
          <cell r="C990" t="str">
            <v>Gò Đậu MBA T2 (phía 22kV)</v>
          </cell>
          <cell r="D990">
            <v>432</v>
          </cell>
          <cell r="E990">
            <v>-26.5</v>
          </cell>
          <cell r="F990">
            <v>-61.1</v>
          </cell>
          <cell r="G990">
            <v>-61.1</v>
          </cell>
          <cell r="H990">
            <v>-43.8</v>
          </cell>
          <cell r="I990">
            <v>-39.299999999999997</v>
          </cell>
          <cell r="J990">
            <v>-45.1</v>
          </cell>
          <cell r="K990">
            <v>-39.6</v>
          </cell>
          <cell r="L990">
            <v>-31.5</v>
          </cell>
          <cell r="M990">
            <v>-26.5</v>
          </cell>
        </row>
        <row r="991">
          <cell r="C991" t="str">
            <v>Gò Quao MBA T1 (phía 110kV)</v>
          </cell>
          <cell r="F991">
            <v>12.2</v>
          </cell>
          <cell r="H991">
            <v>11.1</v>
          </cell>
          <cell r="I991">
            <v>10.1</v>
          </cell>
          <cell r="J991">
            <v>12.2</v>
          </cell>
          <cell r="K991">
            <v>10.199999999999999</v>
          </cell>
          <cell r="L991">
            <v>11</v>
          </cell>
          <cell r="M991">
            <v>-10.9</v>
          </cell>
        </row>
        <row r="992">
          <cell r="C992" t="str">
            <v>Gò Quao MBA T1 (phía 22kV)</v>
          </cell>
          <cell r="F992">
            <v>-12.2</v>
          </cell>
          <cell r="H992">
            <v>-11.1</v>
          </cell>
          <cell r="I992">
            <v>-10.1</v>
          </cell>
          <cell r="J992">
            <v>-12.2</v>
          </cell>
          <cell r="K992">
            <v>-10.199999999999999</v>
          </cell>
          <cell r="L992">
            <v>-11</v>
          </cell>
          <cell r="M992">
            <v>11</v>
          </cell>
        </row>
        <row r="993">
          <cell r="C993" t="str">
            <v>110kV 171 Gò Vấp - 177 Hóc Môn</v>
          </cell>
          <cell r="D993">
            <v>171</v>
          </cell>
          <cell r="E993">
            <v>-39.4</v>
          </cell>
          <cell r="F993">
            <v>-79.3</v>
          </cell>
          <cell r="G993">
            <v>-51.4</v>
          </cell>
          <cell r="H993">
            <v>-45.9</v>
          </cell>
          <cell r="I993">
            <v>-79.3</v>
          </cell>
          <cell r="J993">
            <v>-44.1</v>
          </cell>
          <cell r="K993">
            <v>-39.4</v>
          </cell>
          <cell r="L993">
            <v>-42</v>
          </cell>
          <cell r="M993">
            <v>-45.1</v>
          </cell>
        </row>
        <row r="994">
          <cell r="C994" t="str">
            <v>110kV 172 Gò Vấp - 178 Hóc Môn</v>
          </cell>
          <cell r="D994">
            <v>172</v>
          </cell>
          <cell r="E994">
            <v>0</v>
          </cell>
          <cell r="F994">
            <v>-51.8</v>
          </cell>
          <cell r="G994">
            <v>-51.8</v>
          </cell>
          <cell r="H994">
            <v>-46.2</v>
          </cell>
          <cell r="I994">
            <v>0</v>
          </cell>
          <cell r="J994">
            <v>-44.3</v>
          </cell>
          <cell r="K994">
            <v>-39.6</v>
          </cell>
          <cell r="L994">
            <v>-42.3</v>
          </cell>
          <cell r="M994">
            <v>-45.5</v>
          </cell>
        </row>
        <row r="995">
          <cell r="C995" t="str">
            <v>Gò Vấp MBA T1 (phía 22kV)</v>
          </cell>
          <cell r="D995">
            <v>431</v>
          </cell>
          <cell r="E995">
            <v>-42.9</v>
          </cell>
          <cell r="F995">
            <v>-50.6</v>
          </cell>
          <cell r="G995">
            <v>-50.6</v>
          </cell>
          <cell r="H995">
            <v>-45.2</v>
          </cell>
          <cell r="I995">
            <v>-42.9</v>
          </cell>
          <cell r="J995">
            <v>-49.7</v>
          </cell>
          <cell r="K995">
            <v>-45.6</v>
          </cell>
          <cell r="L995">
            <v>-46.7</v>
          </cell>
          <cell r="M995">
            <v>-45.1</v>
          </cell>
        </row>
        <row r="996">
          <cell r="C996" t="str">
            <v>Gò Vấp MBA T2 (phía 22kV)</v>
          </cell>
          <cell r="D996">
            <v>432</v>
          </cell>
          <cell r="E996">
            <v>-33.4</v>
          </cell>
          <cell r="F996">
            <v>-52.6</v>
          </cell>
          <cell r="G996">
            <v>-52.6</v>
          </cell>
          <cell r="H996">
            <v>-49.1</v>
          </cell>
          <cell r="I996">
            <v>-36.5</v>
          </cell>
          <cell r="J996">
            <v>-39.200000000000003</v>
          </cell>
          <cell r="K996">
            <v>-33.4</v>
          </cell>
          <cell r="L996">
            <v>-37.6</v>
          </cell>
          <cell r="M996">
            <v>-45.6</v>
          </cell>
        </row>
        <row r="997">
          <cell r="C997" t="str">
            <v>Hà Tiên MBA T1 (phía 110kV)</v>
          </cell>
          <cell r="F997">
            <v>15.8</v>
          </cell>
          <cell r="H997">
            <v>10.8</v>
          </cell>
          <cell r="I997">
            <v>13.6</v>
          </cell>
          <cell r="J997">
            <v>15.8</v>
          </cell>
          <cell r="K997">
            <v>14.2</v>
          </cell>
          <cell r="L997">
            <v>14.8</v>
          </cell>
          <cell r="M997">
            <v>13</v>
          </cell>
        </row>
        <row r="998">
          <cell r="C998" t="str">
            <v>Hà Tiên MBA T1 (phía 22kV)</v>
          </cell>
          <cell r="F998">
            <v>-15.9</v>
          </cell>
          <cell r="H998">
            <v>-10.8</v>
          </cell>
          <cell r="I998">
            <v>-13.6</v>
          </cell>
          <cell r="J998">
            <v>-15.9</v>
          </cell>
          <cell r="K998">
            <v>-14.2</v>
          </cell>
          <cell r="L998">
            <v>-14.8</v>
          </cell>
          <cell r="M998">
            <v>-13</v>
          </cell>
        </row>
        <row r="999">
          <cell r="C999" t="str">
            <v>110kV 171 Hà Tiên - 172 Kiên Bình</v>
          </cell>
          <cell r="F999">
            <v>-50.1</v>
          </cell>
          <cell r="H999">
            <v>-40.799999999999997</v>
          </cell>
          <cell r="I999">
            <v>-43</v>
          </cell>
          <cell r="J999">
            <v>-50.1</v>
          </cell>
          <cell r="K999">
            <v>-42.5</v>
          </cell>
          <cell r="L999">
            <v>-47.9</v>
          </cell>
          <cell r="M999">
            <v>-41.9</v>
          </cell>
        </row>
        <row r="1000">
          <cell r="C1000" t="str">
            <v>110kV 172 Hà Tiên - 173 Kiên Bình</v>
          </cell>
          <cell r="F1000">
            <v>-50.2</v>
          </cell>
          <cell r="H1000">
            <v>-40.6</v>
          </cell>
          <cell r="I1000">
            <v>-43.2</v>
          </cell>
          <cell r="J1000">
            <v>-50.2</v>
          </cell>
          <cell r="K1000">
            <v>-42.5</v>
          </cell>
          <cell r="L1000">
            <v>-47.7</v>
          </cell>
          <cell r="M1000">
            <v>-41.9</v>
          </cell>
        </row>
        <row r="1001">
          <cell r="C1001" t="str">
            <v>110kV 173 Hà Tiên - 172 Phú Quốc</v>
          </cell>
          <cell r="F1001">
            <v>66.900000000000006</v>
          </cell>
          <cell r="H1001">
            <v>58.5</v>
          </cell>
          <cell r="I1001">
            <v>56.5</v>
          </cell>
          <cell r="J1001">
            <v>66.900000000000006</v>
          </cell>
          <cell r="K1001">
            <v>55.3</v>
          </cell>
          <cell r="L1001">
            <v>61.7</v>
          </cell>
          <cell r="M1001">
            <v>55.7</v>
          </cell>
        </row>
        <row r="1002">
          <cell r="C1002" t="str">
            <v>Hà Tiên MBA T2 (phía 110kV)</v>
          </cell>
          <cell r="F1002">
            <v>19.5</v>
          </cell>
          <cell r="H1002">
            <v>17.899999999999999</v>
          </cell>
          <cell r="I1002">
            <v>16.5</v>
          </cell>
          <cell r="J1002">
            <v>18.600000000000001</v>
          </cell>
          <cell r="K1002">
            <v>16</v>
          </cell>
          <cell r="L1002">
            <v>19.5</v>
          </cell>
          <cell r="M1002">
            <v>14.9</v>
          </cell>
        </row>
        <row r="1003">
          <cell r="C1003" t="str">
            <v>Hà Tiên MBA T2 (phía 22kV)</v>
          </cell>
          <cell r="F1003">
            <v>-19.399999999999999</v>
          </cell>
          <cell r="H1003">
            <v>-17.8</v>
          </cell>
          <cell r="I1003">
            <v>-16.399999999999999</v>
          </cell>
          <cell r="J1003">
            <v>-18.5</v>
          </cell>
          <cell r="K1003">
            <v>-15.8</v>
          </cell>
          <cell r="L1003">
            <v>-19.399999999999999</v>
          </cell>
          <cell r="M1003">
            <v>-14.8</v>
          </cell>
        </row>
        <row r="1004">
          <cell r="C1004" t="str">
            <v>Hàm Kiệm MBA T1 (phía 110kV)</v>
          </cell>
          <cell r="D1004">
            <v>131</v>
          </cell>
          <cell r="E1004">
            <v>10.8</v>
          </cell>
          <cell r="F1004">
            <v>-15.2</v>
          </cell>
          <cell r="G1004">
            <v>10.8</v>
          </cell>
          <cell r="H1004">
            <v>15</v>
          </cell>
          <cell r="I1004">
            <v>12.9</v>
          </cell>
          <cell r="J1004">
            <v>13.9</v>
          </cell>
          <cell r="K1004">
            <v>12</v>
          </cell>
          <cell r="L1004">
            <v>-15.2</v>
          </cell>
          <cell r="M1004">
            <v>11.9</v>
          </cell>
        </row>
        <row r="1005">
          <cell r="C1005" t="str">
            <v>Hàm Kiệm MBA T2 (phía 110kV)</v>
          </cell>
          <cell r="D1005">
            <v>132</v>
          </cell>
          <cell r="E1005">
            <v>0</v>
          </cell>
          <cell r="F1005">
            <v>-8.3000000000000007</v>
          </cell>
          <cell r="G1005">
            <v>-8.3000000000000007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</row>
        <row r="1006">
          <cell r="C1006" t="str">
            <v>110kV 171 Hàm Kiệm - 175 Phan Thiết</v>
          </cell>
          <cell r="D1006">
            <v>171</v>
          </cell>
          <cell r="E1006">
            <v>-29.9</v>
          </cell>
          <cell r="F1006">
            <v>75.8</v>
          </cell>
          <cell r="G1006">
            <v>75.8</v>
          </cell>
          <cell r="H1006">
            <v>69.5</v>
          </cell>
          <cell r="I1006">
            <v>-29.9</v>
          </cell>
          <cell r="J1006">
            <v>61</v>
          </cell>
          <cell r="K1006">
            <v>58.4</v>
          </cell>
          <cell r="L1006">
            <v>33.200000000000003</v>
          </cell>
          <cell r="M1006">
            <v>47.2</v>
          </cell>
        </row>
        <row r="1007">
          <cell r="C1007" t="str">
            <v>110kV 172 Hàm Kiệm - 174 trạm cắt Dân Bình</v>
          </cell>
          <cell r="D1007">
            <v>172</v>
          </cell>
          <cell r="E1007">
            <v>-22.6</v>
          </cell>
          <cell r="F1007">
            <v>-64.7</v>
          </cell>
          <cell r="G1007">
            <v>-64.7</v>
          </cell>
          <cell r="H1007">
            <v>-56.3</v>
          </cell>
          <cell r="I1007">
            <v>-22.6</v>
          </cell>
          <cell r="J1007">
            <v>-51.6</v>
          </cell>
          <cell r="K1007">
            <v>-50.3</v>
          </cell>
          <cell r="L1007">
            <v>-24.2</v>
          </cell>
          <cell r="M1007">
            <v>-39.799999999999997</v>
          </cell>
        </row>
        <row r="1008">
          <cell r="C1008" t="str">
            <v>110kV 174 Hàm Kiệm - 172 Thuận Nam</v>
          </cell>
          <cell r="D1008">
            <v>174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</row>
        <row r="1009">
          <cell r="C1009" t="str">
            <v>Hàm Kiệm MBA T1 (phía 22kV)</v>
          </cell>
          <cell r="D1009">
            <v>431</v>
          </cell>
          <cell r="E1009">
            <v>-10.8</v>
          </cell>
          <cell r="F1009">
            <v>-15.2</v>
          </cell>
          <cell r="G1009">
            <v>-10.8</v>
          </cell>
          <cell r="H1009">
            <v>-15.2</v>
          </cell>
          <cell r="I1009">
            <v>-12.8</v>
          </cell>
          <cell r="J1009">
            <v>-13.8</v>
          </cell>
          <cell r="K1009">
            <v>-12.1</v>
          </cell>
          <cell r="L1009">
            <v>14.7</v>
          </cell>
          <cell r="M1009">
            <v>-11.9</v>
          </cell>
        </row>
        <row r="1010">
          <cell r="C1010" t="str">
            <v>Hàm Kiệm MBA T2 (phía 22kV)</v>
          </cell>
          <cell r="D1010">
            <v>432</v>
          </cell>
          <cell r="E1010">
            <v>0</v>
          </cell>
          <cell r="F1010">
            <v>8.4</v>
          </cell>
          <cell r="G1010">
            <v>8.4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</row>
        <row r="1011">
          <cell r="C1011" t="str">
            <v>Hàm Tân MBA T1 (phía 110kV)</v>
          </cell>
          <cell r="F1011">
            <v>20.6</v>
          </cell>
          <cell r="H1011">
            <v>20.6</v>
          </cell>
          <cell r="I1011">
            <v>17.600000000000001</v>
          </cell>
          <cell r="J1011">
            <v>19.8</v>
          </cell>
          <cell r="K1011">
            <v>18.100000000000001</v>
          </cell>
          <cell r="L1011">
            <v>18.100000000000001</v>
          </cell>
          <cell r="M1011">
            <v>18.3</v>
          </cell>
        </row>
        <row r="1012">
          <cell r="C1012" t="str">
            <v>Hàm Tân MBA T1 (phía 22kV)</v>
          </cell>
          <cell r="F1012">
            <v>-20.6</v>
          </cell>
          <cell r="H1012">
            <v>-20.6</v>
          </cell>
          <cell r="I1012">
            <v>-17.5</v>
          </cell>
          <cell r="J1012">
            <v>-19.7</v>
          </cell>
          <cell r="K1012">
            <v>-18</v>
          </cell>
          <cell r="L1012">
            <v>-18</v>
          </cell>
          <cell r="M1012">
            <v>-18.2</v>
          </cell>
        </row>
        <row r="1013">
          <cell r="C1013" t="str">
            <v>110kV 172 Hàm Tân - 179 Hàm Tân 2</v>
          </cell>
          <cell r="F1013">
            <v>-50.4</v>
          </cell>
          <cell r="H1013">
            <v>-48.4</v>
          </cell>
          <cell r="I1013">
            <v>-41</v>
          </cell>
          <cell r="J1013">
            <v>-50.4</v>
          </cell>
          <cell r="K1013">
            <v>-41.3</v>
          </cell>
          <cell r="L1013">
            <v>-47</v>
          </cell>
          <cell r="M1013">
            <v>-46</v>
          </cell>
        </row>
        <row r="1014">
          <cell r="C1014" t="str">
            <v>110kV 171 Hàm Tân - 171 Thuận Nam</v>
          </cell>
          <cell r="F1014">
            <v>15.3</v>
          </cell>
          <cell r="H1014">
            <v>-14.2</v>
          </cell>
          <cell r="I1014">
            <v>11.1</v>
          </cell>
          <cell r="J1014">
            <v>15.3</v>
          </cell>
          <cell r="K1014">
            <v>-12.5</v>
          </cell>
          <cell r="L1014">
            <v>12.6</v>
          </cell>
          <cell r="M1014">
            <v>13.3</v>
          </cell>
        </row>
        <row r="1015">
          <cell r="C1015" t="str">
            <v>Hàm Tân MBA T2 (phía 22kV)</v>
          </cell>
          <cell r="F1015">
            <v>-17.399999999999999</v>
          </cell>
          <cell r="H1015">
            <v>-15.9</v>
          </cell>
          <cell r="I1015">
            <v>-13.9</v>
          </cell>
          <cell r="J1015">
            <v>-16.100000000000001</v>
          </cell>
          <cell r="K1015">
            <v>-13.2</v>
          </cell>
          <cell r="L1015">
            <v>-17.399999999999999</v>
          </cell>
          <cell r="M1015">
            <v>-15.2</v>
          </cell>
        </row>
        <row r="1016">
          <cell r="C1016" t="str">
            <v>Hàm Tân MBA T2 (phía 110kV)</v>
          </cell>
          <cell r="F1016">
            <v>17.5</v>
          </cell>
          <cell r="H1016">
            <v>16.100000000000001</v>
          </cell>
          <cell r="I1016">
            <v>14.1</v>
          </cell>
          <cell r="J1016">
            <v>16.3</v>
          </cell>
          <cell r="K1016">
            <v>13.3</v>
          </cell>
          <cell r="L1016">
            <v>17.5</v>
          </cell>
          <cell r="M1016">
            <v>15.3</v>
          </cell>
        </row>
        <row r="1017">
          <cell r="C1017" t="str">
            <v>Hàm Tân 2 MBA AT3 (phía 220kV)</v>
          </cell>
          <cell r="F1017">
            <v>66.5</v>
          </cell>
          <cell r="H1017">
            <v>66.5</v>
          </cell>
          <cell r="I1017">
            <v>58.2</v>
          </cell>
          <cell r="J1017">
            <v>62.4</v>
          </cell>
          <cell r="K1017">
            <v>54.6</v>
          </cell>
          <cell r="L1017">
            <v>57.8</v>
          </cell>
          <cell r="M1017">
            <v>59.4</v>
          </cell>
        </row>
        <row r="1018">
          <cell r="C1018" t="str">
            <v>220kV 276 Hàm Tân 2 - 271 Phan Thiết 2</v>
          </cell>
          <cell r="F1018">
            <v>-264.10000000000002</v>
          </cell>
          <cell r="H1018">
            <v>-252.5</v>
          </cell>
          <cell r="I1018">
            <v>-208.2</v>
          </cell>
          <cell r="J1018">
            <v>-211.5</v>
          </cell>
          <cell r="K1018">
            <v>-264.10000000000002</v>
          </cell>
          <cell r="L1018">
            <v>-236.1</v>
          </cell>
          <cell r="M1018">
            <v>-213.7</v>
          </cell>
        </row>
        <row r="1019">
          <cell r="C1019" t="str">
            <v>220kV 275 Hàm Tân 2 - 273 Phan Thiết 2</v>
          </cell>
          <cell r="F1019">
            <v>-264.7</v>
          </cell>
          <cell r="H1019">
            <v>-254.4</v>
          </cell>
          <cell r="I1019">
            <v>-210.4</v>
          </cell>
          <cell r="J1019">
            <v>-216.5</v>
          </cell>
          <cell r="K1019">
            <v>-264.7</v>
          </cell>
          <cell r="L1019">
            <v>-239.3</v>
          </cell>
          <cell r="M1019">
            <v>-214.7</v>
          </cell>
        </row>
        <row r="1020">
          <cell r="C1020" t="str">
            <v>110kV 179 Hàm Tân 2 - 172 Hàm Tân</v>
          </cell>
          <cell r="F1020">
            <v>49.8</v>
          </cell>
          <cell r="H1020">
            <v>47.7</v>
          </cell>
          <cell r="I1020">
            <v>41.9</v>
          </cell>
          <cell r="J1020">
            <v>49.8</v>
          </cell>
          <cell r="K1020">
            <v>41.1</v>
          </cell>
          <cell r="L1020">
            <v>47.4</v>
          </cell>
          <cell r="M1020">
            <v>45.3</v>
          </cell>
        </row>
        <row r="1021">
          <cell r="C1021" t="str">
            <v>Hàm Tân 2 MBA AT3 (phía 110kV)</v>
          </cell>
          <cell r="F1021">
            <v>-66.400000000000006</v>
          </cell>
          <cell r="H1021">
            <v>-66.400000000000006</v>
          </cell>
          <cell r="I1021">
            <v>-57.8</v>
          </cell>
          <cell r="J1021">
            <v>-62.6</v>
          </cell>
          <cell r="K1021">
            <v>-54.5</v>
          </cell>
          <cell r="L1021">
            <v>-54.8</v>
          </cell>
          <cell r="M1021">
            <v>-59.2</v>
          </cell>
        </row>
        <row r="1022">
          <cell r="C1022" t="str">
            <v>110kV 175 Hàm Tân 2 - 171 NMĐ MT Sơn Mỹ 3.1</v>
          </cell>
          <cell r="F1022">
            <v>85.5</v>
          </cell>
          <cell r="H1022">
            <v>85.5</v>
          </cell>
          <cell r="I1022">
            <v>77.5</v>
          </cell>
          <cell r="J1022">
            <v>76.2</v>
          </cell>
          <cell r="K1022">
            <v>68.5</v>
          </cell>
          <cell r="L1022">
            <v>67.8</v>
          </cell>
          <cell r="M1022">
            <v>74.2</v>
          </cell>
        </row>
        <row r="1023">
          <cell r="C1023" t="str">
            <v>Hàm Tân 2 MBA AT2 (phía 220kV)</v>
          </cell>
          <cell r="F1023">
            <v>66.7</v>
          </cell>
          <cell r="H1023">
            <v>66.7</v>
          </cell>
          <cell r="I1023">
            <v>58.2</v>
          </cell>
          <cell r="J1023">
            <v>62.9</v>
          </cell>
          <cell r="K1023">
            <v>54.6</v>
          </cell>
          <cell r="L1023">
            <v>55.5</v>
          </cell>
          <cell r="M1023">
            <v>59.8</v>
          </cell>
        </row>
        <row r="1024">
          <cell r="C1024" t="str">
            <v>220kV 271 Hàm Tân 2 - 276 Tân Thành</v>
          </cell>
          <cell r="F1024">
            <v>295.3</v>
          </cell>
          <cell r="H1024">
            <v>295.3</v>
          </cell>
          <cell r="I1024">
            <v>195.5</v>
          </cell>
          <cell r="J1024">
            <v>244.9</v>
          </cell>
          <cell r="K1024">
            <v>260.10000000000002</v>
          </cell>
          <cell r="L1024">
            <v>224.5</v>
          </cell>
          <cell r="M1024">
            <v>234.7</v>
          </cell>
        </row>
        <row r="1025">
          <cell r="C1025" t="str">
            <v>220kV 272 Hàm Tân 2 - 272 NMĐ MT Đá Bạc</v>
          </cell>
          <cell r="F1025">
            <v>255.2</v>
          </cell>
          <cell r="H1025">
            <v>255.2</v>
          </cell>
          <cell r="I1025">
            <v>164.8</v>
          </cell>
          <cell r="J1025">
            <v>186.3</v>
          </cell>
          <cell r="K1025">
            <v>214.6</v>
          </cell>
          <cell r="L1025">
            <v>189.5</v>
          </cell>
          <cell r="M1025">
            <v>197.3</v>
          </cell>
        </row>
        <row r="1026">
          <cell r="C1026" t="str">
            <v>Hàm Tân 2 MBA AT2 (phía 110kV)</v>
          </cell>
          <cell r="F1026">
            <v>-66.5</v>
          </cell>
          <cell r="H1026">
            <v>-66.5</v>
          </cell>
          <cell r="I1026">
            <v>-58.3</v>
          </cell>
          <cell r="J1026">
            <v>-63</v>
          </cell>
          <cell r="K1026">
            <v>-54.6</v>
          </cell>
          <cell r="L1026">
            <v>-55</v>
          </cell>
          <cell r="M1026">
            <v>-59.7</v>
          </cell>
        </row>
        <row r="1027">
          <cell r="C1027" t="str">
            <v>Hiệp Bình Phước MBA AT1 (phía 220kV)</v>
          </cell>
          <cell r="F1027">
            <v>171.7</v>
          </cell>
          <cell r="H1027">
            <v>168</v>
          </cell>
          <cell r="I1027">
            <v>140.69999999999999</v>
          </cell>
          <cell r="J1027">
            <v>171.7</v>
          </cell>
          <cell r="K1027">
            <v>133.6</v>
          </cell>
          <cell r="L1027">
            <v>116.3</v>
          </cell>
          <cell r="M1027">
            <v>98.8</v>
          </cell>
        </row>
        <row r="1028">
          <cell r="C1028" t="str">
            <v>220kV 273 Hiệp Bình Phước - 274 Hóc Môn</v>
          </cell>
          <cell r="F1028">
            <v>-236.7</v>
          </cell>
          <cell r="H1028">
            <v>-236.7</v>
          </cell>
          <cell r="I1028">
            <v>-151.9</v>
          </cell>
          <cell r="J1028">
            <v>-200</v>
          </cell>
          <cell r="K1028">
            <v>-157.19999999999999</v>
          </cell>
          <cell r="L1028">
            <v>-179.6</v>
          </cell>
          <cell r="M1028">
            <v>-200.3</v>
          </cell>
        </row>
        <row r="1029">
          <cell r="C1029" t="str">
            <v>220kV 274 Hiệp Bình Phước - 271 Thủ Đức</v>
          </cell>
          <cell r="F1029">
            <v>-230.2</v>
          </cell>
          <cell r="H1029">
            <v>-168.5</v>
          </cell>
          <cell r="I1029">
            <v>-136</v>
          </cell>
          <cell r="J1029">
            <v>-230.2</v>
          </cell>
          <cell r="K1029">
            <v>-136.5</v>
          </cell>
          <cell r="L1029">
            <v>-168.4</v>
          </cell>
          <cell r="M1029">
            <v>-65.099999999999994</v>
          </cell>
        </row>
        <row r="1030">
          <cell r="C1030" t="str">
            <v>Hiệp Bình Phước MBA AT2 (phía 220kV)</v>
          </cell>
          <cell r="F1030">
            <v>171.8</v>
          </cell>
          <cell r="H1030">
            <v>165.7</v>
          </cell>
          <cell r="I1030">
            <v>140.19999999999999</v>
          </cell>
          <cell r="J1030">
            <v>171.8</v>
          </cell>
          <cell r="K1030">
            <v>132.30000000000001</v>
          </cell>
          <cell r="L1030">
            <v>116.9</v>
          </cell>
          <cell r="M1030">
            <v>97.5</v>
          </cell>
        </row>
        <row r="1031">
          <cell r="C1031" t="str">
            <v>Hiệp Bình Phước MBA AT1 (phía 110kV)</v>
          </cell>
          <cell r="F1031">
            <v>-171.4</v>
          </cell>
          <cell r="H1031">
            <v>-168.3</v>
          </cell>
          <cell r="I1031">
            <v>-141</v>
          </cell>
          <cell r="J1031">
            <v>-171.4</v>
          </cell>
          <cell r="K1031">
            <v>-131.30000000000001</v>
          </cell>
          <cell r="L1031">
            <v>-115.4</v>
          </cell>
          <cell r="M1031">
            <v>-98.8</v>
          </cell>
        </row>
        <row r="1032">
          <cell r="C1032" t="str">
            <v>Hiệp Bình Phước MBA T4 (phía 110kV)</v>
          </cell>
          <cell r="F1032">
            <v>15.7</v>
          </cell>
          <cell r="H1032">
            <v>15.5</v>
          </cell>
          <cell r="I1032">
            <v>12.4</v>
          </cell>
          <cell r="J1032">
            <v>15.7</v>
          </cell>
          <cell r="K1032">
            <v>14</v>
          </cell>
          <cell r="L1032">
            <v>12.9</v>
          </cell>
          <cell r="M1032">
            <v>12.9</v>
          </cell>
        </row>
        <row r="1033">
          <cell r="C1033" t="str">
            <v>110kV 171 Hiệp Bình Phước - 175 Hóc Môn</v>
          </cell>
          <cell r="F1033">
            <v>30</v>
          </cell>
          <cell r="H1033">
            <v>17.600000000000001</v>
          </cell>
          <cell r="I1033">
            <v>24.7</v>
          </cell>
          <cell r="J1033">
            <v>30</v>
          </cell>
          <cell r="K1033">
            <v>10.8</v>
          </cell>
          <cell r="L1033">
            <v>6.5</v>
          </cell>
          <cell r="M1033">
            <v>18.399999999999999</v>
          </cell>
        </row>
        <row r="1034">
          <cell r="C1034" t="str">
            <v>110kV 172 Hiệp Bình Phước - 172 Thủ Đức</v>
          </cell>
          <cell r="E1034">
            <v>0</v>
          </cell>
          <cell r="F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</row>
        <row r="1035">
          <cell r="C1035" t="str">
            <v>110kV 173 Hiệp Bình Phước - 172 Hỏa Xa</v>
          </cell>
          <cell r="F1035">
            <v>59.7</v>
          </cell>
          <cell r="H1035">
            <v>59.7</v>
          </cell>
          <cell r="I1035">
            <v>47.9</v>
          </cell>
          <cell r="J1035">
            <v>53.1</v>
          </cell>
          <cell r="K1035">
            <v>46.7</v>
          </cell>
          <cell r="L1035">
            <v>44.3</v>
          </cell>
          <cell r="M1035">
            <v>47.1</v>
          </cell>
        </row>
        <row r="1036">
          <cell r="C1036" t="str">
            <v>110kV 174 Hiệp Bình Phước - 172 Bình Triệu</v>
          </cell>
          <cell r="F1036">
            <v>73.900000000000006</v>
          </cell>
          <cell r="H1036">
            <v>73.900000000000006</v>
          </cell>
          <cell r="I1036">
            <v>60.3</v>
          </cell>
          <cell r="J1036">
            <v>66.7</v>
          </cell>
          <cell r="K1036">
            <v>58.2</v>
          </cell>
          <cell r="L1036">
            <v>56.5</v>
          </cell>
          <cell r="M1036">
            <v>60</v>
          </cell>
        </row>
        <row r="1037">
          <cell r="C1037" t="str">
            <v>Hiệp Bình Phước MBA AT2 (phía 110kV)</v>
          </cell>
          <cell r="F1037">
            <v>-171.8</v>
          </cell>
          <cell r="H1037">
            <v>-167.1</v>
          </cell>
          <cell r="I1037">
            <v>-141</v>
          </cell>
          <cell r="J1037">
            <v>-171.8</v>
          </cell>
          <cell r="K1037">
            <v>-132.5</v>
          </cell>
          <cell r="L1037">
            <v>-115.3</v>
          </cell>
          <cell r="M1037">
            <v>-97.6</v>
          </cell>
        </row>
        <row r="1038">
          <cell r="C1038" t="str">
            <v>Hiệp Bình Phước MBA T5 (phía 110kV)</v>
          </cell>
          <cell r="F1038">
            <v>24.5</v>
          </cell>
          <cell r="H1038">
            <v>24.2</v>
          </cell>
          <cell r="I1038">
            <v>18.5</v>
          </cell>
          <cell r="J1038">
            <v>24.5</v>
          </cell>
          <cell r="K1038">
            <v>21.3</v>
          </cell>
          <cell r="L1038">
            <v>19.600000000000001</v>
          </cell>
          <cell r="M1038">
            <v>19.399999999999999</v>
          </cell>
        </row>
        <row r="1039">
          <cell r="C1039" t="str">
            <v>110kV 179 Hiệp Bình Phước - 172 Thạnh Lộc</v>
          </cell>
          <cell r="F1039">
            <v>76.400000000000006</v>
          </cell>
          <cell r="H1039">
            <v>62.1</v>
          </cell>
          <cell r="I1039">
            <v>59.1</v>
          </cell>
          <cell r="J1039">
            <v>76.400000000000006</v>
          </cell>
          <cell r="K1039">
            <v>50.8</v>
          </cell>
          <cell r="L1039">
            <v>39.799999999999997</v>
          </cell>
          <cell r="M1039">
            <v>46.2</v>
          </cell>
        </row>
        <row r="1040">
          <cell r="C1040" t="str">
            <v>110kV 180 Hiệp Bình Phước - 172 Bình Lợi</v>
          </cell>
          <cell r="E1040">
            <v>0</v>
          </cell>
          <cell r="F1040">
            <v>83</v>
          </cell>
          <cell r="H1040">
            <v>83</v>
          </cell>
          <cell r="I1040">
            <v>68.7</v>
          </cell>
          <cell r="J1040">
            <v>78.400000000000006</v>
          </cell>
          <cell r="K1040">
            <v>64.400000000000006</v>
          </cell>
          <cell r="L1040">
            <v>62.7</v>
          </cell>
          <cell r="M1040">
            <v>0</v>
          </cell>
        </row>
        <row r="1041">
          <cell r="C1041" t="str">
            <v>Hiệp Bình Phước MBA T4 (phía 22kV)</v>
          </cell>
          <cell r="F1041">
            <v>-15.7</v>
          </cell>
          <cell r="H1041">
            <v>-15.4</v>
          </cell>
          <cell r="I1041">
            <v>-12.5</v>
          </cell>
          <cell r="J1041">
            <v>-15.7</v>
          </cell>
          <cell r="K1041">
            <v>-14</v>
          </cell>
          <cell r="L1041">
            <v>-12.8</v>
          </cell>
          <cell r="M1041">
            <v>-12.8</v>
          </cell>
        </row>
        <row r="1042">
          <cell r="C1042" t="str">
            <v>Hiệp Bình Phước MBA T5 (phía 22kV)</v>
          </cell>
          <cell r="F1042">
            <v>-24.6</v>
          </cell>
          <cell r="H1042">
            <v>-23.9</v>
          </cell>
          <cell r="I1042">
            <v>-18.7</v>
          </cell>
          <cell r="J1042">
            <v>-24.6</v>
          </cell>
          <cell r="K1042">
            <v>-21.3</v>
          </cell>
          <cell r="L1042">
            <v>-19.8</v>
          </cell>
          <cell r="M1042">
            <v>-19.2</v>
          </cell>
        </row>
        <row r="1043">
          <cell r="C1043" t="str">
            <v>110kV 171 Hố Nai - 172 Sông Mây</v>
          </cell>
          <cell r="F1043">
            <v>-82.9</v>
          </cell>
          <cell r="H1043">
            <v>-82.9</v>
          </cell>
          <cell r="I1043">
            <v>-78.400000000000006</v>
          </cell>
          <cell r="J1043">
            <v>-80.400000000000006</v>
          </cell>
          <cell r="K1043">
            <v>-77.400000000000006</v>
          </cell>
          <cell r="L1043">
            <v>-40.700000000000003</v>
          </cell>
          <cell r="M1043">
            <v>-41.6</v>
          </cell>
        </row>
        <row r="1044">
          <cell r="C1044" t="str">
            <v>110kV 172 Hố Nai - 180 Long Bình</v>
          </cell>
          <cell r="E1044">
            <v>0</v>
          </cell>
          <cell r="F1044">
            <v>-46.7</v>
          </cell>
          <cell r="H1044">
            <v>-46.7</v>
          </cell>
          <cell r="I1044">
            <v>0</v>
          </cell>
          <cell r="J1044">
            <v>0</v>
          </cell>
          <cell r="K1044">
            <v>0</v>
          </cell>
          <cell r="L1044">
            <v>-4.2</v>
          </cell>
          <cell r="M1044">
            <v>0</v>
          </cell>
        </row>
        <row r="1045">
          <cell r="C1045" t="str">
            <v>Hố Nai MBA T1 (phía 110kV)</v>
          </cell>
          <cell r="F1045">
            <v>39.6</v>
          </cell>
          <cell r="H1045">
            <v>38.799999999999997</v>
          </cell>
          <cell r="I1045">
            <v>37.5</v>
          </cell>
          <cell r="J1045">
            <v>39.6</v>
          </cell>
          <cell r="K1045">
            <v>37.200000000000003</v>
          </cell>
          <cell r="L1045">
            <v>20.100000000000001</v>
          </cell>
          <cell r="M1045">
            <v>20.6</v>
          </cell>
        </row>
        <row r="1046">
          <cell r="C1046" t="str">
            <v>Hố Nai MBA T2 (phía 110kV)</v>
          </cell>
          <cell r="F1046">
            <v>42</v>
          </cell>
          <cell r="H1046">
            <v>42</v>
          </cell>
          <cell r="I1046">
            <v>40.5</v>
          </cell>
          <cell r="J1046">
            <v>41</v>
          </cell>
          <cell r="K1046">
            <v>40.4</v>
          </cell>
          <cell r="L1046">
            <v>21.1</v>
          </cell>
          <cell r="M1046">
            <v>21</v>
          </cell>
        </row>
        <row r="1047">
          <cell r="C1047" t="str">
            <v>Hố Nai MBA T1 (phía 22kV)</v>
          </cell>
          <cell r="F1047">
            <v>-39.4</v>
          </cell>
          <cell r="H1047">
            <v>-38.9</v>
          </cell>
          <cell r="I1047">
            <v>-36.6</v>
          </cell>
          <cell r="J1047">
            <v>-39.4</v>
          </cell>
          <cell r="K1047">
            <v>-37.299999999999997</v>
          </cell>
          <cell r="L1047">
            <v>-20</v>
          </cell>
          <cell r="M1047">
            <v>-20.7</v>
          </cell>
        </row>
        <row r="1048">
          <cell r="C1048" t="str">
            <v>Hố Nai MBA T2 (phía 22kV)</v>
          </cell>
          <cell r="F1048">
            <v>-42.2</v>
          </cell>
          <cell r="H1048">
            <v>-42.2</v>
          </cell>
          <cell r="I1048">
            <v>-40.1</v>
          </cell>
          <cell r="J1048">
            <v>-40.700000000000003</v>
          </cell>
          <cell r="K1048">
            <v>-40.299999999999997</v>
          </cell>
          <cell r="L1048">
            <v>-21.1</v>
          </cell>
          <cell r="M1048">
            <v>-20.9</v>
          </cell>
        </row>
        <row r="1049">
          <cell r="C1049" t="str">
            <v>110kV 171 Hòa Bình - 172 Hòa Phú</v>
          </cell>
          <cell r="F1049">
            <v>-62.4</v>
          </cell>
          <cell r="H1049">
            <v>-60.9</v>
          </cell>
          <cell r="I1049">
            <v>-55.7</v>
          </cell>
          <cell r="J1049">
            <v>-62.4</v>
          </cell>
          <cell r="K1049">
            <v>-58.2</v>
          </cell>
          <cell r="L1049">
            <v>-41.8</v>
          </cell>
          <cell r="M1049">
            <v>-38.1</v>
          </cell>
        </row>
        <row r="1050">
          <cell r="C1050" t="str">
            <v>110kV 172 Hòa Bình - 171 Hòa Lợi</v>
          </cell>
          <cell r="F1050">
            <v>-57.7</v>
          </cell>
          <cell r="H1050">
            <v>-57.7</v>
          </cell>
          <cell r="I1050">
            <v>-52.9</v>
          </cell>
          <cell r="J1050">
            <v>-57</v>
          </cell>
          <cell r="K1050">
            <v>-54</v>
          </cell>
          <cell r="L1050">
            <v>-40.6</v>
          </cell>
          <cell r="M1050">
            <v>-40.9</v>
          </cell>
        </row>
        <row r="1051">
          <cell r="C1051" t="str">
            <v>Hòa Bình MBA T1 (phía 110kV)</v>
          </cell>
          <cell r="F1051">
            <v>62.3</v>
          </cell>
          <cell r="H1051">
            <v>61.1</v>
          </cell>
          <cell r="I1051">
            <v>55.7</v>
          </cell>
          <cell r="J1051">
            <v>62.3</v>
          </cell>
          <cell r="K1051">
            <v>57.9</v>
          </cell>
          <cell r="L1051">
            <v>42</v>
          </cell>
          <cell r="M1051">
            <v>38.4</v>
          </cell>
        </row>
        <row r="1052">
          <cell r="C1052" t="str">
            <v>Hòa Bình MBA T2 (phía 110kV)</v>
          </cell>
          <cell r="F1052">
            <v>57.8</v>
          </cell>
          <cell r="H1052">
            <v>57.8</v>
          </cell>
          <cell r="I1052">
            <v>52.9</v>
          </cell>
          <cell r="J1052">
            <v>57.2</v>
          </cell>
          <cell r="K1052">
            <v>54</v>
          </cell>
          <cell r="L1052">
            <v>41.2</v>
          </cell>
          <cell r="M1052">
            <v>41</v>
          </cell>
        </row>
        <row r="1053">
          <cell r="C1053" t="str">
            <v>Hòa Bình MBA T1 (phía 22kV)</v>
          </cell>
          <cell r="F1053">
            <v>-62.3</v>
          </cell>
          <cell r="H1053">
            <v>-60.7</v>
          </cell>
          <cell r="I1053">
            <v>-55.7</v>
          </cell>
          <cell r="J1053">
            <v>-62.3</v>
          </cell>
          <cell r="K1053">
            <v>-57.8</v>
          </cell>
          <cell r="L1053">
            <v>-41.7</v>
          </cell>
          <cell r="M1053">
            <v>-38.200000000000003</v>
          </cell>
        </row>
        <row r="1054">
          <cell r="C1054" t="str">
            <v>Hòa Bình MBA T2 (phía 22kV)</v>
          </cell>
          <cell r="F1054">
            <v>-57.9</v>
          </cell>
          <cell r="H1054">
            <v>-57.9</v>
          </cell>
          <cell r="I1054">
            <v>-53.1</v>
          </cell>
          <cell r="J1054">
            <v>-57.1</v>
          </cell>
          <cell r="K1054">
            <v>-53.9</v>
          </cell>
          <cell r="L1054">
            <v>-40.9</v>
          </cell>
          <cell r="M1054">
            <v>-41.2</v>
          </cell>
        </row>
        <row r="1055">
          <cell r="C1055" t="str">
            <v>110kV 171 Hòa Hưng - (172-8) Hỏa Xa</v>
          </cell>
          <cell r="F1055">
            <v>-38.200000000000003</v>
          </cell>
          <cell r="H1055">
            <v>-36.4</v>
          </cell>
          <cell r="I1055">
            <v>-32.4</v>
          </cell>
          <cell r="J1055">
            <v>-38.200000000000003</v>
          </cell>
          <cell r="K1055">
            <v>-34</v>
          </cell>
          <cell r="L1055">
            <v>-31.1</v>
          </cell>
          <cell r="M1055">
            <v>-30.2</v>
          </cell>
        </row>
        <row r="1056">
          <cell r="C1056" t="str">
            <v>110kV 172 Hòa Hưng - 175 Tao Đàn</v>
          </cell>
          <cell r="F1056">
            <v>-50.7</v>
          </cell>
          <cell r="H1056">
            <v>-50.7</v>
          </cell>
          <cell r="I1056">
            <v>-38.5</v>
          </cell>
          <cell r="J1056">
            <v>-44.9</v>
          </cell>
          <cell r="K1056">
            <v>-40</v>
          </cell>
          <cell r="L1056">
            <v>-38.700000000000003</v>
          </cell>
          <cell r="M1056">
            <v>-39.5</v>
          </cell>
        </row>
        <row r="1057">
          <cell r="C1057" t="str">
            <v>Hòa Hưng MBA T1 (phía 110kV)</v>
          </cell>
          <cell r="F1057">
            <v>38.200000000000003</v>
          </cell>
          <cell r="H1057">
            <v>36.4</v>
          </cell>
          <cell r="I1057">
            <v>32.5</v>
          </cell>
          <cell r="J1057">
            <v>38.200000000000003</v>
          </cell>
          <cell r="K1057">
            <v>33.9</v>
          </cell>
          <cell r="L1057">
            <v>31.2</v>
          </cell>
          <cell r="M1057">
            <v>30.3</v>
          </cell>
        </row>
        <row r="1058">
          <cell r="C1058" t="str">
            <v>Hòa Hưng MBA T1 (phía 22kV)</v>
          </cell>
          <cell r="F1058">
            <v>-37.6</v>
          </cell>
          <cell r="H1058">
            <v>-35.799999999999997</v>
          </cell>
          <cell r="I1058">
            <v>-32</v>
          </cell>
          <cell r="J1058">
            <v>-37.6</v>
          </cell>
          <cell r="K1058">
            <v>-33.6</v>
          </cell>
          <cell r="L1058">
            <v>-30.6</v>
          </cell>
          <cell r="M1058">
            <v>-29.7</v>
          </cell>
        </row>
        <row r="1059">
          <cell r="C1059" t="str">
            <v>Hòa Hưng MBA T2 (phía 110kV)</v>
          </cell>
          <cell r="F1059">
            <v>50.7</v>
          </cell>
          <cell r="H1059">
            <v>50.7</v>
          </cell>
          <cell r="I1059">
            <v>38.6</v>
          </cell>
          <cell r="J1059">
            <v>45</v>
          </cell>
          <cell r="K1059">
            <v>40.1</v>
          </cell>
          <cell r="L1059">
            <v>38.700000000000003</v>
          </cell>
          <cell r="M1059">
            <v>39.4</v>
          </cell>
        </row>
        <row r="1060">
          <cell r="C1060" t="str">
            <v>Hòa Hưng MBA T2 (phía 22kV)</v>
          </cell>
          <cell r="F1060">
            <v>-50.1</v>
          </cell>
          <cell r="H1060">
            <v>-50.1</v>
          </cell>
          <cell r="I1060">
            <v>-38</v>
          </cell>
          <cell r="J1060">
            <v>-44.4</v>
          </cell>
          <cell r="K1060">
            <v>-39.5</v>
          </cell>
          <cell r="L1060">
            <v>-38.1</v>
          </cell>
          <cell r="M1060">
            <v>-38.799999999999997</v>
          </cell>
        </row>
        <row r="1061">
          <cell r="C1061" t="str">
            <v>110kV 171 Hòa Lợi - 172 Hòa Bình</v>
          </cell>
          <cell r="F1061">
            <v>57.6</v>
          </cell>
          <cell r="H1061">
            <v>57.6</v>
          </cell>
          <cell r="I1061">
            <v>53</v>
          </cell>
          <cell r="J1061">
            <v>57.3</v>
          </cell>
          <cell r="K1061">
            <v>54.3</v>
          </cell>
          <cell r="L1061">
            <v>40.799999999999997</v>
          </cell>
          <cell r="M1061">
            <v>41</v>
          </cell>
        </row>
        <row r="1062">
          <cell r="C1062" t="str">
            <v>110kV 172 Hòa Lợi - 181 Tân Định</v>
          </cell>
          <cell r="F1062">
            <v>-140</v>
          </cell>
          <cell r="H1062">
            <v>-132.4</v>
          </cell>
          <cell r="I1062">
            <v>-134.19999999999999</v>
          </cell>
          <cell r="J1062">
            <v>-140</v>
          </cell>
          <cell r="K1062">
            <v>-130.5</v>
          </cell>
          <cell r="L1062">
            <v>-115.3</v>
          </cell>
          <cell r="M1062">
            <v>-118.1</v>
          </cell>
        </row>
        <row r="1063">
          <cell r="C1063" t="str">
            <v>Hòa Lợi MBA T1 (phía 110kV)</v>
          </cell>
          <cell r="F1063">
            <v>55.5</v>
          </cell>
          <cell r="H1063">
            <v>44.5</v>
          </cell>
          <cell r="I1063">
            <v>47.7</v>
          </cell>
          <cell r="J1063">
            <v>46.7</v>
          </cell>
          <cell r="K1063">
            <v>55.5</v>
          </cell>
          <cell r="L1063">
            <v>42.5</v>
          </cell>
          <cell r="M1063">
            <v>47.2</v>
          </cell>
        </row>
        <row r="1064">
          <cell r="C1064" t="str">
            <v>Hòa Lợi MBA T2 (phía 110kV)</v>
          </cell>
          <cell r="F1064">
            <v>47.7</v>
          </cell>
          <cell r="H1064">
            <v>34.799999999999997</v>
          </cell>
          <cell r="I1064">
            <v>42.9</v>
          </cell>
          <cell r="J1064">
            <v>47.7</v>
          </cell>
          <cell r="K1064">
            <v>42.6</v>
          </cell>
          <cell r="L1064">
            <v>40.799999999999997</v>
          </cell>
          <cell r="M1064">
            <v>33.9</v>
          </cell>
        </row>
        <row r="1065">
          <cell r="C1065" t="str">
            <v>Hòa Lợi MBA T1 (phía 22kV)</v>
          </cell>
          <cell r="F1065">
            <v>-55.5</v>
          </cell>
          <cell r="H1065">
            <v>-44.5</v>
          </cell>
          <cell r="I1065">
            <v>-47.8</v>
          </cell>
          <cell r="J1065">
            <v>-46</v>
          </cell>
          <cell r="K1065">
            <v>-55.5</v>
          </cell>
          <cell r="L1065">
            <v>-42.6</v>
          </cell>
          <cell r="M1065">
            <v>-48</v>
          </cell>
        </row>
        <row r="1066">
          <cell r="C1066" t="str">
            <v>Hòa Lợi MBA T2 (phía 22kV)</v>
          </cell>
          <cell r="F1066">
            <v>-47.4</v>
          </cell>
          <cell r="H1066">
            <v>-35</v>
          </cell>
          <cell r="I1066">
            <v>-42.4</v>
          </cell>
          <cell r="J1066">
            <v>-47.4</v>
          </cell>
          <cell r="K1066">
            <v>-42.1</v>
          </cell>
          <cell r="L1066">
            <v>-40.799999999999997</v>
          </cell>
          <cell r="M1066">
            <v>-33.9</v>
          </cell>
        </row>
        <row r="1067">
          <cell r="C1067" t="str">
            <v>Hòa Phú MBA T1 (phía 110kV)</v>
          </cell>
          <cell r="D1067">
            <v>131</v>
          </cell>
          <cell r="E1067">
            <v>27.9</v>
          </cell>
          <cell r="F1067">
            <v>43.4</v>
          </cell>
          <cell r="G1067">
            <v>43.4</v>
          </cell>
          <cell r="H1067">
            <v>42.7</v>
          </cell>
          <cell r="I1067">
            <v>38.9</v>
          </cell>
          <cell r="J1067">
            <v>41.1</v>
          </cell>
          <cell r="K1067">
            <v>39.700000000000003</v>
          </cell>
          <cell r="L1067">
            <v>30.1</v>
          </cell>
          <cell r="M1067">
            <v>27.9</v>
          </cell>
        </row>
        <row r="1068">
          <cell r="C1068" t="str">
            <v>Hòa Phú MBA T2 (phía 110kV)</v>
          </cell>
          <cell r="D1068">
            <v>132</v>
          </cell>
          <cell r="E1068">
            <v>38.4</v>
          </cell>
          <cell r="F1068">
            <v>49.3</v>
          </cell>
          <cell r="G1068">
            <v>47.4</v>
          </cell>
          <cell r="H1068">
            <v>49.3</v>
          </cell>
          <cell r="I1068">
            <v>47.4</v>
          </cell>
          <cell r="J1068">
            <v>48.3</v>
          </cell>
          <cell r="K1068">
            <v>46.2</v>
          </cell>
          <cell r="L1068">
            <v>39.700000000000003</v>
          </cell>
          <cell r="M1068">
            <v>38.4</v>
          </cell>
        </row>
        <row r="1069">
          <cell r="C1069" t="str">
            <v>110kV 171 Hòa Phú - 182 Tân Định</v>
          </cell>
          <cell r="D1069">
            <v>171</v>
          </cell>
          <cell r="E1069">
            <v>-104.3</v>
          </cell>
          <cell r="F1069">
            <v>-150.80000000000001</v>
          </cell>
          <cell r="G1069">
            <v>-144.80000000000001</v>
          </cell>
          <cell r="H1069">
            <v>-150.80000000000001</v>
          </cell>
          <cell r="I1069">
            <v>-139.6</v>
          </cell>
          <cell r="J1069">
            <v>-150.4</v>
          </cell>
          <cell r="K1069">
            <v>-144.5</v>
          </cell>
          <cell r="L1069">
            <v>-111.9</v>
          </cell>
          <cell r="M1069">
            <v>-104.3</v>
          </cell>
        </row>
        <row r="1070">
          <cell r="C1070" t="str">
            <v>110kV 172 Hòa Phú - 171 Hòa Bình</v>
          </cell>
          <cell r="D1070">
            <v>172</v>
          </cell>
          <cell r="E1070">
            <v>38.200000000000003</v>
          </cell>
          <cell r="F1070">
            <v>62.5</v>
          </cell>
          <cell r="G1070">
            <v>54.2</v>
          </cell>
          <cell r="H1070">
            <v>61.1</v>
          </cell>
          <cell r="I1070">
            <v>56.4</v>
          </cell>
          <cell r="J1070">
            <v>62.5</v>
          </cell>
          <cell r="K1070">
            <v>58.5</v>
          </cell>
          <cell r="L1070">
            <v>42</v>
          </cell>
          <cell r="M1070">
            <v>38.200000000000003</v>
          </cell>
        </row>
        <row r="1071">
          <cell r="C1071" t="str">
            <v>Hòa Phú MBA T1 (phía 22kV)</v>
          </cell>
          <cell r="D1071">
            <v>431</v>
          </cell>
          <cell r="E1071">
            <v>-27.7</v>
          </cell>
          <cell r="F1071">
            <v>-43.4</v>
          </cell>
          <cell r="G1071">
            <v>-43.4</v>
          </cell>
          <cell r="H1071">
            <v>-42.6</v>
          </cell>
          <cell r="I1071">
            <v>-38.700000000000003</v>
          </cell>
          <cell r="J1071">
            <v>-40.799999999999997</v>
          </cell>
          <cell r="K1071">
            <v>-39.4</v>
          </cell>
          <cell r="L1071">
            <v>-30</v>
          </cell>
          <cell r="M1071">
            <v>-27.7</v>
          </cell>
        </row>
        <row r="1072">
          <cell r="C1072" t="str">
            <v>Hòa Phú MBA T2 (phía 22kV)</v>
          </cell>
          <cell r="D1072">
            <v>432</v>
          </cell>
          <cell r="E1072">
            <v>-38.200000000000003</v>
          </cell>
          <cell r="F1072">
            <v>-48.7</v>
          </cell>
          <cell r="G1072">
            <v>-46.8</v>
          </cell>
          <cell r="H1072">
            <v>-48.7</v>
          </cell>
          <cell r="I1072">
            <v>-47.1</v>
          </cell>
          <cell r="J1072">
            <v>-48</v>
          </cell>
          <cell r="K1072">
            <v>-45.9</v>
          </cell>
          <cell r="L1072">
            <v>-39.6</v>
          </cell>
          <cell r="M1072">
            <v>-38.200000000000003</v>
          </cell>
        </row>
        <row r="1073">
          <cell r="C1073" t="str">
            <v>110kV 171 Hòa Thành - 171 Phước Đức</v>
          </cell>
          <cell r="F1073">
            <v>104</v>
          </cell>
          <cell r="H1073">
            <v>103.4</v>
          </cell>
          <cell r="I1073">
            <v>104</v>
          </cell>
          <cell r="J1073">
            <v>102</v>
          </cell>
          <cell r="K1073">
            <v>103.7</v>
          </cell>
          <cell r="L1073">
            <v>97.7</v>
          </cell>
          <cell r="M1073">
            <v>99.8</v>
          </cell>
        </row>
        <row r="1074">
          <cell r="C1074" t="str">
            <v>110kV 172 Hòa Thành - 171 Tây Ninh 2</v>
          </cell>
          <cell r="F1074">
            <v>-128.5</v>
          </cell>
          <cell r="H1074">
            <v>-128.5</v>
          </cell>
          <cell r="I1074">
            <v>-127.3</v>
          </cell>
          <cell r="J1074">
            <v>-127.5</v>
          </cell>
          <cell r="K1074">
            <v>-127.1</v>
          </cell>
          <cell r="L1074">
            <v>-118.1</v>
          </cell>
          <cell r="M1074">
            <v>-116.6</v>
          </cell>
        </row>
        <row r="1075">
          <cell r="C1075" t="str">
            <v>Hòa Thành MBA T2 (phía 110kV)</v>
          </cell>
          <cell r="F1075">
            <v>13.8</v>
          </cell>
          <cell r="H1075">
            <v>9.1</v>
          </cell>
          <cell r="I1075">
            <v>9.1999999999999993</v>
          </cell>
          <cell r="J1075">
            <v>13.8</v>
          </cell>
          <cell r="K1075">
            <v>13.4</v>
          </cell>
          <cell r="L1075">
            <v>5</v>
          </cell>
          <cell r="M1075">
            <v>5.0999999999999996</v>
          </cell>
        </row>
        <row r="1076">
          <cell r="C1076" t="str">
            <v>Hòa Thành MBA T2 (phía 22kV)</v>
          </cell>
          <cell r="F1076">
            <v>-13.7</v>
          </cell>
          <cell r="H1076">
            <v>-9</v>
          </cell>
          <cell r="I1076">
            <v>-9.3000000000000007</v>
          </cell>
          <cell r="J1076">
            <v>-13.7</v>
          </cell>
          <cell r="K1076">
            <v>-13.6</v>
          </cell>
          <cell r="L1076">
            <v>-5</v>
          </cell>
          <cell r="M1076">
            <v>-5</v>
          </cell>
        </row>
        <row r="1077">
          <cell r="C1077" t="str">
            <v>Hòa Thành MBA T1 (phía 110kV)</v>
          </cell>
          <cell r="F1077">
            <v>19.899999999999999</v>
          </cell>
          <cell r="H1077">
            <v>18.8</v>
          </cell>
          <cell r="I1077">
            <v>17.399999999999999</v>
          </cell>
          <cell r="J1077">
            <v>18.899999999999999</v>
          </cell>
          <cell r="K1077">
            <v>17</v>
          </cell>
          <cell r="L1077">
            <v>16.3</v>
          </cell>
          <cell r="M1077">
            <v>19.899999999999999</v>
          </cell>
        </row>
        <row r="1078">
          <cell r="C1078" t="str">
            <v>Hòa Thành MBA T1 (phía 22kV)</v>
          </cell>
          <cell r="F1078">
            <v>-19.7</v>
          </cell>
          <cell r="H1078">
            <v>-18.8</v>
          </cell>
          <cell r="I1078">
            <v>-17.399999999999999</v>
          </cell>
          <cell r="J1078">
            <v>-18.7</v>
          </cell>
          <cell r="K1078">
            <v>-16.899999999999999</v>
          </cell>
          <cell r="L1078">
            <v>-16.2</v>
          </cell>
          <cell r="M1078">
            <v>-19.7</v>
          </cell>
        </row>
        <row r="1079">
          <cell r="C1079" t="str">
            <v>110kV 171 Hòa Thuận - 173 Mỹ Phước</v>
          </cell>
          <cell r="E1079">
            <v>0</v>
          </cell>
          <cell r="F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</row>
        <row r="1080">
          <cell r="C1080" t="str">
            <v>110kV 172 Hòa Thuận - 172 Thới Hòa</v>
          </cell>
          <cell r="F1080">
            <v>55.6</v>
          </cell>
          <cell r="H1080">
            <v>55</v>
          </cell>
          <cell r="I1080">
            <v>52.1</v>
          </cell>
          <cell r="J1080">
            <v>55.6</v>
          </cell>
          <cell r="K1080">
            <v>53.2</v>
          </cell>
          <cell r="L1080">
            <v>44.1</v>
          </cell>
          <cell r="M1080">
            <v>42.4</v>
          </cell>
        </row>
        <row r="1081">
          <cell r="C1081" t="str">
            <v>Hòa Thuận MBA T1 (phía 110kV)</v>
          </cell>
          <cell r="F1081">
            <v>56.7</v>
          </cell>
          <cell r="H1081">
            <v>56.1</v>
          </cell>
          <cell r="I1081">
            <v>55</v>
          </cell>
          <cell r="J1081">
            <v>56.7</v>
          </cell>
          <cell r="K1081">
            <v>53.2</v>
          </cell>
          <cell r="L1081">
            <v>47.3</v>
          </cell>
          <cell r="M1081">
            <v>40.200000000000003</v>
          </cell>
        </row>
        <row r="1082">
          <cell r="C1082" t="str">
            <v>Hòa Thuận MBA T1 (phía 22kV)</v>
          </cell>
          <cell r="F1082">
            <v>-56.4</v>
          </cell>
          <cell r="H1082">
            <v>-56</v>
          </cell>
          <cell r="I1082">
            <v>-55</v>
          </cell>
          <cell r="J1082">
            <v>-56.4</v>
          </cell>
          <cell r="K1082">
            <v>-53</v>
          </cell>
          <cell r="L1082">
            <v>-47.1</v>
          </cell>
          <cell r="M1082">
            <v>-39.700000000000003</v>
          </cell>
        </row>
        <row r="1083">
          <cell r="C1083" t="str">
            <v>Hòa Thuận MBA T2 (phía 110kV)</v>
          </cell>
          <cell r="F1083">
            <v>56.2</v>
          </cell>
          <cell r="H1083">
            <v>49.8</v>
          </cell>
          <cell r="I1083">
            <v>53.8</v>
          </cell>
          <cell r="J1083">
            <v>56.2</v>
          </cell>
          <cell r="K1083">
            <v>49.1</v>
          </cell>
          <cell r="L1083">
            <v>36.799999999999997</v>
          </cell>
          <cell r="M1083">
            <v>36.1</v>
          </cell>
        </row>
        <row r="1084">
          <cell r="C1084" t="str">
            <v>Hòa Thuận MBA T2 (phía 22kV)</v>
          </cell>
          <cell r="F1084">
            <v>-55.9</v>
          </cell>
          <cell r="H1084">
            <v>-49.4</v>
          </cell>
          <cell r="I1084">
            <v>-53.4</v>
          </cell>
          <cell r="J1084">
            <v>-55.9</v>
          </cell>
          <cell r="K1084">
            <v>-49</v>
          </cell>
          <cell r="L1084">
            <v>-36.700000000000003</v>
          </cell>
          <cell r="M1084">
            <v>-36.1</v>
          </cell>
        </row>
        <row r="1085">
          <cell r="C1085" t="str">
            <v>Hỏa Xa MBA T1 (phía 110kV)</v>
          </cell>
          <cell r="D1085">
            <v>131</v>
          </cell>
          <cell r="E1085">
            <v>28.1</v>
          </cell>
          <cell r="F1085">
            <v>46.7</v>
          </cell>
          <cell r="G1085">
            <v>46.7</v>
          </cell>
          <cell r="H1085">
            <v>44.7</v>
          </cell>
          <cell r="I1085">
            <v>31</v>
          </cell>
          <cell r="J1085">
            <v>32.700000000000003</v>
          </cell>
          <cell r="K1085">
            <v>28.1</v>
          </cell>
          <cell r="L1085">
            <v>28.3</v>
          </cell>
          <cell r="M1085">
            <v>36.6</v>
          </cell>
        </row>
        <row r="1086">
          <cell r="C1086" t="str">
            <v>Hỏa Xa MBA T2 (phía 110kV)</v>
          </cell>
          <cell r="D1086">
            <v>132</v>
          </cell>
          <cell r="E1086">
            <v>21.7</v>
          </cell>
          <cell r="F1086">
            <v>38.6</v>
          </cell>
          <cell r="G1086">
            <v>38.6</v>
          </cell>
          <cell r="H1086">
            <v>32.4</v>
          </cell>
          <cell r="I1086">
            <v>24.6</v>
          </cell>
          <cell r="J1086">
            <v>28.4</v>
          </cell>
          <cell r="K1086">
            <v>24.4</v>
          </cell>
          <cell r="L1086">
            <v>22.4</v>
          </cell>
          <cell r="M1086">
            <v>21.7</v>
          </cell>
        </row>
        <row r="1087">
          <cell r="C1087" t="str">
            <v>110kV 171 Hỏa Xa - 173 Bình Triệu</v>
          </cell>
          <cell r="D1087">
            <v>171</v>
          </cell>
          <cell r="E1087">
            <v>-34.4</v>
          </cell>
          <cell r="F1087">
            <v>-59.2</v>
          </cell>
          <cell r="G1087">
            <v>-59.2</v>
          </cell>
          <cell r="H1087">
            <v>-49.6</v>
          </cell>
          <cell r="I1087">
            <v>-36</v>
          </cell>
          <cell r="J1087">
            <v>-43.2</v>
          </cell>
          <cell r="K1087">
            <v>-36</v>
          </cell>
          <cell r="L1087">
            <v>-34.4</v>
          </cell>
          <cell r="M1087">
            <v>-36.799999999999997</v>
          </cell>
        </row>
        <row r="1088">
          <cell r="C1088" t="str">
            <v>110kV 172 Hỏa Xa - 173 Hiệp Bình Phước</v>
          </cell>
          <cell r="D1088">
            <v>172</v>
          </cell>
          <cell r="E1088">
            <v>-11.2</v>
          </cell>
          <cell r="F1088">
            <v>-21.6</v>
          </cell>
          <cell r="G1088">
            <v>-18.399999999999999</v>
          </cell>
          <cell r="H1088">
            <v>-21.6</v>
          </cell>
          <cell r="I1088">
            <v>-13.6</v>
          </cell>
          <cell r="J1088">
            <v>-13.6</v>
          </cell>
          <cell r="K1088">
            <v>-11.2</v>
          </cell>
          <cell r="L1088">
            <v>-11.2</v>
          </cell>
          <cell r="M1088">
            <v>-15.2</v>
          </cell>
        </row>
        <row r="1089">
          <cell r="C1089" t="str">
            <v>Hỏa Xa MBA T1 (phía 22kV)</v>
          </cell>
          <cell r="D1089">
            <v>431</v>
          </cell>
          <cell r="E1089">
            <v>-28.1</v>
          </cell>
          <cell r="F1089">
            <v>-46.2</v>
          </cell>
          <cell r="G1089">
            <v>-46.2</v>
          </cell>
          <cell r="H1089">
            <v>-44.2</v>
          </cell>
          <cell r="I1089">
            <v>-31.3</v>
          </cell>
          <cell r="J1089">
            <v>-32.9</v>
          </cell>
          <cell r="K1089">
            <v>-28.1</v>
          </cell>
          <cell r="L1089">
            <v>-28.2</v>
          </cell>
          <cell r="M1089">
            <v>-36.6</v>
          </cell>
        </row>
        <row r="1090">
          <cell r="C1090" t="str">
            <v>Hỏa Xa MBA T2 (phía 22kV)</v>
          </cell>
          <cell r="D1090">
            <v>432</v>
          </cell>
          <cell r="E1090">
            <v>-21.5</v>
          </cell>
          <cell r="F1090">
            <v>-38</v>
          </cell>
          <cell r="G1090">
            <v>-38</v>
          </cell>
          <cell r="H1090">
            <v>-32.6</v>
          </cell>
          <cell r="I1090">
            <v>-24.4</v>
          </cell>
          <cell r="J1090">
            <v>-28.7</v>
          </cell>
          <cell r="K1090">
            <v>-24.2</v>
          </cell>
          <cell r="L1090">
            <v>-22.1</v>
          </cell>
          <cell r="M1090">
            <v>-21.5</v>
          </cell>
        </row>
        <row r="1091">
          <cell r="C1091" t="str">
            <v>Hóc Môn MBA AT1 (phía 110kV)</v>
          </cell>
          <cell r="D1091">
            <v>131</v>
          </cell>
          <cell r="E1091">
            <v>-117</v>
          </cell>
          <cell r="F1091">
            <v>-214.5</v>
          </cell>
          <cell r="G1091">
            <v>-214.5</v>
          </cell>
          <cell r="H1091">
            <v>-181.7</v>
          </cell>
          <cell r="I1091">
            <v>-149.69999999999999</v>
          </cell>
          <cell r="J1091">
            <v>-174</v>
          </cell>
          <cell r="K1091">
            <v>-136.19999999999999</v>
          </cell>
          <cell r="L1091">
            <v>-117</v>
          </cell>
          <cell r="M1091">
            <v>-120.5</v>
          </cell>
        </row>
        <row r="1092">
          <cell r="C1092" t="str">
            <v>Hóc Môn MBA AT2 (phía 110kV)</v>
          </cell>
          <cell r="D1092">
            <v>132</v>
          </cell>
          <cell r="E1092">
            <v>-114.8</v>
          </cell>
          <cell r="F1092">
            <v>-217.4</v>
          </cell>
          <cell r="G1092">
            <v>-217.4</v>
          </cell>
          <cell r="H1092">
            <v>-183.9</v>
          </cell>
          <cell r="I1092">
            <v>-150.19999999999999</v>
          </cell>
          <cell r="J1092">
            <v>-176.1</v>
          </cell>
          <cell r="K1092">
            <v>-136.80000000000001</v>
          </cell>
          <cell r="L1092">
            <v>-114.8</v>
          </cell>
          <cell r="M1092">
            <v>-119.1</v>
          </cell>
        </row>
        <row r="1093">
          <cell r="C1093" t="str">
            <v>Hóc Môn MBA AT3 (phía 110kV)</v>
          </cell>
          <cell r="D1093">
            <v>133</v>
          </cell>
          <cell r="E1093">
            <v>-123.5</v>
          </cell>
          <cell r="F1093">
            <v>-160.5</v>
          </cell>
          <cell r="G1093">
            <v>-123.5</v>
          </cell>
          <cell r="H1093">
            <v>-158.1</v>
          </cell>
          <cell r="I1093">
            <v>-143</v>
          </cell>
          <cell r="J1093">
            <v>-160.5</v>
          </cell>
          <cell r="K1093">
            <v>-139.5</v>
          </cell>
          <cell r="L1093">
            <v>-143.1</v>
          </cell>
          <cell r="M1093">
            <v>-143</v>
          </cell>
        </row>
        <row r="1094">
          <cell r="C1094" t="str">
            <v>Hóc Môn MBA T4 (phía 110kV)</v>
          </cell>
          <cell r="D1094">
            <v>134</v>
          </cell>
          <cell r="E1094">
            <v>26.3</v>
          </cell>
          <cell r="F1094">
            <v>36.200000000000003</v>
          </cell>
          <cell r="G1094">
            <v>36.200000000000003</v>
          </cell>
          <cell r="H1094">
            <v>34</v>
          </cell>
          <cell r="I1094">
            <v>30.2</v>
          </cell>
          <cell r="J1094">
            <v>35.4</v>
          </cell>
          <cell r="K1094">
            <v>30.9</v>
          </cell>
          <cell r="L1094">
            <v>27.4</v>
          </cell>
          <cell r="M1094">
            <v>26.3</v>
          </cell>
        </row>
        <row r="1095">
          <cell r="C1095" t="str">
            <v>Hóc Môn MBA T5 (phía 110kV)</v>
          </cell>
          <cell r="D1095">
            <v>135</v>
          </cell>
          <cell r="E1095">
            <v>35.200000000000003</v>
          </cell>
          <cell r="F1095">
            <v>51.9</v>
          </cell>
          <cell r="G1095">
            <v>49.6</v>
          </cell>
          <cell r="H1095">
            <v>46.6</v>
          </cell>
          <cell r="I1095">
            <v>43.1</v>
          </cell>
          <cell r="J1095">
            <v>51.9</v>
          </cell>
          <cell r="K1095">
            <v>43.5</v>
          </cell>
          <cell r="L1095">
            <v>38.200000000000003</v>
          </cell>
          <cell r="M1095">
            <v>35.200000000000003</v>
          </cell>
        </row>
        <row r="1096">
          <cell r="C1096" t="str">
            <v>Hóc Môn MBA T6 (phía 110kV)</v>
          </cell>
          <cell r="D1096">
            <v>136</v>
          </cell>
          <cell r="E1096">
            <v>26.8</v>
          </cell>
          <cell r="F1096">
            <v>39.200000000000003</v>
          </cell>
          <cell r="G1096">
            <v>39.200000000000003</v>
          </cell>
          <cell r="H1096">
            <v>36.299999999999997</v>
          </cell>
          <cell r="I1096">
            <v>30.2</v>
          </cell>
          <cell r="J1096">
            <v>35.299999999999997</v>
          </cell>
          <cell r="K1096">
            <v>34</v>
          </cell>
          <cell r="L1096">
            <v>29.8</v>
          </cell>
          <cell r="M1096">
            <v>26.8</v>
          </cell>
        </row>
        <row r="1097">
          <cell r="C1097" t="str">
            <v>110kV 171 Hóc Môn - 172 Đông Thạnh</v>
          </cell>
          <cell r="D1097">
            <v>171</v>
          </cell>
          <cell r="E1097">
            <v>51.6</v>
          </cell>
          <cell r="F1097">
            <v>110.1</v>
          </cell>
          <cell r="G1097">
            <v>110.1</v>
          </cell>
          <cell r="H1097">
            <v>70</v>
          </cell>
          <cell r="I1097">
            <v>61.4</v>
          </cell>
          <cell r="J1097">
            <v>77.900000000000006</v>
          </cell>
          <cell r="K1097">
            <v>70.400000000000006</v>
          </cell>
          <cell r="L1097">
            <v>58.6</v>
          </cell>
          <cell r="M1097">
            <v>51.6</v>
          </cell>
        </row>
        <row r="1098">
          <cell r="C1098" t="str">
            <v>110kV 172 Hóc Môn - 171 Tham Lương</v>
          </cell>
          <cell r="D1098">
            <v>172</v>
          </cell>
          <cell r="E1098">
            <v>69.099999999999994</v>
          </cell>
          <cell r="F1098">
            <v>116.5</v>
          </cell>
          <cell r="G1098">
            <v>116.5</v>
          </cell>
          <cell r="H1098">
            <v>115.4</v>
          </cell>
          <cell r="I1098">
            <v>98.7</v>
          </cell>
          <cell r="J1098">
            <v>107.6</v>
          </cell>
          <cell r="K1098">
            <v>103.8</v>
          </cell>
          <cell r="L1098">
            <v>98.5</v>
          </cell>
          <cell r="M1098">
            <v>69.099999999999994</v>
          </cell>
        </row>
        <row r="1099">
          <cell r="C1099" t="str">
            <v>110kV 173 Hóc Môn - 172 Tân Bình 1 - 131 Lưu Động Bà Điểm</v>
          </cell>
          <cell r="D1099">
            <v>173</v>
          </cell>
          <cell r="E1099">
            <v>18.2</v>
          </cell>
          <cell r="F1099">
            <v>126.1</v>
          </cell>
          <cell r="G1099">
            <v>126.1</v>
          </cell>
          <cell r="H1099">
            <v>107.7</v>
          </cell>
          <cell r="I1099">
            <v>96.8</v>
          </cell>
          <cell r="J1099">
            <v>115.9</v>
          </cell>
          <cell r="K1099">
            <v>23.6</v>
          </cell>
          <cell r="L1099">
            <v>18.2</v>
          </cell>
          <cell r="M1099">
            <v>72.400000000000006</v>
          </cell>
        </row>
        <row r="1100">
          <cell r="C1100" t="str">
            <v>110kV 174 Hóc Môn - 171 Thạnh Lộc</v>
          </cell>
          <cell r="D1100">
            <v>174</v>
          </cell>
          <cell r="E1100">
            <v>11.5</v>
          </cell>
          <cell r="F1100">
            <v>28.5</v>
          </cell>
          <cell r="G1100">
            <v>11.7</v>
          </cell>
          <cell r="H1100">
            <v>25.5</v>
          </cell>
          <cell r="I1100">
            <v>13.1</v>
          </cell>
          <cell r="J1100">
            <v>11.5</v>
          </cell>
          <cell r="K1100">
            <v>27.7</v>
          </cell>
          <cell r="L1100">
            <v>28.5</v>
          </cell>
          <cell r="M1100">
            <v>14.9</v>
          </cell>
        </row>
        <row r="1101">
          <cell r="C1101" t="str">
            <v>110kV 175 Hóc Môn - 171 Hiệp Bình Phước</v>
          </cell>
          <cell r="D1101">
            <v>175</v>
          </cell>
          <cell r="E1101">
            <v>-6.5</v>
          </cell>
          <cell r="F1101">
            <v>-39.9</v>
          </cell>
          <cell r="G1101">
            <v>-39.9</v>
          </cell>
          <cell r="H1101">
            <v>-17.3</v>
          </cell>
          <cell r="I1101">
            <v>-24.8</v>
          </cell>
          <cell r="J1101">
            <v>-29.1</v>
          </cell>
          <cell r="K1101">
            <v>-9.6999999999999993</v>
          </cell>
          <cell r="L1101">
            <v>-6.5</v>
          </cell>
          <cell r="M1101">
            <v>-18.3</v>
          </cell>
        </row>
        <row r="1102">
          <cell r="C1102" t="str">
            <v>110kV 176 Hóc Môn - 171 Đông Nam</v>
          </cell>
          <cell r="D1102">
            <v>176</v>
          </cell>
          <cell r="E1102">
            <v>19.3</v>
          </cell>
          <cell r="F1102">
            <v>41.7</v>
          </cell>
          <cell r="G1102">
            <v>19.7</v>
          </cell>
          <cell r="H1102">
            <v>21.3</v>
          </cell>
          <cell r="I1102">
            <v>20.6</v>
          </cell>
          <cell r="J1102">
            <v>19.8</v>
          </cell>
          <cell r="K1102">
            <v>19.3</v>
          </cell>
          <cell r="L1102">
            <v>20.6</v>
          </cell>
          <cell r="M1102">
            <v>41.7</v>
          </cell>
        </row>
        <row r="1103">
          <cell r="C1103" t="str">
            <v>110kV 177 Hóc Môn - 171 Gò Vấp</v>
          </cell>
          <cell r="D1103">
            <v>177</v>
          </cell>
          <cell r="E1103">
            <v>39.5</v>
          </cell>
          <cell r="F1103">
            <v>80</v>
          </cell>
          <cell r="G1103">
            <v>51.7</v>
          </cell>
          <cell r="H1103">
            <v>46.2</v>
          </cell>
          <cell r="I1103">
            <v>80</v>
          </cell>
          <cell r="J1103">
            <v>44.5</v>
          </cell>
          <cell r="K1103">
            <v>39.5</v>
          </cell>
          <cell r="L1103">
            <v>42</v>
          </cell>
          <cell r="M1103">
            <v>45.2</v>
          </cell>
        </row>
        <row r="1104">
          <cell r="C1104" t="str">
            <v>110kV 178 Hóc Môn - 172 Gò Vấp</v>
          </cell>
          <cell r="D1104">
            <v>178</v>
          </cell>
          <cell r="E1104">
            <v>0</v>
          </cell>
          <cell r="F1104">
            <v>52.2</v>
          </cell>
          <cell r="G1104">
            <v>52.2</v>
          </cell>
          <cell r="H1104">
            <v>46.5</v>
          </cell>
          <cell r="I1104">
            <v>0</v>
          </cell>
          <cell r="J1104">
            <v>44.6</v>
          </cell>
          <cell r="K1104">
            <v>39.6</v>
          </cell>
          <cell r="L1104">
            <v>42.2</v>
          </cell>
          <cell r="M1104">
            <v>45.4</v>
          </cell>
        </row>
        <row r="1105">
          <cell r="C1105" t="str">
            <v>Hóc Môn MBA AT1 (phía 220kV)</v>
          </cell>
          <cell r="D1105">
            <v>231</v>
          </cell>
          <cell r="E1105">
            <v>190.7</v>
          </cell>
          <cell r="F1105">
            <v>216.1</v>
          </cell>
          <cell r="G1105">
            <v>216.1</v>
          </cell>
          <cell r="H1105">
            <v>190.7</v>
          </cell>
          <cell r="I1105">
            <v>191</v>
          </cell>
          <cell r="J1105">
            <v>190.7</v>
          </cell>
          <cell r="K1105">
            <v>190.7</v>
          </cell>
          <cell r="L1105">
            <v>191</v>
          </cell>
          <cell r="M1105">
            <v>191</v>
          </cell>
        </row>
        <row r="1106">
          <cell r="C1106" t="str">
            <v>Hóc Môn MBA AT2 (phía 220kV)</v>
          </cell>
          <cell r="D1106">
            <v>232</v>
          </cell>
          <cell r="E1106">
            <v>193.1</v>
          </cell>
          <cell r="F1106">
            <v>219.5</v>
          </cell>
          <cell r="G1106">
            <v>219.5</v>
          </cell>
          <cell r="H1106">
            <v>193.1</v>
          </cell>
          <cell r="I1106">
            <v>193.1</v>
          </cell>
          <cell r="J1106">
            <v>193.1</v>
          </cell>
          <cell r="K1106">
            <v>193.1</v>
          </cell>
          <cell r="L1106">
            <v>193.1</v>
          </cell>
          <cell r="M1106">
            <v>193.1</v>
          </cell>
        </row>
        <row r="1107">
          <cell r="C1107" t="str">
            <v>Hóc Môn MBA AT3 (phía 220kV)</v>
          </cell>
          <cell r="D1107">
            <v>233</v>
          </cell>
          <cell r="E1107">
            <v>-124.1</v>
          </cell>
          <cell r="F1107">
            <v>-168</v>
          </cell>
          <cell r="G1107">
            <v>-124.1</v>
          </cell>
          <cell r="H1107">
            <v>-167.6</v>
          </cell>
          <cell r="I1107">
            <v>-168</v>
          </cell>
          <cell r="J1107">
            <v>-167.6</v>
          </cell>
          <cell r="K1107">
            <v>-167.6</v>
          </cell>
          <cell r="L1107">
            <v>-168</v>
          </cell>
          <cell r="M1107">
            <v>-168</v>
          </cell>
        </row>
        <row r="1108">
          <cell r="C1108" t="str">
            <v>220kV 271 Hóc Môn - 280 Cầu Bông</v>
          </cell>
          <cell r="D1108">
            <v>271</v>
          </cell>
          <cell r="E1108">
            <v>-122.7</v>
          </cell>
          <cell r="F1108">
            <v>-141.80000000000001</v>
          </cell>
          <cell r="G1108">
            <v>-141.80000000000001</v>
          </cell>
          <cell r="H1108">
            <v>-122.7</v>
          </cell>
          <cell r="I1108">
            <v>-123</v>
          </cell>
          <cell r="J1108">
            <v>-122.7</v>
          </cell>
          <cell r="K1108">
            <v>-122.7</v>
          </cell>
          <cell r="L1108">
            <v>-123</v>
          </cell>
          <cell r="M1108">
            <v>-123</v>
          </cell>
        </row>
        <row r="1109">
          <cell r="C1109" t="str">
            <v>220kV 272 Hóc Môn - 275 Thuận An</v>
          </cell>
          <cell r="D1109">
            <v>272</v>
          </cell>
          <cell r="E1109">
            <v>-260</v>
          </cell>
          <cell r="F1109">
            <v>-279</v>
          </cell>
          <cell r="G1109">
            <v>-260</v>
          </cell>
          <cell r="H1109">
            <v>-278.89999999999998</v>
          </cell>
          <cell r="I1109">
            <v>-279</v>
          </cell>
          <cell r="J1109">
            <v>-278.89999999999998</v>
          </cell>
          <cell r="K1109">
            <v>-278.89999999999998</v>
          </cell>
          <cell r="L1109">
            <v>-279</v>
          </cell>
          <cell r="M1109">
            <v>-279</v>
          </cell>
        </row>
        <row r="1110">
          <cell r="C1110" t="str">
            <v>220kV 273 Hóc Môn - 276 Thuận An</v>
          </cell>
          <cell r="D1110">
            <v>273</v>
          </cell>
          <cell r="E1110">
            <v>-266.10000000000002</v>
          </cell>
          <cell r="F1110">
            <v>-282</v>
          </cell>
          <cell r="G1110">
            <v>-282</v>
          </cell>
          <cell r="H1110">
            <v>-266.10000000000002</v>
          </cell>
          <cell r="I1110">
            <v>-266.10000000000002</v>
          </cell>
          <cell r="J1110">
            <v>-266.10000000000002</v>
          </cell>
          <cell r="K1110">
            <v>-266.10000000000002</v>
          </cell>
          <cell r="L1110">
            <v>-266.10000000000002</v>
          </cell>
          <cell r="M1110">
            <v>-266.10000000000002</v>
          </cell>
        </row>
        <row r="1111">
          <cell r="C1111" t="str">
            <v>220kV 274 Hóc Môn - 273 Hiệp Bình Phước</v>
          </cell>
          <cell r="D1111">
            <v>274</v>
          </cell>
          <cell r="E1111">
            <v>252.8</v>
          </cell>
          <cell r="F1111">
            <v>274.5</v>
          </cell>
          <cell r="G1111">
            <v>274.5</v>
          </cell>
          <cell r="H1111">
            <v>252.8</v>
          </cell>
          <cell r="I1111">
            <v>253</v>
          </cell>
          <cell r="J1111">
            <v>252.8</v>
          </cell>
          <cell r="K1111">
            <v>252.8</v>
          </cell>
          <cell r="L1111">
            <v>253</v>
          </cell>
          <cell r="M1111">
            <v>253</v>
          </cell>
        </row>
        <row r="1112">
          <cell r="C1112" t="str">
            <v>220kV 275 Hóc Môn - 272 Thủ Đức</v>
          </cell>
          <cell r="D1112">
            <v>275</v>
          </cell>
          <cell r="E1112">
            <v>-13.7</v>
          </cell>
          <cell r="F1112">
            <v>-121.5</v>
          </cell>
          <cell r="G1112">
            <v>-121.5</v>
          </cell>
          <cell r="H1112">
            <v>-13.7</v>
          </cell>
          <cell r="I1112">
            <v>-14</v>
          </cell>
          <cell r="J1112">
            <v>-13.7</v>
          </cell>
          <cell r="K1112">
            <v>-13.7</v>
          </cell>
          <cell r="L1112">
            <v>-14</v>
          </cell>
          <cell r="M1112">
            <v>-14</v>
          </cell>
        </row>
        <row r="1113">
          <cell r="C1113" t="str">
            <v>220kV 276 Hóc Môn - 279 Cầu Bông</v>
          </cell>
          <cell r="D1113">
            <v>276</v>
          </cell>
          <cell r="E1113">
            <v>-122</v>
          </cell>
          <cell r="F1113">
            <v>-141.80000000000001</v>
          </cell>
          <cell r="G1113">
            <v>-141.80000000000001</v>
          </cell>
          <cell r="H1113">
            <v>-122</v>
          </cell>
          <cell r="I1113">
            <v>-122</v>
          </cell>
          <cell r="J1113">
            <v>-122</v>
          </cell>
          <cell r="K1113">
            <v>-122</v>
          </cell>
          <cell r="L1113">
            <v>-122</v>
          </cell>
          <cell r="M1113">
            <v>-122</v>
          </cell>
        </row>
        <row r="1114">
          <cell r="C1114" t="str">
            <v>Hóc Môn MBA T4 (phía 22kV)</v>
          </cell>
          <cell r="D1114">
            <v>434</v>
          </cell>
          <cell r="E1114">
            <v>26.2</v>
          </cell>
          <cell r="F1114">
            <v>36.4</v>
          </cell>
          <cell r="G1114">
            <v>36.4</v>
          </cell>
          <cell r="H1114">
            <v>34.1</v>
          </cell>
          <cell r="I1114">
            <v>30.1</v>
          </cell>
          <cell r="J1114">
            <v>35.5</v>
          </cell>
          <cell r="K1114">
            <v>31.4</v>
          </cell>
          <cell r="L1114">
            <v>27.9</v>
          </cell>
          <cell r="M1114">
            <v>26.2</v>
          </cell>
        </row>
        <row r="1115">
          <cell r="C1115" t="str">
            <v>Hóc Môn MBA T5 (phía 22kV)</v>
          </cell>
          <cell r="D1115">
            <v>435</v>
          </cell>
          <cell r="E1115">
            <v>35.200000000000003</v>
          </cell>
          <cell r="F1115">
            <v>52.7</v>
          </cell>
          <cell r="G1115">
            <v>50.1</v>
          </cell>
          <cell r="H1115">
            <v>46.7</v>
          </cell>
          <cell r="I1115">
            <v>43.3</v>
          </cell>
          <cell r="J1115">
            <v>52.7</v>
          </cell>
          <cell r="K1115">
            <v>43.9</v>
          </cell>
          <cell r="L1115">
            <v>38.5</v>
          </cell>
          <cell r="M1115">
            <v>35.200000000000003</v>
          </cell>
        </row>
        <row r="1116">
          <cell r="C1116" t="str">
            <v>Hóc Môn MBA T6 (phía 22kV)</v>
          </cell>
          <cell r="D1116">
            <v>436</v>
          </cell>
          <cell r="E1116">
            <v>27.1</v>
          </cell>
          <cell r="F1116">
            <v>39.299999999999997</v>
          </cell>
          <cell r="G1116">
            <v>39.299999999999997</v>
          </cell>
          <cell r="H1116">
            <v>36.6</v>
          </cell>
          <cell r="I1116">
            <v>30.8</v>
          </cell>
          <cell r="J1116">
            <v>35.700000000000003</v>
          </cell>
          <cell r="K1116">
            <v>34.200000000000003</v>
          </cell>
          <cell r="L1116">
            <v>30</v>
          </cell>
          <cell r="M1116">
            <v>27.1</v>
          </cell>
        </row>
        <row r="1117">
          <cell r="C1117" t="str">
            <v>110kV 171 Hòn Đất - 171 Rạch Giá</v>
          </cell>
          <cell r="F1117">
            <v>-19</v>
          </cell>
          <cell r="H1117">
            <v>-16.3</v>
          </cell>
          <cell r="I1117">
            <v>-15.2</v>
          </cell>
          <cell r="J1117">
            <v>-19</v>
          </cell>
          <cell r="K1117">
            <v>16.7</v>
          </cell>
          <cell r="L1117">
            <v>-17</v>
          </cell>
          <cell r="M1117">
            <v>-15</v>
          </cell>
        </row>
        <row r="1118">
          <cell r="C1118" t="str">
            <v>110kV 172 Hòn Đất - 171 Kiên Bình</v>
          </cell>
          <cell r="E1118">
            <v>0</v>
          </cell>
          <cell r="F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</row>
        <row r="1119">
          <cell r="C1119" t="str">
            <v>Hòn Đất MBA T2 (phía 110kV)</v>
          </cell>
          <cell r="F1119">
            <v>19</v>
          </cell>
          <cell r="H1119">
            <v>16.3</v>
          </cell>
          <cell r="I1119">
            <v>15.2</v>
          </cell>
          <cell r="J1119">
            <v>19</v>
          </cell>
          <cell r="K1119">
            <v>-16.8</v>
          </cell>
          <cell r="L1119">
            <v>16.899999999999999</v>
          </cell>
          <cell r="M1119">
            <v>14.9</v>
          </cell>
        </row>
        <row r="1120">
          <cell r="C1120" t="str">
            <v>Hòn Đất MBA T2 (phía 22kV)</v>
          </cell>
          <cell r="F1120">
            <v>-18.899999999999999</v>
          </cell>
          <cell r="H1120">
            <v>-16.2</v>
          </cell>
          <cell r="I1120">
            <v>-15.1</v>
          </cell>
          <cell r="J1120">
            <v>-18.899999999999999</v>
          </cell>
          <cell r="K1120">
            <v>16.7</v>
          </cell>
          <cell r="L1120">
            <v>-16.899999999999999</v>
          </cell>
          <cell r="M1120">
            <v>-14.9</v>
          </cell>
        </row>
        <row r="1121">
          <cell r="C1121" t="str">
            <v>Hồng Dân MBA T1 (phía 110kV)</v>
          </cell>
          <cell r="F1121">
            <v>16.100000000000001</v>
          </cell>
          <cell r="H1121">
            <v>14.6</v>
          </cell>
          <cell r="I1121">
            <v>13.2</v>
          </cell>
          <cell r="J1121">
            <v>16.100000000000001</v>
          </cell>
          <cell r="K1121">
            <v>15.1</v>
          </cell>
          <cell r="L1121">
            <v>16</v>
          </cell>
          <cell r="M1121">
            <v>15.2</v>
          </cell>
        </row>
        <row r="1122">
          <cell r="C1122" t="str">
            <v>Hồng Dân MBA T1 (phía 22kV)</v>
          </cell>
          <cell r="F1122">
            <v>-15.9</v>
          </cell>
          <cell r="H1122">
            <v>-14.5</v>
          </cell>
          <cell r="I1122">
            <v>-13</v>
          </cell>
          <cell r="J1122">
            <v>-15.9</v>
          </cell>
          <cell r="K1122">
            <v>-14.9</v>
          </cell>
          <cell r="L1122">
            <v>-15.8</v>
          </cell>
          <cell r="M1122">
            <v>-15.1</v>
          </cell>
        </row>
        <row r="1123">
          <cell r="C1123" t="str">
            <v>110kV 171 Hồng Dân - 172 An Xuyên</v>
          </cell>
          <cell r="F1123">
            <v>-56.9</v>
          </cell>
          <cell r="H1123">
            <v>-54.2</v>
          </cell>
          <cell r="I1123">
            <v>-47.4</v>
          </cell>
          <cell r="J1123">
            <v>-56.9</v>
          </cell>
          <cell r="K1123">
            <v>-49.8</v>
          </cell>
          <cell r="L1123">
            <v>-52.5</v>
          </cell>
          <cell r="M1123">
            <v>-50.3</v>
          </cell>
        </row>
        <row r="1124">
          <cell r="C1124" t="str">
            <v>110kV 172 Hồng Dân - 171 Long Mỹ</v>
          </cell>
          <cell r="F1124">
            <v>26.8</v>
          </cell>
          <cell r="H1124">
            <v>26.3</v>
          </cell>
          <cell r="I1124">
            <v>22.1</v>
          </cell>
          <cell r="J1124">
            <v>26.8</v>
          </cell>
          <cell r="K1124">
            <v>23</v>
          </cell>
          <cell r="L1124">
            <v>24.6</v>
          </cell>
          <cell r="M1124">
            <v>23.9</v>
          </cell>
        </row>
        <row r="1125">
          <cell r="C1125" t="str">
            <v>Hồng Dân MBA T2 (phía 110kV)</v>
          </cell>
          <cell r="F1125">
            <v>13.7</v>
          </cell>
          <cell r="H1125">
            <v>12.9</v>
          </cell>
          <cell r="I1125">
            <v>11.7</v>
          </cell>
          <cell r="J1125">
            <v>13.7</v>
          </cell>
          <cell r="K1125">
            <v>12.3</v>
          </cell>
          <cell r="L1125">
            <v>13</v>
          </cell>
          <cell r="M1125">
            <v>11.3</v>
          </cell>
        </row>
        <row r="1126">
          <cell r="C1126" t="str">
            <v>Hồng Dân MBA T2 (phía 22kV)</v>
          </cell>
          <cell r="F1126">
            <v>-13.7</v>
          </cell>
          <cell r="H1126">
            <v>-13</v>
          </cell>
          <cell r="I1126">
            <v>-11.8</v>
          </cell>
          <cell r="J1126">
            <v>-13.7</v>
          </cell>
          <cell r="K1126">
            <v>-12.4</v>
          </cell>
          <cell r="L1126">
            <v>-13</v>
          </cell>
          <cell r="M1126">
            <v>-11.3</v>
          </cell>
        </row>
        <row r="1127">
          <cell r="C1127" t="str">
            <v>Hồng Ngự MBA T1 (phía 110kV)</v>
          </cell>
          <cell r="D1127">
            <v>131</v>
          </cell>
          <cell r="E1127">
            <v>18.7</v>
          </cell>
          <cell r="F1127">
            <v>31.8</v>
          </cell>
          <cell r="G1127">
            <v>24.2</v>
          </cell>
          <cell r="H1127">
            <v>20.5</v>
          </cell>
          <cell r="I1127">
            <v>31.8</v>
          </cell>
          <cell r="J1127">
            <v>21.7</v>
          </cell>
          <cell r="K1127">
            <v>18.7</v>
          </cell>
          <cell r="L1127">
            <v>20.399999999999999</v>
          </cell>
          <cell r="M1127">
            <v>19.2</v>
          </cell>
        </row>
        <row r="1128">
          <cell r="C1128" t="str">
            <v>Hồng Ngự MBA T2 (phía 110kV)</v>
          </cell>
          <cell r="D1128">
            <v>132</v>
          </cell>
          <cell r="E1128">
            <v>0</v>
          </cell>
          <cell r="F1128">
            <v>28.6</v>
          </cell>
          <cell r="G1128">
            <v>27</v>
          </cell>
          <cell r="H1128">
            <v>23.4</v>
          </cell>
          <cell r="I1128">
            <v>0</v>
          </cell>
          <cell r="J1128">
            <v>28.6</v>
          </cell>
          <cell r="K1128">
            <v>22.4</v>
          </cell>
          <cell r="L1128">
            <v>26</v>
          </cell>
          <cell r="M1128">
            <v>24.5</v>
          </cell>
        </row>
        <row r="1129">
          <cell r="C1129" t="str">
            <v>110kV 171 Hồng Ngự - 171 An Long</v>
          </cell>
          <cell r="D1129">
            <v>171</v>
          </cell>
          <cell r="E1129">
            <v>-31.9</v>
          </cell>
          <cell r="F1129">
            <v>-69.3</v>
          </cell>
          <cell r="G1129">
            <v>-46.8</v>
          </cell>
          <cell r="H1129">
            <v>-42.2</v>
          </cell>
          <cell r="I1129">
            <v>-31.9</v>
          </cell>
          <cell r="J1129">
            <v>-69.3</v>
          </cell>
          <cell r="K1129">
            <v>-40.4</v>
          </cell>
          <cell r="L1129">
            <v>-46</v>
          </cell>
          <cell r="M1129">
            <v>-43.5</v>
          </cell>
        </row>
        <row r="1130">
          <cell r="C1130" t="str">
            <v>110kV 172 Hồng Ngự - 171 Phú Châu</v>
          </cell>
          <cell r="D1130">
            <v>172</v>
          </cell>
          <cell r="E1130">
            <v>0</v>
          </cell>
          <cell r="F1130">
            <v>-24.1</v>
          </cell>
          <cell r="G1130">
            <v>0</v>
          </cell>
          <cell r="H1130">
            <v>0</v>
          </cell>
          <cell r="I1130">
            <v>0</v>
          </cell>
          <cell r="J1130">
            <v>-24.1</v>
          </cell>
          <cell r="K1130">
            <v>0</v>
          </cell>
          <cell r="L1130">
            <v>0</v>
          </cell>
          <cell r="M1130">
            <v>0</v>
          </cell>
        </row>
        <row r="1131">
          <cell r="C1131" t="str">
            <v>Hồng Ngự MBA T1 (phía 22kV)</v>
          </cell>
          <cell r="D1131">
            <v>431</v>
          </cell>
          <cell r="E1131">
            <v>-18.7</v>
          </cell>
          <cell r="F1131">
            <v>-31.5</v>
          </cell>
          <cell r="G1131">
            <v>-24.1</v>
          </cell>
          <cell r="H1131">
            <v>-20.399999999999999</v>
          </cell>
          <cell r="I1131">
            <v>-31.5</v>
          </cell>
          <cell r="J1131">
            <v>-21.7</v>
          </cell>
          <cell r="K1131">
            <v>-18.7</v>
          </cell>
          <cell r="L1131">
            <v>-20.2</v>
          </cell>
          <cell r="M1131">
            <v>-19.100000000000001</v>
          </cell>
        </row>
        <row r="1132">
          <cell r="C1132" t="str">
            <v>Hồng Ngự MBA T2 (phía 22kV)</v>
          </cell>
          <cell r="D1132">
            <v>432</v>
          </cell>
          <cell r="E1132">
            <v>0</v>
          </cell>
          <cell r="F1132">
            <v>-28.6</v>
          </cell>
          <cell r="G1132">
            <v>-26.9</v>
          </cell>
          <cell r="H1132">
            <v>-23.4</v>
          </cell>
          <cell r="I1132">
            <v>0</v>
          </cell>
          <cell r="J1132">
            <v>-28.6</v>
          </cell>
          <cell r="K1132">
            <v>-22.4</v>
          </cell>
          <cell r="L1132">
            <v>-26</v>
          </cell>
          <cell r="M1132">
            <v>-24.5</v>
          </cell>
        </row>
        <row r="1133">
          <cell r="C1133" t="str">
            <v>110kV 171 Hưng Định - 172 Gò Đậu</v>
          </cell>
          <cell r="F1133">
            <v>81.5</v>
          </cell>
          <cell r="H1133">
            <v>43.9</v>
          </cell>
          <cell r="I1133">
            <v>81.5</v>
          </cell>
          <cell r="J1133">
            <v>45.3</v>
          </cell>
          <cell r="K1133">
            <v>79.8</v>
          </cell>
          <cell r="L1133">
            <v>31.2</v>
          </cell>
          <cell r="M1133">
            <v>65.5</v>
          </cell>
        </row>
        <row r="1134">
          <cell r="C1134" t="str">
            <v>110kV 172 Hưng Định - 174 Bình Hòa</v>
          </cell>
          <cell r="F1134">
            <v>-148.69999999999999</v>
          </cell>
          <cell r="H1134">
            <v>-116.3</v>
          </cell>
          <cell r="I1134">
            <v>-132.1</v>
          </cell>
          <cell r="J1134">
            <v>-109.2</v>
          </cell>
          <cell r="K1134">
            <v>-148.69999999999999</v>
          </cell>
          <cell r="L1134">
            <v>-74.400000000000006</v>
          </cell>
          <cell r="M1134">
            <v>-103.6</v>
          </cell>
        </row>
        <row r="1135">
          <cell r="C1135" t="str">
            <v>Hưng Định MBA T2 (phía 110kV)</v>
          </cell>
          <cell r="F1135">
            <v>44</v>
          </cell>
          <cell r="H1135">
            <v>44</v>
          </cell>
          <cell r="I1135">
            <v>39.1</v>
          </cell>
          <cell r="J1135">
            <v>43.2</v>
          </cell>
          <cell r="K1135">
            <v>41.4</v>
          </cell>
          <cell r="L1135">
            <v>28</v>
          </cell>
          <cell r="M1135">
            <v>26.3</v>
          </cell>
        </row>
        <row r="1136">
          <cell r="C1136" t="str">
            <v>Hưng Định MBA T2 (phía 22kV)</v>
          </cell>
          <cell r="F1136">
            <v>-43.8</v>
          </cell>
          <cell r="H1136">
            <v>-43.8</v>
          </cell>
          <cell r="I1136">
            <v>-39.1</v>
          </cell>
          <cell r="J1136">
            <v>-43.2</v>
          </cell>
          <cell r="K1136">
            <v>-41.5</v>
          </cell>
          <cell r="L1136">
            <v>-28</v>
          </cell>
          <cell r="M1136">
            <v>-26.4</v>
          </cell>
        </row>
        <row r="1137">
          <cell r="C1137" t="str">
            <v>Hưng Định MBA T1 (phía 110kV)</v>
          </cell>
          <cell r="F1137">
            <v>28.6</v>
          </cell>
          <cell r="H1137">
            <v>28.6</v>
          </cell>
          <cell r="I1137">
            <v>21.6</v>
          </cell>
          <cell r="J1137">
            <v>22</v>
          </cell>
          <cell r="K1137">
            <v>27.9</v>
          </cell>
          <cell r="L1137">
            <v>19.600000000000001</v>
          </cell>
          <cell r="M1137">
            <v>17.100000000000001</v>
          </cell>
        </row>
        <row r="1138">
          <cell r="C1138" t="str">
            <v>Hưng Định MBA T1 (phía 22kV)</v>
          </cell>
          <cell r="F1138">
            <v>-28.8</v>
          </cell>
          <cell r="H1138">
            <v>-28.8</v>
          </cell>
          <cell r="I1138">
            <v>-21.6</v>
          </cell>
          <cell r="J1138">
            <v>-22</v>
          </cell>
          <cell r="K1138">
            <v>-28.2</v>
          </cell>
          <cell r="L1138">
            <v>-19.3</v>
          </cell>
          <cell r="M1138">
            <v>-17.3</v>
          </cell>
        </row>
        <row r="1139">
          <cell r="C1139" t="str">
            <v>Hưng Phú MBA T1 (phía 110kV)</v>
          </cell>
          <cell r="D1139">
            <v>131</v>
          </cell>
          <cell r="E1139">
            <v>10.1</v>
          </cell>
          <cell r="F1139">
            <v>21.3</v>
          </cell>
          <cell r="G1139">
            <v>10.4</v>
          </cell>
          <cell r="H1139">
            <v>10.4</v>
          </cell>
          <cell r="I1139">
            <v>10.1</v>
          </cell>
          <cell r="J1139">
            <v>21.3</v>
          </cell>
          <cell r="K1139">
            <v>19.7</v>
          </cell>
          <cell r="L1139">
            <v>16.899999999999999</v>
          </cell>
          <cell r="M1139">
            <v>14.9</v>
          </cell>
        </row>
        <row r="1140">
          <cell r="C1140" t="str">
            <v>Hưng Phú MBA T2 (phía 110kV)</v>
          </cell>
          <cell r="D1140">
            <v>132</v>
          </cell>
          <cell r="E1140">
            <v>18.2</v>
          </cell>
          <cell r="F1140">
            <v>31</v>
          </cell>
          <cell r="G1140">
            <v>31</v>
          </cell>
          <cell r="H1140">
            <v>30.6</v>
          </cell>
          <cell r="I1140">
            <v>28.4</v>
          </cell>
          <cell r="J1140">
            <v>22.3</v>
          </cell>
          <cell r="K1140">
            <v>19.7</v>
          </cell>
          <cell r="L1140">
            <v>18.5</v>
          </cell>
          <cell r="M1140">
            <v>18.2</v>
          </cell>
        </row>
        <row r="1141">
          <cell r="C1141" t="str">
            <v>110kV 171 Hưng Phú - 172 Phú Xuân</v>
          </cell>
          <cell r="D1141">
            <v>171</v>
          </cell>
          <cell r="E1141">
            <v>-2.1</v>
          </cell>
          <cell r="F1141">
            <v>4.8</v>
          </cell>
          <cell r="G1141">
            <v>-3.1</v>
          </cell>
          <cell r="H1141">
            <v>-3.3</v>
          </cell>
          <cell r="I1141">
            <v>-2.1</v>
          </cell>
          <cell r="J1141">
            <v>-2.6</v>
          </cell>
          <cell r="K1141">
            <v>-2.7</v>
          </cell>
          <cell r="L1141">
            <v>4.0999999999999996</v>
          </cell>
          <cell r="M1141">
            <v>4.8</v>
          </cell>
        </row>
        <row r="1142">
          <cell r="C1142" t="str">
            <v>110kV 172 Hưng Phú - 177 Cần Thơ 2</v>
          </cell>
          <cell r="D1142">
            <v>172</v>
          </cell>
          <cell r="E1142">
            <v>-34.299999999999997</v>
          </cell>
          <cell r="F1142">
            <v>-43</v>
          </cell>
          <cell r="G1142">
            <v>-40.4</v>
          </cell>
          <cell r="H1142">
            <v>-41</v>
          </cell>
          <cell r="I1142">
            <v>-35.9</v>
          </cell>
          <cell r="J1142">
            <v>-43</v>
          </cell>
          <cell r="K1142">
            <v>-39.200000000000003</v>
          </cell>
          <cell r="L1142">
            <v>-35.4</v>
          </cell>
          <cell r="M1142">
            <v>-34.299999999999997</v>
          </cell>
        </row>
        <row r="1143">
          <cell r="C1143" t="str">
            <v>Hưng Phú MBA T1 (phía 22kV)</v>
          </cell>
          <cell r="D1143">
            <v>431</v>
          </cell>
          <cell r="E1143">
            <v>-10</v>
          </cell>
          <cell r="F1143">
            <v>-21.4</v>
          </cell>
          <cell r="G1143">
            <v>-10.5</v>
          </cell>
          <cell r="H1143">
            <v>-10.5</v>
          </cell>
          <cell r="I1143">
            <v>-10</v>
          </cell>
          <cell r="J1143">
            <v>-21.4</v>
          </cell>
          <cell r="K1143">
            <v>-19.600000000000001</v>
          </cell>
          <cell r="L1143">
            <v>-17</v>
          </cell>
          <cell r="M1143">
            <v>-15</v>
          </cell>
        </row>
        <row r="1144">
          <cell r="C1144" t="str">
            <v>Hưng Phú MBA T2 (phía 22kV)</v>
          </cell>
          <cell r="D1144">
            <v>432</v>
          </cell>
          <cell r="E1144">
            <v>-18.2</v>
          </cell>
          <cell r="F1144">
            <v>-31</v>
          </cell>
          <cell r="G1144">
            <v>-31</v>
          </cell>
          <cell r="H1144">
            <v>-30.6</v>
          </cell>
          <cell r="I1144">
            <v>-28.4</v>
          </cell>
          <cell r="J1144">
            <v>-21.9</v>
          </cell>
          <cell r="K1144">
            <v>-19.8</v>
          </cell>
          <cell r="L1144">
            <v>-18.399999999999999</v>
          </cell>
          <cell r="M1144">
            <v>-18.2</v>
          </cell>
        </row>
        <row r="1145">
          <cell r="C1145" t="str">
            <v>Hùng Vương MBA T1 (phía 110kV)</v>
          </cell>
          <cell r="D1145">
            <v>131</v>
          </cell>
          <cell r="E1145">
            <v>29.7</v>
          </cell>
          <cell r="F1145">
            <v>48.4</v>
          </cell>
          <cell r="G1145">
            <v>48.4</v>
          </cell>
          <cell r="H1145">
            <v>45.1</v>
          </cell>
          <cell r="I1145">
            <v>35.299999999999997</v>
          </cell>
          <cell r="J1145">
            <v>36.799999999999997</v>
          </cell>
          <cell r="K1145">
            <v>33.1</v>
          </cell>
          <cell r="L1145">
            <v>29.7</v>
          </cell>
          <cell r="M1145">
            <v>30.3</v>
          </cell>
        </row>
        <row r="1146">
          <cell r="C1146" t="str">
            <v>Hùng Vương MBA T2 (phía 110kV)</v>
          </cell>
          <cell r="D1146">
            <v>132</v>
          </cell>
          <cell r="E1146">
            <v>26</v>
          </cell>
          <cell r="F1146">
            <v>45.5</v>
          </cell>
          <cell r="G1146">
            <v>45.5</v>
          </cell>
          <cell r="H1146">
            <v>41.5</v>
          </cell>
          <cell r="I1146">
            <v>33.4</v>
          </cell>
          <cell r="J1146">
            <v>34.6</v>
          </cell>
          <cell r="K1146">
            <v>31</v>
          </cell>
          <cell r="L1146">
            <v>27</v>
          </cell>
          <cell r="M1146">
            <v>26</v>
          </cell>
        </row>
        <row r="1147">
          <cell r="C1147" t="str">
            <v>110kV 171 Hùng Vương - 173 Quận 8</v>
          </cell>
          <cell r="D1147">
            <v>171</v>
          </cell>
          <cell r="E1147">
            <v>-41.6</v>
          </cell>
          <cell r="F1147">
            <v>-74.099999999999994</v>
          </cell>
          <cell r="G1147">
            <v>-74.099999999999994</v>
          </cell>
          <cell r="H1147">
            <v>-66</v>
          </cell>
          <cell r="I1147">
            <v>-53.6</v>
          </cell>
          <cell r="J1147">
            <v>-57.3</v>
          </cell>
          <cell r="K1147">
            <v>-54.2</v>
          </cell>
          <cell r="L1147">
            <v>-43.7</v>
          </cell>
          <cell r="M1147">
            <v>-41.6</v>
          </cell>
        </row>
        <row r="1148">
          <cell r="C1148" t="str">
            <v>110kV 172 Hùng Vương - 173 Phú Định</v>
          </cell>
          <cell r="D1148">
            <v>172</v>
          </cell>
          <cell r="E1148">
            <v>-15</v>
          </cell>
          <cell r="F1148">
            <v>-21.9</v>
          </cell>
          <cell r="G1148">
            <v>-21.6</v>
          </cell>
          <cell r="H1148">
            <v>-21.9</v>
          </cell>
          <cell r="I1148">
            <v>-15.4</v>
          </cell>
          <cell r="J1148">
            <v>-17.3</v>
          </cell>
          <cell r="K1148">
            <v>-18.2</v>
          </cell>
          <cell r="L1148">
            <v>-15</v>
          </cell>
          <cell r="M1148">
            <v>-17.600000000000001</v>
          </cell>
        </row>
        <row r="1149">
          <cell r="C1149" t="str">
            <v>Hùng Vương MBA T1 (phía 22kV)</v>
          </cell>
          <cell r="D1149">
            <v>431</v>
          </cell>
          <cell r="E1149">
            <v>-29.6</v>
          </cell>
          <cell r="F1149">
            <v>-47.9</v>
          </cell>
          <cell r="G1149">
            <v>-47.9</v>
          </cell>
          <cell r="H1149">
            <v>-44.8</v>
          </cell>
          <cell r="I1149">
            <v>-35.200000000000003</v>
          </cell>
          <cell r="J1149">
            <v>-36.6</v>
          </cell>
          <cell r="K1149">
            <v>-32.799999999999997</v>
          </cell>
          <cell r="L1149">
            <v>-29.6</v>
          </cell>
          <cell r="M1149">
            <v>-29.9</v>
          </cell>
        </row>
        <row r="1150">
          <cell r="C1150" t="str">
            <v>Hùng Vương MBA T2 (phía 22kV)</v>
          </cell>
          <cell r="D1150">
            <v>432</v>
          </cell>
          <cell r="E1150">
            <v>-25.8</v>
          </cell>
          <cell r="F1150">
            <v>-45.3</v>
          </cell>
          <cell r="G1150">
            <v>-45.3</v>
          </cell>
          <cell r="H1150">
            <v>-41.1</v>
          </cell>
          <cell r="I1150">
            <v>-33.1</v>
          </cell>
          <cell r="J1150">
            <v>-34.299999999999997</v>
          </cell>
          <cell r="K1150">
            <v>-30.9</v>
          </cell>
          <cell r="L1150">
            <v>-26.9</v>
          </cell>
          <cell r="M1150">
            <v>-25.8</v>
          </cell>
        </row>
        <row r="1151">
          <cell r="C1151" t="str">
            <v>110kV 171 Hựu Thạnh - 172 Lê Minh Xuân</v>
          </cell>
          <cell r="E1151">
            <v>0</v>
          </cell>
          <cell r="F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</row>
        <row r="1152">
          <cell r="C1152" t="str">
            <v>110kV 172 Hựu Thạnh - 172 Le Long</v>
          </cell>
          <cell r="F1152">
            <v>-116.8</v>
          </cell>
          <cell r="H1152">
            <v>-116.8</v>
          </cell>
          <cell r="I1152">
            <v>-105.4</v>
          </cell>
          <cell r="J1152">
            <v>-113.7</v>
          </cell>
          <cell r="K1152">
            <v>-102.7</v>
          </cell>
          <cell r="L1152">
            <v>-77.3</v>
          </cell>
          <cell r="M1152">
            <v>-76</v>
          </cell>
        </row>
        <row r="1153">
          <cell r="C1153" t="str">
            <v>Hựu Thạnh MBA T1 (phía 110kV)</v>
          </cell>
          <cell r="F1153">
            <v>55.5</v>
          </cell>
          <cell r="H1153">
            <v>55.4</v>
          </cell>
          <cell r="I1153">
            <v>51.4</v>
          </cell>
          <cell r="J1153">
            <v>55.5</v>
          </cell>
          <cell r="K1153">
            <v>50.6</v>
          </cell>
          <cell r="L1153">
            <v>38.5</v>
          </cell>
          <cell r="M1153">
            <v>37.700000000000003</v>
          </cell>
        </row>
        <row r="1154">
          <cell r="C1154" t="str">
            <v>Hựu Thạnh MBA T1 (phía 22kV)</v>
          </cell>
          <cell r="F1154">
            <v>-55.3</v>
          </cell>
          <cell r="H1154">
            <v>-55.2</v>
          </cell>
          <cell r="I1154">
            <v>-50.9</v>
          </cell>
          <cell r="J1154">
            <v>-55.3</v>
          </cell>
          <cell r="K1154">
            <v>-50.4</v>
          </cell>
          <cell r="L1154">
            <v>-38.4</v>
          </cell>
          <cell r="M1154">
            <v>-37.700000000000003</v>
          </cell>
        </row>
        <row r="1155">
          <cell r="C1155" t="str">
            <v>Hựu Thạnh MBA T2 (phía 110kV)</v>
          </cell>
          <cell r="F1155">
            <v>61.7</v>
          </cell>
          <cell r="H1155">
            <v>61.7</v>
          </cell>
          <cell r="I1155">
            <v>54.7</v>
          </cell>
          <cell r="J1155">
            <v>58.4</v>
          </cell>
          <cell r="K1155">
            <v>52.1</v>
          </cell>
          <cell r="L1155">
            <v>39.4</v>
          </cell>
          <cell r="M1155">
            <v>38.6</v>
          </cell>
        </row>
        <row r="1156">
          <cell r="C1156" t="str">
            <v>Hựu Thạnh MBA T2 (phía 22kV)</v>
          </cell>
          <cell r="F1156">
            <v>-61.4</v>
          </cell>
          <cell r="H1156">
            <v>-61.4</v>
          </cell>
          <cell r="I1156">
            <v>-54.6</v>
          </cell>
          <cell r="J1156">
            <v>-57.5</v>
          </cell>
          <cell r="K1156">
            <v>-51.9</v>
          </cell>
          <cell r="L1156">
            <v>-39.4</v>
          </cell>
          <cell r="M1156">
            <v>-38.299999999999997</v>
          </cell>
        </row>
        <row r="1157">
          <cell r="C1157" t="str">
            <v>Hyosung MBA T1 (phía 110kV)</v>
          </cell>
          <cell r="D1157">
            <v>131</v>
          </cell>
          <cell r="E1157">
            <v>22.9</v>
          </cell>
          <cell r="F1157">
            <v>24</v>
          </cell>
          <cell r="G1157">
            <v>23.6</v>
          </cell>
          <cell r="H1157">
            <v>24</v>
          </cell>
          <cell r="I1157">
            <v>23.2</v>
          </cell>
          <cell r="J1157">
            <v>23.7</v>
          </cell>
          <cell r="K1157">
            <v>22.9</v>
          </cell>
          <cell r="L1157">
            <v>23.5</v>
          </cell>
          <cell r="M1157">
            <v>23.1</v>
          </cell>
        </row>
        <row r="1158">
          <cell r="C1158" t="str">
            <v>Hyosung MBA T2 (phía 110kV)</v>
          </cell>
          <cell r="D1158">
            <v>132</v>
          </cell>
          <cell r="E1158">
            <v>21.4</v>
          </cell>
          <cell r="F1158">
            <v>23.3</v>
          </cell>
          <cell r="G1158">
            <v>21.4</v>
          </cell>
          <cell r="H1158">
            <v>23.3</v>
          </cell>
          <cell r="I1158">
            <v>22.5</v>
          </cell>
          <cell r="J1158">
            <v>23</v>
          </cell>
          <cell r="K1158">
            <v>22.3</v>
          </cell>
          <cell r="L1158">
            <v>23.2</v>
          </cell>
          <cell r="M1158">
            <v>23.1</v>
          </cell>
        </row>
        <row r="1159">
          <cell r="C1159" t="str">
            <v>Hyosung MBA T3 (phía 110kV)</v>
          </cell>
          <cell r="D1159">
            <v>133</v>
          </cell>
          <cell r="E1159">
            <v>21.3</v>
          </cell>
          <cell r="F1159">
            <v>22</v>
          </cell>
          <cell r="G1159">
            <v>22</v>
          </cell>
          <cell r="H1159">
            <v>21.5</v>
          </cell>
          <cell r="I1159">
            <v>21.5</v>
          </cell>
          <cell r="J1159">
            <v>22</v>
          </cell>
          <cell r="K1159">
            <v>21.4</v>
          </cell>
          <cell r="L1159">
            <v>21.3</v>
          </cell>
          <cell r="M1159">
            <v>21.4</v>
          </cell>
        </row>
        <row r="1160">
          <cell r="C1160" t="str">
            <v>Hyosung MBA T4 (phía 110kV)</v>
          </cell>
          <cell r="D1160">
            <v>134</v>
          </cell>
          <cell r="E1160">
            <v>24.3</v>
          </cell>
          <cell r="F1160">
            <v>25.5</v>
          </cell>
          <cell r="G1160">
            <v>25.2</v>
          </cell>
          <cell r="H1160">
            <v>24.8</v>
          </cell>
          <cell r="I1160">
            <v>25.5</v>
          </cell>
          <cell r="J1160">
            <v>25.5</v>
          </cell>
          <cell r="K1160">
            <v>24.3</v>
          </cell>
          <cell r="L1160">
            <v>24.7</v>
          </cell>
          <cell r="M1160">
            <v>24.3</v>
          </cell>
        </row>
        <row r="1161">
          <cell r="C1161" t="str">
            <v>Hyosung MBA T5 (phía 110kV)</v>
          </cell>
          <cell r="D1161">
            <v>135</v>
          </cell>
          <cell r="E1161">
            <v>28.7</v>
          </cell>
          <cell r="F1161">
            <v>30.5</v>
          </cell>
          <cell r="G1161">
            <v>29.6</v>
          </cell>
          <cell r="H1161">
            <v>30.4</v>
          </cell>
          <cell r="I1161">
            <v>30.5</v>
          </cell>
          <cell r="J1161">
            <v>28.7</v>
          </cell>
          <cell r="K1161">
            <v>29.6</v>
          </cell>
          <cell r="L1161">
            <v>29.1</v>
          </cell>
          <cell r="M1161">
            <v>29.9</v>
          </cell>
        </row>
        <row r="1162">
          <cell r="C1162" t="str">
            <v>110kV 171 Hyosung - 179 Bàu Sen</v>
          </cell>
          <cell r="D1162">
            <v>171</v>
          </cell>
          <cell r="E1162">
            <v>-84.2</v>
          </cell>
          <cell r="F1162">
            <v>-94.3</v>
          </cell>
          <cell r="G1162">
            <v>-92.8</v>
          </cell>
          <cell r="H1162">
            <v>-94.3</v>
          </cell>
          <cell r="I1162">
            <v>-93.3</v>
          </cell>
          <cell r="J1162">
            <v>-94.3</v>
          </cell>
          <cell r="K1162">
            <v>-92.4</v>
          </cell>
          <cell r="L1162">
            <v>-85.1</v>
          </cell>
          <cell r="M1162">
            <v>-84.2</v>
          </cell>
        </row>
        <row r="1163">
          <cell r="C1163" t="str">
            <v>110kV 172 Hyosung - 175 Long Thành</v>
          </cell>
          <cell r="D1163">
            <v>172</v>
          </cell>
          <cell r="E1163">
            <v>-33.700000000000003</v>
          </cell>
          <cell r="F1163">
            <v>-41</v>
          </cell>
          <cell r="G1163">
            <v>-34.799999999999997</v>
          </cell>
          <cell r="H1163">
            <v>-35.4</v>
          </cell>
          <cell r="I1163">
            <v>-33.700000000000003</v>
          </cell>
          <cell r="J1163">
            <v>-34.4</v>
          </cell>
          <cell r="K1163">
            <v>-33.799999999999997</v>
          </cell>
          <cell r="L1163">
            <v>-40.5</v>
          </cell>
          <cell r="M1163">
            <v>-41</v>
          </cell>
        </row>
        <row r="1164">
          <cell r="C1164" t="str">
            <v>Hyosung MBA T1 (phía 22kV)</v>
          </cell>
          <cell r="D1164">
            <v>431</v>
          </cell>
          <cell r="E1164">
            <v>23</v>
          </cell>
          <cell r="F1164">
            <v>24</v>
          </cell>
          <cell r="G1164">
            <v>23.6</v>
          </cell>
          <cell r="H1164">
            <v>24</v>
          </cell>
          <cell r="I1164">
            <v>23.2</v>
          </cell>
          <cell r="J1164">
            <v>23.7</v>
          </cell>
          <cell r="K1164">
            <v>23</v>
          </cell>
          <cell r="L1164">
            <v>23.5</v>
          </cell>
          <cell r="M1164">
            <v>23.1</v>
          </cell>
        </row>
        <row r="1165">
          <cell r="C1165" t="str">
            <v>Hyosung MBA T2 (phía 22kV)</v>
          </cell>
          <cell r="D1165">
            <v>432</v>
          </cell>
          <cell r="E1165">
            <v>-21.4</v>
          </cell>
          <cell r="F1165">
            <v>-23.2</v>
          </cell>
          <cell r="G1165">
            <v>-21.4</v>
          </cell>
          <cell r="H1165">
            <v>-23.2</v>
          </cell>
          <cell r="I1165">
            <v>-22.5</v>
          </cell>
          <cell r="J1165">
            <v>-23.1</v>
          </cell>
          <cell r="K1165">
            <v>-22.4</v>
          </cell>
          <cell r="L1165">
            <v>-23.2</v>
          </cell>
          <cell r="M1165">
            <v>-23.1</v>
          </cell>
        </row>
        <row r="1166">
          <cell r="C1166" t="str">
            <v>Hyosung MBA T3 (phía 22kV)</v>
          </cell>
          <cell r="D1166">
            <v>433</v>
          </cell>
          <cell r="E1166">
            <v>-21.4</v>
          </cell>
          <cell r="F1166">
            <v>-22</v>
          </cell>
          <cell r="G1166">
            <v>-21.9</v>
          </cell>
          <cell r="H1166">
            <v>-21.6</v>
          </cell>
          <cell r="I1166">
            <v>-21.5</v>
          </cell>
          <cell r="J1166">
            <v>-22</v>
          </cell>
          <cell r="K1166">
            <v>-21.4</v>
          </cell>
          <cell r="L1166">
            <v>-21.4</v>
          </cell>
          <cell r="M1166">
            <v>-21.4</v>
          </cell>
        </row>
        <row r="1167">
          <cell r="C1167" t="str">
            <v>Hyosung MBA T4 (phía 22kV)</v>
          </cell>
          <cell r="D1167">
            <v>434</v>
          </cell>
          <cell r="E1167">
            <v>-24.4</v>
          </cell>
          <cell r="F1167">
            <v>-25.7</v>
          </cell>
          <cell r="G1167">
            <v>-25.3</v>
          </cell>
          <cell r="H1167">
            <v>-24.9</v>
          </cell>
          <cell r="I1167">
            <v>-25.6</v>
          </cell>
          <cell r="J1167">
            <v>-25.7</v>
          </cell>
          <cell r="K1167">
            <v>-24.4</v>
          </cell>
          <cell r="L1167">
            <v>-24.9</v>
          </cell>
          <cell r="M1167">
            <v>-24.5</v>
          </cell>
        </row>
        <row r="1168">
          <cell r="C1168" t="str">
            <v>Hyosung MBA T5 (phía 22kV)</v>
          </cell>
          <cell r="D1168">
            <v>435</v>
          </cell>
          <cell r="E1168">
            <v>-28.8</v>
          </cell>
          <cell r="F1168">
            <v>-30.6</v>
          </cell>
          <cell r="G1168">
            <v>-29.7</v>
          </cell>
          <cell r="H1168">
            <v>-30.5</v>
          </cell>
          <cell r="I1168">
            <v>-30.6</v>
          </cell>
          <cell r="J1168">
            <v>-28.8</v>
          </cell>
          <cell r="K1168">
            <v>-29.7</v>
          </cell>
          <cell r="L1168">
            <v>-29.2</v>
          </cell>
          <cell r="M1168">
            <v>-30</v>
          </cell>
        </row>
        <row r="1169">
          <cell r="C1169" t="str">
            <v>Hyosung 2 MBA T6 (phía 110kV)</v>
          </cell>
          <cell r="F1169">
            <v>31.6</v>
          </cell>
          <cell r="H1169">
            <v>30.2</v>
          </cell>
          <cell r="I1169">
            <v>31</v>
          </cell>
          <cell r="J1169">
            <v>30.6</v>
          </cell>
          <cell r="K1169">
            <v>31.5</v>
          </cell>
          <cell r="L1169">
            <v>30.6</v>
          </cell>
          <cell r="M1169">
            <v>31.6</v>
          </cell>
        </row>
        <row r="1170">
          <cell r="C1170" t="str">
            <v>Hyosung 2 MBA T7 (phía 110kV)</v>
          </cell>
          <cell r="F1170">
            <v>27.1</v>
          </cell>
          <cell r="H1170">
            <v>26.9</v>
          </cell>
          <cell r="I1170">
            <v>26.4</v>
          </cell>
          <cell r="J1170">
            <v>27.1</v>
          </cell>
          <cell r="K1170">
            <v>26.8</v>
          </cell>
          <cell r="L1170">
            <v>26.7</v>
          </cell>
          <cell r="M1170">
            <v>26.9</v>
          </cell>
        </row>
        <row r="1171">
          <cell r="C1171" t="str">
            <v>110kV 171 Hyosung 2 - 178 Bàu Sen</v>
          </cell>
          <cell r="F1171">
            <v>-101.4</v>
          </cell>
          <cell r="H1171">
            <v>-101.4</v>
          </cell>
          <cell r="I1171">
            <v>-99.6</v>
          </cell>
          <cell r="J1171">
            <v>-101.1</v>
          </cell>
          <cell r="K1171">
            <v>-99.7</v>
          </cell>
          <cell r="L1171">
            <v>-89.4</v>
          </cell>
          <cell r="M1171">
            <v>-88.3</v>
          </cell>
        </row>
        <row r="1172">
          <cell r="C1172" t="str">
            <v>110kV 172 Hyosung 2 - 173 Long Thành</v>
          </cell>
          <cell r="F1172">
            <v>45.1</v>
          </cell>
          <cell r="H1172">
            <v>45</v>
          </cell>
          <cell r="I1172">
            <v>43.5</v>
          </cell>
          <cell r="J1172">
            <v>45.1</v>
          </cell>
          <cell r="K1172">
            <v>41.9</v>
          </cell>
          <cell r="L1172">
            <v>33.1</v>
          </cell>
          <cell r="M1172">
            <v>32</v>
          </cell>
        </row>
        <row r="1173">
          <cell r="C1173" t="str">
            <v>Hyosung 2 MBA T6 (phía 22kV)</v>
          </cell>
          <cell r="F1173">
            <v>-31.5</v>
          </cell>
          <cell r="H1173">
            <v>-30.2</v>
          </cell>
          <cell r="I1173">
            <v>-30.9</v>
          </cell>
          <cell r="J1173">
            <v>-30.6</v>
          </cell>
          <cell r="K1173">
            <v>-31.4</v>
          </cell>
          <cell r="L1173">
            <v>-30.6</v>
          </cell>
          <cell r="M1173">
            <v>-31.5</v>
          </cell>
        </row>
        <row r="1174">
          <cell r="C1174" t="str">
            <v>Hyosung 2 MBA T7 (phía 22kV)</v>
          </cell>
          <cell r="F1174">
            <v>-27</v>
          </cell>
          <cell r="H1174">
            <v>-26.8</v>
          </cell>
          <cell r="I1174">
            <v>-26.4</v>
          </cell>
          <cell r="J1174">
            <v>-27</v>
          </cell>
          <cell r="K1174">
            <v>-26.7</v>
          </cell>
          <cell r="L1174">
            <v>-26.7</v>
          </cell>
          <cell r="M1174">
            <v>-26.9</v>
          </cell>
        </row>
        <row r="1175">
          <cell r="C1175" t="str">
            <v>Hyosung 2 MBA T8 (phía 110kV)</v>
          </cell>
          <cell r="E1175">
            <v>0</v>
          </cell>
          <cell r="F1175">
            <v>0.1</v>
          </cell>
          <cell r="H1175">
            <v>0.1</v>
          </cell>
          <cell r="I1175">
            <v>0.1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</row>
        <row r="1176">
          <cell r="C1176" t="str">
            <v>Hyosung 2 MBA T8 (phía 22kV)</v>
          </cell>
          <cell r="E1176">
            <v>0</v>
          </cell>
          <cell r="F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</row>
        <row r="1177">
          <cell r="C1177" t="str">
            <v>Hyosung 2 MBA T9 (phía 110kV)</v>
          </cell>
          <cell r="E1177">
            <v>0</v>
          </cell>
          <cell r="F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</row>
        <row r="1178">
          <cell r="C1178" t="str">
            <v>Hyosung 2 MBA T9 (phía 22kV)</v>
          </cell>
          <cell r="E1178">
            <v>0</v>
          </cell>
          <cell r="F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</row>
        <row r="1179">
          <cell r="C1179" t="str">
            <v>110kV 173 Hyosung Vina Chemicals - 173 Tân Thành</v>
          </cell>
          <cell r="F1179">
            <v>-34.700000000000003</v>
          </cell>
          <cell r="H1179">
            <v>-34.700000000000003</v>
          </cell>
          <cell r="I1179">
            <v>-29.8</v>
          </cell>
          <cell r="J1179">
            <v>-29.8</v>
          </cell>
          <cell r="K1179">
            <v>-26.1</v>
          </cell>
          <cell r="L1179">
            <v>-24.2</v>
          </cell>
          <cell r="M1179">
            <v>-31.1</v>
          </cell>
        </row>
        <row r="1180">
          <cell r="C1180" t="str">
            <v>110kV 171 Hyosung Vina Chemicals - 172 Cái Mép</v>
          </cell>
          <cell r="F1180">
            <v>14</v>
          </cell>
          <cell r="H1180">
            <v>8.6999999999999993</v>
          </cell>
          <cell r="I1180">
            <v>7.3</v>
          </cell>
          <cell r="J1180">
            <v>8.1</v>
          </cell>
          <cell r="K1180">
            <v>13.9</v>
          </cell>
          <cell r="L1180">
            <v>14</v>
          </cell>
          <cell r="M1180">
            <v>10.1</v>
          </cell>
        </row>
        <row r="1181">
          <cell r="C1181" t="str">
            <v>Hyosung Vina Chemicals MBA T1 (phía 110kV)</v>
          </cell>
          <cell r="F1181">
            <v>6.9</v>
          </cell>
          <cell r="H1181">
            <v>3.6</v>
          </cell>
          <cell r="I1181">
            <v>3.7</v>
          </cell>
          <cell r="J1181">
            <v>5.0999999999999996</v>
          </cell>
          <cell r="K1181">
            <v>6.9</v>
          </cell>
          <cell r="L1181">
            <v>5.0999999999999996</v>
          </cell>
          <cell r="M1181">
            <v>6.4</v>
          </cell>
        </row>
        <row r="1182">
          <cell r="C1182" t="str">
            <v>110kV 172 Hyosung Vina Chemicals - 172 Thị Vải</v>
          </cell>
          <cell r="E1182">
            <v>0</v>
          </cell>
          <cell r="F1182">
            <v>-24.8</v>
          </cell>
          <cell r="H1182">
            <v>-2.2999999999999998</v>
          </cell>
          <cell r="I1182">
            <v>0</v>
          </cell>
          <cell r="J1182">
            <v>-6.2</v>
          </cell>
          <cell r="K1182">
            <v>-24</v>
          </cell>
          <cell r="L1182">
            <v>-24.8</v>
          </cell>
          <cell r="M1182">
            <v>-17.2</v>
          </cell>
        </row>
        <row r="1183">
          <cell r="C1183" t="str">
            <v>110kV 174 Hyosung Vina Chemicals - 171 Cái Mép</v>
          </cell>
          <cell r="F1183">
            <v>14.6</v>
          </cell>
          <cell r="H1183">
            <v>9.9</v>
          </cell>
          <cell r="I1183">
            <v>6.3</v>
          </cell>
          <cell r="J1183">
            <v>7.5</v>
          </cell>
          <cell r="K1183">
            <v>13.5</v>
          </cell>
          <cell r="L1183">
            <v>14.6</v>
          </cell>
          <cell r="M1183">
            <v>10</v>
          </cell>
        </row>
        <row r="1184">
          <cell r="C1184" t="str">
            <v>Hyosung Vina Chemicals MBA T2 (phía 110kV)</v>
          </cell>
          <cell r="F1184">
            <v>16.2</v>
          </cell>
          <cell r="H1184">
            <v>13.7</v>
          </cell>
          <cell r="I1184">
            <v>14.6</v>
          </cell>
          <cell r="J1184">
            <v>10.9</v>
          </cell>
          <cell r="K1184">
            <v>16.2</v>
          </cell>
          <cell r="L1184">
            <v>16</v>
          </cell>
          <cell r="M1184">
            <v>15.7</v>
          </cell>
        </row>
        <row r="1185">
          <cell r="C1185" t="str">
            <v>Hyosung Vina Chemicals MBA T1 (phía 22kV)</v>
          </cell>
          <cell r="F1185">
            <v>6.8</v>
          </cell>
          <cell r="H1185">
            <v>3.5</v>
          </cell>
          <cell r="I1185">
            <v>3.6</v>
          </cell>
          <cell r="J1185">
            <v>5</v>
          </cell>
          <cell r="K1185">
            <v>6.8</v>
          </cell>
          <cell r="L1185">
            <v>5</v>
          </cell>
          <cell r="M1185">
            <v>6.3</v>
          </cell>
        </row>
        <row r="1186">
          <cell r="C1186" t="str">
            <v>Hyosung Vina Chemicals MBA T2 (phía 22kV)</v>
          </cell>
          <cell r="F1186">
            <v>-16.2</v>
          </cell>
          <cell r="H1186">
            <v>-13.7</v>
          </cell>
          <cell r="I1186">
            <v>-14.5</v>
          </cell>
          <cell r="J1186">
            <v>-10.9</v>
          </cell>
          <cell r="K1186">
            <v>-16.2</v>
          </cell>
          <cell r="L1186">
            <v>-15.9</v>
          </cell>
          <cell r="M1186">
            <v>-15.6</v>
          </cell>
        </row>
        <row r="1187">
          <cell r="C1187" t="str">
            <v>Intel MBA T1 (phía 110kV)</v>
          </cell>
          <cell r="D1187">
            <v>131</v>
          </cell>
          <cell r="E1187">
            <v>13.6</v>
          </cell>
          <cell r="F1187">
            <v>13.6</v>
          </cell>
          <cell r="G1187">
            <v>13.6</v>
          </cell>
          <cell r="H1187">
            <v>13.6</v>
          </cell>
          <cell r="I1187">
            <v>13.6</v>
          </cell>
          <cell r="J1187">
            <v>13.6</v>
          </cell>
          <cell r="K1187">
            <v>13.6</v>
          </cell>
          <cell r="L1187">
            <v>13.6</v>
          </cell>
          <cell r="M1187">
            <v>13.6</v>
          </cell>
        </row>
        <row r="1188">
          <cell r="C1188" t="str">
            <v>Intel MBA T2 (phía 110kV)</v>
          </cell>
          <cell r="D1188">
            <v>132</v>
          </cell>
          <cell r="E1188">
            <v>16.5</v>
          </cell>
          <cell r="F1188">
            <v>16.5</v>
          </cell>
          <cell r="G1188">
            <v>16.5</v>
          </cell>
          <cell r="H1188">
            <v>16.5</v>
          </cell>
          <cell r="I1188">
            <v>16.5</v>
          </cell>
          <cell r="J1188">
            <v>16.5</v>
          </cell>
          <cell r="K1188">
            <v>16.5</v>
          </cell>
          <cell r="L1188">
            <v>16.5</v>
          </cell>
          <cell r="M1188">
            <v>16.5</v>
          </cell>
        </row>
        <row r="1189">
          <cell r="C1189" t="str">
            <v>110kV (172-7) Intel - 174 Tăng Nhơn Phú</v>
          </cell>
          <cell r="D1189">
            <v>172</v>
          </cell>
          <cell r="E1189">
            <v>-0.9</v>
          </cell>
          <cell r="F1189">
            <v>4.9000000000000004</v>
          </cell>
          <cell r="G1189">
            <v>4.2</v>
          </cell>
          <cell r="H1189">
            <v>4.9000000000000004</v>
          </cell>
          <cell r="I1189">
            <v>4</v>
          </cell>
          <cell r="J1189">
            <v>3.5</v>
          </cell>
          <cell r="K1189">
            <v>4.3</v>
          </cell>
          <cell r="L1189">
            <v>-0.9</v>
          </cell>
          <cell r="M1189">
            <v>-1</v>
          </cell>
        </row>
        <row r="1190">
          <cell r="C1190" t="str">
            <v>110kV (174-7) Intel - 173 Công Nghệ Cao</v>
          </cell>
          <cell r="D1190">
            <v>174</v>
          </cell>
          <cell r="E1190">
            <v>19.3</v>
          </cell>
          <cell r="F1190">
            <v>-36.700000000000003</v>
          </cell>
          <cell r="G1190">
            <v>-36.700000000000003</v>
          </cell>
          <cell r="H1190">
            <v>-35</v>
          </cell>
          <cell r="I1190">
            <v>-31.7</v>
          </cell>
          <cell r="J1190">
            <v>19.3</v>
          </cell>
          <cell r="K1190">
            <v>-32.6</v>
          </cell>
          <cell r="L1190">
            <v>-35</v>
          </cell>
          <cell r="M1190">
            <v>-33</v>
          </cell>
        </row>
        <row r="1191">
          <cell r="C1191" t="str">
            <v>Intel MBA T1 (phía 22kV)</v>
          </cell>
          <cell r="D1191">
            <v>431</v>
          </cell>
          <cell r="E1191">
            <v>-12.2</v>
          </cell>
          <cell r="F1191">
            <v>-14.1</v>
          </cell>
          <cell r="G1191">
            <v>-13.4</v>
          </cell>
          <cell r="H1191">
            <v>-12.6</v>
          </cell>
          <cell r="I1191">
            <v>-12.2</v>
          </cell>
          <cell r="J1191">
            <v>-13.4</v>
          </cell>
          <cell r="K1191">
            <v>-14.1</v>
          </cell>
          <cell r="L1191">
            <v>-12.3</v>
          </cell>
          <cell r="M1191">
            <v>-13.6</v>
          </cell>
        </row>
        <row r="1192">
          <cell r="C1192" t="str">
            <v>Intel MBA T2 (phía 22kV)</v>
          </cell>
          <cell r="D1192">
            <v>432</v>
          </cell>
          <cell r="E1192">
            <v>-15.6</v>
          </cell>
          <cell r="F1192">
            <v>-17.600000000000001</v>
          </cell>
          <cell r="G1192">
            <v>-17.600000000000001</v>
          </cell>
          <cell r="H1192">
            <v>-17.100000000000001</v>
          </cell>
          <cell r="I1192">
            <v>-16.8</v>
          </cell>
          <cell r="J1192">
            <v>-16.600000000000001</v>
          </cell>
          <cell r="K1192">
            <v>-15.9</v>
          </cell>
          <cell r="L1192">
            <v>-16.600000000000001</v>
          </cell>
          <cell r="M1192">
            <v>-15.6</v>
          </cell>
        </row>
        <row r="1193">
          <cell r="C1193" t="str">
            <v>KCN Cần Thơ MBA T1 (phía 110kV)</v>
          </cell>
          <cell r="D1193">
            <v>131</v>
          </cell>
          <cell r="E1193">
            <v>19.2</v>
          </cell>
          <cell r="F1193">
            <v>32.9</v>
          </cell>
          <cell r="G1193">
            <v>23.7</v>
          </cell>
          <cell r="H1193">
            <v>23.3</v>
          </cell>
          <cell r="I1193">
            <v>22.5</v>
          </cell>
          <cell r="J1193">
            <v>20</v>
          </cell>
          <cell r="K1193">
            <v>19.399999999999999</v>
          </cell>
          <cell r="L1193">
            <v>19.2</v>
          </cell>
          <cell r="M1193">
            <v>32.9</v>
          </cell>
        </row>
        <row r="1194">
          <cell r="C1194" t="str">
            <v>KCN Cần Thơ MBA T2 (phía 110kV)</v>
          </cell>
          <cell r="D1194">
            <v>132</v>
          </cell>
          <cell r="E1194">
            <v>21.6</v>
          </cell>
          <cell r="F1194">
            <v>33.6</v>
          </cell>
          <cell r="G1194">
            <v>33.200000000000003</v>
          </cell>
          <cell r="H1194">
            <v>33.6</v>
          </cell>
          <cell r="I1194">
            <v>26</v>
          </cell>
          <cell r="J1194">
            <v>33.299999999999997</v>
          </cell>
          <cell r="K1194">
            <v>26.7</v>
          </cell>
          <cell r="L1194">
            <v>24.4</v>
          </cell>
          <cell r="M1194">
            <v>21.6</v>
          </cell>
        </row>
        <row r="1195">
          <cell r="C1195" t="str">
            <v>110kV 171 KCN Cần Thơ - 171 Trà Nóc</v>
          </cell>
          <cell r="D1195">
            <v>171</v>
          </cell>
          <cell r="E1195">
            <v>0</v>
          </cell>
          <cell r="F1195">
            <v>-32.200000000000003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-32.200000000000003</v>
          </cell>
        </row>
        <row r="1196">
          <cell r="C1196" t="str">
            <v>110kV 172 KCN Cần Thơ - 175 NMĐ Ô Môn</v>
          </cell>
          <cell r="D1196">
            <v>172</v>
          </cell>
          <cell r="E1196">
            <v>-40.4</v>
          </cell>
          <cell r="F1196">
            <v>-55.6</v>
          </cell>
          <cell r="G1196">
            <v>-53.9</v>
          </cell>
          <cell r="H1196">
            <v>-55.6</v>
          </cell>
          <cell r="I1196">
            <v>-48.2</v>
          </cell>
          <cell r="J1196">
            <v>-53.2</v>
          </cell>
          <cell r="K1196">
            <v>-45.8</v>
          </cell>
          <cell r="L1196">
            <v>-43</v>
          </cell>
          <cell r="M1196">
            <v>-40.4</v>
          </cell>
        </row>
        <row r="1197">
          <cell r="C1197" t="str">
            <v>KCN Cần Thơ MBA T1 (phía 22kV)</v>
          </cell>
          <cell r="D1197">
            <v>431</v>
          </cell>
          <cell r="E1197">
            <v>-19.2</v>
          </cell>
          <cell r="F1197">
            <v>-32.799999999999997</v>
          </cell>
          <cell r="G1197">
            <v>-24.1</v>
          </cell>
          <cell r="H1197">
            <v>-23.4</v>
          </cell>
          <cell r="I1197">
            <v>-22.4</v>
          </cell>
          <cell r="J1197">
            <v>-20.9</v>
          </cell>
          <cell r="K1197">
            <v>-19.2</v>
          </cell>
          <cell r="L1197">
            <v>-19.5</v>
          </cell>
          <cell r="M1197">
            <v>-32.799999999999997</v>
          </cell>
        </row>
        <row r="1198">
          <cell r="C1198" t="str">
            <v>KCN Cần Thơ MBA T2 (phía 22kV)</v>
          </cell>
          <cell r="D1198">
            <v>432</v>
          </cell>
          <cell r="E1198">
            <v>-21.9</v>
          </cell>
          <cell r="F1198">
            <v>-33.9</v>
          </cell>
          <cell r="G1198">
            <v>-33.6</v>
          </cell>
          <cell r="H1198">
            <v>-33.9</v>
          </cell>
          <cell r="I1198">
            <v>-26.3</v>
          </cell>
          <cell r="J1198">
            <v>-33.799999999999997</v>
          </cell>
          <cell r="K1198">
            <v>-27</v>
          </cell>
          <cell r="L1198">
            <v>-24.8</v>
          </cell>
          <cell r="M1198">
            <v>-21.9</v>
          </cell>
        </row>
        <row r="1199">
          <cell r="C1199" t="str">
            <v>KCN Trảng Bàng MBA T1 (phía 110kV)</v>
          </cell>
          <cell r="D1199">
            <v>131</v>
          </cell>
          <cell r="E1199">
            <v>16.5</v>
          </cell>
          <cell r="F1199">
            <v>30</v>
          </cell>
          <cell r="G1199">
            <v>30</v>
          </cell>
          <cell r="H1199">
            <v>25.5</v>
          </cell>
          <cell r="I1199">
            <v>25.5</v>
          </cell>
          <cell r="J1199">
            <v>26</v>
          </cell>
          <cell r="K1199">
            <v>26.2</v>
          </cell>
          <cell r="L1199">
            <v>16.5</v>
          </cell>
          <cell r="M1199">
            <v>17.600000000000001</v>
          </cell>
        </row>
        <row r="1200">
          <cell r="C1200" t="str">
            <v>KCN Trảng Bàng MBA T2 (phía 110kV)</v>
          </cell>
          <cell r="D1200">
            <v>132</v>
          </cell>
          <cell r="E1200">
            <v>15.9</v>
          </cell>
          <cell r="F1200">
            <v>27</v>
          </cell>
          <cell r="G1200">
            <v>27</v>
          </cell>
          <cell r="H1200">
            <v>26.5</v>
          </cell>
          <cell r="I1200">
            <v>25.7</v>
          </cell>
          <cell r="J1200">
            <v>26</v>
          </cell>
          <cell r="K1200">
            <v>26.7</v>
          </cell>
          <cell r="L1200">
            <v>15.9</v>
          </cell>
          <cell r="M1200">
            <v>16.100000000000001</v>
          </cell>
        </row>
        <row r="1201">
          <cell r="C1201" t="str">
            <v>110kV 171 KCN Trảng Bàng - 172 Trảng Bàng - 171 Trảng Bàng 2</v>
          </cell>
          <cell r="D1201">
            <v>171</v>
          </cell>
          <cell r="E1201">
            <v>-16.600000000000001</v>
          </cell>
          <cell r="F1201">
            <v>-30</v>
          </cell>
          <cell r="G1201">
            <v>-30</v>
          </cell>
          <cell r="H1201">
            <v>-25.8</v>
          </cell>
          <cell r="I1201">
            <v>-25.9</v>
          </cell>
          <cell r="J1201">
            <v>-25.7</v>
          </cell>
          <cell r="K1201">
            <v>-26.2</v>
          </cell>
          <cell r="L1201">
            <v>-16.600000000000001</v>
          </cell>
          <cell r="M1201">
            <v>-17.600000000000001</v>
          </cell>
        </row>
        <row r="1202">
          <cell r="C1202" t="str">
            <v>110kV 172 KCN Trảng Bàng - 172 Củ Chi 2</v>
          </cell>
          <cell r="D1202">
            <v>172</v>
          </cell>
          <cell r="E1202">
            <v>-15.9</v>
          </cell>
          <cell r="F1202">
            <v>-26.9</v>
          </cell>
          <cell r="G1202">
            <v>-26.9</v>
          </cell>
          <cell r="H1202">
            <v>-26.3</v>
          </cell>
          <cell r="I1202">
            <v>-26</v>
          </cell>
          <cell r="J1202">
            <v>-25.9</v>
          </cell>
          <cell r="K1202">
            <v>-26.8</v>
          </cell>
          <cell r="L1202">
            <v>-16.2</v>
          </cell>
          <cell r="M1202">
            <v>-15.9</v>
          </cell>
        </row>
        <row r="1203">
          <cell r="C1203" t="str">
            <v>KCN Trảng Bàng MBA T1 (phía 22kV)</v>
          </cell>
          <cell r="D1203">
            <v>431</v>
          </cell>
          <cell r="E1203">
            <v>-16.600000000000001</v>
          </cell>
          <cell r="F1203">
            <v>-30</v>
          </cell>
          <cell r="G1203">
            <v>-30</v>
          </cell>
          <cell r="H1203">
            <v>-25.7</v>
          </cell>
          <cell r="I1203">
            <v>-25.9</v>
          </cell>
          <cell r="J1203">
            <v>-25.8</v>
          </cell>
          <cell r="K1203">
            <v>-26.3</v>
          </cell>
          <cell r="L1203">
            <v>-16.600000000000001</v>
          </cell>
          <cell r="M1203">
            <v>-17.5</v>
          </cell>
        </row>
        <row r="1204">
          <cell r="C1204" t="str">
            <v>KCN Trảng Bàng MBA T2 (phía 22kV)</v>
          </cell>
          <cell r="D1204">
            <v>432</v>
          </cell>
          <cell r="E1204">
            <v>-15.6</v>
          </cell>
          <cell r="F1204">
            <v>-27.7</v>
          </cell>
          <cell r="G1204">
            <v>-27.7</v>
          </cell>
          <cell r="H1204">
            <v>-26.8</v>
          </cell>
          <cell r="I1204">
            <v>-25.5</v>
          </cell>
          <cell r="J1204">
            <v>-25.9</v>
          </cell>
          <cell r="K1204">
            <v>-26.8</v>
          </cell>
          <cell r="L1204">
            <v>-16</v>
          </cell>
          <cell r="M1204">
            <v>-15.6</v>
          </cell>
        </row>
        <row r="1205">
          <cell r="C1205" t="str">
            <v>110kV 171 KCN Vĩnh Lộc 2 - 176 Tân Túc</v>
          </cell>
          <cell r="F1205">
            <v>69.099999999999994</v>
          </cell>
          <cell r="H1205">
            <v>69.099999999999994</v>
          </cell>
          <cell r="I1205">
            <v>54.4</v>
          </cell>
          <cell r="J1205">
            <v>58.7</v>
          </cell>
          <cell r="K1205">
            <v>53.3</v>
          </cell>
          <cell r="L1205">
            <v>36.4</v>
          </cell>
          <cell r="M1205">
            <v>33.5</v>
          </cell>
        </row>
        <row r="1206">
          <cell r="C1206" t="str">
            <v>110kV 172 KCN Vĩnh Lộc 2 - 176 Phú Lâm</v>
          </cell>
          <cell r="F1206">
            <v>-88.5</v>
          </cell>
          <cell r="H1206">
            <v>-88.5</v>
          </cell>
          <cell r="I1206">
            <v>-73.900000000000006</v>
          </cell>
          <cell r="J1206">
            <v>-77.5</v>
          </cell>
          <cell r="K1206">
            <v>-71.900000000000006</v>
          </cell>
          <cell r="L1206">
            <v>-48</v>
          </cell>
          <cell r="M1206">
            <v>-46.5</v>
          </cell>
        </row>
        <row r="1207">
          <cell r="C1207" t="str">
            <v>110kV 173 KCN Vĩnh Lộc 2 - 172 Rạch Chanh - 172 Bến Lức - 171 Ching Luh</v>
          </cell>
          <cell r="E1207">
            <v>0</v>
          </cell>
          <cell r="F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</row>
        <row r="1208">
          <cell r="C1208" t="str">
            <v>110kV 174 KCN Vĩnh Lộc 2 - 172 Long Hiệp</v>
          </cell>
          <cell r="E1208">
            <v>0</v>
          </cell>
          <cell r="F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</row>
        <row r="1209">
          <cell r="C1209" t="str">
            <v>KCN Vĩnh Lộc 2 MBA T2 (phía 110kV)</v>
          </cell>
          <cell r="F1209">
            <v>21.9</v>
          </cell>
          <cell r="H1209">
            <v>21.9</v>
          </cell>
          <cell r="I1209">
            <v>19.600000000000001</v>
          </cell>
          <cell r="J1209">
            <v>19.399999999999999</v>
          </cell>
          <cell r="K1209">
            <v>19.5</v>
          </cell>
          <cell r="L1209">
            <v>12.7</v>
          </cell>
          <cell r="M1209">
            <v>13</v>
          </cell>
        </row>
        <row r="1210">
          <cell r="C1210" t="str">
            <v>KCN Vĩnh Lộc 2 MBA T2 (phía 22kV)</v>
          </cell>
          <cell r="F1210">
            <v>-21.7</v>
          </cell>
          <cell r="H1210">
            <v>-21.7</v>
          </cell>
          <cell r="I1210">
            <v>-19.8</v>
          </cell>
          <cell r="J1210">
            <v>-19.2</v>
          </cell>
          <cell r="K1210">
            <v>-19.399999999999999</v>
          </cell>
          <cell r="L1210">
            <v>-12.4</v>
          </cell>
          <cell r="M1210">
            <v>-13.1</v>
          </cell>
        </row>
        <row r="1211">
          <cell r="C1211" t="str">
            <v>110kV 171 Khánh An - 172 Cà Mau</v>
          </cell>
          <cell r="F1211">
            <v>69.599999999999994</v>
          </cell>
          <cell r="H1211">
            <v>66.3</v>
          </cell>
          <cell r="I1211">
            <v>62.9</v>
          </cell>
          <cell r="J1211">
            <v>69.599999999999994</v>
          </cell>
          <cell r="K1211">
            <v>61.6</v>
          </cell>
          <cell r="L1211">
            <v>63.5</v>
          </cell>
          <cell r="M1211">
            <v>64.7</v>
          </cell>
        </row>
        <row r="1212">
          <cell r="C1212" t="str">
            <v>110kV 172 Khánh An - 171 Cà Mau 2</v>
          </cell>
          <cell r="F1212">
            <v>-97.2</v>
          </cell>
          <cell r="H1212">
            <v>-90.1</v>
          </cell>
          <cell r="I1212">
            <v>-86.5</v>
          </cell>
          <cell r="J1212">
            <v>-97.2</v>
          </cell>
          <cell r="K1212">
            <v>-85.5</v>
          </cell>
          <cell r="L1212">
            <v>-89.5</v>
          </cell>
          <cell r="M1212">
            <v>-89.7</v>
          </cell>
        </row>
        <row r="1213">
          <cell r="C1213" t="str">
            <v>Khánh An MBA T1 (phía 110kV)</v>
          </cell>
          <cell r="F1213">
            <v>27.5</v>
          </cell>
          <cell r="H1213">
            <v>25.1</v>
          </cell>
          <cell r="I1213">
            <v>23.7</v>
          </cell>
          <cell r="J1213">
            <v>27.5</v>
          </cell>
          <cell r="K1213">
            <v>23.9</v>
          </cell>
          <cell r="L1213">
            <v>26</v>
          </cell>
          <cell r="M1213">
            <v>25</v>
          </cell>
        </row>
        <row r="1214">
          <cell r="C1214" t="str">
            <v>Khánh An MBA T1 (phía 22kV)</v>
          </cell>
          <cell r="F1214">
            <v>-27.6</v>
          </cell>
          <cell r="H1214">
            <v>-25.1</v>
          </cell>
          <cell r="I1214">
            <v>-23.7</v>
          </cell>
          <cell r="J1214">
            <v>-27.6</v>
          </cell>
          <cell r="K1214">
            <v>-23.9</v>
          </cell>
          <cell r="L1214">
            <v>-26</v>
          </cell>
          <cell r="M1214">
            <v>-25</v>
          </cell>
        </row>
        <row r="1215">
          <cell r="C1215" t="str">
            <v>110kV 171 Khánh Bình - 172 Tân Uyên</v>
          </cell>
          <cell r="F1215">
            <v>-52.6</v>
          </cell>
          <cell r="H1215">
            <v>-52.6</v>
          </cell>
          <cell r="I1215">
            <v>-52.6</v>
          </cell>
          <cell r="J1215">
            <v>-52.6</v>
          </cell>
          <cell r="K1215">
            <v>-52.6</v>
          </cell>
          <cell r="L1215">
            <v>-52.6</v>
          </cell>
          <cell r="M1215">
            <v>-52.6</v>
          </cell>
        </row>
        <row r="1216">
          <cell r="C1216" t="str">
            <v>110kV 172 Khánh Bình - 180 Bình Hòa</v>
          </cell>
          <cell r="F1216">
            <v>-59.9</v>
          </cell>
          <cell r="H1216">
            <v>-58.6</v>
          </cell>
          <cell r="I1216">
            <v>-58.8</v>
          </cell>
          <cell r="J1216">
            <v>-59.9</v>
          </cell>
          <cell r="K1216">
            <v>-57.4</v>
          </cell>
          <cell r="L1216">
            <v>-27.1</v>
          </cell>
          <cell r="M1216">
            <v>-28.6</v>
          </cell>
        </row>
        <row r="1217">
          <cell r="C1217" t="str">
            <v>Khánh Bình MBA T1 (phía 110kV)</v>
          </cell>
          <cell r="F1217">
            <v>59.3</v>
          </cell>
          <cell r="H1217">
            <v>59.3</v>
          </cell>
          <cell r="I1217">
            <v>56.5</v>
          </cell>
          <cell r="J1217">
            <v>59.2</v>
          </cell>
          <cell r="K1217">
            <v>53.7</v>
          </cell>
          <cell r="L1217">
            <v>32.6</v>
          </cell>
          <cell r="M1217">
            <v>32.5</v>
          </cell>
        </row>
        <row r="1218">
          <cell r="C1218" t="str">
            <v>Khánh Bình MBA T2 (phía 110kV)</v>
          </cell>
          <cell r="F1218">
            <v>59.7</v>
          </cell>
          <cell r="H1218">
            <v>58.2</v>
          </cell>
          <cell r="I1218">
            <v>58.7</v>
          </cell>
          <cell r="J1218">
            <v>59.7</v>
          </cell>
          <cell r="K1218">
            <v>57.2</v>
          </cell>
          <cell r="L1218">
            <v>27.4</v>
          </cell>
          <cell r="M1218">
            <v>28.6</v>
          </cell>
        </row>
        <row r="1219">
          <cell r="C1219" t="str">
            <v>Khánh Bình MBA T1 (phía 22kV)</v>
          </cell>
          <cell r="F1219">
            <v>-59.3</v>
          </cell>
          <cell r="H1219">
            <v>-59.3</v>
          </cell>
          <cell r="I1219">
            <v>-56.2</v>
          </cell>
          <cell r="J1219">
            <v>-59.2</v>
          </cell>
          <cell r="K1219">
            <v>-53.5</v>
          </cell>
          <cell r="L1219">
            <v>-32.6</v>
          </cell>
          <cell r="M1219">
            <v>-32.6</v>
          </cell>
        </row>
        <row r="1220">
          <cell r="C1220" t="str">
            <v>Khánh Bình MBA T2 (phía 22kV)</v>
          </cell>
          <cell r="F1220">
            <v>-59.7</v>
          </cell>
          <cell r="H1220">
            <v>-58.5</v>
          </cell>
          <cell r="I1220">
            <v>-58.7</v>
          </cell>
          <cell r="J1220">
            <v>-59.7</v>
          </cell>
          <cell r="K1220">
            <v>-57.1</v>
          </cell>
          <cell r="L1220">
            <v>-27.1</v>
          </cell>
          <cell r="M1220">
            <v>-28.6</v>
          </cell>
        </row>
        <row r="1221">
          <cell r="C1221" t="str">
            <v>110kV 171 Kiệm Tân - 176 NMĐ Trị An</v>
          </cell>
          <cell r="F1221">
            <v>-66.900000000000006</v>
          </cell>
          <cell r="H1221">
            <v>-64.8</v>
          </cell>
          <cell r="I1221">
            <v>-63.6</v>
          </cell>
          <cell r="J1221">
            <v>-66.900000000000006</v>
          </cell>
          <cell r="K1221">
            <v>-63.3</v>
          </cell>
          <cell r="L1221">
            <v>-61.5</v>
          </cell>
          <cell r="M1221">
            <v>-61.5</v>
          </cell>
        </row>
        <row r="1222">
          <cell r="C1222" t="str">
            <v>110kV 172 Kiệm Tân - 171 Định Quán</v>
          </cell>
          <cell r="F1222">
            <v>29.8</v>
          </cell>
          <cell r="H1222">
            <v>28.7</v>
          </cell>
          <cell r="I1222">
            <v>27.9</v>
          </cell>
          <cell r="J1222">
            <v>29.8</v>
          </cell>
          <cell r="K1222">
            <v>27.2</v>
          </cell>
          <cell r="L1222">
            <v>26</v>
          </cell>
          <cell r="M1222">
            <v>26.2</v>
          </cell>
        </row>
        <row r="1223">
          <cell r="C1223" t="str">
            <v>Kiệm Tân MBA T1 (phía 110kV)</v>
          </cell>
          <cell r="F1223">
            <v>23.2</v>
          </cell>
          <cell r="H1223">
            <v>22.9</v>
          </cell>
          <cell r="I1223">
            <v>21.7</v>
          </cell>
          <cell r="J1223">
            <v>23.2</v>
          </cell>
          <cell r="K1223">
            <v>21.5</v>
          </cell>
          <cell r="L1223">
            <v>21.2</v>
          </cell>
          <cell r="M1223">
            <v>21.6</v>
          </cell>
        </row>
        <row r="1224">
          <cell r="C1224" t="str">
            <v>Kiệm Tân MBA T2 (phía 110kV)</v>
          </cell>
          <cell r="F1224">
            <v>16.5</v>
          </cell>
          <cell r="H1224">
            <v>15.6</v>
          </cell>
          <cell r="I1224">
            <v>14.4</v>
          </cell>
          <cell r="J1224">
            <v>15.5</v>
          </cell>
          <cell r="K1224">
            <v>14.3</v>
          </cell>
          <cell r="L1224">
            <v>16.5</v>
          </cell>
          <cell r="M1224">
            <v>14</v>
          </cell>
        </row>
        <row r="1225">
          <cell r="C1225" t="str">
            <v>Kiệm Tân MBA T1 (phía 22kV)</v>
          </cell>
          <cell r="F1225">
            <v>-23</v>
          </cell>
          <cell r="H1225">
            <v>-22.7</v>
          </cell>
          <cell r="I1225">
            <v>-21.5</v>
          </cell>
          <cell r="J1225">
            <v>-23</v>
          </cell>
          <cell r="K1225">
            <v>-21.4</v>
          </cell>
          <cell r="L1225">
            <v>-20.9</v>
          </cell>
          <cell r="M1225">
            <v>-21.4</v>
          </cell>
        </row>
        <row r="1226">
          <cell r="C1226" t="str">
            <v>Kiệm Tân MBA T2 (phía 22kV)</v>
          </cell>
          <cell r="F1226">
            <v>-16.3</v>
          </cell>
          <cell r="H1226">
            <v>-15.5</v>
          </cell>
          <cell r="I1226">
            <v>-14.4</v>
          </cell>
          <cell r="J1226">
            <v>-15.4</v>
          </cell>
          <cell r="K1226">
            <v>-14.1</v>
          </cell>
          <cell r="L1226">
            <v>-16.3</v>
          </cell>
          <cell r="M1226">
            <v>-13.9</v>
          </cell>
        </row>
        <row r="1227">
          <cell r="C1227" t="str">
            <v>Kiên Bình MBA AT1 (phía 110kV)</v>
          </cell>
          <cell r="D1227">
            <v>131</v>
          </cell>
          <cell r="E1227">
            <v>-77.599999999999994</v>
          </cell>
          <cell r="F1227">
            <v>-95</v>
          </cell>
          <cell r="G1227">
            <v>-95</v>
          </cell>
          <cell r="H1227">
            <v>-77.900000000000006</v>
          </cell>
          <cell r="I1227">
            <v>-77.599999999999994</v>
          </cell>
          <cell r="J1227">
            <v>-90.2</v>
          </cell>
          <cell r="K1227">
            <v>-80</v>
          </cell>
          <cell r="L1227">
            <v>-82.7</v>
          </cell>
          <cell r="M1227">
            <v>-79.7</v>
          </cell>
        </row>
        <row r="1228">
          <cell r="C1228" t="str">
            <v>Kiên Bình MBA AT2 (phía 110kV)</v>
          </cell>
          <cell r="D1228">
            <v>132</v>
          </cell>
          <cell r="E1228">
            <v>-78.099999999999994</v>
          </cell>
          <cell r="F1228">
            <v>-95.8</v>
          </cell>
          <cell r="G1228">
            <v>-95.8</v>
          </cell>
          <cell r="H1228">
            <v>-78.8</v>
          </cell>
          <cell r="I1228">
            <v>-78.099999999999994</v>
          </cell>
          <cell r="J1228">
            <v>-90.7</v>
          </cell>
          <cell r="K1228">
            <v>-80.2</v>
          </cell>
          <cell r="L1228">
            <v>-83.4</v>
          </cell>
          <cell r="M1228">
            <v>-79.8</v>
          </cell>
        </row>
        <row r="1229">
          <cell r="C1229" t="str">
            <v>110kV 171 Kiên Bình - 172 Hòn Đất</v>
          </cell>
          <cell r="D1229">
            <v>171</v>
          </cell>
          <cell r="E1229">
            <v>-0.1</v>
          </cell>
          <cell r="F1229">
            <v>-0.1</v>
          </cell>
          <cell r="G1229">
            <v>-0.1</v>
          </cell>
          <cell r="H1229">
            <v>-0.1</v>
          </cell>
          <cell r="I1229">
            <v>-0.1</v>
          </cell>
          <cell r="J1229">
            <v>-0.1</v>
          </cell>
          <cell r="K1229">
            <v>-0.1</v>
          </cell>
          <cell r="L1229">
            <v>-0.1</v>
          </cell>
          <cell r="M1229">
            <v>-0.1</v>
          </cell>
        </row>
        <row r="1230">
          <cell r="C1230" t="str">
            <v>110kV 172 Kiên Bình - 171 Hà Tiên</v>
          </cell>
          <cell r="D1230">
            <v>172</v>
          </cell>
          <cell r="E1230">
            <v>41.1</v>
          </cell>
          <cell r="F1230">
            <v>58.2</v>
          </cell>
          <cell r="G1230">
            <v>58.2</v>
          </cell>
          <cell r="H1230">
            <v>41.1</v>
          </cell>
          <cell r="I1230">
            <v>42.9</v>
          </cell>
          <cell r="J1230">
            <v>50.7</v>
          </cell>
          <cell r="K1230">
            <v>41.8</v>
          </cell>
          <cell r="L1230">
            <v>47.1</v>
          </cell>
          <cell r="M1230">
            <v>41.7</v>
          </cell>
        </row>
        <row r="1231">
          <cell r="C1231" t="str">
            <v>110kV 173 Kiên Bình - 172 Hà Tiên</v>
          </cell>
          <cell r="D1231">
            <v>173</v>
          </cell>
          <cell r="E1231">
            <v>40.799999999999997</v>
          </cell>
          <cell r="F1231">
            <v>57</v>
          </cell>
          <cell r="G1231">
            <v>57</v>
          </cell>
          <cell r="H1231">
            <v>40.799999999999997</v>
          </cell>
          <cell r="I1231">
            <v>42.6</v>
          </cell>
          <cell r="J1231">
            <v>49.6</v>
          </cell>
          <cell r="K1231">
            <v>41.7</v>
          </cell>
          <cell r="L1231">
            <v>47.3</v>
          </cell>
          <cell r="M1231">
            <v>41.6</v>
          </cell>
        </row>
        <row r="1232">
          <cell r="C1232" t="str">
            <v>110kV 174 Kiên Bình - 171-7 Kiên Lương</v>
          </cell>
          <cell r="D1232">
            <v>174</v>
          </cell>
          <cell r="E1232">
            <v>25.7</v>
          </cell>
          <cell r="F1232">
            <v>30.8</v>
          </cell>
          <cell r="G1232">
            <v>25.7</v>
          </cell>
          <cell r="H1232">
            <v>26.4</v>
          </cell>
          <cell r="I1232">
            <v>30.7</v>
          </cell>
          <cell r="J1232">
            <v>30.6</v>
          </cell>
          <cell r="K1232">
            <v>30.4</v>
          </cell>
          <cell r="L1232">
            <v>30.6</v>
          </cell>
          <cell r="M1232">
            <v>30.8</v>
          </cell>
        </row>
        <row r="1233">
          <cell r="C1233" t="str">
            <v>110kV 175 Kiên Bình - 171 Kiên Lương 2</v>
          </cell>
          <cell r="D1233">
            <v>175</v>
          </cell>
          <cell r="E1233">
            <v>27.6</v>
          </cell>
          <cell r="F1233">
            <v>34.799999999999997</v>
          </cell>
          <cell r="G1233">
            <v>34.799999999999997</v>
          </cell>
          <cell r="H1233">
            <v>30.6</v>
          </cell>
          <cell r="I1233">
            <v>28.9</v>
          </cell>
          <cell r="J1233">
            <v>31.8</v>
          </cell>
          <cell r="K1233">
            <v>27.8</v>
          </cell>
          <cell r="L1233">
            <v>29.7</v>
          </cell>
          <cell r="M1233">
            <v>27.6</v>
          </cell>
        </row>
        <row r="1234">
          <cell r="C1234" t="str">
            <v>110kV 176 Kiên Bình - 172 XM Holcim</v>
          </cell>
          <cell r="D1234">
            <v>176</v>
          </cell>
          <cell r="E1234">
            <v>21.4</v>
          </cell>
          <cell r="F1234">
            <v>25.1</v>
          </cell>
          <cell r="G1234">
            <v>21.4</v>
          </cell>
          <cell r="H1234">
            <v>21.8</v>
          </cell>
          <cell r="I1234">
            <v>23.3</v>
          </cell>
          <cell r="J1234">
            <v>22.9</v>
          </cell>
          <cell r="K1234">
            <v>22.7</v>
          </cell>
          <cell r="L1234">
            <v>25.1</v>
          </cell>
          <cell r="M1234">
            <v>23.6</v>
          </cell>
        </row>
        <row r="1235">
          <cell r="C1235" t="str">
            <v>Kiên Bình MBA AT1 (phía 220kV)</v>
          </cell>
          <cell r="D1235">
            <v>231</v>
          </cell>
          <cell r="E1235">
            <v>78.099999999999994</v>
          </cell>
          <cell r="F1235">
            <v>95.5</v>
          </cell>
          <cell r="G1235">
            <v>95.5</v>
          </cell>
          <cell r="H1235">
            <v>78.8</v>
          </cell>
          <cell r="I1235">
            <v>78.099999999999994</v>
          </cell>
          <cell r="J1235">
            <v>90.5</v>
          </cell>
          <cell r="K1235">
            <v>79.5</v>
          </cell>
          <cell r="L1235">
            <v>83.5</v>
          </cell>
          <cell r="M1235">
            <v>80.3</v>
          </cell>
        </row>
        <row r="1236">
          <cell r="C1236" t="str">
            <v>Kiên Bình MBA AT2 (phía 220kV)</v>
          </cell>
          <cell r="D1236">
            <v>232</v>
          </cell>
          <cell r="E1236">
            <v>78.5</v>
          </cell>
          <cell r="F1236">
            <v>95.2</v>
          </cell>
          <cell r="G1236">
            <v>95.2</v>
          </cell>
          <cell r="H1236">
            <v>78.900000000000006</v>
          </cell>
          <cell r="I1236">
            <v>78.5</v>
          </cell>
          <cell r="J1236">
            <v>91.4</v>
          </cell>
          <cell r="K1236">
            <v>80.099999999999994</v>
          </cell>
          <cell r="L1236">
            <v>83.3</v>
          </cell>
          <cell r="M1236">
            <v>80.7</v>
          </cell>
        </row>
        <row r="1237">
          <cell r="C1237" t="str">
            <v>220kV 272 Kiên Bình - 273 Châu Đốc 2</v>
          </cell>
          <cell r="D1237">
            <v>272</v>
          </cell>
          <cell r="E1237">
            <v>-29.3</v>
          </cell>
          <cell r="F1237">
            <v>-65.099999999999994</v>
          </cell>
          <cell r="G1237">
            <v>46.1</v>
          </cell>
          <cell r="H1237">
            <v>-32.1</v>
          </cell>
          <cell r="I1237">
            <v>-37.700000000000003</v>
          </cell>
          <cell r="J1237">
            <v>-29.3</v>
          </cell>
          <cell r="K1237">
            <v>-42.4</v>
          </cell>
          <cell r="L1237">
            <v>-50.2</v>
          </cell>
          <cell r="M1237">
            <v>-65.099999999999994</v>
          </cell>
        </row>
        <row r="1238">
          <cell r="C1238" t="str">
            <v>220kV 273 Kiên Bình - 274 Rạch Giá 2</v>
          </cell>
          <cell r="D1238">
            <v>273</v>
          </cell>
          <cell r="E1238">
            <v>-120.8</v>
          </cell>
          <cell r="F1238">
            <v>-201.5</v>
          </cell>
          <cell r="G1238">
            <v>-201.5</v>
          </cell>
          <cell r="H1238">
            <v>-151.6</v>
          </cell>
          <cell r="I1238">
            <v>-161.19999999999999</v>
          </cell>
          <cell r="J1238">
            <v>-188.2</v>
          </cell>
          <cell r="K1238">
            <v>-171.9</v>
          </cell>
          <cell r="L1238">
            <v>-162.19999999999999</v>
          </cell>
          <cell r="M1238">
            <v>-120.8</v>
          </cell>
        </row>
        <row r="1239">
          <cell r="C1239" t="str">
            <v>Kiên Lương MBA T1 (phía 110kV)</v>
          </cell>
          <cell r="E1239">
            <v>0</v>
          </cell>
          <cell r="F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</row>
        <row r="1240">
          <cell r="C1240" t="str">
            <v>Kiên Lương MBA T2 (phía 110kV)</v>
          </cell>
          <cell r="F1240">
            <v>13.6</v>
          </cell>
          <cell r="H1240">
            <v>13.1</v>
          </cell>
          <cell r="I1240">
            <v>12.9</v>
          </cell>
          <cell r="J1240">
            <v>13.6</v>
          </cell>
          <cell r="K1240">
            <v>12.7</v>
          </cell>
          <cell r="L1240">
            <v>13.1</v>
          </cell>
          <cell r="M1240">
            <v>12.9</v>
          </cell>
        </row>
        <row r="1241">
          <cell r="C1241" t="str">
            <v>Kiên Lương MBA T3 (phía 110kV)</v>
          </cell>
          <cell r="F1241">
            <v>18.2</v>
          </cell>
          <cell r="H1241">
            <v>13.9</v>
          </cell>
          <cell r="I1241">
            <v>18.100000000000001</v>
          </cell>
          <cell r="J1241">
            <v>18</v>
          </cell>
          <cell r="K1241">
            <v>18</v>
          </cell>
          <cell r="L1241">
            <v>17.8</v>
          </cell>
          <cell r="M1241">
            <v>18.2</v>
          </cell>
        </row>
        <row r="1242">
          <cell r="C1242" t="str">
            <v>Kiên Lương MBA T1 (phía 6kV)</v>
          </cell>
          <cell r="E1242">
            <v>0</v>
          </cell>
          <cell r="F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</row>
        <row r="1243">
          <cell r="C1243" t="str">
            <v>Kiên Lương MBA T2 (phía 6kV)</v>
          </cell>
          <cell r="F1243">
            <v>-13.4</v>
          </cell>
          <cell r="H1243">
            <v>-13.1</v>
          </cell>
          <cell r="I1243">
            <v>-12.8</v>
          </cell>
          <cell r="J1243">
            <v>-13.4</v>
          </cell>
          <cell r="K1243">
            <v>-12.8</v>
          </cell>
          <cell r="L1243">
            <v>-13</v>
          </cell>
          <cell r="M1243">
            <v>-12.9</v>
          </cell>
        </row>
        <row r="1244">
          <cell r="C1244" t="str">
            <v>Kiên Lương MBA T3 (phía 6kV)</v>
          </cell>
          <cell r="F1244">
            <v>-18</v>
          </cell>
          <cell r="H1244">
            <v>-13.5</v>
          </cell>
          <cell r="I1244">
            <v>-17.899999999999999</v>
          </cell>
          <cell r="J1244">
            <v>-17.8</v>
          </cell>
          <cell r="K1244">
            <v>-18</v>
          </cell>
          <cell r="L1244">
            <v>-17.899999999999999</v>
          </cell>
          <cell r="M1244">
            <v>-18</v>
          </cell>
        </row>
        <row r="1245">
          <cell r="C1245" t="str">
            <v>Kiên Lương 2 MBA T1 (phía 110kV)</v>
          </cell>
          <cell r="D1245">
            <v>131</v>
          </cell>
          <cell r="E1245">
            <v>13.9</v>
          </cell>
          <cell r="F1245">
            <v>17.899999999999999</v>
          </cell>
          <cell r="G1245">
            <v>17.899999999999999</v>
          </cell>
          <cell r="H1245">
            <v>15.7</v>
          </cell>
          <cell r="I1245">
            <v>14.9</v>
          </cell>
          <cell r="J1245">
            <v>16</v>
          </cell>
          <cell r="K1245">
            <v>14.3</v>
          </cell>
          <cell r="L1245">
            <v>15.1</v>
          </cell>
          <cell r="M1245">
            <v>13.9</v>
          </cell>
        </row>
        <row r="1246">
          <cell r="C1246" t="str">
            <v>Kiên Lương 2 MBA T2 (phía 110kV)</v>
          </cell>
          <cell r="D1246">
            <v>132</v>
          </cell>
          <cell r="E1246">
            <v>13.5</v>
          </cell>
          <cell r="F1246">
            <v>17.5</v>
          </cell>
          <cell r="G1246">
            <v>17.5</v>
          </cell>
          <cell r="H1246">
            <v>15.2</v>
          </cell>
          <cell r="I1246">
            <v>14.4</v>
          </cell>
          <cell r="J1246">
            <v>15.5</v>
          </cell>
          <cell r="K1246">
            <v>13.9</v>
          </cell>
          <cell r="L1246">
            <v>14.7</v>
          </cell>
          <cell r="M1246">
            <v>13.5</v>
          </cell>
        </row>
        <row r="1247">
          <cell r="C1247" t="str">
            <v>110kV 171 Kiên Lương 2 - 175 Kiên Bình</v>
          </cell>
          <cell r="D1247">
            <v>171</v>
          </cell>
          <cell r="E1247">
            <v>-27.5</v>
          </cell>
          <cell r="F1247">
            <v>-35.299999999999997</v>
          </cell>
          <cell r="G1247">
            <v>-35.299999999999997</v>
          </cell>
          <cell r="H1247">
            <v>-30.8</v>
          </cell>
          <cell r="I1247">
            <v>-29.1</v>
          </cell>
          <cell r="J1247">
            <v>-31.4</v>
          </cell>
          <cell r="K1247">
            <v>-28.2</v>
          </cell>
          <cell r="L1247">
            <v>-29.7</v>
          </cell>
          <cell r="M1247">
            <v>-27.5</v>
          </cell>
        </row>
        <row r="1248">
          <cell r="C1248" t="str">
            <v>110kV 172 Kiên Lương 2 - 172-7 Kiên Lương</v>
          </cell>
          <cell r="D1248">
            <v>172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</row>
        <row r="1249">
          <cell r="C1249" t="str">
            <v>Kiên Lương 2 MBA T1 (phía 22kV)</v>
          </cell>
          <cell r="D1249">
            <v>431</v>
          </cell>
          <cell r="E1249">
            <v>-13.6</v>
          </cell>
          <cell r="F1249">
            <v>-17.399999999999999</v>
          </cell>
          <cell r="G1249">
            <v>-17.399999999999999</v>
          </cell>
          <cell r="H1249">
            <v>-15.4</v>
          </cell>
          <cell r="I1249">
            <v>-14.5</v>
          </cell>
          <cell r="J1249">
            <v>-15.4</v>
          </cell>
          <cell r="K1249">
            <v>-14.1</v>
          </cell>
          <cell r="L1249">
            <v>-14.5</v>
          </cell>
          <cell r="M1249">
            <v>-13.6</v>
          </cell>
        </row>
        <row r="1250">
          <cell r="C1250" t="str">
            <v>Kiên Lương 2 MBA T2 (phía 22kV)</v>
          </cell>
          <cell r="D1250">
            <v>432</v>
          </cell>
          <cell r="E1250">
            <v>-13.6</v>
          </cell>
          <cell r="F1250">
            <v>-17.5</v>
          </cell>
          <cell r="G1250">
            <v>-17.5</v>
          </cell>
          <cell r="H1250">
            <v>-15.2</v>
          </cell>
          <cell r="I1250">
            <v>-14.4</v>
          </cell>
          <cell r="J1250">
            <v>-15.5</v>
          </cell>
          <cell r="K1250">
            <v>-13.9</v>
          </cell>
          <cell r="L1250">
            <v>-14.8</v>
          </cell>
          <cell r="M1250">
            <v>-13.6</v>
          </cell>
        </row>
        <row r="1251">
          <cell r="C1251" t="str">
            <v>110kV 171 Ko Lon - 171 Viễn Đông</v>
          </cell>
          <cell r="F1251">
            <v>34.4</v>
          </cell>
          <cell r="H1251">
            <v>18.7</v>
          </cell>
          <cell r="I1251">
            <v>18.600000000000001</v>
          </cell>
          <cell r="J1251">
            <v>19.2</v>
          </cell>
          <cell r="K1251">
            <v>18.3</v>
          </cell>
          <cell r="L1251">
            <v>17.8</v>
          </cell>
          <cell r="M1251">
            <v>34.4</v>
          </cell>
        </row>
        <row r="1252">
          <cell r="C1252" t="str">
            <v>110kV 172 Ko Lon - 171 Lai Uyên</v>
          </cell>
          <cell r="F1252">
            <v>-42.6</v>
          </cell>
          <cell r="H1252">
            <v>-26.7</v>
          </cell>
          <cell r="I1252">
            <v>-25.5</v>
          </cell>
          <cell r="J1252">
            <v>-27.7</v>
          </cell>
          <cell r="K1252">
            <v>-26.6</v>
          </cell>
          <cell r="L1252">
            <v>-26</v>
          </cell>
          <cell r="M1252">
            <v>-42.6</v>
          </cell>
        </row>
        <row r="1253">
          <cell r="C1253" t="str">
            <v>Ko Lon MBA T1 (phía 110kV)</v>
          </cell>
          <cell r="F1253">
            <v>8.8000000000000007</v>
          </cell>
          <cell r="H1253">
            <v>8.3000000000000007</v>
          </cell>
          <cell r="I1253">
            <v>7</v>
          </cell>
          <cell r="J1253">
            <v>8.8000000000000007</v>
          </cell>
          <cell r="K1253">
            <v>8.5</v>
          </cell>
          <cell r="L1253">
            <v>8.8000000000000007</v>
          </cell>
          <cell r="M1253">
            <v>8.8000000000000007</v>
          </cell>
        </row>
        <row r="1254">
          <cell r="C1254" t="str">
            <v>Ko Lon MBA T2 (phía 110kV)</v>
          </cell>
          <cell r="E1254">
            <v>0</v>
          </cell>
          <cell r="F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</row>
        <row r="1255">
          <cell r="C1255" t="str">
            <v>Ko Lon MBA T1 (phía 6.6kV)</v>
          </cell>
          <cell r="F1255">
            <v>-8.8000000000000007</v>
          </cell>
          <cell r="H1255">
            <v>-8.1999999999999993</v>
          </cell>
          <cell r="I1255">
            <v>-7</v>
          </cell>
          <cell r="J1255">
            <v>-8.6999999999999993</v>
          </cell>
          <cell r="K1255">
            <v>-8.5</v>
          </cell>
          <cell r="L1255">
            <v>-8.8000000000000007</v>
          </cell>
          <cell r="M1255">
            <v>-8.8000000000000007</v>
          </cell>
        </row>
        <row r="1256">
          <cell r="C1256" t="str">
            <v>Ko Lon MBA T2 (phía 6.6kV)</v>
          </cell>
          <cell r="E1256">
            <v>0</v>
          </cell>
          <cell r="F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</row>
        <row r="1257">
          <cell r="C1257" t="str">
            <v>110kV 171 Kumho - 174 Mỹ Phước</v>
          </cell>
          <cell r="F1257">
            <v>-122.7</v>
          </cell>
          <cell r="H1257">
            <v>-113.7</v>
          </cell>
          <cell r="I1257">
            <v>-71.2</v>
          </cell>
          <cell r="J1257">
            <v>-121.8</v>
          </cell>
          <cell r="K1257">
            <v>-72.900000000000006</v>
          </cell>
          <cell r="L1257">
            <v>-122.7</v>
          </cell>
          <cell r="M1257">
            <v>-76.400000000000006</v>
          </cell>
        </row>
        <row r="1258">
          <cell r="C1258" t="str">
            <v>110kV 172 Kumho - 171 Bến Cát - 131 Vina Kraft</v>
          </cell>
          <cell r="F1258">
            <v>113.8</v>
          </cell>
          <cell r="H1258">
            <v>106</v>
          </cell>
          <cell r="I1258">
            <v>60.9</v>
          </cell>
          <cell r="J1258">
            <v>112.6</v>
          </cell>
          <cell r="K1258">
            <v>65.099999999999994</v>
          </cell>
          <cell r="L1258">
            <v>113.8</v>
          </cell>
          <cell r="M1258">
            <v>68.2</v>
          </cell>
        </row>
        <row r="1259">
          <cell r="C1259" t="str">
            <v>Kumho MBA T1 (phía 110kV)</v>
          </cell>
          <cell r="F1259">
            <v>6.8</v>
          </cell>
          <cell r="H1259">
            <v>6.2</v>
          </cell>
          <cell r="I1259">
            <v>6.5</v>
          </cell>
          <cell r="J1259">
            <v>6.8</v>
          </cell>
          <cell r="K1259">
            <v>6.6</v>
          </cell>
          <cell r="L1259">
            <v>6.4</v>
          </cell>
          <cell r="M1259">
            <v>6.3</v>
          </cell>
        </row>
        <row r="1260">
          <cell r="C1260" t="str">
            <v>Kumho MBA T2 (phía 110kV)</v>
          </cell>
          <cell r="F1260">
            <v>4.2</v>
          </cell>
          <cell r="H1260">
            <v>4.0999999999999996</v>
          </cell>
          <cell r="I1260">
            <v>4</v>
          </cell>
          <cell r="J1260">
            <v>4.2</v>
          </cell>
          <cell r="K1260">
            <v>4</v>
          </cell>
          <cell r="L1260">
            <v>3.9</v>
          </cell>
          <cell r="M1260">
            <v>3.7</v>
          </cell>
        </row>
        <row r="1261">
          <cell r="C1261" t="str">
            <v>Kumho MBA T1 (phía 6.6kV)</v>
          </cell>
          <cell r="F1261">
            <v>-6.7</v>
          </cell>
          <cell r="H1261">
            <v>-6.2</v>
          </cell>
          <cell r="I1261">
            <v>-6.6</v>
          </cell>
          <cell r="J1261">
            <v>-6.7</v>
          </cell>
          <cell r="K1261">
            <v>-6.7</v>
          </cell>
          <cell r="L1261">
            <v>-6.5</v>
          </cell>
          <cell r="M1261">
            <v>-6.3</v>
          </cell>
        </row>
        <row r="1262">
          <cell r="C1262" t="str">
            <v>Kumho MBA T2 (phía 6.6kV)</v>
          </cell>
          <cell r="F1262">
            <v>-4.2</v>
          </cell>
          <cell r="H1262">
            <v>-4.2</v>
          </cell>
          <cell r="I1262">
            <v>-4</v>
          </cell>
          <cell r="J1262">
            <v>-4.0999999999999996</v>
          </cell>
          <cell r="K1262">
            <v>-4</v>
          </cell>
          <cell r="L1262">
            <v>-3.9</v>
          </cell>
          <cell r="M1262">
            <v>-3.7</v>
          </cell>
        </row>
        <row r="1263">
          <cell r="C1263" t="str">
            <v>110kV 171 Lai Hưng - 177 Bến Cát 2</v>
          </cell>
          <cell r="F1263">
            <v>-175.1</v>
          </cell>
          <cell r="H1263">
            <v>-175.1</v>
          </cell>
          <cell r="I1263">
            <v>-170.8</v>
          </cell>
          <cell r="J1263">
            <v>-173.3</v>
          </cell>
          <cell r="K1263">
            <v>-173.1</v>
          </cell>
          <cell r="L1263">
            <v>-126.2</v>
          </cell>
          <cell r="M1263">
            <v>-128.80000000000001</v>
          </cell>
        </row>
        <row r="1264">
          <cell r="C1264" t="str">
            <v>110kV 172 Lai Hưng - 172 Lai Uyên</v>
          </cell>
          <cell r="F1264">
            <v>112.5</v>
          </cell>
          <cell r="H1264">
            <v>112.1</v>
          </cell>
          <cell r="I1264">
            <v>107.4</v>
          </cell>
          <cell r="J1264">
            <v>112.5</v>
          </cell>
          <cell r="K1264">
            <v>108.6</v>
          </cell>
          <cell r="L1264">
            <v>79.900000000000006</v>
          </cell>
          <cell r="M1264">
            <v>84.2</v>
          </cell>
        </row>
        <row r="1265">
          <cell r="C1265" t="str">
            <v>Lai Hưng MBA T1 (phía 110kV)</v>
          </cell>
          <cell r="F1265">
            <v>37.4</v>
          </cell>
          <cell r="H1265">
            <v>37.4</v>
          </cell>
          <cell r="I1265">
            <v>35.6</v>
          </cell>
          <cell r="J1265">
            <v>35.1</v>
          </cell>
          <cell r="K1265">
            <v>35.6</v>
          </cell>
          <cell r="L1265">
            <v>26.1</v>
          </cell>
          <cell r="M1265">
            <v>25.5</v>
          </cell>
        </row>
        <row r="1266">
          <cell r="C1266" t="str">
            <v>Lai Hưng MBA T2 (phía 110kV)</v>
          </cell>
          <cell r="F1266">
            <v>31.5</v>
          </cell>
          <cell r="H1266">
            <v>31.5</v>
          </cell>
          <cell r="I1266">
            <v>29.3</v>
          </cell>
          <cell r="J1266">
            <v>30.3</v>
          </cell>
          <cell r="K1266">
            <v>31</v>
          </cell>
          <cell r="L1266">
            <v>23</v>
          </cell>
          <cell r="M1266">
            <v>21.9</v>
          </cell>
        </row>
        <row r="1267">
          <cell r="C1267" t="str">
            <v>Lai Hưng MBA T1 (phía 22kV)</v>
          </cell>
          <cell r="F1267">
            <v>-36.9</v>
          </cell>
          <cell r="H1267">
            <v>-36.9</v>
          </cell>
          <cell r="I1267">
            <v>-35.799999999999997</v>
          </cell>
          <cell r="J1267">
            <v>-35.1</v>
          </cell>
          <cell r="K1267">
            <v>-35.700000000000003</v>
          </cell>
          <cell r="L1267">
            <v>-26.1</v>
          </cell>
          <cell r="M1267">
            <v>-25.2</v>
          </cell>
        </row>
        <row r="1268">
          <cell r="C1268" t="str">
            <v>Lai Hưng MBA T2 (phía 22kV)</v>
          </cell>
          <cell r="F1268">
            <v>-31.7</v>
          </cell>
          <cell r="H1268">
            <v>-31.7</v>
          </cell>
          <cell r="I1268">
            <v>-29.4</v>
          </cell>
          <cell r="J1268">
            <v>-30.3</v>
          </cell>
          <cell r="K1268">
            <v>-31</v>
          </cell>
          <cell r="L1268">
            <v>-22.8</v>
          </cell>
          <cell r="M1268">
            <v>-21.9</v>
          </cell>
        </row>
        <row r="1269">
          <cell r="C1269" t="str">
            <v>Lai Uyên MBA T1 (phía 110kV)</v>
          </cell>
          <cell r="D1269">
            <v>131</v>
          </cell>
          <cell r="E1269">
            <v>22</v>
          </cell>
          <cell r="F1269">
            <v>54.5</v>
          </cell>
          <cell r="G1269">
            <v>51.3</v>
          </cell>
          <cell r="H1269">
            <v>53.8</v>
          </cell>
          <cell r="I1269">
            <v>52.5</v>
          </cell>
          <cell r="J1269">
            <v>54.5</v>
          </cell>
          <cell r="K1269">
            <v>42.3</v>
          </cell>
          <cell r="L1269">
            <v>26</v>
          </cell>
          <cell r="M1269">
            <v>22</v>
          </cell>
        </row>
        <row r="1270">
          <cell r="C1270" t="str">
            <v>Lai Uyên MBA T2 (phía 110kV)</v>
          </cell>
          <cell r="D1270">
            <v>132</v>
          </cell>
          <cell r="E1270">
            <v>30.6</v>
          </cell>
          <cell r="F1270">
            <v>44.2</v>
          </cell>
          <cell r="G1270">
            <v>34.700000000000003</v>
          </cell>
          <cell r="H1270">
            <v>33</v>
          </cell>
          <cell r="I1270">
            <v>30.6</v>
          </cell>
          <cell r="J1270">
            <v>31.3</v>
          </cell>
          <cell r="K1270">
            <v>44.2</v>
          </cell>
          <cell r="L1270">
            <v>35.9</v>
          </cell>
          <cell r="M1270">
            <v>36.1</v>
          </cell>
        </row>
        <row r="1271">
          <cell r="C1271" t="str">
            <v>110kV 171 Lai Uyên - 172 Ko Lon</v>
          </cell>
          <cell r="D1271">
            <v>171</v>
          </cell>
          <cell r="E1271">
            <v>25.6</v>
          </cell>
          <cell r="F1271">
            <v>42.8</v>
          </cell>
          <cell r="G1271">
            <v>26.2</v>
          </cell>
          <cell r="H1271">
            <v>26.9</v>
          </cell>
          <cell r="I1271">
            <v>25.6</v>
          </cell>
          <cell r="J1271">
            <v>27.8</v>
          </cell>
          <cell r="K1271">
            <v>26.8</v>
          </cell>
          <cell r="L1271">
            <v>26.1</v>
          </cell>
          <cell r="M1271">
            <v>42.8</v>
          </cell>
        </row>
        <row r="1272">
          <cell r="C1272" t="str">
            <v>110kV 172 Lai Uyên - 172 Lai Hưng</v>
          </cell>
          <cell r="D1272">
            <v>172</v>
          </cell>
          <cell r="E1272">
            <v>-80.2</v>
          </cell>
          <cell r="F1272">
            <v>-112.5</v>
          </cell>
          <cell r="G1272">
            <v>-110.6</v>
          </cell>
          <cell r="H1272">
            <v>-112.5</v>
          </cell>
          <cell r="I1272">
            <v>-106.7</v>
          </cell>
          <cell r="J1272">
            <v>-112.3</v>
          </cell>
          <cell r="K1272">
            <v>-108.9</v>
          </cell>
          <cell r="L1272">
            <v>-80.2</v>
          </cell>
          <cell r="M1272">
            <v>-84.2</v>
          </cell>
        </row>
        <row r="1273">
          <cell r="C1273" t="str">
            <v>Lai Uyên MBA T1 (phía 22kV)</v>
          </cell>
          <cell r="D1273">
            <v>431</v>
          </cell>
          <cell r="E1273">
            <v>-22.1</v>
          </cell>
          <cell r="F1273">
            <v>-54.8</v>
          </cell>
          <cell r="G1273">
            <v>-51.6</v>
          </cell>
          <cell r="H1273">
            <v>-54.2</v>
          </cell>
          <cell r="I1273">
            <v>-52.8</v>
          </cell>
          <cell r="J1273">
            <v>-54.8</v>
          </cell>
          <cell r="K1273">
            <v>-42.6</v>
          </cell>
          <cell r="L1273">
            <v>-26.2</v>
          </cell>
          <cell r="M1273">
            <v>-22.1</v>
          </cell>
        </row>
        <row r="1274">
          <cell r="C1274" t="str">
            <v>Lai Uyên MBA T2 (phía 22kV)</v>
          </cell>
          <cell r="D1274">
            <v>432</v>
          </cell>
          <cell r="E1274">
            <v>-30.9</v>
          </cell>
          <cell r="F1274">
            <v>-44.3</v>
          </cell>
          <cell r="G1274">
            <v>-34.799999999999997</v>
          </cell>
          <cell r="H1274">
            <v>-33.1</v>
          </cell>
          <cell r="I1274">
            <v>-30.9</v>
          </cell>
          <cell r="J1274">
            <v>-31.5</v>
          </cell>
          <cell r="K1274">
            <v>-44.3</v>
          </cell>
          <cell r="L1274">
            <v>-36.1</v>
          </cell>
          <cell r="M1274">
            <v>-36.4</v>
          </cell>
        </row>
        <row r="1275">
          <cell r="C1275" t="str">
            <v>Lâm Hà MBA T1 (phía 110kV)</v>
          </cell>
          <cell r="F1275">
            <v>-35.299999999999997</v>
          </cell>
          <cell r="H1275">
            <v>-34.6</v>
          </cell>
          <cell r="I1275">
            <v>-26.8</v>
          </cell>
          <cell r="J1275">
            <v>-35.299999999999997</v>
          </cell>
          <cell r="K1275">
            <v>-14.6</v>
          </cell>
          <cell r="L1275">
            <v>-21.4</v>
          </cell>
          <cell r="M1275">
            <v>-25.5</v>
          </cell>
        </row>
        <row r="1276">
          <cell r="C1276" t="str">
            <v>Lâm Hà MBA T1 (phía 22kV)</v>
          </cell>
          <cell r="F1276">
            <v>35.4</v>
          </cell>
          <cell r="H1276">
            <v>34.700000000000003</v>
          </cell>
          <cell r="I1276">
            <v>26.7</v>
          </cell>
          <cell r="J1276">
            <v>35.4</v>
          </cell>
          <cell r="K1276">
            <v>14.7</v>
          </cell>
          <cell r="L1276">
            <v>21.5</v>
          </cell>
          <cell r="M1276">
            <v>25.5</v>
          </cell>
        </row>
        <row r="1277">
          <cell r="C1277" t="str">
            <v>Láng Cát MBA T1 (phía 22kV)</v>
          </cell>
          <cell r="F1277">
            <v>-39.700000000000003</v>
          </cell>
          <cell r="H1277">
            <v>-39.700000000000003</v>
          </cell>
          <cell r="I1277">
            <v>-36</v>
          </cell>
          <cell r="J1277">
            <v>-39.4</v>
          </cell>
          <cell r="K1277">
            <v>-36.700000000000003</v>
          </cell>
          <cell r="L1277">
            <v>-25.7</v>
          </cell>
          <cell r="M1277">
            <v>-21.9</v>
          </cell>
        </row>
        <row r="1278">
          <cell r="C1278" t="str">
            <v>Láng Cát MBA T2 (phía 22kV)</v>
          </cell>
          <cell r="F1278">
            <v>-44.2</v>
          </cell>
          <cell r="H1278">
            <v>-42.4</v>
          </cell>
          <cell r="I1278">
            <v>-38.9</v>
          </cell>
          <cell r="J1278">
            <v>-44.2</v>
          </cell>
          <cell r="K1278">
            <v>-38</v>
          </cell>
          <cell r="L1278">
            <v>-25.2</v>
          </cell>
          <cell r="M1278">
            <v>-24.4</v>
          </cell>
        </row>
        <row r="1279">
          <cell r="C1279" t="str">
            <v>110kV 171 Le Long - 171 Đức Hòa 3</v>
          </cell>
          <cell r="F1279">
            <v>-129.69999999999999</v>
          </cell>
          <cell r="H1279">
            <v>-14.4</v>
          </cell>
          <cell r="I1279">
            <v>-14.4</v>
          </cell>
          <cell r="J1279">
            <v>-129.69999999999999</v>
          </cell>
          <cell r="K1279">
            <v>-118.7</v>
          </cell>
          <cell r="L1279">
            <v>-93.3</v>
          </cell>
          <cell r="M1279">
            <v>-90.7</v>
          </cell>
        </row>
        <row r="1280">
          <cell r="C1280" t="str">
            <v>110kV 172 Le Long - 172 Hựu Thạnh</v>
          </cell>
          <cell r="F1280">
            <v>114.7</v>
          </cell>
          <cell r="H1280">
            <v>14.5</v>
          </cell>
          <cell r="I1280">
            <v>14.5</v>
          </cell>
          <cell r="J1280">
            <v>114.7</v>
          </cell>
          <cell r="K1280">
            <v>103.1</v>
          </cell>
          <cell r="L1280">
            <v>78</v>
          </cell>
          <cell r="M1280">
            <v>76.400000000000006</v>
          </cell>
        </row>
        <row r="1281">
          <cell r="C1281" t="str">
            <v>Le Long MBA T1 (phía 110kV)</v>
          </cell>
          <cell r="E1281">
            <v>0</v>
          </cell>
          <cell r="F1281">
            <v>16.8</v>
          </cell>
          <cell r="H1281">
            <v>0</v>
          </cell>
          <cell r="I1281">
            <v>0</v>
          </cell>
          <cell r="J1281">
            <v>16.8</v>
          </cell>
          <cell r="K1281">
            <v>16.8</v>
          </cell>
          <cell r="L1281">
            <v>15.4</v>
          </cell>
          <cell r="M1281">
            <v>14.1</v>
          </cell>
        </row>
        <row r="1282">
          <cell r="C1282" t="str">
            <v>Le Long MBA T1 (phía 22kV)</v>
          </cell>
          <cell r="E1282">
            <v>0</v>
          </cell>
          <cell r="F1282">
            <v>-16.5</v>
          </cell>
          <cell r="H1282">
            <v>0</v>
          </cell>
          <cell r="I1282">
            <v>0</v>
          </cell>
          <cell r="J1282">
            <v>-16.399999999999999</v>
          </cell>
          <cell r="K1282">
            <v>-16.5</v>
          </cell>
          <cell r="L1282">
            <v>-15.2</v>
          </cell>
          <cell r="M1282">
            <v>-13.9</v>
          </cell>
        </row>
        <row r="1283">
          <cell r="C1283" t="str">
            <v>Lê Minh Xuân MBA T1 (phía 110kV)</v>
          </cell>
          <cell r="D1283">
            <v>131</v>
          </cell>
          <cell r="E1283">
            <v>34.4</v>
          </cell>
          <cell r="F1283">
            <v>52.9</v>
          </cell>
          <cell r="G1283">
            <v>52.5</v>
          </cell>
          <cell r="H1283">
            <v>52.9</v>
          </cell>
          <cell r="I1283">
            <v>50.5</v>
          </cell>
          <cell r="J1283">
            <v>49.5</v>
          </cell>
          <cell r="K1283">
            <v>46.4</v>
          </cell>
          <cell r="L1283">
            <v>34.4</v>
          </cell>
          <cell r="M1283">
            <v>34.9</v>
          </cell>
        </row>
        <row r="1284">
          <cell r="C1284" t="str">
            <v>Lê Minh Xuân MBA T2 (phía 110kV)</v>
          </cell>
          <cell r="D1284">
            <v>132</v>
          </cell>
          <cell r="E1284">
            <v>28.3</v>
          </cell>
          <cell r="F1284">
            <v>50.8</v>
          </cell>
          <cell r="G1284">
            <v>45.7</v>
          </cell>
          <cell r="H1284">
            <v>45.9</v>
          </cell>
          <cell r="I1284">
            <v>43.7</v>
          </cell>
          <cell r="J1284">
            <v>50.8</v>
          </cell>
          <cell r="K1284">
            <v>49.1</v>
          </cell>
          <cell r="L1284">
            <v>28.7</v>
          </cell>
          <cell r="M1284">
            <v>28.3</v>
          </cell>
        </row>
        <row r="1285">
          <cell r="C1285" t="str">
            <v>110kV 171 Lê Minh Xuân - 180 Phú Lâm</v>
          </cell>
          <cell r="D1285">
            <v>171</v>
          </cell>
          <cell r="E1285">
            <v>-61.7</v>
          </cell>
          <cell r="F1285">
            <v>-99.8</v>
          </cell>
          <cell r="G1285">
            <v>-96.3</v>
          </cell>
          <cell r="H1285">
            <v>-99.3</v>
          </cell>
          <cell r="I1285">
            <v>-93.5</v>
          </cell>
          <cell r="J1285">
            <v>-99.8</v>
          </cell>
          <cell r="K1285">
            <v>-95.5</v>
          </cell>
          <cell r="L1285">
            <v>-61.8</v>
          </cell>
          <cell r="M1285">
            <v>-61.7</v>
          </cell>
        </row>
        <row r="1286">
          <cell r="C1286" t="str">
            <v>110kV 172 Lê Minh Xuân - 171 Hựu Thạnh</v>
          </cell>
          <cell r="D1286">
            <v>172</v>
          </cell>
          <cell r="E1286">
            <v>0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</row>
        <row r="1287">
          <cell r="C1287" t="str">
            <v>Lê Minh Xuân MBA T1 (phía 22kV)</v>
          </cell>
          <cell r="D1287">
            <v>431</v>
          </cell>
          <cell r="E1287">
            <v>-7.7</v>
          </cell>
          <cell r="F1287">
            <v>-19.100000000000001</v>
          </cell>
          <cell r="G1287">
            <v>-19.100000000000001</v>
          </cell>
          <cell r="H1287">
            <v>-18.7</v>
          </cell>
          <cell r="I1287">
            <v>-19</v>
          </cell>
          <cell r="J1287">
            <v>-12.1</v>
          </cell>
          <cell r="K1287">
            <v>-11.9</v>
          </cell>
          <cell r="L1287">
            <v>-7.7</v>
          </cell>
          <cell r="M1287">
            <v>-8.1999999999999993</v>
          </cell>
        </row>
        <row r="1288">
          <cell r="C1288" t="str">
            <v>Lê Minh Xuân MBA T2 (phía 22kV)</v>
          </cell>
          <cell r="D1288">
            <v>432</v>
          </cell>
          <cell r="E1288">
            <v>-17.7</v>
          </cell>
          <cell r="F1288">
            <v>-35</v>
          </cell>
          <cell r="G1288">
            <v>-34.5</v>
          </cell>
          <cell r="H1288">
            <v>-35</v>
          </cell>
          <cell r="I1288">
            <v>-34.1</v>
          </cell>
          <cell r="J1288">
            <v>-33.299999999999997</v>
          </cell>
          <cell r="K1288">
            <v>-31.6</v>
          </cell>
          <cell r="L1288">
            <v>-19.100000000000001</v>
          </cell>
          <cell r="M1288">
            <v>-17.7</v>
          </cell>
        </row>
        <row r="1289">
          <cell r="C1289" t="str">
            <v>Linde Gas MBA T1 (phía 110kV)</v>
          </cell>
          <cell r="F1289">
            <v>16.3</v>
          </cell>
          <cell r="H1289">
            <v>15</v>
          </cell>
          <cell r="I1289">
            <v>14.8</v>
          </cell>
          <cell r="J1289">
            <v>14.7</v>
          </cell>
          <cell r="K1289">
            <v>14.9</v>
          </cell>
          <cell r="L1289">
            <v>16.100000000000001</v>
          </cell>
          <cell r="M1289">
            <v>16.3</v>
          </cell>
        </row>
        <row r="1290">
          <cell r="C1290" t="str">
            <v>Linde Gas MBA T1 (phía 10kV)</v>
          </cell>
          <cell r="F1290">
            <v>-16.3</v>
          </cell>
          <cell r="H1290">
            <v>-14.9</v>
          </cell>
          <cell r="I1290">
            <v>-14.8</v>
          </cell>
          <cell r="J1290">
            <v>-14.7</v>
          </cell>
          <cell r="K1290">
            <v>-14.8</v>
          </cell>
          <cell r="L1290">
            <v>-16.100000000000001</v>
          </cell>
          <cell r="M1290">
            <v>-16.3</v>
          </cell>
        </row>
        <row r="1291">
          <cell r="C1291" t="str">
            <v>110kV 171 Linde Gas - 172 Pos-Vina</v>
          </cell>
          <cell r="F1291">
            <v>73.7</v>
          </cell>
          <cell r="H1291">
            <v>73.7</v>
          </cell>
          <cell r="I1291">
            <v>73.2</v>
          </cell>
          <cell r="J1291">
            <v>56</v>
          </cell>
          <cell r="K1291">
            <v>72.3</v>
          </cell>
          <cell r="L1291">
            <v>67.099999999999994</v>
          </cell>
          <cell r="M1291">
            <v>72.2</v>
          </cell>
        </row>
        <row r="1292">
          <cell r="C1292" t="str">
            <v>110kV 172 Linde Gas - 178 Tân Thành</v>
          </cell>
          <cell r="F1292">
            <v>-89.5</v>
          </cell>
          <cell r="H1292">
            <v>-85.5</v>
          </cell>
          <cell r="I1292">
            <v>-85</v>
          </cell>
          <cell r="J1292">
            <v>-67.400000000000006</v>
          </cell>
          <cell r="K1292">
            <v>-88.8</v>
          </cell>
          <cell r="L1292">
            <v>-83.1</v>
          </cell>
          <cell r="M1292">
            <v>-89.5</v>
          </cell>
        </row>
        <row r="1293">
          <cell r="C1293" t="str">
            <v>110kV 171 Linh Trung 1 - 172 Đông Hòa</v>
          </cell>
          <cell r="F1293">
            <v>51.9</v>
          </cell>
          <cell r="H1293">
            <v>51.9</v>
          </cell>
          <cell r="I1293">
            <v>45.4</v>
          </cell>
          <cell r="J1293">
            <v>50.3</v>
          </cell>
          <cell r="K1293">
            <v>47.2</v>
          </cell>
          <cell r="L1293">
            <v>42.7</v>
          </cell>
          <cell r="M1293">
            <v>38.299999999999997</v>
          </cell>
        </row>
        <row r="1294">
          <cell r="C1294" t="str">
            <v>110kV 172 Linh Trung 1 - 171 NM Nước Thủ Đức</v>
          </cell>
          <cell r="F1294">
            <v>-121.3</v>
          </cell>
          <cell r="H1294">
            <v>-121.3</v>
          </cell>
          <cell r="I1294">
            <v>-107.5</v>
          </cell>
          <cell r="J1294">
            <v>-120.3</v>
          </cell>
          <cell r="K1294">
            <v>-116.4</v>
          </cell>
          <cell r="L1294">
            <v>-81.3</v>
          </cell>
          <cell r="M1294">
            <v>-71.8</v>
          </cell>
        </row>
        <row r="1295">
          <cell r="C1295" t="str">
            <v>Linh Trung 1 MBA T1 (phía 22kV)</v>
          </cell>
          <cell r="E1295">
            <v>0</v>
          </cell>
          <cell r="F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</row>
        <row r="1296">
          <cell r="C1296" t="str">
            <v>Linh Trung 1 MBA T2 (phía 22kV)</v>
          </cell>
          <cell r="F1296">
            <v>-37.6</v>
          </cell>
          <cell r="H1296">
            <v>-37.6</v>
          </cell>
          <cell r="I1296">
            <v>-35.1</v>
          </cell>
          <cell r="J1296">
            <v>-37.6</v>
          </cell>
          <cell r="K1296">
            <v>-37.1</v>
          </cell>
          <cell r="L1296">
            <v>-23.8</v>
          </cell>
          <cell r="M1296">
            <v>-20.8</v>
          </cell>
        </row>
        <row r="1297">
          <cell r="C1297" t="str">
            <v>Linh Trung 1 MBA T1 (phía 110kV)</v>
          </cell>
          <cell r="F1297">
            <v>32.9</v>
          </cell>
          <cell r="H1297">
            <v>32.700000000000003</v>
          </cell>
          <cell r="I1297">
            <v>31.3</v>
          </cell>
          <cell r="J1297">
            <v>32.9</v>
          </cell>
          <cell r="K1297">
            <v>32</v>
          </cell>
          <cell r="L1297">
            <v>18.100000000000001</v>
          </cell>
          <cell r="M1297">
            <v>15.6</v>
          </cell>
        </row>
        <row r="1298">
          <cell r="C1298" t="str">
            <v>Linh Trung 1 MBA T2 (phía 110kV)</v>
          </cell>
          <cell r="F1298">
            <v>37.700000000000003</v>
          </cell>
          <cell r="H1298">
            <v>37.700000000000003</v>
          </cell>
          <cell r="I1298">
            <v>35.1</v>
          </cell>
          <cell r="J1298">
            <v>37.6</v>
          </cell>
          <cell r="K1298">
            <v>37.5</v>
          </cell>
          <cell r="L1298">
            <v>23.8</v>
          </cell>
          <cell r="M1298">
            <v>21</v>
          </cell>
        </row>
        <row r="1299">
          <cell r="C1299" t="str">
            <v>Linh Trung 2 MBA T1 (phía 110kV)</v>
          </cell>
          <cell r="D1299">
            <v>131</v>
          </cell>
          <cell r="E1299">
            <v>16.899999999999999</v>
          </cell>
          <cell r="F1299">
            <v>30.2</v>
          </cell>
          <cell r="G1299">
            <v>29.9</v>
          </cell>
          <cell r="H1299">
            <v>29.6</v>
          </cell>
          <cell r="I1299">
            <v>27.5</v>
          </cell>
          <cell r="J1299">
            <v>30.2</v>
          </cell>
          <cell r="K1299">
            <v>27.4</v>
          </cell>
          <cell r="L1299">
            <v>18.600000000000001</v>
          </cell>
          <cell r="M1299">
            <v>16.899999999999999</v>
          </cell>
        </row>
        <row r="1300">
          <cell r="C1300" t="str">
            <v>Linh Trung 2 MBA T2 (phía 110kV)</v>
          </cell>
          <cell r="D1300">
            <v>132</v>
          </cell>
          <cell r="E1300">
            <v>20</v>
          </cell>
          <cell r="F1300">
            <v>35</v>
          </cell>
          <cell r="G1300">
            <v>34.200000000000003</v>
          </cell>
          <cell r="H1300">
            <v>34.9</v>
          </cell>
          <cell r="I1300">
            <v>29.7</v>
          </cell>
          <cell r="J1300">
            <v>35</v>
          </cell>
          <cell r="K1300">
            <v>32</v>
          </cell>
          <cell r="L1300">
            <v>22.2</v>
          </cell>
          <cell r="M1300">
            <v>20</v>
          </cell>
        </row>
        <row r="1301">
          <cell r="C1301" t="str">
            <v>110kV 171 Linh Trung 2 - 171 Thủ Đức</v>
          </cell>
          <cell r="D1301">
            <v>171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</row>
        <row r="1302">
          <cell r="C1302" t="str">
            <v>110kV 172 Linh Trung 2 - 171 Thuận An</v>
          </cell>
          <cell r="D1302">
            <v>172</v>
          </cell>
          <cell r="E1302">
            <v>-36.200000000000003</v>
          </cell>
          <cell r="F1302">
            <v>-64.7</v>
          </cell>
          <cell r="G1302">
            <v>-64.2</v>
          </cell>
          <cell r="H1302">
            <v>-64.400000000000006</v>
          </cell>
          <cell r="I1302">
            <v>-56.8</v>
          </cell>
          <cell r="J1302">
            <v>-64.7</v>
          </cell>
          <cell r="K1302">
            <v>-59.6</v>
          </cell>
          <cell r="L1302">
            <v>-40</v>
          </cell>
          <cell r="M1302">
            <v>-36.200000000000003</v>
          </cell>
        </row>
        <row r="1303">
          <cell r="C1303" t="str">
            <v>Linh Trung 2 MBA T1 (phía 22kV)</v>
          </cell>
          <cell r="D1303">
            <v>431</v>
          </cell>
          <cell r="E1303">
            <v>-10.1</v>
          </cell>
          <cell r="F1303">
            <v>-15.9</v>
          </cell>
          <cell r="G1303">
            <v>-15.9</v>
          </cell>
          <cell r="H1303">
            <v>-15.7</v>
          </cell>
          <cell r="I1303">
            <v>-14.5</v>
          </cell>
          <cell r="J1303">
            <v>-15.5</v>
          </cell>
          <cell r="K1303">
            <v>-14.3</v>
          </cell>
          <cell r="L1303">
            <v>-11.6</v>
          </cell>
          <cell r="M1303">
            <v>-10.1</v>
          </cell>
        </row>
        <row r="1304">
          <cell r="C1304" t="str">
            <v>Linh Trung 2 MBA T2 (phía 22kV)</v>
          </cell>
          <cell r="D1304">
            <v>432</v>
          </cell>
          <cell r="E1304">
            <v>-4.9000000000000004</v>
          </cell>
          <cell r="F1304">
            <v>-15.6</v>
          </cell>
          <cell r="G1304">
            <v>-15.6</v>
          </cell>
          <cell r="H1304">
            <v>-15.6</v>
          </cell>
          <cell r="I1304">
            <v>-15.4</v>
          </cell>
          <cell r="J1304">
            <v>-15.6</v>
          </cell>
          <cell r="K1304">
            <v>-15</v>
          </cell>
          <cell r="L1304">
            <v>-5.0999999999999996</v>
          </cell>
          <cell r="M1304">
            <v>-4.9000000000000004</v>
          </cell>
        </row>
        <row r="1305">
          <cell r="C1305" t="str">
            <v>Lộc Ninh MBA T1 (phía 110kV)</v>
          </cell>
          <cell r="D1305">
            <v>131</v>
          </cell>
          <cell r="E1305">
            <v>-16.7</v>
          </cell>
          <cell r="F1305">
            <v>20.399999999999999</v>
          </cell>
          <cell r="G1305">
            <v>17.600000000000001</v>
          </cell>
          <cell r="H1305">
            <v>20.399999999999999</v>
          </cell>
          <cell r="I1305">
            <v>18.100000000000001</v>
          </cell>
          <cell r="J1305">
            <v>18.600000000000001</v>
          </cell>
          <cell r="K1305">
            <v>18.5</v>
          </cell>
          <cell r="L1305">
            <v>-16.7</v>
          </cell>
          <cell r="M1305">
            <v>-17.899999999999999</v>
          </cell>
        </row>
        <row r="1306">
          <cell r="C1306" t="str">
            <v>Lộc Ninh MBA T2 (phía 110kV)</v>
          </cell>
          <cell r="D1306">
            <v>132</v>
          </cell>
          <cell r="E1306">
            <v>16.600000000000001</v>
          </cell>
          <cell r="F1306">
            <v>18.399999999999999</v>
          </cell>
          <cell r="G1306">
            <v>16.600000000000001</v>
          </cell>
          <cell r="H1306">
            <v>18.399999999999999</v>
          </cell>
          <cell r="I1306">
            <v>16.899999999999999</v>
          </cell>
          <cell r="J1306">
            <v>18.3</v>
          </cell>
          <cell r="K1306">
            <v>18.399999999999999</v>
          </cell>
          <cell r="L1306">
            <v>16.7</v>
          </cell>
          <cell r="M1306">
            <v>17.5</v>
          </cell>
        </row>
        <row r="1307">
          <cell r="C1307" t="str">
            <v>110kV 171 Lộc Ninh - 173 NMĐ Thác Mơ</v>
          </cell>
          <cell r="D1307">
            <v>171</v>
          </cell>
          <cell r="E1307">
            <v>-41.1</v>
          </cell>
          <cell r="F1307">
            <v>68.900000000000006</v>
          </cell>
          <cell r="G1307">
            <v>62.9</v>
          </cell>
          <cell r="H1307">
            <v>-43.2</v>
          </cell>
          <cell r="I1307">
            <v>55.2</v>
          </cell>
          <cell r="J1307">
            <v>68.900000000000006</v>
          </cell>
          <cell r="K1307">
            <v>-41.1</v>
          </cell>
          <cell r="L1307">
            <v>66.400000000000006</v>
          </cell>
          <cell r="M1307">
            <v>46.2</v>
          </cell>
        </row>
        <row r="1308">
          <cell r="C1308" t="str">
            <v>110kV 172 Lộc Ninh - 172 Bình Long 2</v>
          </cell>
          <cell r="D1308">
            <v>172</v>
          </cell>
          <cell r="E1308">
            <v>48.5</v>
          </cell>
          <cell r="F1308">
            <v>-99.7</v>
          </cell>
          <cell r="G1308">
            <v>-63.4</v>
          </cell>
          <cell r="H1308">
            <v>48.5</v>
          </cell>
          <cell r="I1308">
            <v>-72.5</v>
          </cell>
          <cell r="J1308">
            <v>-80.2</v>
          </cell>
          <cell r="K1308">
            <v>-57</v>
          </cell>
          <cell r="L1308">
            <v>-99.7</v>
          </cell>
          <cell r="M1308">
            <v>-71.5</v>
          </cell>
        </row>
        <row r="1309">
          <cell r="C1309" t="str">
            <v>110kV 173 Lộc Ninh - 172 Bù Đốp</v>
          </cell>
          <cell r="D1309">
            <v>173</v>
          </cell>
          <cell r="E1309">
            <v>-23.3</v>
          </cell>
          <cell r="F1309">
            <v>-44.7</v>
          </cell>
          <cell r="G1309">
            <v>-44.7</v>
          </cell>
          <cell r="H1309">
            <v>-29.7</v>
          </cell>
          <cell r="I1309">
            <v>-23.3</v>
          </cell>
          <cell r="J1309">
            <v>-40.4</v>
          </cell>
          <cell r="K1309">
            <v>-31.6</v>
          </cell>
          <cell r="L1309">
            <v>-32.6</v>
          </cell>
          <cell r="M1309">
            <v>-30.8</v>
          </cell>
        </row>
        <row r="1310">
          <cell r="C1310" t="str">
            <v>110kV 174 Lộc Ninh - 174 Bình Long 2</v>
          </cell>
          <cell r="D1310">
            <v>174</v>
          </cell>
          <cell r="E1310">
            <v>0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</row>
        <row r="1311">
          <cell r="C1311" t="str">
            <v>Lộc Ninh MBA T1 (phía 22kV)</v>
          </cell>
          <cell r="D1311">
            <v>431</v>
          </cell>
          <cell r="E1311">
            <v>16.5</v>
          </cell>
          <cell r="F1311">
            <v>-19.899999999999999</v>
          </cell>
          <cell r="G1311">
            <v>-17.100000000000001</v>
          </cell>
          <cell r="H1311">
            <v>-19.899999999999999</v>
          </cell>
          <cell r="I1311">
            <v>-17.600000000000001</v>
          </cell>
          <cell r="J1311">
            <v>-18.2</v>
          </cell>
          <cell r="K1311">
            <v>-18</v>
          </cell>
          <cell r="L1311">
            <v>16.5</v>
          </cell>
          <cell r="M1311">
            <v>17.5</v>
          </cell>
        </row>
        <row r="1312">
          <cell r="C1312" t="str">
            <v>Lộc Ninh MBA T2 (phía 22kV)</v>
          </cell>
          <cell r="D1312">
            <v>432</v>
          </cell>
          <cell r="E1312">
            <v>-16.3</v>
          </cell>
          <cell r="F1312">
            <v>-18.100000000000001</v>
          </cell>
          <cell r="G1312">
            <v>-16.3</v>
          </cell>
          <cell r="H1312">
            <v>-18.100000000000001</v>
          </cell>
          <cell r="I1312">
            <v>-16.600000000000001</v>
          </cell>
          <cell r="J1312">
            <v>-18</v>
          </cell>
          <cell r="K1312">
            <v>-18.100000000000001</v>
          </cell>
          <cell r="L1312">
            <v>-16.5</v>
          </cell>
          <cell r="M1312">
            <v>-17</v>
          </cell>
        </row>
        <row r="1313">
          <cell r="C1313" t="str">
            <v>Long An MBA T1 (phía 110kV)</v>
          </cell>
          <cell r="D1313">
            <v>131</v>
          </cell>
          <cell r="E1313">
            <v>20.100000000000001</v>
          </cell>
          <cell r="F1313">
            <v>31</v>
          </cell>
          <cell r="G1313">
            <v>27.4</v>
          </cell>
          <cell r="H1313">
            <v>26.3</v>
          </cell>
          <cell r="I1313">
            <v>23.8</v>
          </cell>
          <cell r="J1313">
            <v>28.4</v>
          </cell>
          <cell r="K1313">
            <v>31</v>
          </cell>
          <cell r="L1313">
            <v>20.100000000000001</v>
          </cell>
          <cell r="M1313">
            <v>24</v>
          </cell>
        </row>
        <row r="1314">
          <cell r="C1314" t="str">
            <v>Long An MBA T2 (phía 110kV)</v>
          </cell>
          <cell r="D1314">
            <v>132</v>
          </cell>
          <cell r="E1314">
            <v>17.2</v>
          </cell>
          <cell r="F1314">
            <v>29</v>
          </cell>
          <cell r="G1314">
            <v>28</v>
          </cell>
          <cell r="H1314">
            <v>29</v>
          </cell>
          <cell r="I1314">
            <v>27</v>
          </cell>
          <cell r="J1314">
            <v>26.8</v>
          </cell>
          <cell r="K1314">
            <v>25.4</v>
          </cell>
          <cell r="L1314">
            <v>19.3</v>
          </cell>
          <cell r="M1314">
            <v>17.2</v>
          </cell>
        </row>
        <row r="1315">
          <cell r="C1315" t="str">
            <v>110kV 171 Long An - 172 Long An 2</v>
          </cell>
          <cell r="D1315">
            <v>171</v>
          </cell>
          <cell r="E1315">
            <v>-34.200000000000003</v>
          </cell>
          <cell r="F1315">
            <v>-55.2</v>
          </cell>
          <cell r="G1315">
            <v>-55.2</v>
          </cell>
          <cell r="H1315">
            <v>-54.9</v>
          </cell>
          <cell r="I1315">
            <v>-50.3</v>
          </cell>
          <cell r="J1315">
            <v>-55.2</v>
          </cell>
          <cell r="K1315">
            <v>-49.1</v>
          </cell>
          <cell r="L1315">
            <v>-39.299999999999997</v>
          </cell>
          <cell r="M1315">
            <v>-34.200000000000003</v>
          </cell>
        </row>
        <row r="1316">
          <cell r="C1316" t="str">
            <v>110kV 172 Long An - 171 Tân Hương</v>
          </cell>
          <cell r="D1316">
            <v>172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</row>
        <row r="1317">
          <cell r="C1317" t="str">
            <v>Long An MBA T1 (phía 22kV)</v>
          </cell>
          <cell r="D1317">
            <v>431</v>
          </cell>
          <cell r="E1317">
            <v>-20.100000000000001</v>
          </cell>
          <cell r="F1317">
            <v>-31</v>
          </cell>
          <cell r="G1317">
            <v>-27.3</v>
          </cell>
          <cell r="H1317">
            <v>-26.4</v>
          </cell>
          <cell r="I1317">
            <v>-23.8</v>
          </cell>
          <cell r="J1317">
            <v>-28.3</v>
          </cell>
          <cell r="K1317">
            <v>-31</v>
          </cell>
          <cell r="L1317">
            <v>-20.100000000000001</v>
          </cell>
          <cell r="M1317">
            <v>-24</v>
          </cell>
        </row>
        <row r="1318">
          <cell r="C1318" t="str">
            <v>Long An MBA T2 (phía 22kV)</v>
          </cell>
          <cell r="D1318">
            <v>432</v>
          </cell>
          <cell r="E1318">
            <v>-17.600000000000001</v>
          </cell>
          <cell r="F1318">
            <v>-29.1</v>
          </cell>
          <cell r="G1318">
            <v>-28.1</v>
          </cell>
          <cell r="H1318">
            <v>-29.1</v>
          </cell>
          <cell r="I1318">
            <v>-26.8</v>
          </cell>
          <cell r="J1318">
            <v>-27</v>
          </cell>
          <cell r="K1318">
            <v>-25.6</v>
          </cell>
          <cell r="L1318">
            <v>-19.5</v>
          </cell>
          <cell r="M1318">
            <v>-17.600000000000001</v>
          </cell>
        </row>
        <row r="1319">
          <cell r="C1319" t="str">
            <v>Long An 2 MBA AT1 (phía 110kV)</v>
          </cell>
          <cell r="D1319">
            <v>131</v>
          </cell>
          <cell r="E1319">
            <v>-151.6</v>
          </cell>
          <cell r="F1319">
            <v>-224.7</v>
          </cell>
          <cell r="G1319">
            <v>-203.8</v>
          </cell>
          <cell r="H1319">
            <v>-224.7</v>
          </cell>
          <cell r="I1319">
            <v>-178.2</v>
          </cell>
          <cell r="J1319">
            <v>-205.8</v>
          </cell>
          <cell r="K1319">
            <v>-172.8</v>
          </cell>
          <cell r="L1319">
            <v>-151.6</v>
          </cell>
          <cell r="M1319">
            <v>-155.5</v>
          </cell>
        </row>
        <row r="1320">
          <cell r="C1320" t="str">
            <v>Long An 2 MBA AT2 (phía 110kV)</v>
          </cell>
          <cell r="D1320">
            <v>132</v>
          </cell>
          <cell r="E1320">
            <v>-137.6</v>
          </cell>
          <cell r="F1320">
            <v>-206.1</v>
          </cell>
          <cell r="G1320">
            <v>-185.5</v>
          </cell>
          <cell r="H1320">
            <v>-206.1</v>
          </cell>
          <cell r="I1320">
            <v>-163.80000000000001</v>
          </cell>
          <cell r="J1320">
            <v>-188.2</v>
          </cell>
          <cell r="K1320">
            <v>-158.30000000000001</v>
          </cell>
          <cell r="L1320">
            <v>-137.6</v>
          </cell>
          <cell r="M1320">
            <v>-140.1</v>
          </cell>
        </row>
        <row r="1321">
          <cell r="C1321" t="str">
            <v>110kV 171 Long An 2 - 171 Thủ Thừa</v>
          </cell>
          <cell r="D1321">
            <v>171</v>
          </cell>
          <cell r="E1321">
            <v>70</v>
          </cell>
          <cell r="F1321">
            <v>104.6</v>
          </cell>
          <cell r="G1321">
            <v>101.6</v>
          </cell>
          <cell r="H1321">
            <v>104.6</v>
          </cell>
          <cell r="I1321">
            <v>85.8</v>
          </cell>
          <cell r="J1321">
            <v>85.7</v>
          </cell>
          <cell r="K1321">
            <v>84</v>
          </cell>
          <cell r="L1321">
            <v>70</v>
          </cell>
          <cell r="M1321">
            <v>-75.7</v>
          </cell>
        </row>
        <row r="1322">
          <cell r="C1322" t="str">
            <v>110kV 172 Long An 2 - 171 Long An</v>
          </cell>
          <cell r="D1322">
            <v>172</v>
          </cell>
          <cell r="E1322">
            <v>34.200000000000003</v>
          </cell>
          <cell r="F1322">
            <v>56</v>
          </cell>
          <cell r="G1322">
            <v>55</v>
          </cell>
          <cell r="H1322">
            <v>54.9</v>
          </cell>
          <cell r="I1322">
            <v>49.8</v>
          </cell>
          <cell r="J1322">
            <v>56</v>
          </cell>
          <cell r="K1322">
            <v>47.6</v>
          </cell>
          <cell r="L1322">
            <v>39.6</v>
          </cell>
          <cell r="M1322">
            <v>34.200000000000003</v>
          </cell>
        </row>
        <row r="1323">
          <cell r="C1323" t="str">
            <v>110kV 173 Long An 2 - 172 Tầm Vu</v>
          </cell>
          <cell r="D1323">
            <v>173</v>
          </cell>
          <cell r="E1323">
            <v>12.4</v>
          </cell>
          <cell r="F1323">
            <v>23.2</v>
          </cell>
          <cell r="G1323">
            <v>12.4</v>
          </cell>
          <cell r="H1323">
            <v>19</v>
          </cell>
          <cell r="I1323">
            <v>17.8</v>
          </cell>
          <cell r="J1323">
            <v>18.600000000000001</v>
          </cell>
          <cell r="K1323">
            <v>23.2</v>
          </cell>
          <cell r="L1323">
            <v>18.600000000000001</v>
          </cell>
          <cell r="M1323">
            <v>23</v>
          </cell>
        </row>
        <row r="1324">
          <cell r="C1324" t="str">
            <v>110kV 174 Long An 2 - 171 Tân An</v>
          </cell>
          <cell r="D1324">
            <v>174</v>
          </cell>
          <cell r="E1324">
            <v>19.100000000000001</v>
          </cell>
          <cell r="F1324">
            <v>29.2</v>
          </cell>
          <cell r="G1324">
            <v>25.6</v>
          </cell>
          <cell r="H1324">
            <v>23.9</v>
          </cell>
          <cell r="I1324">
            <v>19.100000000000001</v>
          </cell>
          <cell r="J1324">
            <v>29.2</v>
          </cell>
          <cell r="K1324">
            <v>22</v>
          </cell>
          <cell r="L1324">
            <v>19.600000000000001</v>
          </cell>
          <cell r="M1324">
            <v>24.4</v>
          </cell>
        </row>
        <row r="1325">
          <cell r="C1325" t="str">
            <v>110kV 175 Long An 2 - 171 Rạch Chanh</v>
          </cell>
          <cell r="D1325">
            <v>175</v>
          </cell>
          <cell r="E1325">
            <v>68.900000000000006</v>
          </cell>
          <cell r="F1325">
            <v>89.2</v>
          </cell>
          <cell r="G1325">
            <v>78.2</v>
          </cell>
          <cell r="H1325">
            <v>89.2</v>
          </cell>
          <cell r="I1325">
            <v>86.1</v>
          </cell>
          <cell r="J1325">
            <v>85.7</v>
          </cell>
          <cell r="K1325">
            <v>82.7</v>
          </cell>
          <cell r="L1325">
            <v>73.599999999999994</v>
          </cell>
          <cell r="M1325">
            <v>68.900000000000006</v>
          </cell>
        </row>
        <row r="1326">
          <cell r="C1326" t="str">
            <v>110kV 176 Long An 2 - 171 Long Hiệp</v>
          </cell>
          <cell r="D1326">
            <v>176</v>
          </cell>
          <cell r="E1326">
            <v>40.4</v>
          </cell>
          <cell r="F1326">
            <v>73.3</v>
          </cell>
          <cell r="G1326">
            <v>64.5</v>
          </cell>
          <cell r="H1326">
            <v>73.3</v>
          </cell>
          <cell r="I1326">
            <v>65.5</v>
          </cell>
          <cell r="J1326">
            <v>71.400000000000006</v>
          </cell>
          <cell r="K1326">
            <v>61</v>
          </cell>
          <cell r="L1326">
            <v>40.4</v>
          </cell>
          <cell r="M1326">
            <v>48.9</v>
          </cell>
        </row>
        <row r="1327">
          <cell r="C1327" t="str">
            <v>110kV 177 Long An 2 - 171 Bến Lức</v>
          </cell>
          <cell r="D1327">
            <v>177</v>
          </cell>
          <cell r="E1327">
            <v>45</v>
          </cell>
          <cell r="F1327">
            <v>76</v>
          </cell>
          <cell r="G1327">
            <v>71.900000000000006</v>
          </cell>
          <cell r="H1327">
            <v>76</v>
          </cell>
          <cell r="I1327">
            <v>69.099999999999994</v>
          </cell>
          <cell r="J1327">
            <v>74.3</v>
          </cell>
          <cell r="K1327">
            <v>70.5</v>
          </cell>
          <cell r="L1327">
            <v>47.4</v>
          </cell>
          <cell r="M1327">
            <v>45</v>
          </cell>
        </row>
        <row r="1328">
          <cell r="C1328" t="str">
            <v>110kV 178 Long An 2 - 171 NMĐ MT GAIA</v>
          </cell>
          <cell r="D1328">
            <v>178</v>
          </cell>
          <cell r="E1328">
            <v>-13.8</v>
          </cell>
          <cell r="F1328">
            <v>-31.7</v>
          </cell>
          <cell r="G1328">
            <v>-31.7</v>
          </cell>
          <cell r="H1328">
            <v>-26.1</v>
          </cell>
          <cell r="I1328">
            <v>-13.8</v>
          </cell>
          <cell r="J1328">
            <v>-23.5</v>
          </cell>
          <cell r="K1328">
            <v>-29.7</v>
          </cell>
          <cell r="L1328">
            <v>-17.7</v>
          </cell>
          <cell r="M1328">
            <v>-22.4</v>
          </cell>
        </row>
        <row r="1329">
          <cell r="C1329" t="str">
            <v>110kV 179 Long An 2 - 172 NMĐ MT GAIA</v>
          </cell>
          <cell r="D1329">
            <v>179</v>
          </cell>
          <cell r="E1329">
            <v>-14.1</v>
          </cell>
          <cell r="F1329">
            <v>-31.1</v>
          </cell>
          <cell r="G1329">
            <v>-31.1</v>
          </cell>
          <cell r="H1329">
            <v>-26.2</v>
          </cell>
          <cell r="I1329">
            <v>-14.1</v>
          </cell>
          <cell r="J1329">
            <v>-21.9</v>
          </cell>
          <cell r="K1329">
            <v>-30.9</v>
          </cell>
          <cell r="L1329">
            <v>-18.8</v>
          </cell>
          <cell r="M1329">
            <v>-23.6</v>
          </cell>
        </row>
        <row r="1330">
          <cell r="C1330" t="str">
            <v>Long An 2 MBA AT1 (phía 220kV)</v>
          </cell>
          <cell r="D1330">
            <v>231</v>
          </cell>
          <cell r="E1330">
            <v>150.9</v>
          </cell>
          <cell r="F1330">
            <v>225.1</v>
          </cell>
          <cell r="G1330">
            <v>204.6</v>
          </cell>
          <cell r="H1330">
            <v>225.1</v>
          </cell>
          <cell r="I1330">
            <v>178.7</v>
          </cell>
          <cell r="J1330">
            <v>207.2</v>
          </cell>
          <cell r="K1330">
            <v>173.1</v>
          </cell>
          <cell r="L1330">
            <v>150.9</v>
          </cell>
          <cell r="M1330">
            <v>156.69999999999999</v>
          </cell>
        </row>
        <row r="1331">
          <cell r="C1331" t="str">
            <v>Long An 2 MBA AT2 (phía 220kV)</v>
          </cell>
          <cell r="D1331">
            <v>232</v>
          </cell>
          <cell r="E1331">
            <v>136.69999999999999</v>
          </cell>
          <cell r="F1331">
            <v>205.8</v>
          </cell>
          <cell r="G1331">
            <v>186.5</v>
          </cell>
          <cell r="H1331">
            <v>205.8</v>
          </cell>
          <cell r="I1331">
            <v>163.6</v>
          </cell>
          <cell r="J1331">
            <v>187.8</v>
          </cell>
          <cell r="K1331">
            <v>158.19999999999999</v>
          </cell>
          <cell r="L1331">
            <v>136.69999999999999</v>
          </cell>
          <cell r="M1331">
            <v>141</v>
          </cell>
        </row>
        <row r="1332">
          <cell r="C1332" t="str">
            <v>220kV 271 Long An 2 - 277 Mỹ Tho 500kV</v>
          </cell>
          <cell r="D1332">
            <v>271</v>
          </cell>
          <cell r="E1332">
            <v>-137.80000000000001</v>
          </cell>
          <cell r="F1332">
            <v>-242.1</v>
          </cell>
          <cell r="G1332">
            <v>-143.30000000000001</v>
          </cell>
          <cell r="H1332">
            <v>-184.3</v>
          </cell>
          <cell r="I1332">
            <v>-187.1</v>
          </cell>
          <cell r="J1332">
            <v>-214.3</v>
          </cell>
          <cell r="K1332">
            <v>-242.1</v>
          </cell>
          <cell r="L1332">
            <v>-187.1</v>
          </cell>
          <cell r="M1332">
            <v>-137.80000000000001</v>
          </cell>
        </row>
        <row r="1333">
          <cell r="C1333" t="str">
            <v>220kV 272 Long An 2 - 278 Mỹ Tho 500kV</v>
          </cell>
          <cell r="D1333">
            <v>272</v>
          </cell>
          <cell r="E1333">
            <v>-127.7</v>
          </cell>
          <cell r="F1333">
            <v>-238</v>
          </cell>
          <cell r="G1333">
            <v>-163.69999999999999</v>
          </cell>
          <cell r="H1333">
            <v>-191.5</v>
          </cell>
          <cell r="I1333">
            <v>-188.7</v>
          </cell>
          <cell r="J1333">
            <v>-218.6</v>
          </cell>
          <cell r="K1333">
            <v>-238</v>
          </cell>
          <cell r="L1333">
            <v>-184.7</v>
          </cell>
          <cell r="M1333">
            <v>-127.7</v>
          </cell>
        </row>
        <row r="1334">
          <cell r="C1334" t="str">
            <v>220kV 273 Long An 2 - 273 Phú Lâm</v>
          </cell>
          <cell r="D1334">
            <v>273</v>
          </cell>
          <cell r="E1334">
            <v>-58.1</v>
          </cell>
          <cell r="F1334">
            <v>-130.9</v>
          </cell>
          <cell r="G1334">
            <v>-130.9</v>
          </cell>
          <cell r="H1334">
            <v>-100.2</v>
          </cell>
          <cell r="I1334">
            <v>-58.1</v>
          </cell>
          <cell r="J1334">
            <v>98.7</v>
          </cell>
          <cell r="K1334">
            <v>115.8</v>
          </cell>
          <cell r="L1334">
            <v>66.7</v>
          </cell>
          <cell r="M1334">
            <v>85.5</v>
          </cell>
        </row>
        <row r="1335">
          <cell r="C1335" t="str">
            <v>220kV 274 Long An 2 - 274 Phú Lâm</v>
          </cell>
          <cell r="D1335">
            <v>274</v>
          </cell>
          <cell r="E1335">
            <v>-40.5</v>
          </cell>
          <cell r="F1335">
            <v>136.6</v>
          </cell>
          <cell r="G1335">
            <v>-109.9</v>
          </cell>
          <cell r="H1335">
            <v>-65.599999999999994</v>
          </cell>
          <cell r="I1335">
            <v>-40.5</v>
          </cell>
          <cell r="J1335">
            <v>120.6</v>
          </cell>
          <cell r="K1335">
            <v>136.6</v>
          </cell>
          <cell r="L1335">
            <v>75.5</v>
          </cell>
          <cell r="M1335">
            <v>96.1</v>
          </cell>
        </row>
        <row r="1336">
          <cell r="C1336" t="str">
            <v>Long Bình MBA AT1 (phía 110kV)</v>
          </cell>
          <cell r="D1336">
            <v>131</v>
          </cell>
          <cell r="E1336">
            <v>-128.4</v>
          </cell>
          <cell r="F1336">
            <v>-183.9</v>
          </cell>
          <cell r="G1336">
            <v>-176.8</v>
          </cell>
          <cell r="H1336">
            <v>-182.4</v>
          </cell>
          <cell r="I1336">
            <v>-175.7</v>
          </cell>
          <cell r="J1336">
            <v>-183.9</v>
          </cell>
          <cell r="K1336">
            <v>-169.6</v>
          </cell>
          <cell r="L1336">
            <v>-128.4</v>
          </cell>
          <cell r="M1336">
            <v>-159.9</v>
          </cell>
        </row>
        <row r="1337">
          <cell r="C1337" t="str">
            <v>Long Bình MBA AT2 (phía 110kV)</v>
          </cell>
          <cell r="D1337">
            <v>132</v>
          </cell>
          <cell r="E1337">
            <v>-163.1</v>
          </cell>
          <cell r="F1337">
            <v>-219.4</v>
          </cell>
          <cell r="G1337">
            <v>-215.9</v>
          </cell>
          <cell r="H1337">
            <v>-219.4</v>
          </cell>
          <cell r="I1337">
            <v>-181.7</v>
          </cell>
          <cell r="J1337">
            <v>-211</v>
          </cell>
          <cell r="K1337">
            <v>-178.3</v>
          </cell>
          <cell r="L1337">
            <v>-183.2</v>
          </cell>
          <cell r="M1337">
            <v>-163.1</v>
          </cell>
        </row>
        <row r="1338">
          <cell r="C1338" t="str">
            <v>Long Bình MBA AT3 (phía 110kV)</v>
          </cell>
          <cell r="D1338">
            <v>133</v>
          </cell>
          <cell r="E1338">
            <v>-132.69999999999999</v>
          </cell>
          <cell r="F1338">
            <v>-216.7</v>
          </cell>
          <cell r="G1338">
            <v>-208.5</v>
          </cell>
          <cell r="H1338">
            <v>-216.7</v>
          </cell>
          <cell r="I1338">
            <v>-204.7</v>
          </cell>
          <cell r="J1338">
            <v>-208</v>
          </cell>
          <cell r="K1338">
            <v>-190.6</v>
          </cell>
          <cell r="L1338">
            <v>-132.69999999999999</v>
          </cell>
          <cell r="M1338">
            <v>-166.3</v>
          </cell>
        </row>
        <row r="1339">
          <cell r="C1339" t="str">
            <v>Long Bình MBA T4 (phía 110kV)</v>
          </cell>
          <cell r="D1339">
            <v>134</v>
          </cell>
          <cell r="E1339">
            <v>39.9</v>
          </cell>
          <cell r="F1339">
            <v>53.8</v>
          </cell>
          <cell r="G1339">
            <v>53</v>
          </cell>
          <cell r="H1339">
            <v>53.8</v>
          </cell>
          <cell r="I1339">
            <v>43.5</v>
          </cell>
          <cell r="J1339">
            <v>53.3</v>
          </cell>
          <cell r="K1339">
            <v>46.2</v>
          </cell>
          <cell r="L1339">
            <v>39.9</v>
          </cell>
          <cell r="M1339">
            <v>42.6</v>
          </cell>
        </row>
        <row r="1340">
          <cell r="C1340" t="str">
            <v>Long Bình MBA T5 (phía 110kV)</v>
          </cell>
          <cell r="D1340">
            <v>135</v>
          </cell>
          <cell r="E1340">
            <v>39.9</v>
          </cell>
          <cell r="F1340">
            <v>54.1</v>
          </cell>
          <cell r="G1340">
            <v>52.2</v>
          </cell>
          <cell r="H1340">
            <v>52.4</v>
          </cell>
          <cell r="I1340">
            <v>46.7</v>
          </cell>
          <cell r="J1340">
            <v>54.1</v>
          </cell>
          <cell r="K1340">
            <v>52.8</v>
          </cell>
          <cell r="L1340">
            <v>42.6</v>
          </cell>
          <cell r="M1340">
            <v>39.9</v>
          </cell>
        </row>
        <row r="1341">
          <cell r="C1341" t="str">
            <v>110kV 171 Long Bình - 171 Đông Hòa - 171 Bình An - 171 Đồng Nai</v>
          </cell>
          <cell r="D1341">
            <v>171</v>
          </cell>
          <cell r="E1341">
            <v>34.799999999999997</v>
          </cell>
          <cell r="F1341">
            <v>46.6</v>
          </cell>
          <cell r="G1341">
            <v>41.6</v>
          </cell>
          <cell r="H1341">
            <v>46.6</v>
          </cell>
          <cell r="I1341">
            <v>43.6</v>
          </cell>
          <cell r="J1341">
            <v>46.6</v>
          </cell>
          <cell r="K1341">
            <v>40.1</v>
          </cell>
          <cell r="L1341">
            <v>35.799999999999997</v>
          </cell>
          <cell r="M1341">
            <v>34.799999999999997</v>
          </cell>
        </row>
        <row r="1342">
          <cell r="C1342" t="str">
            <v>110kV 172 Long Bình - 172 Đồng Nai</v>
          </cell>
          <cell r="D1342">
            <v>172</v>
          </cell>
          <cell r="E1342">
            <v>31.5</v>
          </cell>
          <cell r="F1342">
            <v>38.5</v>
          </cell>
          <cell r="G1342">
            <v>36.799999999999997</v>
          </cell>
          <cell r="H1342">
            <v>35.4</v>
          </cell>
          <cell r="I1342">
            <v>38.5</v>
          </cell>
          <cell r="J1342">
            <v>37.5</v>
          </cell>
          <cell r="K1342">
            <v>37.6</v>
          </cell>
          <cell r="L1342">
            <v>31.5</v>
          </cell>
          <cell r="M1342">
            <v>33.4</v>
          </cell>
        </row>
        <row r="1343">
          <cell r="C1343" t="str">
            <v>110kV 173 Long Bình - 172 Tân Mai - 171 VICASA</v>
          </cell>
          <cell r="D1343">
            <v>173</v>
          </cell>
          <cell r="E1343">
            <v>71.599999999999994</v>
          </cell>
          <cell r="F1343">
            <v>96.2</v>
          </cell>
          <cell r="G1343">
            <v>92.2</v>
          </cell>
          <cell r="H1343">
            <v>95.1</v>
          </cell>
          <cell r="I1343">
            <v>96.2</v>
          </cell>
          <cell r="J1343">
            <v>92.6</v>
          </cell>
          <cell r="K1343">
            <v>71.599999999999994</v>
          </cell>
          <cell r="L1343">
            <v>87.1</v>
          </cell>
          <cell r="M1343">
            <v>79.8</v>
          </cell>
        </row>
        <row r="1344">
          <cell r="C1344" t="str">
            <v>110kV 174 Long Bình - 172 Biên Hòa</v>
          </cell>
          <cell r="D1344">
            <v>174</v>
          </cell>
          <cell r="E1344">
            <v>49.3</v>
          </cell>
          <cell r="F1344">
            <v>73</v>
          </cell>
          <cell r="G1344">
            <v>71</v>
          </cell>
          <cell r="H1344">
            <v>73</v>
          </cell>
          <cell r="I1344">
            <v>49.3</v>
          </cell>
          <cell r="J1344">
            <v>71.7</v>
          </cell>
          <cell r="K1344">
            <v>69.099999999999994</v>
          </cell>
          <cell r="L1344">
            <v>56</v>
          </cell>
          <cell r="M1344">
            <v>51.4</v>
          </cell>
        </row>
        <row r="1345">
          <cell r="C1345" t="str">
            <v>110kV 175 Long Bình - 172 Tam Phước</v>
          </cell>
          <cell r="D1345">
            <v>175</v>
          </cell>
          <cell r="E1345">
            <v>20.9</v>
          </cell>
          <cell r="F1345">
            <v>45.5</v>
          </cell>
          <cell r="G1345">
            <v>44.8</v>
          </cell>
          <cell r="H1345">
            <v>41.3</v>
          </cell>
          <cell r="I1345">
            <v>45.5</v>
          </cell>
          <cell r="J1345">
            <v>45</v>
          </cell>
          <cell r="K1345">
            <v>35.5</v>
          </cell>
          <cell r="L1345">
            <v>22.9</v>
          </cell>
          <cell r="M1345">
            <v>20.9</v>
          </cell>
        </row>
        <row r="1346">
          <cell r="C1346" t="str">
            <v>110kV 176 Long Bình - 171 An Bình</v>
          </cell>
          <cell r="D1346">
            <v>176</v>
          </cell>
          <cell r="E1346">
            <v>58.5</v>
          </cell>
          <cell r="F1346">
            <v>91</v>
          </cell>
          <cell r="G1346">
            <v>89.9</v>
          </cell>
          <cell r="H1346">
            <v>91</v>
          </cell>
          <cell r="I1346">
            <v>71.5</v>
          </cell>
          <cell r="J1346">
            <v>87.9</v>
          </cell>
          <cell r="K1346">
            <v>87.9</v>
          </cell>
          <cell r="L1346">
            <v>61.6</v>
          </cell>
          <cell r="M1346">
            <v>58.5</v>
          </cell>
        </row>
        <row r="1347">
          <cell r="C1347" t="str">
            <v>110kV 177 Long Bình - 171 Amata 2</v>
          </cell>
          <cell r="D1347">
            <v>177</v>
          </cell>
          <cell r="E1347">
            <v>61.5</v>
          </cell>
          <cell r="F1347">
            <v>101.9</v>
          </cell>
          <cell r="G1347">
            <v>101.9</v>
          </cell>
          <cell r="H1347">
            <v>101.4</v>
          </cell>
          <cell r="I1347">
            <v>98.9</v>
          </cell>
          <cell r="J1347">
            <v>100.5</v>
          </cell>
          <cell r="K1347">
            <v>95.3</v>
          </cell>
          <cell r="L1347">
            <v>61.5</v>
          </cell>
          <cell r="M1347">
            <v>80.599999999999994</v>
          </cell>
        </row>
        <row r="1348">
          <cell r="C1348" t="str">
            <v>110kV 178 Long Bình - 171 Loteco</v>
          </cell>
          <cell r="D1348">
            <v>178</v>
          </cell>
          <cell r="E1348">
            <v>14.5</v>
          </cell>
          <cell r="F1348">
            <v>94.8</v>
          </cell>
          <cell r="G1348">
            <v>29.5</v>
          </cell>
          <cell r="H1348">
            <v>39.200000000000003</v>
          </cell>
          <cell r="I1348">
            <v>32.700000000000003</v>
          </cell>
          <cell r="J1348">
            <v>33.799999999999997</v>
          </cell>
          <cell r="K1348">
            <v>28</v>
          </cell>
          <cell r="L1348">
            <v>14.5</v>
          </cell>
          <cell r="M1348">
            <v>94.8</v>
          </cell>
        </row>
        <row r="1349">
          <cell r="C1349" t="str">
            <v>110kV 179 Long Bình - 172 Tam An</v>
          </cell>
          <cell r="D1349">
            <v>179</v>
          </cell>
          <cell r="E1349">
            <v>0</v>
          </cell>
          <cell r="F1349">
            <v>-0.1</v>
          </cell>
          <cell r="G1349">
            <v>0</v>
          </cell>
          <cell r="H1349">
            <v>-0.1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</row>
        <row r="1350">
          <cell r="C1350" t="str">
            <v>110kV 180 Long Bình - 172 Hố Nai</v>
          </cell>
          <cell r="D1350">
            <v>180</v>
          </cell>
          <cell r="E1350">
            <v>0</v>
          </cell>
          <cell r="F1350">
            <v>45</v>
          </cell>
          <cell r="G1350">
            <v>0</v>
          </cell>
          <cell r="H1350">
            <v>45</v>
          </cell>
          <cell r="I1350">
            <v>0</v>
          </cell>
          <cell r="J1350">
            <v>0</v>
          </cell>
          <cell r="K1350">
            <v>0</v>
          </cell>
          <cell r="L1350">
            <v>4.5</v>
          </cell>
          <cell r="M1350">
            <v>0</v>
          </cell>
        </row>
        <row r="1351">
          <cell r="C1351" t="str">
            <v>Long Bình MBA AT1 (phía 220kV)</v>
          </cell>
          <cell r="D1351">
            <v>231</v>
          </cell>
          <cell r="E1351">
            <v>128.6</v>
          </cell>
          <cell r="F1351">
            <v>184.9</v>
          </cell>
          <cell r="G1351">
            <v>177.6</v>
          </cell>
          <cell r="H1351">
            <v>182.5</v>
          </cell>
          <cell r="I1351">
            <v>176.5</v>
          </cell>
          <cell r="J1351">
            <v>184.9</v>
          </cell>
          <cell r="K1351">
            <v>169.3</v>
          </cell>
          <cell r="L1351">
            <v>128.6</v>
          </cell>
          <cell r="M1351">
            <v>161.69999999999999</v>
          </cell>
        </row>
        <row r="1352">
          <cell r="C1352" t="str">
            <v>Long Bình MBA AT2 (phía 220kV)</v>
          </cell>
          <cell r="D1352">
            <v>232</v>
          </cell>
          <cell r="E1352">
            <v>162.6</v>
          </cell>
          <cell r="F1352">
            <v>218.7</v>
          </cell>
          <cell r="G1352">
            <v>214.2</v>
          </cell>
          <cell r="H1352">
            <v>218.7</v>
          </cell>
          <cell r="I1352">
            <v>181.9</v>
          </cell>
          <cell r="J1352">
            <v>210.5</v>
          </cell>
          <cell r="K1352">
            <v>178.2</v>
          </cell>
          <cell r="L1352">
            <v>181.6</v>
          </cell>
          <cell r="M1352">
            <v>162.6</v>
          </cell>
        </row>
        <row r="1353">
          <cell r="C1353" t="str">
            <v>Long Bình MBA AT3 (phía 220kV)</v>
          </cell>
          <cell r="D1353">
            <v>233</v>
          </cell>
          <cell r="E1353">
            <v>133.1</v>
          </cell>
          <cell r="F1353">
            <v>216.4</v>
          </cell>
          <cell r="G1353">
            <v>209.4</v>
          </cell>
          <cell r="H1353">
            <v>216.4</v>
          </cell>
          <cell r="I1353">
            <v>204</v>
          </cell>
          <cell r="J1353">
            <v>208.8</v>
          </cell>
          <cell r="K1353">
            <v>191.9</v>
          </cell>
          <cell r="L1353">
            <v>133.1</v>
          </cell>
          <cell r="M1353">
            <v>166.6</v>
          </cell>
        </row>
        <row r="1354">
          <cell r="C1354" t="str">
            <v>220kV 271 Long Bình - 278 Tân Uyên 500</v>
          </cell>
          <cell r="D1354">
            <v>271</v>
          </cell>
          <cell r="E1354">
            <v>-92.9</v>
          </cell>
          <cell r="F1354">
            <v>-174.6</v>
          </cell>
          <cell r="G1354">
            <v>-99.6</v>
          </cell>
          <cell r="H1354">
            <v>-174.6</v>
          </cell>
          <cell r="I1354">
            <v>-121.8</v>
          </cell>
          <cell r="J1354">
            <v>-92.9</v>
          </cell>
          <cell r="K1354">
            <v>-144.1</v>
          </cell>
          <cell r="L1354">
            <v>-115.5</v>
          </cell>
          <cell r="M1354">
            <v>-153.19999999999999</v>
          </cell>
        </row>
        <row r="1355">
          <cell r="C1355" t="str">
            <v>220kV 272 Long Bình - 279 Tân Uyên 500</v>
          </cell>
          <cell r="D1355">
            <v>272</v>
          </cell>
          <cell r="E1355">
            <v>-50.8</v>
          </cell>
          <cell r="F1355">
            <v>-117.5</v>
          </cell>
          <cell r="G1355">
            <v>-69.099999999999994</v>
          </cell>
          <cell r="H1355">
            <v>-117.5</v>
          </cell>
          <cell r="I1355">
            <v>-83.3</v>
          </cell>
          <cell r="J1355">
            <v>-50.8</v>
          </cell>
          <cell r="K1355">
            <v>-106.2</v>
          </cell>
          <cell r="L1355">
            <v>-89.4</v>
          </cell>
          <cell r="M1355">
            <v>-104</v>
          </cell>
        </row>
        <row r="1356">
          <cell r="C1356" t="str">
            <v>220kV 273 Long Bình - 273 Sông Mây</v>
          </cell>
          <cell r="D1356">
            <v>273</v>
          </cell>
          <cell r="E1356">
            <v>-87</v>
          </cell>
          <cell r="F1356">
            <v>-135.6</v>
          </cell>
          <cell r="G1356">
            <v>-110.8</v>
          </cell>
          <cell r="H1356">
            <v>-124.7</v>
          </cell>
          <cell r="I1356">
            <v>-94.4</v>
          </cell>
          <cell r="J1356">
            <v>-87</v>
          </cell>
          <cell r="K1356">
            <v>-123.1</v>
          </cell>
          <cell r="L1356">
            <v>-99.7</v>
          </cell>
          <cell r="M1356">
            <v>-135.6</v>
          </cell>
        </row>
        <row r="1357">
          <cell r="C1357" t="str">
            <v>220kV 274 Long Bình - 274 Long Thành</v>
          </cell>
          <cell r="D1357">
            <v>274</v>
          </cell>
          <cell r="E1357">
            <v>-69.2</v>
          </cell>
          <cell r="F1357">
            <v>-261.3</v>
          </cell>
          <cell r="G1357">
            <v>-197.6</v>
          </cell>
          <cell r="H1357">
            <v>-139.9</v>
          </cell>
          <cell r="I1357">
            <v>-159</v>
          </cell>
          <cell r="J1357">
            <v>-261.3</v>
          </cell>
          <cell r="K1357">
            <v>-143.5</v>
          </cell>
          <cell r="L1357">
            <v>-116.4</v>
          </cell>
          <cell r="M1357">
            <v>-69.2</v>
          </cell>
        </row>
        <row r="1358">
          <cell r="C1358" t="str">
            <v>220kV 275 Long Bình - 273 Long Thành</v>
          </cell>
          <cell r="D1358">
            <v>275</v>
          </cell>
          <cell r="E1358">
            <v>-90.6</v>
          </cell>
          <cell r="F1358">
            <v>-243</v>
          </cell>
          <cell r="G1358">
            <v>-185.8</v>
          </cell>
          <cell r="H1358">
            <v>-123.3</v>
          </cell>
          <cell r="I1358">
            <v>-152.9</v>
          </cell>
          <cell r="J1358">
            <v>-243</v>
          </cell>
          <cell r="K1358">
            <v>-134.30000000000001</v>
          </cell>
          <cell r="L1358">
            <v>-90.6</v>
          </cell>
          <cell r="M1358">
            <v>-96.9</v>
          </cell>
        </row>
        <row r="1359">
          <cell r="C1359" t="str">
            <v>220kV 276 Long Bình - 275 Sông Mây</v>
          </cell>
          <cell r="D1359">
            <v>276</v>
          </cell>
          <cell r="E1359">
            <v>-48.1</v>
          </cell>
          <cell r="F1359">
            <v>-111.5</v>
          </cell>
          <cell r="G1359">
            <v>-80.599999999999994</v>
          </cell>
          <cell r="H1359">
            <v>-108</v>
          </cell>
          <cell r="I1359">
            <v>-48.1</v>
          </cell>
          <cell r="J1359">
            <v>84.2</v>
          </cell>
          <cell r="K1359">
            <v>-78</v>
          </cell>
          <cell r="L1359">
            <v>-68.7</v>
          </cell>
          <cell r="M1359">
            <v>-111.5</v>
          </cell>
        </row>
        <row r="1360">
          <cell r="C1360" t="str">
            <v>Long Bình MBA T4 (phía 22kV)</v>
          </cell>
          <cell r="D1360">
            <v>434</v>
          </cell>
          <cell r="E1360">
            <v>-39.6</v>
          </cell>
          <cell r="F1360">
            <v>-53.3</v>
          </cell>
          <cell r="G1360">
            <v>-52.7</v>
          </cell>
          <cell r="H1360">
            <v>-53.3</v>
          </cell>
          <cell r="I1360">
            <v>-43.4</v>
          </cell>
          <cell r="J1360">
            <v>-52.7</v>
          </cell>
          <cell r="K1360">
            <v>-45.6</v>
          </cell>
          <cell r="L1360">
            <v>-39.6</v>
          </cell>
          <cell r="M1360">
            <v>-42.6</v>
          </cell>
        </row>
        <row r="1361">
          <cell r="C1361" t="str">
            <v>Long Bình MBA T5 (phía 22kV)</v>
          </cell>
          <cell r="D1361">
            <v>435</v>
          </cell>
          <cell r="E1361">
            <v>-39.700000000000003</v>
          </cell>
          <cell r="F1361">
            <v>-54</v>
          </cell>
          <cell r="G1361">
            <v>-52.1</v>
          </cell>
          <cell r="H1361">
            <v>-52.2</v>
          </cell>
          <cell r="I1361">
            <v>-46.6</v>
          </cell>
          <cell r="J1361">
            <v>-54</v>
          </cell>
          <cell r="K1361">
            <v>-53</v>
          </cell>
          <cell r="L1361">
            <v>-42.9</v>
          </cell>
          <cell r="M1361">
            <v>-39.700000000000003</v>
          </cell>
        </row>
        <row r="1362">
          <cell r="C1362" t="str">
            <v>Long Đất MBA T1 (phía 110kV)</v>
          </cell>
          <cell r="D1362">
            <v>131</v>
          </cell>
          <cell r="E1362">
            <v>9</v>
          </cell>
          <cell r="F1362">
            <v>14.3</v>
          </cell>
          <cell r="G1362">
            <v>14.3</v>
          </cell>
          <cell r="H1362">
            <v>14</v>
          </cell>
          <cell r="I1362">
            <v>10.6</v>
          </cell>
          <cell r="J1362">
            <v>9</v>
          </cell>
          <cell r="K1362">
            <v>10.9</v>
          </cell>
          <cell r="L1362">
            <v>11.1</v>
          </cell>
          <cell r="M1362">
            <v>12.5</v>
          </cell>
        </row>
        <row r="1363">
          <cell r="C1363" t="str">
            <v>Long Đất MBA T2 (phía 110kV)</v>
          </cell>
          <cell r="D1363">
            <v>132</v>
          </cell>
          <cell r="E1363">
            <v>10.9</v>
          </cell>
          <cell r="F1363">
            <v>13.9</v>
          </cell>
          <cell r="G1363">
            <v>13.5</v>
          </cell>
          <cell r="H1363">
            <v>13.9</v>
          </cell>
          <cell r="I1363">
            <v>12.4</v>
          </cell>
          <cell r="J1363">
            <v>12.4</v>
          </cell>
          <cell r="K1363">
            <v>10.9</v>
          </cell>
          <cell r="L1363">
            <v>11.6</v>
          </cell>
          <cell r="M1363">
            <v>12.5</v>
          </cell>
        </row>
        <row r="1364">
          <cell r="C1364" t="str">
            <v>110kV 171 Long Đất - 171 Bà Rịa</v>
          </cell>
          <cell r="D1364">
            <v>171</v>
          </cell>
          <cell r="E1364">
            <v>0</v>
          </cell>
          <cell r="F1364">
            <v>-62.4</v>
          </cell>
          <cell r="G1364">
            <v>0</v>
          </cell>
          <cell r="H1364">
            <v>-62.4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</row>
        <row r="1365">
          <cell r="C1365" t="str">
            <v>110kV 172 Long Đất - 171 Xuyên Mộc</v>
          </cell>
          <cell r="D1365">
            <v>172</v>
          </cell>
          <cell r="E1365">
            <v>-21</v>
          </cell>
          <cell r="F1365">
            <v>41.1</v>
          </cell>
          <cell r="G1365">
            <v>-27.3</v>
          </cell>
          <cell r="H1365">
            <v>41.1</v>
          </cell>
          <cell r="I1365">
            <v>-22.7</v>
          </cell>
          <cell r="J1365">
            <v>-21</v>
          </cell>
          <cell r="K1365">
            <v>-21.6</v>
          </cell>
          <cell r="L1365">
            <v>-22.7</v>
          </cell>
          <cell r="M1365">
            <v>-25</v>
          </cell>
        </row>
        <row r="1366">
          <cell r="C1366" t="str">
            <v>Long Đất MBA T1 (phía 22kV)</v>
          </cell>
          <cell r="D1366">
            <v>431</v>
          </cell>
          <cell r="E1366">
            <v>-9</v>
          </cell>
          <cell r="F1366">
            <v>-14.3</v>
          </cell>
          <cell r="G1366">
            <v>-14.3</v>
          </cell>
          <cell r="H1366">
            <v>-13.9</v>
          </cell>
          <cell r="I1366">
            <v>-10.5</v>
          </cell>
          <cell r="J1366">
            <v>-9</v>
          </cell>
          <cell r="K1366">
            <v>-10.9</v>
          </cell>
          <cell r="L1366">
            <v>-11.1</v>
          </cell>
          <cell r="M1366">
            <v>-12.5</v>
          </cell>
        </row>
        <row r="1367">
          <cell r="C1367" t="str">
            <v>Long Đất MBA T2 (phía 22kV)</v>
          </cell>
          <cell r="D1367">
            <v>432</v>
          </cell>
          <cell r="E1367">
            <v>-10.8</v>
          </cell>
          <cell r="F1367">
            <v>-13.8</v>
          </cell>
          <cell r="G1367">
            <v>-13.4</v>
          </cell>
          <cell r="H1367">
            <v>-13.8</v>
          </cell>
          <cell r="I1367">
            <v>-12.3</v>
          </cell>
          <cell r="J1367">
            <v>-12.3</v>
          </cell>
          <cell r="K1367">
            <v>-10.8</v>
          </cell>
          <cell r="L1367">
            <v>-11.4</v>
          </cell>
          <cell r="M1367">
            <v>-12.4</v>
          </cell>
        </row>
        <row r="1368">
          <cell r="C1368" t="str">
            <v>110kV 171 Long Đức - 171 Trà Vinh</v>
          </cell>
          <cell r="F1368">
            <v>-22.5</v>
          </cell>
          <cell r="H1368">
            <v>-19.7</v>
          </cell>
          <cell r="I1368">
            <v>-18.100000000000001</v>
          </cell>
          <cell r="J1368">
            <v>-22.5</v>
          </cell>
          <cell r="K1368">
            <v>-19.899999999999999</v>
          </cell>
          <cell r="L1368">
            <v>-16.3</v>
          </cell>
          <cell r="M1368">
            <v>-17.399999999999999</v>
          </cell>
        </row>
        <row r="1369">
          <cell r="C1369" t="str">
            <v>110kV 172 Long Đức - 172 NMĐ MT Vneco Vĩnh Long</v>
          </cell>
          <cell r="F1369">
            <v>-33.200000000000003</v>
          </cell>
          <cell r="H1369">
            <v>-33.200000000000003</v>
          </cell>
          <cell r="I1369">
            <v>-22.5</v>
          </cell>
          <cell r="J1369">
            <v>-30.1</v>
          </cell>
          <cell r="K1369">
            <v>-24.2</v>
          </cell>
          <cell r="L1369">
            <v>-19.100000000000001</v>
          </cell>
          <cell r="M1369">
            <v>-25.6</v>
          </cell>
        </row>
        <row r="1370">
          <cell r="C1370" t="str">
            <v>Long Đức MBA T1 (phía 110kV)</v>
          </cell>
          <cell r="F1370">
            <v>22.9</v>
          </cell>
          <cell r="H1370">
            <v>22.9</v>
          </cell>
          <cell r="I1370">
            <v>17.899999999999999</v>
          </cell>
          <cell r="J1370">
            <v>22.3</v>
          </cell>
          <cell r="K1370">
            <v>19.7</v>
          </cell>
          <cell r="L1370">
            <v>16.399999999999999</v>
          </cell>
          <cell r="M1370">
            <v>17.2</v>
          </cell>
        </row>
        <row r="1371">
          <cell r="C1371" t="str">
            <v>Long Đức MBA T1 (phía 22kV)</v>
          </cell>
          <cell r="F1371">
            <v>-23</v>
          </cell>
          <cell r="H1371">
            <v>-23</v>
          </cell>
          <cell r="I1371">
            <v>-17.899999999999999</v>
          </cell>
          <cell r="J1371">
            <v>-22.3</v>
          </cell>
          <cell r="K1371">
            <v>-19.7</v>
          </cell>
          <cell r="L1371">
            <v>-16.3</v>
          </cell>
          <cell r="M1371">
            <v>-17.2</v>
          </cell>
        </row>
        <row r="1372">
          <cell r="C1372" t="str">
            <v>110kV 171 Long Giang - 172 Tân An</v>
          </cell>
          <cell r="F1372">
            <v>13.3</v>
          </cell>
          <cell r="H1372">
            <v>12.8</v>
          </cell>
          <cell r="I1372">
            <v>11</v>
          </cell>
          <cell r="J1372">
            <v>13.3</v>
          </cell>
          <cell r="K1372">
            <v>11.3</v>
          </cell>
          <cell r="L1372">
            <v>11</v>
          </cell>
          <cell r="M1372">
            <v>9.6</v>
          </cell>
        </row>
        <row r="1373">
          <cell r="C1373" t="str">
            <v>110kV 172 Long Giang - 171 Mỹ Tho 2</v>
          </cell>
          <cell r="F1373">
            <v>-86.1</v>
          </cell>
          <cell r="H1373">
            <v>-83.9</v>
          </cell>
          <cell r="I1373">
            <v>-78.5</v>
          </cell>
          <cell r="J1373">
            <v>-86.1</v>
          </cell>
          <cell r="K1373">
            <v>-85.3</v>
          </cell>
          <cell r="L1373">
            <v>-71.3</v>
          </cell>
          <cell r="M1373">
            <v>-64.7</v>
          </cell>
        </row>
        <row r="1374">
          <cell r="C1374" t="str">
            <v>Long Giang MBA T1 (phía 110kV)</v>
          </cell>
          <cell r="F1374">
            <v>52.1</v>
          </cell>
          <cell r="H1374">
            <v>51.1</v>
          </cell>
          <cell r="I1374">
            <v>48.1</v>
          </cell>
          <cell r="J1374">
            <v>51</v>
          </cell>
          <cell r="K1374">
            <v>52.1</v>
          </cell>
          <cell r="L1374">
            <v>43.6</v>
          </cell>
          <cell r="M1374">
            <v>41.4</v>
          </cell>
        </row>
        <row r="1375">
          <cell r="C1375" t="str">
            <v>Long Giang MBA T2 (phía 110kV)</v>
          </cell>
          <cell r="F1375">
            <v>24</v>
          </cell>
          <cell r="H1375">
            <v>20.8</v>
          </cell>
          <cell r="I1375">
            <v>19.600000000000001</v>
          </cell>
          <cell r="J1375">
            <v>22.1</v>
          </cell>
          <cell r="K1375">
            <v>24</v>
          </cell>
          <cell r="L1375">
            <v>19.5</v>
          </cell>
          <cell r="M1375">
            <v>18.399999999999999</v>
          </cell>
        </row>
        <row r="1376">
          <cell r="C1376" t="str">
            <v>Long Giang MBA T1 (phía 22kV)</v>
          </cell>
          <cell r="F1376">
            <v>-52</v>
          </cell>
          <cell r="H1376">
            <v>-51</v>
          </cell>
          <cell r="I1376">
            <v>-48.3</v>
          </cell>
          <cell r="J1376">
            <v>-51.3</v>
          </cell>
          <cell r="K1376">
            <v>-52</v>
          </cell>
          <cell r="L1376">
            <v>-43.7</v>
          </cell>
          <cell r="M1376">
            <v>-41.4</v>
          </cell>
        </row>
        <row r="1377">
          <cell r="C1377" t="str">
            <v>Long Giang MBA T2 (phía 22kV)</v>
          </cell>
          <cell r="F1377">
            <v>-23.9</v>
          </cell>
          <cell r="H1377">
            <v>-21</v>
          </cell>
          <cell r="I1377">
            <v>-19.2</v>
          </cell>
          <cell r="J1377">
            <v>-22</v>
          </cell>
          <cell r="K1377">
            <v>-23.9</v>
          </cell>
          <cell r="L1377">
            <v>-19.600000000000001</v>
          </cell>
          <cell r="M1377">
            <v>-18.3</v>
          </cell>
        </row>
        <row r="1378">
          <cell r="C1378" t="str">
            <v>110kV 171 Long Hậu - 171 Nhà Bè</v>
          </cell>
          <cell r="E1378">
            <v>0</v>
          </cell>
          <cell r="F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</row>
        <row r="1379">
          <cell r="C1379" t="str">
            <v>110kV 172 Long Hậu - 172 Cần Giuộc</v>
          </cell>
          <cell r="F1379">
            <v>-53.4</v>
          </cell>
          <cell r="H1379">
            <v>-53.3</v>
          </cell>
          <cell r="I1379">
            <v>-48</v>
          </cell>
          <cell r="J1379">
            <v>-53.4</v>
          </cell>
          <cell r="K1379">
            <v>-51.5</v>
          </cell>
          <cell r="L1379">
            <v>-27.6</v>
          </cell>
          <cell r="M1379">
            <v>-27.1</v>
          </cell>
        </row>
        <row r="1380">
          <cell r="C1380" t="str">
            <v>Long Hậu MBA T1 (phía 110kV)</v>
          </cell>
          <cell r="F1380">
            <v>29.4</v>
          </cell>
          <cell r="H1380">
            <v>28.1</v>
          </cell>
          <cell r="I1380">
            <v>24.9</v>
          </cell>
          <cell r="J1380">
            <v>29</v>
          </cell>
          <cell r="K1380">
            <v>29.4</v>
          </cell>
          <cell r="L1380">
            <v>11.8</v>
          </cell>
          <cell r="M1380">
            <v>11.6</v>
          </cell>
        </row>
        <row r="1381">
          <cell r="C1381" t="str">
            <v>Long Hậu MBA T1 (phía 22kV)</v>
          </cell>
          <cell r="F1381">
            <v>-29.7</v>
          </cell>
          <cell r="H1381">
            <v>-28.4</v>
          </cell>
          <cell r="I1381">
            <v>-25.2</v>
          </cell>
          <cell r="J1381">
            <v>-29.1</v>
          </cell>
          <cell r="K1381">
            <v>-29.7</v>
          </cell>
          <cell r="L1381">
            <v>-12.1</v>
          </cell>
          <cell r="M1381">
            <v>-11.8</v>
          </cell>
        </row>
        <row r="1382">
          <cell r="C1382" t="str">
            <v>Long Hậu MBA T2 (phía 110kV)</v>
          </cell>
          <cell r="F1382">
            <v>25.4</v>
          </cell>
          <cell r="H1382">
            <v>25.4</v>
          </cell>
          <cell r="I1382">
            <v>23.5</v>
          </cell>
          <cell r="J1382">
            <v>25.3</v>
          </cell>
          <cell r="K1382">
            <v>24.5</v>
          </cell>
          <cell r="L1382">
            <v>15.9</v>
          </cell>
          <cell r="M1382">
            <v>15.5</v>
          </cell>
        </row>
        <row r="1383">
          <cell r="C1383" t="str">
            <v>Long Hậu MBA T2 (phía 22kV)</v>
          </cell>
          <cell r="F1383">
            <v>-25.4</v>
          </cell>
          <cell r="H1383">
            <v>-25.4</v>
          </cell>
          <cell r="I1383">
            <v>-23.5</v>
          </cell>
          <cell r="J1383">
            <v>-25.3</v>
          </cell>
          <cell r="K1383">
            <v>-24.5</v>
          </cell>
          <cell r="L1383">
            <v>-15.9</v>
          </cell>
          <cell r="M1383">
            <v>-15.5</v>
          </cell>
        </row>
        <row r="1384">
          <cell r="C1384" t="str">
            <v>110kV 171 Long Hiệp - 176 Long An 2</v>
          </cell>
          <cell r="F1384">
            <v>-73.7</v>
          </cell>
          <cell r="H1384">
            <v>-73.7</v>
          </cell>
          <cell r="I1384">
            <v>-65.599999999999994</v>
          </cell>
          <cell r="J1384">
            <v>-70.099999999999994</v>
          </cell>
          <cell r="K1384">
            <v>-60.2</v>
          </cell>
          <cell r="L1384">
            <v>-39.200000000000003</v>
          </cell>
          <cell r="M1384">
            <v>-47.1</v>
          </cell>
        </row>
        <row r="1385">
          <cell r="C1385" t="str">
            <v>110kV 172 Long Hiệp - 174 KCN Vĩnh Lộc 2</v>
          </cell>
          <cell r="E1385">
            <v>0</v>
          </cell>
          <cell r="F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</row>
        <row r="1386">
          <cell r="C1386" t="str">
            <v>Long Hiệp MBA T1 (phía 110kV)</v>
          </cell>
          <cell r="F1386">
            <v>52.8</v>
          </cell>
          <cell r="H1386">
            <v>49.7</v>
          </cell>
          <cell r="I1386">
            <v>48.4</v>
          </cell>
          <cell r="J1386">
            <v>52.8</v>
          </cell>
          <cell r="K1386">
            <v>42.6</v>
          </cell>
          <cell r="L1386">
            <v>28.9</v>
          </cell>
          <cell r="M1386">
            <v>32.299999999999997</v>
          </cell>
        </row>
        <row r="1387">
          <cell r="C1387" t="str">
            <v>Long Hiệp MBA T1 (phía 22kV)</v>
          </cell>
          <cell r="F1387">
            <v>-52.7</v>
          </cell>
          <cell r="H1387">
            <v>-49.3</v>
          </cell>
          <cell r="I1387">
            <v>-48.3</v>
          </cell>
          <cell r="J1387">
            <v>-52.7</v>
          </cell>
          <cell r="K1387">
            <v>-42.6</v>
          </cell>
          <cell r="L1387">
            <v>-28.9</v>
          </cell>
          <cell r="M1387">
            <v>-32.4</v>
          </cell>
        </row>
        <row r="1388">
          <cell r="C1388" t="str">
            <v>Long Hiệp MBA T2 (phía 110kV)</v>
          </cell>
          <cell r="F1388">
            <v>23.5</v>
          </cell>
          <cell r="H1388">
            <v>23.5</v>
          </cell>
          <cell r="I1388">
            <v>19.3</v>
          </cell>
          <cell r="J1388">
            <v>21.9</v>
          </cell>
          <cell r="K1388">
            <v>20.9</v>
          </cell>
          <cell r="L1388">
            <v>13.9</v>
          </cell>
          <cell r="M1388">
            <v>20.5</v>
          </cell>
        </row>
        <row r="1389">
          <cell r="C1389" t="str">
            <v>Long Hiệp MBA T2 (phía 22kV)</v>
          </cell>
          <cell r="F1389">
            <v>-23.7</v>
          </cell>
          <cell r="H1389">
            <v>-23.7</v>
          </cell>
          <cell r="I1389">
            <v>-18.899999999999999</v>
          </cell>
          <cell r="J1389">
            <v>-22.1</v>
          </cell>
          <cell r="K1389">
            <v>-21</v>
          </cell>
          <cell r="L1389">
            <v>-14</v>
          </cell>
          <cell r="M1389">
            <v>-20.6</v>
          </cell>
        </row>
        <row r="1390">
          <cell r="C1390" t="str">
            <v>Long Hòa MBA T1 (phía 110kV)</v>
          </cell>
          <cell r="D1390">
            <v>131</v>
          </cell>
          <cell r="E1390">
            <v>15.5</v>
          </cell>
          <cell r="F1390">
            <v>26.9</v>
          </cell>
          <cell r="G1390">
            <v>15.5</v>
          </cell>
          <cell r="H1390">
            <v>26.9</v>
          </cell>
          <cell r="I1390">
            <v>23</v>
          </cell>
          <cell r="J1390">
            <v>26.5</v>
          </cell>
          <cell r="K1390">
            <v>23.3</v>
          </cell>
          <cell r="L1390">
            <v>22.4</v>
          </cell>
          <cell r="M1390">
            <v>22</v>
          </cell>
        </row>
        <row r="1391">
          <cell r="C1391" t="str">
            <v>Long Hòa MBA T2 (phía 110kV)</v>
          </cell>
          <cell r="D1391">
            <v>132</v>
          </cell>
          <cell r="E1391">
            <v>21</v>
          </cell>
          <cell r="F1391">
            <v>28.9</v>
          </cell>
          <cell r="G1391">
            <v>28.9</v>
          </cell>
          <cell r="H1391">
            <v>23.3</v>
          </cell>
          <cell r="I1391">
            <v>21</v>
          </cell>
          <cell r="J1391">
            <v>26.9</v>
          </cell>
          <cell r="K1391">
            <v>21.2</v>
          </cell>
          <cell r="L1391">
            <v>21.9</v>
          </cell>
          <cell r="M1391">
            <v>21.4</v>
          </cell>
        </row>
        <row r="1392">
          <cell r="C1392" t="str">
            <v>110kV 171 Long Hòa - 175 Trà Nóc</v>
          </cell>
          <cell r="D1392">
            <v>171</v>
          </cell>
          <cell r="E1392">
            <v>-82.3</v>
          </cell>
          <cell r="F1392">
            <v>-99.4</v>
          </cell>
          <cell r="G1392">
            <v>-82.3</v>
          </cell>
          <cell r="H1392">
            <v>-96.2</v>
          </cell>
          <cell r="I1392">
            <v>-83.2</v>
          </cell>
          <cell r="J1392">
            <v>-99.4</v>
          </cell>
          <cell r="K1392">
            <v>-84.3</v>
          </cell>
          <cell r="L1392">
            <v>-84.7</v>
          </cell>
          <cell r="M1392">
            <v>-82.9</v>
          </cell>
        </row>
        <row r="1393">
          <cell r="C1393" t="str">
            <v>110kV 172 Long Hòa - 171 Cần Thơ</v>
          </cell>
          <cell r="D1393">
            <v>172</v>
          </cell>
          <cell r="E1393">
            <v>38</v>
          </cell>
          <cell r="F1393">
            <v>46.8</v>
          </cell>
          <cell r="G1393">
            <v>38</v>
          </cell>
          <cell r="H1393">
            <v>46.1</v>
          </cell>
          <cell r="I1393">
            <v>38.799999999999997</v>
          </cell>
          <cell r="J1393">
            <v>46.8</v>
          </cell>
          <cell r="K1393">
            <v>39.5</v>
          </cell>
          <cell r="L1393">
            <v>41.4</v>
          </cell>
          <cell r="M1393">
            <v>39.9</v>
          </cell>
        </row>
        <row r="1394">
          <cell r="C1394" t="str">
            <v>Long Hòa MBA T1 (phía 22kV)</v>
          </cell>
          <cell r="D1394">
            <v>431</v>
          </cell>
          <cell r="E1394">
            <v>-15.6</v>
          </cell>
          <cell r="F1394">
            <v>-26.8</v>
          </cell>
          <cell r="G1394">
            <v>-15.6</v>
          </cell>
          <cell r="H1394">
            <v>-26.8</v>
          </cell>
          <cell r="I1394">
            <v>-22.8</v>
          </cell>
          <cell r="J1394">
            <v>-26.5</v>
          </cell>
          <cell r="K1394">
            <v>-23.3</v>
          </cell>
          <cell r="L1394">
            <v>-22.4</v>
          </cell>
          <cell r="M1394">
            <v>-21.9</v>
          </cell>
        </row>
        <row r="1395">
          <cell r="C1395" t="str">
            <v>Long Hòa MBA T2 (phía 22kV)</v>
          </cell>
          <cell r="D1395">
            <v>432</v>
          </cell>
          <cell r="E1395">
            <v>-21</v>
          </cell>
          <cell r="F1395">
            <v>-28.7</v>
          </cell>
          <cell r="G1395">
            <v>-28.7</v>
          </cell>
          <cell r="H1395">
            <v>-23.4</v>
          </cell>
          <cell r="I1395">
            <v>-21</v>
          </cell>
          <cell r="J1395">
            <v>-27</v>
          </cell>
          <cell r="K1395">
            <v>-21.3</v>
          </cell>
          <cell r="L1395">
            <v>-22</v>
          </cell>
          <cell r="M1395">
            <v>-21.5</v>
          </cell>
        </row>
        <row r="1396">
          <cell r="C1396" t="str">
            <v>110kV 171 Long Khánh - 171 Dầu Giây</v>
          </cell>
          <cell r="F1396">
            <v>65</v>
          </cell>
          <cell r="H1396">
            <v>65</v>
          </cell>
          <cell r="I1396">
            <v>60</v>
          </cell>
          <cell r="J1396">
            <v>64</v>
          </cell>
          <cell r="K1396">
            <v>61</v>
          </cell>
          <cell r="L1396">
            <v>38</v>
          </cell>
          <cell r="M1396">
            <v>59</v>
          </cell>
        </row>
        <row r="1397">
          <cell r="C1397" t="str">
            <v>110kV 172 Long Khánh - 175 Xuân Lộc 2</v>
          </cell>
          <cell r="F1397">
            <v>-118.7</v>
          </cell>
          <cell r="H1397">
            <v>-118.7</v>
          </cell>
          <cell r="I1397">
            <v>-103</v>
          </cell>
          <cell r="J1397">
            <v>-118.3</v>
          </cell>
          <cell r="K1397">
            <v>-103.8</v>
          </cell>
          <cell r="L1397">
            <v>-77.5</v>
          </cell>
          <cell r="M1397">
            <v>-92.4</v>
          </cell>
        </row>
        <row r="1398">
          <cell r="C1398" t="str">
            <v>Long Khánh MBA T1 (phía 22kV)</v>
          </cell>
          <cell r="F1398">
            <v>-31</v>
          </cell>
          <cell r="H1398">
            <v>-31</v>
          </cell>
          <cell r="I1398">
            <v>-25</v>
          </cell>
          <cell r="J1398">
            <v>-29</v>
          </cell>
          <cell r="K1398">
            <v>-25</v>
          </cell>
          <cell r="L1398">
            <v>-20</v>
          </cell>
          <cell r="M1398">
            <v>-19</v>
          </cell>
        </row>
        <row r="1399">
          <cell r="C1399" t="str">
            <v>Long Khánh MBA T2 (phía 22kV)</v>
          </cell>
          <cell r="F1399">
            <v>-31.5</v>
          </cell>
          <cell r="H1399">
            <v>-31.5</v>
          </cell>
          <cell r="I1399">
            <v>-28.2</v>
          </cell>
          <cell r="J1399">
            <v>-31.4</v>
          </cell>
          <cell r="K1399">
            <v>-26.7</v>
          </cell>
          <cell r="L1399">
            <v>-19.2</v>
          </cell>
          <cell r="M1399">
            <v>-18.8</v>
          </cell>
        </row>
        <row r="1400">
          <cell r="C1400" t="str">
            <v>Long Khánh MBA T1 (phía 110kV)</v>
          </cell>
          <cell r="F1400">
            <v>31.4</v>
          </cell>
          <cell r="H1400">
            <v>31.4</v>
          </cell>
          <cell r="I1400">
            <v>25.6</v>
          </cell>
          <cell r="J1400">
            <v>29.6</v>
          </cell>
          <cell r="K1400">
            <v>25.7</v>
          </cell>
          <cell r="L1400">
            <v>20.9</v>
          </cell>
          <cell r="M1400">
            <v>19.600000000000001</v>
          </cell>
        </row>
        <row r="1401">
          <cell r="C1401" t="str">
            <v>Long Khánh MBA T2 (phía 110kV)</v>
          </cell>
          <cell r="F1401">
            <v>31.6</v>
          </cell>
          <cell r="H1401">
            <v>31.6</v>
          </cell>
          <cell r="I1401">
            <v>28.3</v>
          </cell>
          <cell r="J1401">
            <v>31.3</v>
          </cell>
          <cell r="K1401">
            <v>26.3</v>
          </cell>
          <cell r="L1401">
            <v>19.2</v>
          </cell>
          <cell r="M1401">
            <v>18.8</v>
          </cell>
        </row>
        <row r="1402">
          <cell r="C1402" t="str">
            <v>110kV 171 Long Mỹ - 172 Hồng Dân</v>
          </cell>
          <cell r="F1402">
            <v>-26.6</v>
          </cell>
          <cell r="H1402">
            <v>-26.1</v>
          </cell>
          <cell r="I1402">
            <v>-22</v>
          </cell>
          <cell r="J1402">
            <v>-26.6</v>
          </cell>
          <cell r="K1402">
            <v>-23</v>
          </cell>
          <cell r="L1402">
            <v>-24.5</v>
          </cell>
          <cell r="M1402">
            <v>-24.4</v>
          </cell>
        </row>
        <row r="1403">
          <cell r="C1403" t="str">
            <v>110kV 172 Long Mỹ - 171 NMĐ MT Hậu Giang</v>
          </cell>
          <cell r="F1403">
            <v>-28.8</v>
          </cell>
          <cell r="H1403">
            <v>-28.8</v>
          </cell>
          <cell r="I1403">
            <v>-20.8</v>
          </cell>
          <cell r="J1403">
            <v>-27</v>
          </cell>
          <cell r="K1403">
            <v>-19.2</v>
          </cell>
          <cell r="L1403">
            <v>-12.3</v>
          </cell>
          <cell r="M1403">
            <v>-27.5</v>
          </cell>
        </row>
        <row r="1404">
          <cell r="C1404" t="str">
            <v>Long Mỹ MBA T2 (phía 110kV)</v>
          </cell>
          <cell r="F1404">
            <v>26.6</v>
          </cell>
          <cell r="H1404">
            <v>26.2</v>
          </cell>
          <cell r="I1404">
            <v>22.6</v>
          </cell>
          <cell r="J1404">
            <v>26.6</v>
          </cell>
          <cell r="K1404">
            <v>22.9</v>
          </cell>
          <cell r="L1404">
            <v>24.5</v>
          </cell>
          <cell r="M1404">
            <v>24.4</v>
          </cell>
        </row>
        <row r="1405">
          <cell r="C1405" t="str">
            <v>Long Mỹ MBA T2 (phía 22kV)</v>
          </cell>
          <cell r="F1405">
            <v>-26.5</v>
          </cell>
          <cell r="H1405">
            <v>-26.1</v>
          </cell>
          <cell r="I1405">
            <v>-22.6</v>
          </cell>
          <cell r="J1405">
            <v>-26.5</v>
          </cell>
          <cell r="K1405">
            <v>-22.9</v>
          </cell>
          <cell r="L1405">
            <v>-24.4</v>
          </cell>
          <cell r="M1405">
            <v>-24.4</v>
          </cell>
        </row>
        <row r="1406">
          <cell r="C1406" t="str">
            <v>220kV 283 Long Phú - 275 Sóc Trăng 2</v>
          </cell>
          <cell r="E1406">
            <v>0</v>
          </cell>
          <cell r="F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</row>
        <row r="1407">
          <cell r="C1407" t="str">
            <v>220kV 284 Long Phú - 276 Sóc Trăng 2</v>
          </cell>
          <cell r="E1407">
            <v>0</v>
          </cell>
          <cell r="F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</row>
        <row r="1408">
          <cell r="C1408" t="str">
            <v>Long Thành MBA AT1 (phía 110kV)</v>
          </cell>
          <cell r="D1408">
            <v>131</v>
          </cell>
          <cell r="E1408">
            <v>-135.69999999999999</v>
          </cell>
          <cell r="F1408">
            <v>-220.4</v>
          </cell>
          <cell r="G1408">
            <v>-200.3</v>
          </cell>
          <cell r="H1408">
            <v>-197.2</v>
          </cell>
          <cell r="I1408">
            <v>-199.1</v>
          </cell>
          <cell r="J1408">
            <v>-220.4</v>
          </cell>
          <cell r="K1408">
            <v>-190</v>
          </cell>
          <cell r="L1408">
            <v>-135.69999999999999</v>
          </cell>
          <cell r="M1408">
            <v>-144.69999999999999</v>
          </cell>
        </row>
        <row r="1409">
          <cell r="C1409" t="str">
            <v>Long Thành MBA AT2 (phía 110kV)</v>
          </cell>
          <cell r="D1409">
            <v>132</v>
          </cell>
          <cell r="E1409">
            <v>-145.30000000000001</v>
          </cell>
          <cell r="F1409">
            <v>-245.7</v>
          </cell>
          <cell r="G1409">
            <v>-223.7</v>
          </cell>
          <cell r="H1409">
            <v>-218.1</v>
          </cell>
          <cell r="I1409">
            <v>-221.5</v>
          </cell>
          <cell r="J1409">
            <v>-245.7</v>
          </cell>
          <cell r="K1409">
            <v>-217.8</v>
          </cell>
          <cell r="L1409">
            <v>-146.30000000000001</v>
          </cell>
          <cell r="M1409">
            <v>-145.30000000000001</v>
          </cell>
        </row>
        <row r="1410">
          <cell r="C1410" t="str">
            <v>Long Thành MBA T3 (phía 110kV)</v>
          </cell>
          <cell r="D1410">
            <v>133</v>
          </cell>
          <cell r="E1410">
            <v>30.8</v>
          </cell>
          <cell r="F1410">
            <v>34.299999999999997</v>
          </cell>
          <cell r="G1410">
            <v>34.299999999999997</v>
          </cell>
          <cell r="H1410">
            <v>32.6</v>
          </cell>
          <cell r="I1410">
            <v>30.8</v>
          </cell>
          <cell r="J1410">
            <v>33.6</v>
          </cell>
          <cell r="K1410">
            <v>32.299999999999997</v>
          </cell>
          <cell r="L1410">
            <v>32.700000000000003</v>
          </cell>
          <cell r="M1410">
            <v>33.5</v>
          </cell>
        </row>
        <row r="1411">
          <cell r="C1411" t="str">
            <v>Long Thành MBA T4 (phía 110kV)</v>
          </cell>
          <cell r="D1411">
            <v>134</v>
          </cell>
          <cell r="E1411">
            <v>25.8</v>
          </cell>
          <cell r="F1411">
            <v>31.6</v>
          </cell>
          <cell r="G1411">
            <v>30</v>
          </cell>
          <cell r="H1411">
            <v>27.9</v>
          </cell>
          <cell r="I1411">
            <v>28.9</v>
          </cell>
          <cell r="J1411">
            <v>31.6</v>
          </cell>
          <cell r="K1411">
            <v>28.8</v>
          </cell>
          <cell r="L1411">
            <v>25.8</v>
          </cell>
          <cell r="M1411">
            <v>26.4</v>
          </cell>
        </row>
        <row r="1412">
          <cell r="C1412" t="str">
            <v>110kV 172 Long Thành - 172 Nhơn Trạch 5</v>
          </cell>
          <cell r="D1412">
            <v>172</v>
          </cell>
          <cell r="E1412">
            <v>69.099999999999994</v>
          </cell>
          <cell r="F1412">
            <v>92.1</v>
          </cell>
          <cell r="G1412">
            <v>89.1</v>
          </cell>
          <cell r="H1412">
            <v>87.9</v>
          </cell>
          <cell r="I1412">
            <v>88.8</v>
          </cell>
          <cell r="J1412">
            <v>90.9</v>
          </cell>
          <cell r="K1412">
            <v>92.1</v>
          </cell>
          <cell r="L1412">
            <v>72</v>
          </cell>
          <cell r="M1412">
            <v>69.099999999999994</v>
          </cell>
        </row>
        <row r="1413">
          <cell r="C1413" t="str">
            <v>110kV 173 Long Thành - 172 Hyosung 2</v>
          </cell>
          <cell r="D1413">
            <v>173</v>
          </cell>
          <cell r="E1413">
            <v>-33</v>
          </cell>
          <cell r="F1413">
            <v>-46</v>
          </cell>
          <cell r="G1413">
            <v>-43.1</v>
          </cell>
          <cell r="H1413">
            <v>-45.8</v>
          </cell>
          <cell r="I1413">
            <v>-44.3</v>
          </cell>
          <cell r="J1413">
            <v>-46</v>
          </cell>
          <cell r="K1413">
            <v>-43.1</v>
          </cell>
          <cell r="L1413">
            <v>-33.9</v>
          </cell>
          <cell r="M1413">
            <v>-33</v>
          </cell>
        </row>
        <row r="1414">
          <cell r="C1414" t="str">
            <v>110kV 174 Long Thành - 172 Phú Thạnh</v>
          </cell>
          <cell r="D1414">
            <v>174</v>
          </cell>
          <cell r="E1414">
            <v>-74.400000000000006</v>
          </cell>
          <cell r="F1414">
            <v>-89.4</v>
          </cell>
          <cell r="G1414">
            <v>-86.8</v>
          </cell>
          <cell r="H1414">
            <v>-89.4</v>
          </cell>
          <cell r="I1414">
            <v>-87.5</v>
          </cell>
          <cell r="J1414">
            <v>-88.8</v>
          </cell>
          <cell r="K1414">
            <v>-87.1</v>
          </cell>
          <cell r="L1414">
            <v>-74.400000000000006</v>
          </cell>
          <cell r="M1414">
            <v>-74.7</v>
          </cell>
        </row>
        <row r="1415">
          <cell r="C1415" t="str">
            <v>110kV 175 Long Thành - 172 Hyosung</v>
          </cell>
          <cell r="D1415">
            <v>175</v>
          </cell>
          <cell r="E1415">
            <v>34</v>
          </cell>
          <cell r="F1415">
            <v>41.4</v>
          </cell>
          <cell r="G1415">
            <v>35.200000000000003</v>
          </cell>
          <cell r="H1415">
            <v>35.700000000000003</v>
          </cell>
          <cell r="I1415">
            <v>34.1</v>
          </cell>
          <cell r="J1415">
            <v>34.6</v>
          </cell>
          <cell r="K1415">
            <v>34</v>
          </cell>
          <cell r="L1415">
            <v>40.9</v>
          </cell>
          <cell r="M1415">
            <v>41.4</v>
          </cell>
        </row>
        <row r="1416">
          <cell r="C1416" t="str">
            <v>110kV 176 Long Thành - 171 Dệt May</v>
          </cell>
          <cell r="D1416">
            <v>176</v>
          </cell>
          <cell r="E1416">
            <v>-48</v>
          </cell>
          <cell r="F1416">
            <v>-55.5</v>
          </cell>
          <cell r="G1416">
            <v>-54</v>
          </cell>
          <cell r="H1416">
            <v>-55.5</v>
          </cell>
          <cell r="I1416">
            <v>-53.6</v>
          </cell>
          <cell r="J1416">
            <v>-53.1</v>
          </cell>
          <cell r="K1416">
            <v>-53.5</v>
          </cell>
          <cell r="L1416">
            <v>-48</v>
          </cell>
          <cell r="M1416">
            <v>-49.3</v>
          </cell>
        </row>
        <row r="1417">
          <cell r="C1417" t="str">
            <v>110kV 177 Long Thành - 172 Nhơn Trạch 6</v>
          </cell>
          <cell r="D1417">
            <v>177</v>
          </cell>
          <cell r="E1417">
            <v>54.1</v>
          </cell>
          <cell r="F1417">
            <v>78.5</v>
          </cell>
          <cell r="G1417">
            <v>75.7</v>
          </cell>
          <cell r="H1417">
            <v>76.599999999999994</v>
          </cell>
          <cell r="I1417">
            <v>76.2</v>
          </cell>
          <cell r="J1417">
            <v>77.599999999999994</v>
          </cell>
          <cell r="K1417">
            <v>78.5</v>
          </cell>
          <cell r="L1417">
            <v>57.8</v>
          </cell>
          <cell r="M1417">
            <v>54.1</v>
          </cell>
        </row>
        <row r="1418">
          <cell r="C1418" t="str">
            <v>110kV 178 Long Thành - 173 Tuy Hạ</v>
          </cell>
          <cell r="D1418">
            <v>178</v>
          </cell>
          <cell r="E1418">
            <v>70.2</v>
          </cell>
          <cell r="F1418">
            <v>105.4</v>
          </cell>
          <cell r="G1418">
            <v>101.7</v>
          </cell>
          <cell r="H1418">
            <v>105.4</v>
          </cell>
          <cell r="I1418">
            <v>103.9</v>
          </cell>
          <cell r="J1418">
            <v>102.4</v>
          </cell>
          <cell r="K1418">
            <v>103</v>
          </cell>
          <cell r="L1418">
            <v>70.2</v>
          </cell>
          <cell r="M1418">
            <v>71.8</v>
          </cell>
        </row>
        <row r="1419">
          <cell r="C1419" t="str">
            <v>110kV 179 Long Thành - 172 Tuy Hạ</v>
          </cell>
          <cell r="D1419">
            <v>179</v>
          </cell>
          <cell r="E1419">
            <v>26.4</v>
          </cell>
          <cell r="F1419">
            <v>28.8</v>
          </cell>
          <cell r="G1419">
            <v>26.4</v>
          </cell>
          <cell r="H1419">
            <v>27.5</v>
          </cell>
          <cell r="I1419">
            <v>27.7</v>
          </cell>
          <cell r="J1419">
            <v>28.8</v>
          </cell>
          <cell r="K1419">
            <v>28.3</v>
          </cell>
          <cell r="L1419">
            <v>28.4</v>
          </cell>
          <cell r="M1419">
            <v>28.4</v>
          </cell>
        </row>
        <row r="1420">
          <cell r="C1420" t="str">
            <v>110kV 180 Long Thành - 171 Tam An</v>
          </cell>
          <cell r="D1420">
            <v>180</v>
          </cell>
          <cell r="E1420">
            <v>75.3</v>
          </cell>
          <cell r="F1420">
            <v>97.3</v>
          </cell>
          <cell r="G1420">
            <v>96.6</v>
          </cell>
          <cell r="H1420">
            <v>96.9</v>
          </cell>
          <cell r="I1420">
            <v>93.6</v>
          </cell>
          <cell r="J1420">
            <v>97.3</v>
          </cell>
          <cell r="K1420">
            <v>97</v>
          </cell>
          <cell r="L1420">
            <v>76</v>
          </cell>
          <cell r="M1420">
            <v>75.3</v>
          </cell>
        </row>
        <row r="1421">
          <cell r="C1421" t="str">
            <v>110kV 181 Long Thành - 171 An Phước</v>
          </cell>
          <cell r="D1421">
            <v>181</v>
          </cell>
          <cell r="E1421">
            <v>51.5</v>
          </cell>
          <cell r="F1421">
            <v>118.1</v>
          </cell>
          <cell r="G1421">
            <v>109.9</v>
          </cell>
          <cell r="H1421">
            <v>111.5</v>
          </cell>
          <cell r="I1421">
            <v>107.6</v>
          </cell>
          <cell r="J1421">
            <v>118.1</v>
          </cell>
          <cell r="K1421">
            <v>110.8</v>
          </cell>
          <cell r="L1421">
            <v>51.5</v>
          </cell>
          <cell r="M1421">
            <v>52.6</v>
          </cell>
        </row>
        <row r="1422">
          <cell r="C1422" t="str">
            <v>110kV 182 Long Thành - 172 Bình Sơn</v>
          </cell>
          <cell r="D1422">
            <v>182</v>
          </cell>
          <cell r="E1422">
            <v>36.799999999999997</v>
          </cell>
          <cell r="F1422">
            <v>56.7</v>
          </cell>
          <cell r="G1422">
            <v>56.7</v>
          </cell>
          <cell r="H1422">
            <v>49.2</v>
          </cell>
          <cell r="I1422">
            <v>46.1</v>
          </cell>
          <cell r="J1422">
            <v>53.9</v>
          </cell>
          <cell r="K1422">
            <v>36.799999999999997</v>
          </cell>
          <cell r="L1422">
            <v>45.9</v>
          </cell>
          <cell r="M1422">
            <v>48.8</v>
          </cell>
        </row>
        <row r="1423">
          <cell r="C1423" t="str">
            <v>110kV 183 Long Thành - 171 Vedan</v>
          </cell>
          <cell r="D1423">
            <v>183</v>
          </cell>
          <cell r="E1423">
            <v>-25.8</v>
          </cell>
          <cell r="F1423">
            <v>-50.2</v>
          </cell>
          <cell r="G1423">
            <v>-32.4</v>
          </cell>
          <cell r="H1423">
            <v>-42.3</v>
          </cell>
          <cell r="I1423">
            <v>-31.2</v>
          </cell>
          <cell r="J1423">
            <v>-25.8</v>
          </cell>
          <cell r="K1423">
            <v>-50.2</v>
          </cell>
          <cell r="L1423">
            <v>-41.2</v>
          </cell>
          <cell r="M1423">
            <v>-36.5</v>
          </cell>
        </row>
        <row r="1424">
          <cell r="C1424" t="str">
            <v>Long Thành MBA AT1 (phía 220kV)</v>
          </cell>
          <cell r="D1424">
            <v>231</v>
          </cell>
          <cell r="E1424">
            <v>136.30000000000001</v>
          </cell>
          <cell r="F1424">
            <v>223.4</v>
          </cell>
          <cell r="G1424">
            <v>201.9</v>
          </cell>
          <cell r="H1424">
            <v>198.8</v>
          </cell>
          <cell r="I1424">
            <v>201.7</v>
          </cell>
          <cell r="J1424">
            <v>223.4</v>
          </cell>
          <cell r="K1424">
            <v>192.4</v>
          </cell>
          <cell r="L1424">
            <v>136.30000000000001</v>
          </cell>
          <cell r="M1424">
            <v>146</v>
          </cell>
        </row>
        <row r="1425">
          <cell r="C1425" t="str">
            <v>Long Thành MBA AT2 (phía 220kV)</v>
          </cell>
          <cell r="D1425">
            <v>232</v>
          </cell>
          <cell r="E1425">
            <v>145.19999999999999</v>
          </cell>
          <cell r="F1425">
            <v>245.8</v>
          </cell>
          <cell r="G1425">
            <v>227.6</v>
          </cell>
          <cell r="H1425">
            <v>221.8</v>
          </cell>
          <cell r="I1425">
            <v>225</v>
          </cell>
          <cell r="J1425">
            <v>245.8</v>
          </cell>
          <cell r="K1425">
            <v>219.6</v>
          </cell>
          <cell r="L1425">
            <v>146.30000000000001</v>
          </cell>
          <cell r="M1425">
            <v>145.19999999999999</v>
          </cell>
        </row>
        <row r="1426">
          <cell r="C1426" t="str">
            <v>220kV 271 Long Thành - 271 NMĐ Formosa</v>
          </cell>
          <cell r="D1426">
            <v>271</v>
          </cell>
          <cell r="E1426">
            <v>92.8</v>
          </cell>
          <cell r="F1426">
            <v>142</v>
          </cell>
          <cell r="G1426">
            <v>132</v>
          </cell>
          <cell r="H1426">
            <v>97</v>
          </cell>
          <cell r="I1426">
            <v>92.8</v>
          </cell>
          <cell r="J1426">
            <v>142</v>
          </cell>
          <cell r="K1426">
            <v>106</v>
          </cell>
          <cell r="L1426">
            <v>95.5</v>
          </cell>
          <cell r="M1426">
            <v>101</v>
          </cell>
        </row>
        <row r="1427">
          <cell r="C1427" t="str">
            <v>220kV 272 Long Thành - 272 NMĐ Formosa</v>
          </cell>
          <cell r="D1427">
            <v>272</v>
          </cell>
          <cell r="E1427">
            <v>95.9</v>
          </cell>
          <cell r="F1427">
            <v>147</v>
          </cell>
          <cell r="G1427">
            <v>137</v>
          </cell>
          <cell r="H1427">
            <v>100</v>
          </cell>
          <cell r="I1427">
            <v>95.9</v>
          </cell>
          <cell r="J1427">
            <v>147</v>
          </cell>
          <cell r="K1427">
            <v>110</v>
          </cell>
          <cell r="L1427">
            <v>98.1</v>
          </cell>
          <cell r="M1427">
            <v>103</v>
          </cell>
        </row>
        <row r="1428">
          <cell r="C1428" t="str">
            <v>220kV 273 Long Thành - 275 Long Bình</v>
          </cell>
          <cell r="D1428">
            <v>273</v>
          </cell>
          <cell r="E1428">
            <v>88.5</v>
          </cell>
          <cell r="F1428">
            <v>240.8</v>
          </cell>
          <cell r="G1428">
            <v>184.1</v>
          </cell>
          <cell r="H1428">
            <v>120.4</v>
          </cell>
          <cell r="I1428">
            <v>150.69999999999999</v>
          </cell>
          <cell r="J1428">
            <v>240.8</v>
          </cell>
          <cell r="K1428">
            <v>134.1</v>
          </cell>
          <cell r="L1428">
            <v>88.5</v>
          </cell>
          <cell r="M1428">
            <v>94.5</v>
          </cell>
        </row>
        <row r="1429">
          <cell r="C1429" t="str">
            <v>220kV 274 Long Thành - 274 Long Bình</v>
          </cell>
          <cell r="D1429">
            <v>274</v>
          </cell>
          <cell r="E1429">
            <v>74.599999999999994</v>
          </cell>
          <cell r="F1429">
            <v>265.10000000000002</v>
          </cell>
          <cell r="G1429">
            <v>197.9</v>
          </cell>
          <cell r="H1429">
            <v>136.1</v>
          </cell>
          <cell r="I1429">
            <v>161.6</v>
          </cell>
          <cell r="J1429">
            <v>265.10000000000002</v>
          </cell>
          <cell r="K1429">
            <v>142.80000000000001</v>
          </cell>
          <cell r="L1429">
            <v>116.9</v>
          </cell>
          <cell r="M1429">
            <v>74.599999999999994</v>
          </cell>
        </row>
        <row r="1430">
          <cell r="C1430" t="str">
            <v>220kV 275 Long Thành - 271 Xuân Lộc 2</v>
          </cell>
          <cell r="D1430">
            <v>275</v>
          </cell>
          <cell r="E1430">
            <v>-64.900000000000006</v>
          </cell>
          <cell r="F1430">
            <v>-87.8</v>
          </cell>
          <cell r="G1430">
            <v>-64.900000000000006</v>
          </cell>
          <cell r="H1430">
            <v>-75.2</v>
          </cell>
          <cell r="I1430">
            <v>-82.4</v>
          </cell>
          <cell r="J1430">
            <v>-72.5</v>
          </cell>
          <cell r="K1430">
            <v>-87.8</v>
          </cell>
          <cell r="L1430">
            <v>-68.2</v>
          </cell>
          <cell r="M1430">
            <v>-79.599999999999994</v>
          </cell>
        </row>
        <row r="1431">
          <cell r="C1431" t="str">
            <v>220kV 276 Long Thành - 272 Xuân Lộc 2</v>
          </cell>
          <cell r="D1431">
            <v>276</v>
          </cell>
          <cell r="E1431">
            <v>-84.5</v>
          </cell>
          <cell r="F1431">
            <v>-107.6</v>
          </cell>
          <cell r="G1431">
            <v>-86.2</v>
          </cell>
          <cell r="H1431">
            <v>-94.6</v>
          </cell>
          <cell r="I1431">
            <v>-101.4</v>
          </cell>
          <cell r="J1431">
            <v>-93.6</v>
          </cell>
          <cell r="K1431">
            <v>-107.6</v>
          </cell>
          <cell r="L1431">
            <v>-84.5</v>
          </cell>
          <cell r="M1431">
            <v>-97.7</v>
          </cell>
        </row>
        <row r="1432">
          <cell r="C1432" t="str">
            <v>220kV 277 Long Thành - 273 NMĐ Phú Mỹ 1</v>
          </cell>
          <cell r="D1432">
            <v>277</v>
          </cell>
          <cell r="E1432">
            <v>76.5</v>
          </cell>
          <cell r="F1432">
            <v>-276.60000000000002</v>
          </cell>
          <cell r="G1432">
            <v>-239.7</v>
          </cell>
          <cell r="H1432">
            <v>-139.80000000000001</v>
          </cell>
          <cell r="I1432">
            <v>-188.9</v>
          </cell>
          <cell r="J1432">
            <v>-276.60000000000002</v>
          </cell>
          <cell r="K1432">
            <v>-147.9</v>
          </cell>
          <cell r="L1432">
            <v>-108.9</v>
          </cell>
          <cell r="M1432">
            <v>76.5</v>
          </cell>
        </row>
        <row r="1433">
          <cell r="C1433" t="str">
            <v>220kV 278 Long Thành - 284 NMĐ Phú Mỹ 1</v>
          </cell>
          <cell r="D1433">
            <v>278</v>
          </cell>
          <cell r="E1433">
            <v>-59.5</v>
          </cell>
          <cell r="F1433">
            <v>-337.6</v>
          </cell>
          <cell r="G1433">
            <v>-286.2</v>
          </cell>
          <cell r="H1433">
            <v>-186.3</v>
          </cell>
          <cell r="I1433">
            <v>-235.4</v>
          </cell>
          <cell r="J1433">
            <v>-337.6</v>
          </cell>
          <cell r="K1433">
            <v>-191.6</v>
          </cell>
          <cell r="L1433">
            <v>-147.5</v>
          </cell>
          <cell r="M1433">
            <v>-59.5</v>
          </cell>
        </row>
        <row r="1434">
          <cell r="C1434" t="str">
            <v>Long Thành MBA T3 (phía 22kV)</v>
          </cell>
          <cell r="D1434">
            <v>433</v>
          </cell>
          <cell r="E1434">
            <v>0.2</v>
          </cell>
          <cell r="F1434">
            <v>0.2</v>
          </cell>
          <cell r="G1434">
            <v>-0.2</v>
          </cell>
          <cell r="H1434">
            <v>-0.2</v>
          </cell>
          <cell r="I1434">
            <v>0.2</v>
          </cell>
          <cell r="J1434">
            <v>-0.2</v>
          </cell>
          <cell r="K1434">
            <v>-0.2</v>
          </cell>
          <cell r="L1434">
            <v>-0.2</v>
          </cell>
          <cell r="M1434">
            <v>0.2</v>
          </cell>
        </row>
        <row r="1435">
          <cell r="C1435" t="str">
            <v>Long Thành MBA T4 (phía 22kV)</v>
          </cell>
          <cell r="D1435">
            <v>434</v>
          </cell>
          <cell r="E1435">
            <v>-14.9</v>
          </cell>
          <cell r="F1435">
            <v>-20.9</v>
          </cell>
          <cell r="G1435">
            <v>-20.6</v>
          </cell>
          <cell r="H1435">
            <v>-18.899999999999999</v>
          </cell>
          <cell r="I1435">
            <v>-18.7</v>
          </cell>
          <cell r="J1435">
            <v>-20.9</v>
          </cell>
          <cell r="K1435">
            <v>-18.899999999999999</v>
          </cell>
          <cell r="L1435">
            <v>-14.9</v>
          </cell>
          <cell r="M1435">
            <v>-15.1</v>
          </cell>
        </row>
        <row r="1436">
          <cell r="C1436" t="str">
            <v>110kV 171 Long Thới - 172 Nhà Bè</v>
          </cell>
          <cell r="F1436">
            <v>-127</v>
          </cell>
          <cell r="H1436">
            <v>-127</v>
          </cell>
          <cell r="I1436">
            <v>-108.6</v>
          </cell>
          <cell r="J1436">
            <v>-118.1</v>
          </cell>
          <cell r="K1436">
            <v>-104.7</v>
          </cell>
          <cell r="L1436">
            <v>-87.9</v>
          </cell>
          <cell r="M1436">
            <v>-82.4</v>
          </cell>
        </row>
        <row r="1437">
          <cell r="C1437" t="str">
            <v>110kV 172 Long Thới - 174 NMĐ Hiệp Phước</v>
          </cell>
          <cell r="F1437">
            <v>60.3</v>
          </cell>
          <cell r="H1437">
            <v>60.3</v>
          </cell>
          <cell r="I1437">
            <v>49.4</v>
          </cell>
          <cell r="J1437">
            <v>51.3</v>
          </cell>
          <cell r="K1437">
            <v>51.1</v>
          </cell>
          <cell r="L1437">
            <v>30</v>
          </cell>
          <cell r="M1437">
            <v>24.6</v>
          </cell>
        </row>
        <row r="1438">
          <cell r="C1438" t="str">
            <v>Long Thới MBA T1 (phía 110kV)</v>
          </cell>
          <cell r="F1438">
            <v>44.7</v>
          </cell>
          <cell r="H1438">
            <v>44.5</v>
          </cell>
          <cell r="I1438">
            <v>34.5</v>
          </cell>
          <cell r="J1438">
            <v>44.7</v>
          </cell>
          <cell r="K1438">
            <v>29.5</v>
          </cell>
          <cell r="L1438">
            <v>37.5</v>
          </cell>
          <cell r="M1438">
            <v>38.1</v>
          </cell>
        </row>
        <row r="1439">
          <cell r="C1439" t="str">
            <v>Long Thới MBA T2 (phía 110kV)</v>
          </cell>
          <cell r="F1439">
            <v>41.6</v>
          </cell>
          <cell r="H1439">
            <v>36.700000000000003</v>
          </cell>
          <cell r="I1439">
            <v>41.6</v>
          </cell>
          <cell r="J1439">
            <v>37.200000000000003</v>
          </cell>
          <cell r="K1439">
            <v>35.799999999999997</v>
          </cell>
          <cell r="L1439">
            <v>37.799999999999997</v>
          </cell>
          <cell r="M1439">
            <v>30.2</v>
          </cell>
        </row>
        <row r="1440">
          <cell r="C1440" t="str">
            <v>Long Thới MBA T1 (phía 22kV)</v>
          </cell>
          <cell r="F1440">
            <v>-44.7</v>
          </cell>
          <cell r="H1440">
            <v>-44</v>
          </cell>
          <cell r="I1440">
            <v>-33.9</v>
          </cell>
          <cell r="J1440">
            <v>-44.7</v>
          </cell>
          <cell r="K1440">
            <v>-28.2</v>
          </cell>
          <cell r="L1440">
            <v>-37</v>
          </cell>
          <cell r="M1440">
            <v>-37.6</v>
          </cell>
        </row>
        <row r="1441">
          <cell r="C1441" t="str">
            <v>Long Thới MBA T2 (phía 22kV)</v>
          </cell>
          <cell r="F1441">
            <v>-41.2</v>
          </cell>
          <cell r="H1441">
            <v>-35.5</v>
          </cell>
          <cell r="I1441">
            <v>-41.2</v>
          </cell>
          <cell r="J1441">
            <v>-36.799999999999997</v>
          </cell>
          <cell r="K1441">
            <v>-35.200000000000003</v>
          </cell>
          <cell r="L1441">
            <v>-37.200000000000003</v>
          </cell>
          <cell r="M1441">
            <v>-29.8</v>
          </cell>
        </row>
        <row r="1442">
          <cell r="C1442" t="str">
            <v>Long Xuyên MBA T1 (phía 110kV)</v>
          </cell>
          <cell r="D1442">
            <v>131</v>
          </cell>
          <cell r="E1442">
            <v>29.1</v>
          </cell>
          <cell r="F1442">
            <v>39.6</v>
          </cell>
          <cell r="G1442">
            <v>39.6</v>
          </cell>
          <cell r="H1442">
            <v>34.5</v>
          </cell>
          <cell r="I1442">
            <v>32</v>
          </cell>
          <cell r="J1442">
            <v>37.5</v>
          </cell>
          <cell r="K1442">
            <v>33.700000000000003</v>
          </cell>
          <cell r="L1442">
            <v>29.4</v>
          </cell>
          <cell r="M1442">
            <v>29.1</v>
          </cell>
        </row>
        <row r="1443">
          <cell r="C1443" t="str">
            <v>Long Xuyên MBA T2 (phía 110kV)</v>
          </cell>
          <cell r="D1443">
            <v>132</v>
          </cell>
          <cell r="E1443">
            <v>34.200000000000003</v>
          </cell>
          <cell r="F1443">
            <v>47.8</v>
          </cell>
          <cell r="G1443">
            <v>47.8</v>
          </cell>
          <cell r="H1443">
            <v>41.7</v>
          </cell>
          <cell r="I1443">
            <v>37</v>
          </cell>
          <cell r="J1443">
            <v>43.4</v>
          </cell>
          <cell r="K1443">
            <v>35.700000000000003</v>
          </cell>
          <cell r="L1443">
            <v>36.799999999999997</v>
          </cell>
          <cell r="M1443">
            <v>34.200000000000003</v>
          </cell>
        </row>
        <row r="1444">
          <cell r="C1444" t="str">
            <v>110kV 171 Long Xuyên - 171 Thới Thuận</v>
          </cell>
          <cell r="D1444">
            <v>171</v>
          </cell>
          <cell r="E1444">
            <v>-29</v>
          </cell>
          <cell r="F1444">
            <v>-39.299999999999997</v>
          </cell>
          <cell r="G1444">
            <v>-39.299999999999997</v>
          </cell>
          <cell r="H1444">
            <v>-34.200000000000003</v>
          </cell>
          <cell r="I1444">
            <v>-31.8</v>
          </cell>
          <cell r="J1444">
            <v>-37.299999999999997</v>
          </cell>
          <cell r="K1444">
            <v>-33.299999999999997</v>
          </cell>
          <cell r="L1444">
            <v>-29.3</v>
          </cell>
          <cell r="M1444">
            <v>-29</v>
          </cell>
        </row>
        <row r="1445">
          <cell r="C1445" t="str">
            <v>110kV 172 Long Xuyên - 175 Long Xuyên 2</v>
          </cell>
          <cell r="D1445">
            <v>172</v>
          </cell>
          <cell r="E1445">
            <v>-33.200000000000003</v>
          </cell>
          <cell r="F1445">
            <v>-46.5</v>
          </cell>
          <cell r="G1445">
            <v>-46.5</v>
          </cell>
          <cell r="H1445">
            <v>-40.4</v>
          </cell>
          <cell r="I1445">
            <v>-36</v>
          </cell>
          <cell r="J1445">
            <v>-41.9</v>
          </cell>
          <cell r="K1445">
            <v>-34.700000000000003</v>
          </cell>
          <cell r="L1445">
            <v>-35.700000000000003</v>
          </cell>
          <cell r="M1445">
            <v>-33.200000000000003</v>
          </cell>
        </row>
        <row r="1446">
          <cell r="C1446" t="str">
            <v>Long Xuyên MBA T1 (phía 22kV)</v>
          </cell>
          <cell r="D1446">
            <v>431</v>
          </cell>
          <cell r="E1446">
            <v>-28.9</v>
          </cell>
          <cell r="F1446">
            <v>-39.1</v>
          </cell>
          <cell r="G1446">
            <v>-39.1</v>
          </cell>
          <cell r="H1446">
            <v>-34.200000000000003</v>
          </cell>
          <cell r="I1446">
            <v>-31.7</v>
          </cell>
          <cell r="J1446">
            <v>-37.299999999999997</v>
          </cell>
          <cell r="K1446">
            <v>-33.4</v>
          </cell>
          <cell r="L1446">
            <v>-29.1</v>
          </cell>
          <cell r="M1446">
            <v>-28.9</v>
          </cell>
        </row>
        <row r="1447">
          <cell r="C1447" t="str">
            <v>Long Xuyên MBA T2 (phía 22kV)</v>
          </cell>
          <cell r="D1447">
            <v>432</v>
          </cell>
          <cell r="E1447">
            <v>-35.200000000000003</v>
          </cell>
          <cell r="F1447">
            <v>-49.3</v>
          </cell>
          <cell r="G1447">
            <v>-49.3</v>
          </cell>
          <cell r="H1447">
            <v>-42.9</v>
          </cell>
          <cell r="I1447">
            <v>-38.299999999999997</v>
          </cell>
          <cell r="J1447">
            <v>-44.7</v>
          </cell>
          <cell r="K1447">
            <v>-37</v>
          </cell>
          <cell r="L1447">
            <v>-38.1</v>
          </cell>
          <cell r="M1447">
            <v>-35.200000000000003</v>
          </cell>
        </row>
        <row r="1448">
          <cell r="C1448" t="str">
            <v>220kV 272 Long Xuyên 2 - 271 Châu Đốc 2</v>
          </cell>
          <cell r="F1448">
            <v>231.8</v>
          </cell>
          <cell r="H1448">
            <v>143</v>
          </cell>
          <cell r="I1448">
            <v>180.4</v>
          </cell>
          <cell r="J1448">
            <v>231.8</v>
          </cell>
          <cell r="K1448">
            <v>179.9</v>
          </cell>
          <cell r="L1448">
            <v>211</v>
          </cell>
          <cell r="M1448">
            <v>202.4</v>
          </cell>
        </row>
        <row r="1449">
          <cell r="C1449" t="str">
            <v>220kV 271 Long Xuyên 2 - 275 Thốt Nốt 2</v>
          </cell>
          <cell r="F1449">
            <v>-313.10000000000002</v>
          </cell>
          <cell r="H1449">
            <v>-210.1</v>
          </cell>
          <cell r="I1449">
            <v>-252.7</v>
          </cell>
          <cell r="J1449">
            <v>-313.10000000000002</v>
          </cell>
          <cell r="K1449">
            <v>-256.10000000000002</v>
          </cell>
          <cell r="L1449">
            <v>-271.5</v>
          </cell>
          <cell r="M1449">
            <v>-273.39999999999998</v>
          </cell>
        </row>
        <row r="1450">
          <cell r="C1450" t="str">
            <v>Long Xuyên 2 MBA AT2 (phía 220kV)</v>
          </cell>
          <cell r="F1450">
            <v>90.6</v>
          </cell>
          <cell r="H1450">
            <v>80.900000000000006</v>
          </cell>
          <cell r="I1450">
            <v>74</v>
          </cell>
          <cell r="J1450">
            <v>90.6</v>
          </cell>
          <cell r="K1450">
            <v>79.900000000000006</v>
          </cell>
          <cell r="L1450">
            <v>65.2</v>
          </cell>
          <cell r="M1450">
            <v>68.099999999999994</v>
          </cell>
        </row>
        <row r="1451">
          <cell r="C1451" t="str">
            <v>110kV 176 Long Xuyên 2 - 172 An Châu</v>
          </cell>
          <cell r="F1451">
            <v>33.700000000000003</v>
          </cell>
          <cell r="H1451">
            <v>31.6</v>
          </cell>
          <cell r="I1451">
            <v>30.2</v>
          </cell>
          <cell r="J1451">
            <v>32.9</v>
          </cell>
          <cell r="K1451">
            <v>33.700000000000003</v>
          </cell>
          <cell r="L1451">
            <v>25.9</v>
          </cell>
          <cell r="M1451">
            <v>23.9</v>
          </cell>
        </row>
        <row r="1452">
          <cell r="C1452" t="str">
            <v>Long Xuyên 2 MBA T3 (phía 110kV)</v>
          </cell>
          <cell r="F1452">
            <v>12.3</v>
          </cell>
          <cell r="H1452">
            <v>9.6999999999999993</v>
          </cell>
          <cell r="I1452">
            <v>9.9</v>
          </cell>
          <cell r="J1452">
            <v>12.3</v>
          </cell>
          <cell r="K1452">
            <v>10.9</v>
          </cell>
          <cell r="L1452">
            <v>8.5</v>
          </cell>
          <cell r="M1452">
            <v>8.8000000000000007</v>
          </cell>
        </row>
        <row r="1453">
          <cell r="C1453" t="str">
            <v>110kV 175 Long Xuyên 2 - 172 Long Xuyên</v>
          </cell>
          <cell r="F1453">
            <v>45.4</v>
          </cell>
          <cell r="H1453">
            <v>40.299999999999997</v>
          </cell>
          <cell r="I1453">
            <v>36.700000000000003</v>
          </cell>
          <cell r="J1453">
            <v>45.4</v>
          </cell>
          <cell r="K1453">
            <v>36.1</v>
          </cell>
          <cell r="L1453">
            <v>35.9</v>
          </cell>
          <cell r="M1453">
            <v>32.4</v>
          </cell>
        </row>
        <row r="1454">
          <cell r="C1454" t="str">
            <v>Long Xuyên 2 MBA AT2 (phía 110kV)</v>
          </cell>
          <cell r="F1454">
            <v>-88.8</v>
          </cell>
          <cell r="H1454">
            <v>-83.2</v>
          </cell>
          <cell r="I1454">
            <v>-76.8</v>
          </cell>
          <cell r="J1454">
            <v>-88.8</v>
          </cell>
          <cell r="K1454">
            <v>-80.900000000000006</v>
          </cell>
          <cell r="L1454">
            <v>-66.599999999999994</v>
          </cell>
          <cell r="M1454">
            <v>-66.599999999999994</v>
          </cell>
        </row>
        <row r="1455">
          <cell r="C1455" t="str">
            <v>110kV 173 Long Xuyên 2 - 172 Vĩnh Thạnh</v>
          </cell>
          <cell r="E1455">
            <v>0</v>
          </cell>
          <cell r="F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</row>
        <row r="1456">
          <cell r="C1456" t="str">
            <v>Long Xuyên 2 MBA T3 (phía 22kV)</v>
          </cell>
          <cell r="F1456">
            <v>-11.7</v>
          </cell>
          <cell r="H1456">
            <v>-10.4</v>
          </cell>
          <cell r="I1456">
            <v>-10.3</v>
          </cell>
          <cell r="J1456">
            <v>-11.7</v>
          </cell>
          <cell r="K1456">
            <v>-11.2</v>
          </cell>
          <cell r="L1456">
            <v>-7.7</v>
          </cell>
          <cell r="M1456">
            <v>-9.3000000000000007</v>
          </cell>
        </row>
        <row r="1457">
          <cell r="C1457" t="str">
            <v>Loteco MBA T1 (phía 110kV)</v>
          </cell>
          <cell r="D1457">
            <v>131</v>
          </cell>
          <cell r="E1457">
            <v>12.1</v>
          </cell>
          <cell r="F1457">
            <v>34.5</v>
          </cell>
          <cell r="G1457">
            <v>29.6</v>
          </cell>
          <cell r="H1457">
            <v>34.5</v>
          </cell>
          <cell r="I1457">
            <v>32.299999999999997</v>
          </cell>
          <cell r="J1457">
            <v>33.6</v>
          </cell>
          <cell r="K1457">
            <v>28.6</v>
          </cell>
          <cell r="L1457">
            <v>14.4</v>
          </cell>
          <cell r="M1457">
            <v>12.1</v>
          </cell>
        </row>
        <row r="1458">
          <cell r="C1458" t="str">
            <v>Loteco MBA T2 (phía 110kV)</v>
          </cell>
          <cell r="D1458">
            <v>132</v>
          </cell>
          <cell r="E1458">
            <v>23.3</v>
          </cell>
          <cell r="F1458">
            <v>40.5</v>
          </cell>
          <cell r="G1458">
            <v>39.799999999999997</v>
          </cell>
          <cell r="H1458">
            <v>38.9</v>
          </cell>
          <cell r="I1458">
            <v>35.6</v>
          </cell>
          <cell r="J1458">
            <v>40.5</v>
          </cell>
          <cell r="K1458">
            <v>38.1</v>
          </cell>
          <cell r="L1458">
            <v>28.6</v>
          </cell>
          <cell r="M1458">
            <v>23.3</v>
          </cell>
        </row>
        <row r="1459">
          <cell r="C1459" t="str">
            <v>110kV 171 Loteco - 178 Long Bình</v>
          </cell>
          <cell r="D1459">
            <v>171</v>
          </cell>
          <cell r="E1459">
            <v>-14.8</v>
          </cell>
          <cell r="F1459">
            <v>-95.1</v>
          </cell>
          <cell r="G1459">
            <v>-30</v>
          </cell>
          <cell r="H1459">
            <v>-39.6</v>
          </cell>
          <cell r="I1459">
            <v>-32.5</v>
          </cell>
          <cell r="J1459">
            <v>-33.700000000000003</v>
          </cell>
          <cell r="K1459">
            <v>-28.2</v>
          </cell>
          <cell r="L1459">
            <v>-14.8</v>
          </cell>
          <cell r="M1459">
            <v>-95.1</v>
          </cell>
        </row>
        <row r="1460">
          <cell r="C1460" t="str">
            <v>110kV 172 Loteco - 171 Thống Nhất</v>
          </cell>
          <cell r="D1460">
            <v>172</v>
          </cell>
          <cell r="E1460">
            <v>-23.5</v>
          </cell>
          <cell r="F1460">
            <v>60.5</v>
          </cell>
          <cell r="G1460">
            <v>-32.700000000000003</v>
          </cell>
          <cell r="H1460">
            <v>-31.8</v>
          </cell>
          <cell r="I1460">
            <v>-29.3</v>
          </cell>
          <cell r="J1460">
            <v>-33.6</v>
          </cell>
          <cell r="K1460">
            <v>-38</v>
          </cell>
          <cell r="L1460">
            <v>-23.5</v>
          </cell>
          <cell r="M1460">
            <v>60.5</v>
          </cell>
        </row>
        <row r="1461">
          <cell r="C1461" t="str">
            <v>Loteco MBA T1 (phía 22kV)</v>
          </cell>
          <cell r="D1461">
            <v>431</v>
          </cell>
          <cell r="E1461">
            <v>-12.1</v>
          </cell>
          <cell r="F1461">
            <v>-34.799999999999997</v>
          </cell>
          <cell r="G1461">
            <v>-29.9</v>
          </cell>
          <cell r="H1461">
            <v>-34.799999999999997</v>
          </cell>
          <cell r="I1461">
            <v>-32.6</v>
          </cell>
          <cell r="J1461">
            <v>-33.799999999999997</v>
          </cell>
          <cell r="K1461">
            <v>-28.2</v>
          </cell>
          <cell r="L1461">
            <v>-14.8</v>
          </cell>
          <cell r="M1461">
            <v>-12.1</v>
          </cell>
        </row>
        <row r="1462">
          <cell r="C1462" t="str">
            <v>Loteco MBA T2 (phía 22kV)</v>
          </cell>
          <cell r="D1462">
            <v>432</v>
          </cell>
          <cell r="E1462">
            <v>-23.2</v>
          </cell>
          <cell r="F1462">
            <v>-40.200000000000003</v>
          </cell>
          <cell r="G1462">
            <v>-39.5</v>
          </cell>
          <cell r="H1462">
            <v>-38.9</v>
          </cell>
          <cell r="I1462">
            <v>-35.5</v>
          </cell>
          <cell r="J1462">
            <v>-40.200000000000003</v>
          </cell>
          <cell r="K1462">
            <v>-37.9</v>
          </cell>
          <cell r="L1462">
            <v>-28.5</v>
          </cell>
          <cell r="M1462">
            <v>-23.2</v>
          </cell>
        </row>
        <row r="1463">
          <cell r="C1463" t="str">
            <v>110kV 171 LSP Long Sơn - 173 NMĐ Bà Rịa</v>
          </cell>
          <cell r="F1463">
            <v>-37.799999999999997</v>
          </cell>
          <cell r="H1463">
            <v>25</v>
          </cell>
          <cell r="I1463">
            <v>-37.799999999999997</v>
          </cell>
          <cell r="J1463">
            <v>-22.9</v>
          </cell>
          <cell r="K1463">
            <v>-27.3</v>
          </cell>
          <cell r="L1463">
            <v>-28.4</v>
          </cell>
          <cell r="M1463">
            <v>20.6</v>
          </cell>
        </row>
        <row r="1464">
          <cell r="C1464" t="str">
            <v>110kV 172 LSP Long Sơn - 174 NMĐ Phú Mỹ 1</v>
          </cell>
          <cell r="F1464">
            <v>36.9</v>
          </cell>
          <cell r="H1464">
            <v>-25.7</v>
          </cell>
          <cell r="I1464">
            <v>36.9</v>
          </cell>
          <cell r="J1464">
            <v>22.2</v>
          </cell>
          <cell r="K1464">
            <v>27.6</v>
          </cell>
          <cell r="L1464">
            <v>28.1</v>
          </cell>
          <cell r="M1464">
            <v>-21.1</v>
          </cell>
        </row>
        <row r="1465">
          <cell r="C1465" t="str">
            <v>Lương Sơn MBA T1 (phía 110kV)</v>
          </cell>
          <cell r="D1465">
            <v>131</v>
          </cell>
          <cell r="E1465">
            <v>0</v>
          </cell>
          <cell r="F1465">
            <v>24.4</v>
          </cell>
          <cell r="G1465">
            <v>15.8</v>
          </cell>
          <cell r="H1465">
            <v>0</v>
          </cell>
          <cell r="I1465">
            <v>0</v>
          </cell>
          <cell r="J1465">
            <v>0</v>
          </cell>
          <cell r="K1465">
            <v>23</v>
          </cell>
          <cell r="L1465">
            <v>23.5</v>
          </cell>
          <cell r="M1465">
            <v>24.4</v>
          </cell>
        </row>
        <row r="1466">
          <cell r="C1466" t="str">
            <v>Lương Sơn MBA T2 (phía 110kV)</v>
          </cell>
          <cell r="D1466">
            <v>132</v>
          </cell>
          <cell r="E1466">
            <v>0</v>
          </cell>
          <cell r="F1466">
            <v>31.6</v>
          </cell>
          <cell r="G1466">
            <v>16.100000000000001</v>
          </cell>
          <cell r="H1466">
            <v>30.6</v>
          </cell>
          <cell r="I1466">
            <v>27.7</v>
          </cell>
          <cell r="J1466">
            <v>31.6</v>
          </cell>
          <cell r="K1466">
            <v>0</v>
          </cell>
          <cell r="L1466">
            <v>0</v>
          </cell>
          <cell r="M1466">
            <v>0</v>
          </cell>
        </row>
        <row r="1467">
          <cell r="C1467" t="str">
            <v>110kV 171 Lương Sơn - 177 Phan Rí 2</v>
          </cell>
          <cell r="D1467">
            <v>171</v>
          </cell>
          <cell r="E1467">
            <v>33</v>
          </cell>
          <cell r="F1467">
            <v>56.7</v>
          </cell>
          <cell r="G1467">
            <v>45.6</v>
          </cell>
          <cell r="H1467">
            <v>48.9</v>
          </cell>
          <cell r="I1467">
            <v>33</v>
          </cell>
          <cell r="J1467">
            <v>45.4</v>
          </cell>
          <cell r="K1467">
            <v>56.7</v>
          </cell>
          <cell r="L1467">
            <v>39.9</v>
          </cell>
          <cell r="M1467">
            <v>37.200000000000003</v>
          </cell>
        </row>
        <row r="1468">
          <cell r="C1468" t="str">
            <v>110kV 172 Lương Sơn - 174 trạm cắt Sông Lũy 1</v>
          </cell>
          <cell r="D1468">
            <v>172</v>
          </cell>
          <cell r="E1468">
            <v>-22.9</v>
          </cell>
          <cell r="F1468">
            <v>-37.700000000000003</v>
          </cell>
          <cell r="G1468">
            <v>-37.700000000000003</v>
          </cell>
          <cell r="H1468">
            <v>-34.4</v>
          </cell>
          <cell r="I1468">
            <v>-30.2</v>
          </cell>
          <cell r="J1468">
            <v>-33</v>
          </cell>
          <cell r="K1468">
            <v>-37.5</v>
          </cell>
          <cell r="L1468">
            <v>-28.4</v>
          </cell>
          <cell r="M1468">
            <v>-22.9</v>
          </cell>
        </row>
        <row r="1469">
          <cell r="C1469" t="str">
            <v>110kV 173 Lương Sơn - 171 NMĐ MT Hồng Phong 4</v>
          </cell>
          <cell r="D1469">
            <v>173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</row>
        <row r="1470">
          <cell r="C1470" t="str">
            <v>Lương Sơn MBA T1 (phía 22kV)</v>
          </cell>
          <cell r="D1470">
            <v>431</v>
          </cell>
          <cell r="E1470">
            <v>0</v>
          </cell>
          <cell r="F1470">
            <v>-24.5</v>
          </cell>
          <cell r="G1470">
            <v>-15.7</v>
          </cell>
          <cell r="H1470">
            <v>0</v>
          </cell>
          <cell r="I1470">
            <v>0</v>
          </cell>
          <cell r="J1470">
            <v>0</v>
          </cell>
          <cell r="K1470">
            <v>-22.9</v>
          </cell>
          <cell r="L1470">
            <v>-22.9</v>
          </cell>
          <cell r="M1470">
            <v>-24.5</v>
          </cell>
        </row>
        <row r="1471">
          <cell r="C1471" t="str">
            <v>Lương Sơn MBA T2 (phía 22kV)</v>
          </cell>
          <cell r="D1471">
            <v>432</v>
          </cell>
          <cell r="E1471">
            <v>0</v>
          </cell>
          <cell r="F1471">
            <v>-31.7</v>
          </cell>
          <cell r="G1471">
            <v>-16.2</v>
          </cell>
          <cell r="H1471">
            <v>-30.6</v>
          </cell>
          <cell r="I1471">
            <v>-27.9</v>
          </cell>
          <cell r="J1471">
            <v>-31.7</v>
          </cell>
          <cell r="K1471">
            <v>0</v>
          </cell>
          <cell r="L1471">
            <v>0</v>
          </cell>
          <cell r="M1471">
            <v>0</v>
          </cell>
        </row>
        <row r="1472">
          <cell r="C1472" t="str">
            <v>Lưu Động Bà Điểm MBA T1 (phía 110kV)</v>
          </cell>
          <cell r="F1472">
            <v>27.4</v>
          </cell>
          <cell r="H1472">
            <v>24.6</v>
          </cell>
          <cell r="I1472">
            <v>21.8</v>
          </cell>
          <cell r="J1472">
            <v>27.4</v>
          </cell>
          <cell r="K1472">
            <v>23.6</v>
          </cell>
          <cell r="L1472">
            <v>18.399999999999999</v>
          </cell>
          <cell r="M1472">
            <v>20</v>
          </cell>
        </row>
        <row r="1473">
          <cell r="C1473" t="str">
            <v>Lưu Động Bà Điểm MBA T1 (phía 22kV)</v>
          </cell>
          <cell r="F1473">
            <v>-27.1</v>
          </cell>
          <cell r="H1473">
            <v>-24.4</v>
          </cell>
          <cell r="I1473">
            <v>-21.7</v>
          </cell>
          <cell r="J1473">
            <v>-27.1</v>
          </cell>
          <cell r="K1473">
            <v>-23.5</v>
          </cell>
          <cell r="L1473">
            <v>-18.3</v>
          </cell>
          <cell r="M1473">
            <v>-19.899999999999999</v>
          </cell>
        </row>
        <row r="1474">
          <cell r="C1474" t="str">
            <v>110kV 171 Ma Lâm - 175 Phan Thiết 2</v>
          </cell>
          <cell r="F1474">
            <v>83.9</v>
          </cell>
          <cell r="H1474">
            <v>81.400000000000006</v>
          </cell>
          <cell r="I1474">
            <v>38.200000000000003</v>
          </cell>
          <cell r="J1474">
            <v>68.099999999999994</v>
          </cell>
          <cell r="K1474">
            <v>83.9</v>
          </cell>
          <cell r="L1474">
            <v>56.2</v>
          </cell>
          <cell r="M1474">
            <v>48</v>
          </cell>
        </row>
        <row r="1475">
          <cell r="C1475" t="str">
            <v>110kV 172 Ma Lâm - 171 NMĐ MT Hàm Phú 2</v>
          </cell>
          <cell r="F1475">
            <v>-37.6</v>
          </cell>
          <cell r="H1475">
            <v>-37.6</v>
          </cell>
          <cell r="I1475">
            <v>-14.8</v>
          </cell>
          <cell r="J1475">
            <v>-34.700000000000003</v>
          </cell>
          <cell r="K1475">
            <v>-37.5</v>
          </cell>
          <cell r="L1475">
            <v>-27.1</v>
          </cell>
          <cell r="M1475">
            <v>-19.2</v>
          </cell>
        </row>
        <row r="1476">
          <cell r="C1476" t="str">
            <v>Ma Lâm MBA T1 (phía 110kV)</v>
          </cell>
          <cell r="F1476">
            <v>72.599999999999994</v>
          </cell>
          <cell r="H1476">
            <v>-13.2</v>
          </cell>
          <cell r="I1476">
            <v>7.5</v>
          </cell>
          <cell r="J1476">
            <v>-13.9</v>
          </cell>
          <cell r="K1476">
            <v>33.799999999999997</v>
          </cell>
          <cell r="L1476">
            <v>72.599999999999994</v>
          </cell>
          <cell r="M1476">
            <v>35.1</v>
          </cell>
        </row>
        <row r="1477">
          <cell r="C1477" t="str">
            <v>Ma Lâm MBA T1 (phía 22kV)</v>
          </cell>
          <cell r="F1477">
            <v>14.5</v>
          </cell>
          <cell r="H1477">
            <v>13.2</v>
          </cell>
          <cell r="I1477">
            <v>-7.6</v>
          </cell>
          <cell r="J1477">
            <v>13.8</v>
          </cell>
          <cell r="K1477">
            <v>14.5</v>
          </cell>
          <cell r="L1477">
            <v>-11.3</v>
          </cell>
          <cell r="M1477">
            <v>13.5</v>
          </cell>
        </row>
        <row r="1478">
          <cell r="C1478" t="str">
            <v>Ma Lâm MBA T2 (phía 110kV)</v>
          </cell>
          <cell r="E1478">
            <v>0</v>
          </cell>
          <cell r="F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</row>
        <row r="1479">
          <cell r="C1479" t="str">
            <v>Ma Lâm MBA T2 (phía 22kV)</v>
          </cell>
          <cell r="E1479">
            <v>0</v>
          </cell>
          <cell r="F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</row>
        <row r="1480">
          <cell r="C1480" t="str">
            <v>110kV 173 Ma Lâm - 171 NMĐ MT Thuận Minh 2</v>
          </cell>
          <cell r="E1480">
            <v>0</v>
          </cell>
          <cell r="F1480">
            <v>-32.9</v>
          </cell>
          <cell r="H1480">
            <v>-32.9</v>
          </cell>
          <cell r="I1480">
            <v>-23.8</v>
          </cell>
          <cell r="J1480">
            <v>-14.7</v>
          </cell>
          <cell r="K1480">
            <v>0</v>
          </cell>
          <cell r="L1480">
            <v>0</v>
          </cell>
          <cell r="M1480">
            <v>0</v>
          </cell>
        </row>
        <row r="1481">
          <cell r="C1481" t="str">
            <v>110kV 171 Minh Hưng - 176 Bình Long 2</v>
          </cell>
          <cell r="F1481">
            <v>-44.2</v>
          </cell>
          <cell r="H1481">
            <v>-43.2</v>
          </cell>
          <cell r="I1481">
            <v>-43.8</v>
          </cell>
          <cell r="J1481">
            <v>-44.2</v>
          </cell>
          <cell r="K1481">
            <v>-42.9</v>
          </cell>
          <cell r="L1481">
            <v>-34.1</v>
          </cell>
          <cell r="M1481">
            <v>-30.3</v>
          </cell>
        </row>
        <row r="1482">
          <cell r="C1482" t="str">
            <v>110kV 172 Minh Hưng - 172 Dầu Tiếng</v>
          </cell>
          <cell r="F1482">
            <v>-50.4</v>
          </cell>
          <cell r="H1482">
            <v>-48</v>
          </cell>
          <cell r="I1482">
            <v>-47.9</v>
          </cell>
          <cell r="J1482">
            <v>-50.4</v>
          </cell>
          <cell r="K1482">
            <v>-37.299999999999997</v>
          </cell>
          <cell r="L1482">
            <v>-34.299999999999997</v>
          </cell>
          <cell r="M1482">
            <v>-33.5</v>
          </cell>
        </row>
        <row r="1483">
          <cell r="C1483" t="str">
            <v>Minh Hưng MBA T2 (phía 110kV)</v>
          </cell>
          <cell r="F1483">
            <v>50.2</v>
          </cell>
          <cell r="H1483">
            <v>47.9</v>
          </cell>
          <cell r="I1483">
            <v>48</v>
          </cell>
          <cell r="J1483">
            <v>50.2</v>
          </cell>
          <cell r="K1483">
            <v>37.200000000000003</v>
          </cell>
          <cell r="L1483">
            <v>34.4</v>
          </cell>
          <cell r="M1483">
            <v>33.6</v>
          </cell>
        </row>
        <row r="1484">
          <cell r="C1484" t="str">
            <v>Minh Hưng MBA T2 (phía 22kV)</v>
          </cell>
          <cell r="F1484">
            <v>-49.8</v>
          </cell>
          <cell r="H1484">
            <v>-47.9</v>
          </cell>
          <cell r="I1484">
            <v>-47.8</v>
          </cell>
          <cell r="J1484">
            <v>-49.8</v>
          </cell>
          <cell r="K1484">
            <v>-37.1</v>
          </cell>
          <cell r="L1484">
            <v>-34.1</v>
          </cell>
          <cell r="M1484">
            <v>-33.6</v>
          </cell>
        </row>
        <row r="1485">
          <cell r="C1485" t="str">
            <v>Minh Hưng MBA T1 (phía 110kV)</v>
          </cell>
          <cell r="F1485">
            <v>45</v>
          </cell>
          <cell r="H1485">
            <v>43.3</v>
          </cell>
          <cell r="I1485">
            <v>44</v>
          </cell>
          <cell r="J1485">
            <v>45</v>
          </cell>
          <cell r="K1485">
            <v>43.1</v>
          </cell>
          <cell r="L1485">
            <v>33.9</v>
          </cell>
          <cell r="M1485">
            <v>30.6</v>
          </cell>
        </row>
        <row r="1486">
          <cell r="C1486" t="str">
            <v>Minh Hưng MBA T1 (phía 22kV)</v>
          </cell>
          <cell r="F1486">
            <v>-43.9</v>
          </cell>
          <cell r="H1486">
            <v>-42.9</v>
          </cell>
          <cell r="I1486">
            <v>-43.9</v>
          </cell>
          <cell r="J1486">
            <v>-43.9</v>
          </cell>
          <cell r="K1486">
            <v>-42.8</v>
          </cell>
          <cell r="L1486">
            <v>-33.5</v>
          </cell>
          <cell r="M1486">
            <v>-30</v>
          </cell>
        </row>
        <row r="1487">
          <cell r="C1487" t="str">
            <v>Minh Phong MBA T1 (phía 110kV)</v>
          </cell>
          <cell r="D1487">
            <v>131</v>
          </cell>
          <cell r="E1487">
            <v>16.3</v>
          </cell>
          <cell r="F1487">
            <v>20.2</v>
          </cell>
          <cell r="G1487">
            <v>19.3</v>
          </cell>
          <cell r="H1487">
            <v>20.2</v>
          </cell>
          <cell r="I1487">
            <v>16.3</v>
          </cell>
          <cell r="J1487">
            <v>17.2</v>
          </cell>
          <cell r="K1487">
            <v>17.899999999999999</v>
          </cell>
          <cell r="L1487">
            <v>16.3</v>
          </cell>
          <cell r="M1487">
            <v>17.7</v>
          </cell>
        </row>
        <row r="1488">
          <cell r="C1488" t="str">
            <v>Minh Phong MBA T2 (phía 110kV)</v>
          </cell>
          <cell r="D1488">
            <v>132</v>
          </cell>
          <cell r="E1488">
            <v>16</v>
          </cell>
          <cell r="F1488">
            <v>19.899999999999999</v>
          </cell>
          <cell r="G1488">
            <v>18.899999999999999</v>
          </cell>
          <cell r="H1488">
            <v>19.899999999999999</v>
          </cell>
          <cell r="I1488">
            <v>16</v>
          </cell>
          <cell r="J1488">
            <v>16.899999999999999</v>
          </cell>
          <cell r="K1488">
            <v>17.600000000000001</v>
          </cell>
          <cell r="L1488">
            <v>16</v>
          </cell>
          <cell r="M1488">
            <v>17.399999999999999</v>
          </cell>
        </row>
        <row r="1489">
          <cell r="C1489" t="str">
            <v>110kV 171 Minh Phong - 171 An Biên</v>
          </cell>
          <cell r="D1489">
            <v>171</v>
          </cell>
          <cell r="E1489">
            <v>42.1</v>
          </cell>
          <cell r="F1489">
            <v>57.7</v>
          </cell>
          <cell r="G1489">
            <v>57.7</v>
          </cell>
          <cell r="H1489">
            <v>44.3</v>
          </cell>
          <cell r="I1489">
            <v>42.1</v>
          </cell>
          <cell r="J1489">
            <v>54.3</v>
          </cell>
          <cell r="K1489">
            <v>44.5</v>
          </cell>
          <cell r="L1489">
            <v>51.8</v>
          </cell>
          <cell r="M1489">
            <v>48.2</v>
          </cell>
        </row>
        <row r="1490">
          <cell r="C1490" t="str">
            <v>110kV 172 Minh Phong - 173 Rạch Giá 2</v>
          </cell>
          <cell r="D1490">
            <v>172</v>
          </cell>
          <cell r="E1490">
            <v>-71.400000000000006</v>
          </cell>
          <cell r="F1490">
            <v>-94.2</v>
          </cell>
          <cell r="G1490">
            <v>-94.2</v>
          </cell>
          <cell r="H1490">
            <v>-83.8</v>
          </cell>
          <cell r="I1490">
            <v>-71.400000000000006</v>
          </cell>
          <cell r="J1490">
            <v>-88.3</v>
          </cell>
          <cell r="K1490">
            <v>-75.7</v>
          </cell>
          <cell r="L1490">
            <v>-81.5</v>
          </cell>
          <cell r="M1490">
            <v>-81.8</v>
          </cell>
        </row>
        <row r="1491">
          <cell r="C1491" t="str">
            <v>Minh Phong MBA T1 (phía 22kV)</v>
          </cell>
          <cell r="D1491">
            <v>431</v>
          </cell>
          <cell r="E1491">
            <v>-16.399999999999999</v>
          </cell>
          <cell r="F1491">
            <v>-20.3</v>
          </cell>
          <cell r="G1491">
            <v>-19.399999999999999</v>
          </cell>
          <cell r="H1491">
            <v>-20.3</v>
          </cell>
          <cell r="I1491">
            <v>-16.399999999999999</v>
          </cell>
          <cell r="J1491">
            <v>-17.3</v>
          </cell>
          <cell r="K1491">
            <v>-17.899999999999999</v>
          </cell>
          <cell r="L1491">
            <v>-16.399999999999999</v>
          </cell>
          <cell r="M1491">
            <v>-17.8</v>
          </cell>
        </row>
        <row r="1492">
          <cell r="C1492" t="str">
            <v>Minh Phong MBA T2 (phía 22kV)</v>
          </cell>
          <cell r="D1492">
            <v>432</v>
          </cell>
          <cell r="E1492">
            <v>-16.2</v>
          </cell>
          <cell r="F1492">
            <v>-19.899999999999999</v>
          </cell>
          <cell r="G1492">
            <v>-19</v>
          </cell>
          <cell r="H1492">
            <v>-19.899999999999999</v>
          </cell>
          <cell r="I1492">
            <v>-16.2</v>
          </cell>
          <cell r="J1492">
            <v>-17</v>
          </cell>
          <cell r="K1492">
            <v>-17.7</v>
          </cell>
          <cell r="L1492">
            <v>-16.2</v>
          </cell>
          <cell r="M1492">
            <v>-17.5</v>
          </cell>
        </row>
        <row r="1493">
          <cell r="C1493" t="str">
            <v>110kV 171 Mỏ Cày - 172 Mỏ Cày 2</v>
          </cell>
          <cell r="F1493">
            <v>-34.700000000000003</v>
          </cell>
          <cell r="H1493">
            <v>-32.6</v>
          </cell>
          <cell r="I1493">
            <v>-31.1</v>
          </cell>
          <cell r="J1493">
            <v>-34.700000000000003</v>
          </cell>
          <cell r="K1493">
            <v>-33.9</v>
          </cell>
          <cell r="L1493">
            <v>-33.700000000000003</v>
          </cell>
          <cell r="M1493">
            <v>-34.5</v>
          </cell>
        </row>
        <row r="1494">
          <cell r="C1494" t="str">
            <v>110kV 172 Mỏ Cày - 173 Mỏ Cày 2</v>
          </cell>
          <cell r="F1494">
            <v>-38.299999999999997</v>
          </cell>
          <cell r="H1494">
            <v>-36.1</v>
          </cell>
          <cell r="I1494">
            <v>-34.5</v>
          </cell>
          <cell r="J1494">
            <v>-38.299999999999997</v>
          </cell>
          <cell r="K1494">
            <v>-37.5</v>
          </cell>
          <cell r="L1494">
            <v>-37.1</v>
          </cell>
          <cell r="M1494">
            <v>-38.200000000000003</v>
          </cell>
        </row>
        <row r="1495">
          <cell r="C1495" t="str">
            <v>Mỏ Cày MBA T1 (phía 110kV)</v>
          </cell>
          <cell r="F1495">
            <v>17.2</v>
          </cell>
          <cell r="H1495">
            <v>15.9</v>
          </cell>
          <cell r="I1495">
            <v>14.6</v>
          </cell>
          <cell r="J1495">
            <v>17.2</v>
          </cell>
          <cell r="K1495">
            <v>16.100000000000001</v>
          </cell>
          <cell r="L1495">
            <v>16.3</v>
          </cell>
          <cell r="M1495">
            <v>16.5</v>
          </cell>
        </row>
        <row r="1496">
          <cell r="C1496" t="str">
            <v>Mỏ Cày MBA T1 (phía 22kV)</v>
          </cell>
          <cell r="F1496">
            <v>-17.2</v>
          </cell>
          <cell r="H1496">
            <v>-15.8</v>
          </cell>
          <cell r="I1496">
            <v>-14.6</v>
          </cell>
          <cell r="J1496">
            <v>-17.2</v>
          </cell>
          <cell r="K1496">
            <v>-16</v>
          </cell>
          <cell r="L1496">
            <v>-16.2</v>
          </cell>
          <cell r="M1496">
            <v>-16.5</v>
          </cell>
        </row>
        <row r="1497">
          <cell r="C1497" t="str">
            <v>Mỏ Cày MBA T2 (phía 110kV)</v>
          </cell>
          <cell r="F1497">
            <v>23.6</v>
          </cell>
          <cell r="H1497">
            <v>22.3</v>
          </cell>
          <cell r="I1497">
            <v>21.4</v>
          </cell>
          <cell r="J1497">
            <v>23.6</v>
          </cell>
          <cell r="K1497">
            <v>22.7</v>
          </cell>
          <cell r="L1497">
            <v>21.6</v>
          </cell>
          <cell r="M1497">
            <v>22.2</v>
          </cell>
        </row>
        <row r="1498">
          <cell r="C1498" t="str">
            <v>Mỏ Cày MBA T2 (phía 22kV)</v>
          </cell>
          <cell r="F1498">
            <v>-23.7</v>
          </cell>
          <cell r="H1498">
            <v>-22.2</v>
          </cell>
          <cell r="I1498">
            <v>-21.5</v>
          </cell>
          <cell r="J1498">
            <v>-23.7</v>
          </cell>
          <cell r="K1498">
            <v>-22.8</v>
          </cell>
          <cell r="L1498">
            <v>-21.7</v>
          </cell>
          <cell r="M1498">
            <v>-22.2</v>
          </cell>
        </row>
        <row r="1499">
          <cell r="C1499" t="str">
            <v>110kV 174 Mỏ Cày - 131 Bình Thạnh</v>
          </cell>
          <cell r="F1499">
            <v>34.299999999999997</v>
          </cell>
          <cell r="H1499">
            <v>30.9</v>
          </cell>
          <cell r="I1499">
            <v>29.7</v>
          </cell>
          <cell r="J1499">
            <v>33.1</v>
          </cell>
          <cell r="K1499">
            <v>32.700000000000003</v>
          </cell>
          <cell r="L1499">
            <v>32.799999999999997</v>
          </cell>
          <cell r="M1499">
            <v>34.299999999999997</v>
          </cell>
        </row>
        <row r="1500">
          <cell r="C1500" t="str">
            <v>220kV 274 Mỏ Cày 2 - 276 Bến Tre 2</v>
          </cell>
          <cell r="F1500">
            <v>254.9</v>
          </cell>
          <cell r="H1500">
            <v>227.7</v>
          </cell>
          <cell r="I1500">
            <v>230.5</v>
          </cell>
          <cell r="J1500">
            <v>253.9</v>
          </cell>
          <cell r="K1500">
            <v>254.9</v>
          </cell>
          <cell r="L1500">
            <v>218.9</v>
          </cell>
          <cell r="M1500">
            <v>233.3</v>
          </cell>
        </row>
        <row r="1501">
          <cell r="C1501" t="str">
            <v>220kV 273 Mỏ Cày 2 - 275 Bến Tre 2</v>
          </cell>
          <cell r="F1501">
            <v>256.10000000000002</v>
          </cell>
          <cell r="H1501">
            <v>227.6</v>
          </cell>
          <cell r="I1501">
            <v>230.7</v>
          </cell>
          <cell r="J1501">
            <v>254.5</v>
          </cell>
          <cell r="K1501">
            <v>256.10000000000002</v>
          </cell>
          <cell r="L1501">
            <v>219.2</v>
          </cell>
          <cell r="M1501">
            <v>234.3</v>
          </cell>
        </row>
        <row r="1502">
          <cell r="C1502" t="str">
            <v>220kV 272 Mỏ Cày 2 - 272 Duyên Hải</v>
          </cell>
          <cell r="F1502">
            <v>-296.5</v>
          </cell>
          <cell r="H1502">
            <v>-264.60000000000002</v>
          </cell>
          <cell r="I1502">
            <v>-263.60000000000002</v>
          </cell>
          <cell r="J1502">
            <v>-296.5</v>
          </cell>
          <cell r="K1502">
            <v>-283.8</v>
          </cell>
          <cell r="L1502">
            <v>-245.3</v>
          </cell>
          <cell r="M1502">
            <v>-276.8</v>
          </cell>
        </row>
        <row r="1503">
          <cell r="C1503" t="str">
            <v>220kV 271 Mỏ Cày 2 - 271 Duyên Hải</v>
          </cell>
          <cell r="F1503">
            <v>-291.39999999999998</v>
          </cell>
          <cell r="H1503">
            <v>-261.89999999999998</v>
          </cell>
          <cell r="I1503">
            <v>-266.5</v>
          </cell>
          <cell r="J1503">
            <v>-291.39999999999998</v>
          </cell>
          <cell r="K1503">
            <v>-291.10000000000002</v>
          </cell>
          <cell r="L1503">
            <v>-253.8</v>
          </cell>
          <cell r="M1503">
            <v>-267.8</v>
          </cell>
        </row>
        <row r="1504">
          <cell r="C1504" t="str">
            <v>Mỏ Cày 2 MBA AT1 (phía 220kV)</v>
          </cell>
          <cell r="F1504">
            <v>92</v>
          </cell>
          <cell r="H1504">
            <v>86.6</v>
          </cell>
          <cell r="I1504">
            <v>82.3</v>
          </cell>
          <cell r="J1504">
            <v>91.9</v>
          </cell>
          <cell r="K1504">
            <v>88.6</v>
          </cell>
          <cell r="L1504">
            <v>87.8</v>
          </cell>
          <cell r="M1504">
            <v>92</v>
          </cell>
        </row>
        <row r="1505">
          <cell r="C1505" t="str">
            <v>110kV 174 Mỏ Cày 2 - 172 Bến Tre 2</v>
          </cell>
          <cell r="E1505">
            <v>0</v>
          </cell>
          <cell r="F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</row>
        <row r="1506">
          <cell r="C1506" t="str">
            <v>110kV 173 Mỏ Cày 2 - 172 Mỏ Cày</v>
          </cell>
          <cell r="F1506">
            <v>37.9</v>
          </cell>
          <cell r="H1506">
            <v>35.799999999999997</v>
          </cell>
          <cell r="I1506">
            <v>34</v>
          </cell>
          <cell r="J1506">
            <v>37.9</v>
          </cell>
          <cell r="K1506">
            <v>37.200000000000003</v>
          </cell>
          <cell r="L1506">
            <v>36.700000000000003</v>
          </cell>
          <cell r="M1506">
            <v>37.799999999999997</v>
          </cell>
        </row>
        <row r="1507">
          <cell r="C1507" t="str">
            <v>110kV 172 Mỏ Cày 2 - 171 Mỏ Cày</v>
          </cell>
          <cell r="F1507">
            <v>34.4</v>
          </cell>
          <cell r="H1507">
            <v>32.4</v>
          </cell>
          <cell r="I1507">
            <v>30.8</v>
          </cell>
          <cell r="J1507">
            <v>34.4</v>
          </cell>
          <cell r="K1507">
            <v>33.799999999999997</v>
          </cell>
          <cell r="L1507">
            <v>33.5</v>
          </cell>
          <cell r="M1507">
            <v>34.1</v>
          </cell>
        </row>
        <row r="1508">
          <cell r="C1508" t="str">
            <v>110kV 171 Mỏ Cày 2 - 171 Chợ Lách</v>
          </cell>
          <cell r="F1508">
            <v>19.2</v>
          </cell>
          <cell r="H1508">
            <v>17.7</v>
          </cell>
          <cell r="I1508">
            <v>16.600000000000001</v>
          </cell>
          <cell r="J1508">
            <v>18.5</v>
          </cell>
          <cell r="K1508">
            <v>16.899999999999999</v>
          </cell>
          <cell r="L1508">
            <v>16.8</v>
          </cell>
          <cell r="M1508">
            <v>19.2</v>
          </cell>
        </row>
        <row r="1509">
          <cell r="C1509" t="str">
            <v>Mỏ Cày 2 MBA AT1 (phía 110kV)</v>
          </cell>
          <cell r="F1509">
            <v>-91.7</v>
          </cell>
          <cell r="H1509">
            <v>-86.2</v>
          </cell>
          <cell r="I1509">
            <v>-82.1</v>
          </cell>
          <cell r="J1509">
            <v>-91.3</v>
          </cell>
          <cell r="K1509">
            <v>-87.9</v>
          </cell>
          <cell r="L1509">
            <v>-87.3</v>
          </cell>
          <cell r="M1509">
            <v>-91.7</v>
          </cell>
        </row>
        <row r="1510">
          <cell r="C1510" t="str">
            <v>Mộc Hóa MBA T1 (phía 110kV)</v>
          </cell>
          <cell r="F1510">
            <v>14.9</v>
          </cell>
          <cell r="H1510">
            <v>14.3</v>
          </cell>
          <cell r="I1510">
            <v>13.3</v>
          </cell>
          <cell r="J1510">
            <v>14.9</v>
          </cell>
          <cell r="K1510">
            <v>13.1</v>
          </cell>
          <cell r="L1510">
            <v>14.8</v>
          </cell>
          <cell r="M1510">
            <v>14</v>
          </cell>
        </row>
        <row r="1511">
          <cell r="C1511" t="str">
            <v>Mộc Hóa MBA T2 (phía 110kV)</v>
          </cell>
          <cell r="F1511">
            <v>14.8</v>
          </cell>
          <cell r="H1511">
            <v>14.3</v>
          </cell>
          <cell r="I1511">
            <v>13.3</v>
          </cell>
          <cell r="J1511">
            <v>14.8</v>
          </cell>
          <cell r="K1511">
            <v>13.1</v>
          </cell>
          <cell r="L1511">
            <v>14.7</v>
          </cell>
          <cell r="M1511">
            <v>14</v>
          </cell>
        </row>
        <row r="1512">
          <cell r="C1512" t="str">
            <v>Mộc Hóa MBA T1 (phía 22kV)</v>
          </cell>
          <cell r="F1512">
            <v>-14.9</v>
          </cell>
          <cell r="H1512">
            <v>-14.4</v>
          </cell>
          <cell r="I1512">
            <v>-13.3</v>
          </cell>
          <cell r="J1512">
            <v>-14.9</v>
          </cell>
          <cell r="K1512">
            <v>-13.1</v>
          </cell>
          <cell r="L1512">
            <v>-14.8</v>
          </cell>
          <cell r="M1512">
            <v>-14</v>
          </cell>
        </row>
        <row r="1513">
          <cell r="C1513" t="str">
            <v>Mộc Hóa MBA T2 (phía 22kV)</v>
          </cell>
          <cell r="F1513">
            <v>-14.8</v>
          </cell>
          <cell r="H1513">
            <v>-14.3</v>
          </cell>
          <cell r="I1513">
            <v>-13.3</v>
          </cell>
          <cell r="J1513">
            <v>-14.8</v>
          </cell>
          <cell r="K1513">
            <v>-13.1</v>
          </cell>
          <cell r="L1513">
            <v>-14.7</v>
          </cell>
          <cell r="M1513">
            <v>-14</v>
          </cell>
        </row>
        <row r="1514">
          <cell r="C1514" t="str">
            <v>110kV 171 Mộc Hóa - 172 Tân Thạnh</v>
          </cell>
          <cell r="F1514">
            <v>-42.3</v>
          </cell>
          <cell r="H1514">
            <v>-40.200000000000003</v>
          </cell>
          <cell r="I1514">
            <v>-36.6</v>
          </cell>
          <cell r="J1514">
            <v>-42.3</v>
          </cell>
          <cell r="K1514">
            <v>-36.200000000000003</v>
          </cell>
          <cell r="L1514">
            <v>-39.200000000000003</v>
          </cell>
          <cell r="M1514">
            <v>-38.299999999999997</v>
          </cell>
        </row>
        <row r="1515">
          <cell r="C1515" t="str">
            <v>110kV 172 Mộc Hóa - 132 Vĩnh Hưng</v>
          </cell>
          <cell r="F1515">
            <v>13.5</v>
          </cell>
          <cell r="H1515">
            <v>11.5</v>
          </cell>
          <cell r="I1515">
            <v>10</v>
          </cell>
          <cell r="J1515">
            <v>13.5</v>
          </cell>
          <cell r="K1515">
            <v>10.1</v>
          </cell>
          <cell r="L1515">
            <v>11</v>
          </cell>
          <cell r="M1515">
            <v>10.3</v>
          </cell>
        </row>
        <row r="1516">
          <cell r="C1516" t="str">
            <v>110kV 172 Mũi Né - 171 NMĐ MT Mũi Né</v>
          </cell>
          <cell r="F1516">
            <v>-64.3</v>
          </cell>
          <cell r="H1516">
            <v>-64.3</v>
          </cell>
          <cell r="I1516">
            <v>-41</v>
          </cell>
          <cell r="J1516">
            <v>-62.5</v>
          </cell>
          <cell r="K1516">
            <v>-62.4</v>
          </cell>
          <cell r="L1516">
            <v>-55</v>
          </cell>
          <cell r="M1516">
            <v>-50.7</v>
          </cell>
        </row>
        <row r="1517">
          <cell r="C1517" t="str">
            <v>Mũi Né MBA T2 (phía 110kV)</v>
          </cell>
          <cell r="E1517">
            <v>0</v>
          </cell>
          <cell r="F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</row>
        <row r="1518">
          <cell r="C1518" t="str">
            <v>Mũi Né MBA T2 (phía 22kV)</v>
          </cell>
          <cell r="E1518">
            <v>0</v>
          </cell>
          <cell r="F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</row>
        <row r="1519">
          <cell r="C1519" t="str">
            <v>Mũi Né MBA T1 (phía 110kV)</v>
          </cell>
          <cell r="F1519">
            <v>20.2</v>
          </cell>
          <cell r="H1519">
            <v>14.1</v>
          </cell>
          <cell r="I1519">
            <v>11.7</v>
          </cell>
          <cell r="J1519">
            <v>13.3</v>
          </cell>
          <cell r="K1519">
            <v>19.3</v>
          </cell>
          <cell r="L1519">
            <v>20.2</v>
          </cell>
          <cell r="M1519">
            <v>18.899999999999999</v>
          </cell>
        </row>
        <row r="1520">
          <cell r="C1520" t="str">
            <v>Mũi Né MBA T1 (phía 22kV)</v>
          </cell>
          <cell r="F1520">
            <v>-20.3</v>
          </cell>
          <cell r="H1520">
            <v>-14.1</v>
          </cell>
          <cell r="I1520">
            <v>-11.8</v>
          </cell>
          <cell r="J1520">
            <v>-13.4</v>
          </cell>
          <cell r="K1520">
            <v>-19.399999999999999</v>
          </cell>
          <cell r="L1520">
            <v>-20.3</v>
          </cell>
          <cell r="M1520">
            <v>-18.899999999999999</v>
          </cell>
        </row>
        <row r="1521">
          <cell r="C1521" t="str">
            <v>110kV 171 Mũi Né - 174 Phan Thiết 2</v>
          </cell>
          <cell r="F1521">
            <v>79.099999999999994</v>
          </cell>
          <cell r="H1521">
            <v>61.1</v>
          </cell>
          <cell r="I1521">
            <v>53</v>
          </cell>
          <cell r="J1521">
            <v>79.099999999999994</v>
          </cell>
          <cell r="K1521">
            <v>67.8</v>
          </cell>
          <cell r="L1521">
            <v>69.5</v>
          </cell>
          <cell r="M1521">
            <v>60.7</v>
          </cell>
        </row>
        <row r="1522">
          <cell r="C1522" t="str">
            <v>110kV 176 Mũi Né - 131 NMĐ Gió Đại Phong</v>
          </cell>
          <cell r="F1522">
            <v>-39.5</v>
          </cell>
          <cell r="H1522">
            <v>-13.3</v>
          </cell>
          <cell r="I1522">
            <v>-31.3</v>
          </cell>
          <cell r="J1522">
            <v>-35.6</v>
          </cell>
          <cell r="K1522">
            <v>-37.799999999999997</v>
          </cell>
          <cell r="L1522">
            <v>-39.5</v>
          </cell>
          <cell r="M1522">
            <v>-39.1</v>
          </cell>
        </row>
        <row r="1523">
          <cell r="C1523" t="str">
            <v>Mỹ Phước MBA AT1 (phía 110kV)</v>
          </cell>
          <cell r="D1523">
            <v>131</v>
          </cell>
          <cell r="E1523">
            <v>-146.1</v>
          </cell>
          <cell r="F1523">
            <v>-204.8</v>
          </cell>
          <cell r="G1523">
            <v>-181.1</v>
          </cell>
          <cell r="H1523">
            <v>-204.1</v>
          </cell>
          <cell r="I1523">
            <v>-183.4</v>
          </cell>
          <cell r="J1523">
            <v>-204.8</v>
          </cell>
          <cell r="K1523">
            <v>-188</v>
          </cell>
          <cell r="L1523">
            <v>-171.7</v>
          </cell>
          <cell r="M1523">
            <v>-146.1</v>
          </cell>
        </row>
        <row r="1524">
          <cell r="C1524" t="str">
            <v>Mỹ Phước MBA AT2 (phía 110kV)</v>
          </cell>
          <cell r="D1524">
            <v>132</v>
          </cell>
          <cell r="E1524">
            <v>-141.1</v>
          </cell>
          <cell r="F1524">
            <v>-230.9</v>
          </cell>
          <cell r="G1524">
            <v>-191.7</v>
          </cell>
          <cell r="H1524">
            <v>-230.9</v>
          </cell>
          <cell r="I1524">
            <v>-187.7</v>
          </cell>
          <cell r="J1524">
            <v>-214.8</v>
          </cell>
          <cell r="K1524">
            <v>-191</v>
          </cell>
          <cell r="L1524">
            <v>-173.3</v>
          </cell>
          <cell r="M1524">
            <v>-141.1</v>
          </cell>
        </row>
        <row r="1525">
          <cell r="C1525" t="str">
            <v>110kV 173 Mỹ Phước - 171 Hòa Thuận</v>
          </cell>
          <cell r="D1525">
            <v>173</v>
          </cell>
          <cell r="E1525">
            <v>116.1</v>
          </cell>
          <cell r="F1525">
            <v>166.8</v>
          </cell>
          <cell r="G1525">
            <v>153.30000000000001</v>
          </cell>
          <cell r="H1525">
            <v>161.1</v>
          </cell>
          <cell r="I1525">
            <v>154.5</v>
          </cell>
          <cell r="J1525">
            <v>166.8</v>
          </cell>
          <cell r="K1525">
            <v>151.69999999999999</v>
          </cell>
          <cell r="L1525">
            <v>124.5</v>
          </cell>
          <cell r="M1525">
            <v>116.1</v>
          </cell>
        </row>
        <row r="1526">
          <cell r="C1526" t="str">
            <v>110kV 174 Mỹ Phước - 171 Kumho</v>
          </cell>
          <cell r="D1526">
            <v>174</v>
          </cell>
          <cell r="E1526">
            <v>68.3</v>
          </cell>
          <cell r="F1526">
            <v>123.3</v>
          </cell>
          <cell r="G1526">
            <v>68.3</v>
          </cell>
          <cell r="H1526">
            <v>114.5</v>
          </cell>
          <cell r="I1526">
            <v>71.2</v>
          </cell>
          <cell r="J1526">
            <v>121.8</v>
          </cell>
          <cell r="K1526">
            <v>73.5</v>
          </cell>
          <cell r="L1526">
            <v>123.3</v>
          </cell>
          <cell r="M1526">
            <v>76.2</v>
          </cell>
        </row>
        <row r="1527">
          <cell r="C1527" t="str">
            <v>110kV 175 Mỹ Phước - 173 Bến Cát 2</v>
          </cell>
          <cell r="D1527">
            <v>175</v>
          </cell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</row>
        <row r="1528">
          <cell r="C1528" t="str">
            <v>110kV 176 Mỹ Phước - 171 Thới Hòa</v>
          </cell>
          <cell r="D1528">
            <v>176</v>
          </cell>
          <cell r="E1528">
            <v>43.3</v>
          </cell>
          <cell r="F1528">
            <v>56.9</v>
          </cell>
          <cell r="G1528">
            <v>53.3</v>
          </cell>
          <cell r="H1528">
            <v>56.9</v>
          </cell>
          <cell r="I1528">
            <v>53.4</v>
          </cell>
          <cell r="J1528">
            <v>56.4</v>
          </cell>
          <cell r="K1528">
            <v>55.4</v>
          </cell>
          <cell r="L1528">
            <v>43.3</v>
          </cell>
          <cell r="M1528">
            <v>44.6</v>
          </cell>
        </row>
        <row r="1529">
          <cell r="C1529" t="str">
            <v>110kV 177 Mỹ Phước - 171 An Tây</v>
          </cell>
          <cell r="D1529">
            <v>177</v>
          </cell>
          <cell r="E1529">
            <v>29.7</v>
          </cell>
          <cell r="F1529">
            <v>58.4</v>
          </cell>
          <cell r="G1529">
            <v>54.9</v>
          </cell>
          <cell r="H1529">
            <v>58.4</v>
          </cell>
          <cell r="I1529">
            <v>55.5</v>
          </cell>
          <cell r="J1529">
            <v>57.6</v>
          </cell>
          <cell r="K1529">
            <v>56.3</v>
          </cell>
          <cell r="L1529">
            <v>34.799999999999997</v>
          </cell>
          <cell r="M1529">
            <v>29.7</v>
          </cell>
        </row>
        <row r="1530">
          <cell r="C1530" t="str">
            <v>110kV 178 Mỹ Phước - 172 An Tây</v>
          </cell>
          <cell r="D1530">
            <v>178</v>
          </cell>
          <cell r="E1530">
            <v>29.8</v>
          </cell>
          <cell r="F1530">
            <v>59.2</v>
          </cell>
          <cell r="G1530">
            <v>55</v>
          </cell>
          <cell r="H1530">
            <v>59.2</v>
          </cell>
          <cell r="I1530">
            <v>56</v>
          </cell>
          <cell r="J1530">
            <v>58.6</v>
          </cell>
          <cell r="K1530">
            <v>56.9</v>
          </cell>
          <cell r="L1530">
            <v>35.700000000000003</v>
          </cell>
          <cell r="M1530">
            <v>29.8</v>
          </cell>
        </row>
        <row r="1531">
          <cell r="C1531" t="str">
            <v>Mỹ Phước MBA AT1 (phía 220kV)</v>
          </cell>
          <cell r="D1531">
            <v>231</v>
          </cell>
          <cell r="E1531">
            <v>147.5</v>
          </cell>
          <cell r="F1531">
            <v>207.9</v>
          </cell>
          <cell r="G1531">
            <v>184</v>
          </cell>
          <cell r="H1531">
            <v>207</v>
          </cell>
          <cell r="I1531">
            <v>185.4</v>
          </cell>
          <cell r="J1531">
            <v>207.9</v>
          </cell>
          <cell r="K1531">
            <v>190</v>
          </cell>
          <cell r="L1531">
            <v>173.2</v>
          </cell>
          <cell r="M1531">
            <v>147.5</v>
          </cell>
        </row>
        <row r="1532">
          <cell r="C1532" t="str">
            <v>Mỹ Phước MBA AT2 (phía 220kV)</v>
          </cell>
          <cell r="D1532">
            <v>232</v>
          </cell>
          <cell r="E1532">
            <v>144.19999999999999</v>
          </cell>
          <cell r="F1532">
            <v>236.3</v>
          </cell>
          <cell r="G1532">
            <v>195.2</v>
          </cell>
          <cell r="H1532">
            <v>236.3</v>
          </cell>
          <cell r="I1532">
            <v>192</v>
          </cell>
          <cell r="J1532">
            <v>219.2</v>
          </cell>
          <cell r="K1532">
            <v>194.6</v>
          </cell>
          <cell r="L1532">
            <v>177.2</v>
          </cell>
          <cell r="M1532">
            <v>144.19999999999999</v>
          </cell>
        </row>
        <row r="1533">
          <cell r="C1533" t="str">
            <v>220kV 271 Mỹ Phước - 271 Bến Cát 2</v>
          </cell>
          <cell r="D1533">
            <v>271</v>
          </cell>
          <cell r="E1533">
            <v>-78.5</v>
          </cell>
          <cell r="F1533">
            <v>-165.8</v>
          </cell>
          <cell r="G1533">
            <v>-165.8</v>
          </cell>
          <cell r="H1533">
            <v>-140.1</v>
          </cell>
          <cell r="I1533">
            <v>-78.5</v>
          </cell>
          <cell r="J1533">
            <v>-91.7</v>
          </cell>
          <cell r="K1533">
            <v>-118.1</v>
          </cell>
          <cell r="L1533">
            <v>-83.3</v>
          </cell>
          <cell r="M1533">
            <v>-108.6</v>
          </cell>
        </row>
        <row r="1534">
          <cell r="C1534" t="str">
            <v>220kV 272 Mỹ Phước - 272 Bến Cát 2</v>
          </cell>
          <cell r="D1534">
            <v>272</v>
          </cell>
          <cell r="E1534">
            <v>-77.099999999999994</v>
          </cell>
          <cell r="F1534">
            <v>-166.4</v>
          </cell>
          <cell r="G1534">
            <v>-166.4</v>
          </cell>
          <cell r="H1534">
            <v>-139.69999999999999</v>
          </cell>
          <cell r="I1534">
            <v>-77.099999999999994</v>
          </cell>
          <cell r="J1534">
            <v>-90.6</v>
          </cell>
          <cell r="K1534">
            <v>-118.5</v>
          </cell>
          <cell r="L1534">
            <v>-83.8</v>
          </cell>
          <cell r="M1534">
            <v>-108.3</v>
          </cell>
        </row>
        <row r="1535">
          <cell r="C1535" t="str">
            <v>220kV 273 Mỹ Phước - 277 Uyên Hưng</v>
          </cell>
          <cell r="D1535">
            <v>273</v>
          </cell>
          <cell r="E1535">
            <v>-110.9</v>
          </cell>
          <cell r="F1535">
            <v>-163.5</v>
          </cell>
          <cell r="G1535">
            <v>-150.5</v>
          </cell>
          <cell r="H1535">
            <v>-141.6</v>
          </cell>
          <cell r="I1535">
            <v>-140</v>
          </cell>
          <cell r="J1535">
            <v>-163.5</v>
          </cell>
          <cell r="K1535">
            <v>-124.7</v>
          </cell>
          <cell r="L1535">
            <v>-160.5</v>
          </cell>
          <cell r="M1535">
            <v>-110.9</v>
          </cell>
        </row>
        <row r="1536">
          <cell r="C1536" t="str">
            <v>220kV 274 Mỹ Phước - 279 Tân Định</v>
          </cell>
          <cell r="D1536">
            <v>274</v>
          </cell>
          <cell r="E1536">
            <v>-240.6</v>
          </cell>
          <cell r="F1536">
            <v>-305.10000000000002</v>
          </cell>
          <cell r="G1536">
            <v>-284.2</v>
          </cell>
          <cell r="H1536">
            <v>-283.2</v>
          </cell>
          <cell r="I1536">
            <v>-284.10000000000002</v>
          </cell>
          <cell r="J1536">
            <v>-301.89999999999998</v>
          </cell>
          <cell r="K1536">
            <v>-268.8</v>
          </cell>
          <cell r="L1536">
            <v>-305.10000000000002</v>
          </cell>
          <cell r="M1536">
            <v>-240.6</v>
          </cell>
        </row>
        <row r="1537">
          <cell r="C1537" t="str">
            <v>Mỹ Tho MBA T3 (phía 110kV)</v>
          </cell>
          <cell r="F1537">
            <v>13.4</v>
          </cell>
          <cell r="H1537">
            <v>13.3</v>
          </cell>
          <cell r="I1537">
            <v>11.1</v>
          </cell>
          <cell r="J1537">
            <v>13.4</v>
          </cell>
          <cell r="K1537">
            <v>11.8</v>
          </cell>
          <cell r="L1537">
            <v>11.6</v>
          </cell>
          <cell r="M1537">
            <v>12.3</v>
          </cell>
        </row>
        <row r="1538">
          <cell r="C1538" t="str">
            <v>Mỹ Tho MBA T3 (phía 22kV)</v>
          </cell>
          <cell r="F1538">
            <v>-13.3</v>
          </cell>
          <cell r="H1538">
            <v>-13.3</v>
          </cell>
          <cell r="I1538">
            <v>-11.1</v>
          </cell>
          <cell r="J1538">
            <v>-13.3</v>
          </cell>
          <cell r="K1538">
            <v>-11.8</v>
          </cell>
          <cell r="L1538">
            <v>-11.6</v>
          </cell>
          <cell r="M1538">
            <v>-12.3</v>
          </cell>
        </row>
        <row r="1539">
          <cell r="C1539" t="str">
            <v>Mỹ Tho 2 MBA AT1 (phía 110kV)</v>
          </cell>
          <cell r="D1539">
            <v>131</v>
          </cell>
          <cell r="E1539">
            <v>-84.4</v>
          </cell>
          <cell r="F1539">
            <v>-156.9</v>
          </cell>
          <cell r="G1539">
            <v>-156.9</v>
          </cell>
          <cell r="H1539">
            <v>-147.4</v>
          </cell>
          <cell r="I1539">
            <v>-135.69999999999999</v>
          </cell>
          <cell r="J1539">
            <v>-145.69999999999999</v>
          </cell>
          <cell r="K1539">
            <v>-137.4</v>
          </cell>
          <cell r="L1539">
            <v>-86.8</v>
          </cell>
          <cell r="M1539">
            <v>-84.4</v>
          </cell>
        </row>
        <row r="1540">
          <cell r="C1540" t="str">
            <v>Mỹ Tho 2 MBA AT2 (phía 110kV)</v>
          </cell>
          <cell r="D1540">
            <v>132</v>
          </cell>
          <cell r="E1540">
            <v>-76.7</v>
          </cell>
          <cell r="F1540">
            <v>-97.6</v>
          </cell>
          <cell r="G1540">
            <v>-82.7</v>
          </cell>
          <cell r="H1540">
            <v>-91.9</v>
          </cell>
          <cell r="I1540">
            <v>-76.7</v>
          </cell>
          <cell r="J1540">
            <v>-97.6</v>
          </cell>
          <cell r="K1540">
            <v>-89.6</v>
          </cell>
          <cell r="L1540">
            <v>-77.8</v>
          </cell>
          <cell r="M1540">
            <v>-81.2</v>
          </cell>
        </row>
        <row r="1541">
          <cell r="C1541" t="str">
            <v>Mỹ Tho 2 MBA T3 (phía 110kV)</v>
          </cell>
          <cell r="D1541">
            <v>133</v>
          </cell>
          <cell r="E1541">
            <v>14.9</v>
          </cell>
          <cell r="F1541">
            <v>19.2</v>
          </cell>
          <cell r="G1541">
            <v>19.2</v>
          </cell>
          <cell r="H1541">
            <v>16.399999999999999</v>
          </cell>
          <cell r="I1541">
            <v>15.1</v>
          </cell>
          <cell r="J1541">
            <v>17.3</v>
          </cell>
          <cell r="K1541">
            <v>15.4</v>
          </cell>
          <cell r="L1541">
            <v>14.9</v>
          </cell>
          <cell r="M1541">
            <v>15.9</v>
          </cell>
        </row>
        <row r="1542">
          <cell r="C1542" t="str">
            <v>Mỹ Tho 2 MBA T4 (phía 110kV)</v>
          </cell>
          <cell r="D1542">
            <v>134</v>
          </cell>
          <cell r="E1542">
            <v>34.700000000000003</v>
          </cell>
          <cell r="F1542">
            <v>50.8</v>
          </cell>
          <cell r="G1542">
            <v>42.1</v>
          </cell>
          <cell r="H1542">
            <v>40.4</v>
          </cell>
          <cell r="I1542">
            <v>35.200000000000003</v>
          </cell>
          <cell r="J1542">
            <v>50.8</v>
          </cell>
          <cell r="K1542">
            <v>40.9</v>
          </cell>
          <cell r="L1542">
            <v>34.700000000000003</v>
          </cell>
          <cell r="M1542">
            <v>35.6</v>
          </cell>
        </row>
        <row r="1543">
          <cell r="C1543" t="str">
            <v>110kV 171 Mỹ Tho 2 - 172 Long Giang</v>
          </cell>
          <cell r="D1543">
            <v>171</v>
          </cell>
          <cell r="E1543">
            <v>65.3</v>
          </cell>
          <cell r="F1543">
            <v>86.9</v>
          </cell>
          <cell r="G1543">
            <v>80.7</v>
          </cell>
          <cell r="H1543">
            <v>84.6</v>
          </cell>
          <cell r="I1543">
            <v>79.2</v>
          </cell>
          <cell r="J1543">
            <v>86.9</v>
          </cell>
          <cell r="K1543">
            <v>86.4</v>
          </cell>
          <cell r="L1543">
            <v>72.3</v>
          </cell>
          <cell r="M1543">
            <v>65.3</v>
          </cell>
        </row>
        <row r="1544">
          <cell r="C1544" t="str">
            <v>110kV 172 Mỹ Tho 2 - 171 Tầm Vu</v>
          </cell>
          <cell r="D1544">
            <v>172</v>
          </cell>
          <cell r="E1544">
            <v>-0.1</v>
          </cell>
          <cell r="F1544">
            <v>9.5</v>
          </cell>
          <cell r="G1544">
            <v>9.5</v>
          </cell>
          <cell r="H1544">
            <v>-0.2</v>
          </cell>
          <cell r="I1544">
            <v>-0.2</v>
          </cell>
          <cell r="J1544">
            <v>-0.1</v>
          </cell>
          <cell r="K1544">
            <v>-0.2</v>
          </cell>
          <cell r="L1544">
            <v>-0.1</v>
          </cell>
          <cell r="M1544">
            <v>-0.1</v>
          </cell>
        </row>
        <row r="1545">
          <cell r="C1545" t="str">
            <v>110kV 174 Mỹ Tho 2 - 172 Cai Lậy</v>
          </cell>
          <cell r="D1545">
            <v>174</v>
          </cell>
          <cell r="E1545">
            <v>-35.9</v>
          </cell>
          <cell r="F1545">
            <v>-66.099999999999994</v>
          </cell>
          <cell r="G1545">
            <v>-66.099999999999994</v>
          </cell>
          <cell r="H1545">
            <v>-65.400000000000006</v>
          </cell>
          <cell r="I1545">
            <v>-55.2</v>
          </cell>
          <cell r="J1545">
            <v>-63.8</v>
          </cell>
          <cell r="K1545">
            <v>-62.4</v>
          </cell>
          <cell r="L1545">
            <v>-42.3</v>
          </cell>
          <cell r="M1545">
            <v>-35.9</v>
          </cell>
        </row>
        <row r="1546">
          <cell r="C1546" t="str">
            <v>110kV 179 Mỹ Tho 2 - 171 Bến Tre</v>
          </cell>
          <cell r="D1546">
            <v>179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</row>
        <row r="1547">
          <cell r="C1547" t="str">
            <v>110kV 180 Mỹ Tho 2 - 171 Bình Đức</v>
          </cell>
          <cell r="D1547">
            <v>180</v>
          </cell>
          <cell r="E1547">
            <v>36.6</v>
          </cell>
          <cell r="F1547">
            <v>67.3</v>
          </cell>
          <cell r="G1547">
            <v>67.3</v>
          </cell>
          <cell r="H1547">
            <v>62.8</v>
          </cell>
          <cell r="I1547">
            <v>59.2</v>
          </cell>
          <cell r="J1547">
            <v>60.7</v>
          </cell>
          <cell r="K1547">
            <v>54.1</v>
          </cell>
          <cell r="L1547">
            <v>36.6</v>
          </cell>
          <cell r="M1547">
            <v>36.700000000000003</v>
          </cell>
        </row>
        <row r="1548">
          <cell r="C1548" t="str">
            <v>110kV 181 Mỹ Tho 2 - 172 Tân Hương</v>
          </cell>
          <cell r="D1548">
            <v>181</v>
          </cell>
          <cell r="E1548">
            <v>48.7</v>
          </cell>
          <cell r="F1548">
            <v>87.3</v>
          </cell>
          <cell r="G1548">
            <v>81.8</v>
          </cell>
          <cell r="H1548">
            <v>84.5</v>
          </cell>
          <cell r="I1548">
            <v>76.400000000000006</v>
          </cell>
          <cell r="J1548">
            <v>87.3</v>
          </cell>
          <cell r="K1548">
            <v>82.8</v>
          </cell>
          <cell r="L1548">
            <v>49.8</v>
          </cell>
          <cell r="M1548">
            <v>48.7</v>
          </cell>
        </row>
        <row r="1549">
          <cell r="C1549" t="str">
            <v>Mỹ Tho 2 MBA AT1 (phía 220kV)</v>
          </cell>
          <cell r="D1549">
            <v>231</v>
          </cell>
          <cell r="E1549">
            <v>84.4</v>
          </cell>
          <cell r="F1549">
            <v>157.19999999999999</v>
          </cell>
          <cell r="G1549">
            <v>157.19999999999999</v>
          </cell>
          <cell r="H1549">
            <v>147.69999999999999</v>
          </cell>
          <cell r="I1549">
            <v>136.4</v>
          </cell>
          <cell r="J1549">
            <v>146.5</v>
          </cell>
          <cell r="K1549">
            <v>137.5</v>
          </cell>
          <cell r="L1549">
            <v>87</v>
          </cell>
          <cell r="M1549">
            <v>84.4</v>
          </cell>
        </row>
        <row r="1550">
          <cell r="C1550" t="str">
            <v>Mỹ Tho 2 MBA AT2 (phía 220kV)</v>
          </cell>
          <cell r="D1550">
            <v>232</v>
          </cell>
          <cell r="E1550">
            <v>76.2</v>
          </cell>
          <cell r="F1550">
            <v>97.2</v>
          </cell>
          <cell r="G1550">
            <v>81.7</v>
          </cell>
          <cell r="H1550">
            <v>91.2</v>
          </cell>
          <cell r="I1550">
            <v>76.2</v>
          </cell>
          <cell r="J1550">
            <v>97.2</v>
          </cell>
          <cell r="K1550">
            <v>88.8</v>
          </cell>
          <cell r="L1550">
            <v>77.099999999999994</v>
          </cell>
          <cell r="M1550">
            <v>80.599999999999994</v>
          </cell>
        </row>
        <row r="1551">
          <cell r="C1551" t="str">
            <v>220kV 271 Mỹ Tho 2 - 273 Bến Tre 2</v>
          </cell>
          <cell r="D1551">
            <v>271</v>
          </cell>
          <cell r="E1551">
            <v>0</v>
          </cell>
          <cell r="F1551">
            <v>-175.8</v>
          </cell>
          <cell r="G1551">
            <v>-73.599999999999994</v>
          </cell>
          <cell r="H1551">
            <v>0</v>
          </cell>
          <cell r="I1551">
            <v>-150.1</v>
          </cell>
          <cell r="J1551">
            <v>-173.7</v>
          </cell>
          <cell r="K1551">
            <v>-175.8</v>
          </cell>
          <cell r="L1551">
            <v>-145.80000000000001</v>
          </cell>
          <cell r="M1551">
            <v>-169.2</v>
          </cell>
        </row>
        <row r="1552">
          <cell r="C1552" t="str">
            <v>220kV 272 Mỹ Tho 2 - 272 Bến Tre 2</v>
          </cell>
          <cell r="D1552">
            <v>272</v>
          </cell>
          <cell r="E1552">
            <v>-72.8</v>
          </cell>
          <cell r="F1552">
            <v>-283.89999999999998</v>
          </cell>
          <cell r="G1552">
            <v>-72.8</v>
          </cell>
          <cell r="H1552">
            <v>-283.89999999999998</v>
          </cell>
          <cell r="I1552">
            <v>-148.6</v>
          </cell>
          <cell r="J1552">
            <v>-172.5</v>
          </cell>
          <cell r="K1552">
            <v>-174.4</v>
          </cell>
          <cell r="L1552">
            <v>-144.80000000000001</v>
          </cell>
          <cell r="M1552">
            <v>-168.8</v>
          </cell>
        </row>
        <row r="1553">
          <cell r="C1553" t="str">
            <v>220kV 274 Mỹ Tho 2 - 275 Mỹ Tho 500kV</v>
          </cell>
          <cell r="D1553">
            <v>274</v>
          </cell>
          <cell r="E1553">
            <v>47.2</v>
          </cell>
          <cell r="F1553">
            <v>-208.9</v>
          </cell>
          <cell r="G1553">
            <v>-208.9</v>
          </cell>
          <cell r="H1553">
            <v>-100.9</v>
          </cell>
          <cell r="I1553">
            <v>-87.7</v>
          </cell>
          <cell r="J1553">
            <v>-86.6</v>
          </cell>
          <cell r="K1553">
            <v>-83.8</v>
          </cell>
          <cell r="L1553">
            <v>47.2</v>
          </cell>
          <cell r="M1553">
            <v>71.3</v>
          </cell>
        </row>
        <row r="1554">
          <cell r="C1554" t="str">
            <v>220kV 275 Mỹ Tho 2 - 273 Cần Đước 2</v>
          </cell>
          <cell r="D1554">
            <v>275</v>
          </cell>
          <cell r="E1554">
            <v>100.7</v>
          </cell>
          <cell r="F1554">
            <v>166.8</v>
          </cell>
          <cell r="G1554">
            <v>100.7</v>
          </cell>
          <cell r="H1554">
            <v>145.80000000000001</v>
          </cell>
          <cell r="I1554">
            <v>136.5</v>
          </cell>
          <cell r="J1554">
            <v>166.8</v>
          </cell>
          <cell r="K1554">
            <v>156.69999999999999</v>
          </cell>
          <cell r="L1554">
            <v>117.8</v>
          </cell>
          <cell r="M1554">
            <v>154.69999999999999</v>
          </cell>
        </row>
        <row r="1555">
          <cell r="C1555" t="str">
            <v>Mỹ Tho 2 MBA T3 (phía 22kV)</v>
          </cell>
          <cell r="D1555">
            <v>433</v>
          </cell>
          <cell r="E1555">
            <v>-15.1</v>
          </cell>
          <cell r="F1555">
            <v>-19.5</v>
          </cell>
          <cell r="G1555">
            <v>-19.5</v>
          </cell>
          <cell r="H1555">
            <v>-16.7</v>
          </cell>
          <cell r="I1555">
            <v>-15.3</v>
          </cell>
          <cell r="J1555">
            <v>-17.5</v>
          </cell>
          <cell r="K1555">
            <v>-15.6</v>
          </cell>
          <cell r="L1555">
            <v>-15.1</v>
          </cell>
          <cell r="M1555">
            <v>-16.100000000000001</v>
          </cell>
        </row>
        <row r="1556">
          <cell r="C1556" t="str">
            <v>Mỹ Tho 2 MBA T4 (phía 22kV)</v>
          </cell>
          <cell r="D1556">
            <v>434</v>
          </cell>
          <cell r="E1556">
            <v>-35.1</v>
          </cell>
          <cell r="F1556">
            <v>-51.2</v>
          </cell>
          <cell r="G1556">
            <v>-42.6</v>
          </cell>
          <cell r="H1556">
            <v>-40.799999999999997</v>
          </cell>
          <cell r="I1556">
            <v>-35.6</v>
          </cell>
          <cell r="J1556">
            <v>-51.2</v>
          </cell>
          <cell r="K1556">
            <v>-41.2</v>
          </cell>
          <cell r="L1556">
            <v>-35.1</v>
          </cell>
          <cell r="M1556">
            <v>-36</v>
          </cell>
        </row>
        <row r="1557">
          <cell r="C1557" t="str">
            <v>500kV 586 Mỹ Tho 500 - 575 Ô Môn 500</v>
          </cell>
          <cell r="F1557">
            <v>664.2</v>
          </cell>
          <cell r="H1557">
            <v>606</v>
          </cell>
          <cell r="I1557">
            <v>568.29999999999995</v>
          </cell>
          <cell r="J1557">
            <v>628.4</v>
          </cell>
          <cell r="K1557">
            <v>462.2</v>
          </cell>
          <cell r="L1557">
            <v>538.20000000000005</v>
          </cell>
          <cell r="M1557">
            <v>664.2</v>
          </cell>
        </row>
        <row r="1558">
          <cell r="C1558" t="str">
            <v>500kV 585 Mỹ Tho 500 - 573 Sông Hậu</v>
          </cell>
          <cell r="F1558">
            <v>360.6</v>
          </cell>
          <cell r="H1558">
            <v>328</v>
          </cell>
          <cell r="I1558">
            <v>313.10000000000002</v>
          </cell>
          <cell r="J1558">
            <v>341.3</v>
          </cell>
          <cell r="K1558">
            <v>236.7</v>
          </cell>
          <cell r="L1558">
            <v>296.39999999999998</v>
          </cell>
          <cell r="M1558">
            <v>360.6</v>
          </cell>
        </row>
        <row r="1559">
          <cell r="C1559" t="str">
            <v>500kV 584 Mỹ Tho 500 - 571 Duyên Hải</v>
          </cell>
          <cell r="F1559">
            <v>-1313.8</v>
          </cell>
          <cell r="H1559">
            <v>-862.5</v>
          </cell>
          <cell r="I1559">
            <v>-957.7</v>
          </cell>
          <cell r="J1559">
            <v>-1313.8</v>
          </cell>
          <cell r="K1559">
            <v>-1104</v>
          </cell>
          <cell r="L1559">
            <v>-1078.3</v>
          </cell>
          <cell r="M1559">
            <v>-1013.4</v>
          </cell>
        </row>
        <row r="1560">
          <cell r="C1560" t="str">
            <v>500kV 583 Mỹ Tho 500 - 583 Duyên Hải</v>
          </cell>
          <cell r="F1560">
            <v>-1437.1</v>
          </cell>
          <cell r="H1560">
            <v>-869.1</v>
          </cell>
          <cell r="I1560">
            <v>-964.2</v>
          </cell>
          <cell r="J1560">
            <v>-1322.4</v>
          </cell>
          <cell r="K1560">
            <v>-1113.7</v>
          </cell>
          <cell r="L1560">
            <v>-1085.3</v>
          </cell>
          <cell r="M1560">
            <v>-1437.1</v>
          </cell>
        </row>
        <row r="1561">
          <cell r="C1561" t="str">
            <v>500kV 572 Mỹ Tho 500 - 572 Phú Lâm</v>
          </cell>
          <cell r="F1561">
            <v>786.4</v>
          </cell>
          <cell r="H1561">
            <v>208.2</v>
          </cell>
          <cell r="I1561">
            <v>344</v>
          </cell>
          <cell r="J1561">
            <v>617.70000000000005</v>
          </cell>
          <cell r="K1561">
            <v>786.4</v>
          </cell>
          <cell r="L1561">
            <v>635</v>
          </cell>
          <cell r="M1561">
            <v>247.2</v>
          </cell>
        </row>
        <row r="1562">
          <cell r="C1562" t="str">
            <v>500kV 571 Mỹ Tho 500 - 575 Nhà Bè</v>
          </cell>
          <cell r="F1562">
            <v>644.29999999999995</v>
          </cell>
          <cell r="H1562">
            <v>-190.4</v>
          </cell>
          <cell r="I1562">
            <v>197.2</v>
          </cell>
          <cell r="J1562">
            <v>447.4</v>
          </cell>
          <cell r="K1562">
            <v>644.29999999999995</v>
          </cell>
          <cell r="L1562">
            <v>426.9</v>
          </cell>
          <cell r="M1562">
            <v>154.19999999999999</v>
          </cell>
        </row>
        <row r="1563">
          <cell r="C1563" t="str">
            <v>Mỹ Tho 500 MBA AT1 (phía 500kV)</v>
          </cell>
          <cell r="F1563">
            <v>482.5</v>
          </cell>
          <cell r="H1563">
            <v>469.8</v>
          </cell>
          <cell r="I1563">
            <v>447.6</v>
          </cell>
          <cell r="J1563">
            <v>482.5</v>
          </cell>
          <cell r="K1563">
            <v>465.3</v>
          </cell>
          <cell r="L1563">
            <v>385.7</v>
          </cell>
          <cell r="M1563">
            <v>436.9</v>
          </cell>
        </row>
        <row r="1564">
          <cell r="C1564" t="str">
            <v>Mỹ Tho 500 MBA AT1 (phía 220kV)</v>
          </cell>
          <cell r="F1564">
            <v>-481.8</v>
          </cell>
          <cell r="H1564">
            <v>-467.5</v>
          </cell>
          <cell r="I1564">
            <v>-446</v>
          </cell>
          <cell r="J1564">
            <v>-481.8</v>
          </cell>
          <cell r="K1564">
            <v>-462.3</v>
          </cell>
          <cell r="L1564">
            <v>-382.9</v>
          </cell>
          <cell r="M1564">
            <v>-436</v>
          </cell>
        </row>
        <row r="1565">
          <cell r="C1565" t="str">
            <v>220kV 271 Mỹ Tho 500 - 272 Cai Lậy</v>
          </cell>
          <cell r="F1565">
            <v>192</v>
          </cell>
          <cell r="H1565">
            <v>153.6</v>
          </cell>
          <cell r="I1565">
            <v>148.6</v>
          </cell>
          <cell r="J1565">
            <v>179.6</v>
          </cell>
          <cell r="K1565">
            <v>131</v>
          </cell>
          <cell r="L1565">
            <v>152.9</v>
          </cell>
          <cell r="M1565">
            <v>192</v>
          </cell>
        </row>
        <row r="1566">
          <cell r="C1566" t="str">
            <v>220kV 272 Mỹ Tho 500 - 273 Cai Lậy</v>
          </cell>
          <cell r="F1566">
            <v>201.5</v>
          </cell>
          <cell r="H1566">
            <v>187.3</v>
          </cell>
          <cell r="I1566">
            <v>169.1</v>
          </cell>
          <cell r="J1566">
            <v>195.6</v>
          </cell>
          <cell r="K1566">
            <v>143.1</v>
          </cell>
          <cell r="L1566">
            <v>171.2</v>
          </cell>
          <cell r="M1566">
            <v>201.5</v>
          </cell>
        </row>
        <row r="1567">
          <cell r="C1567" t="str">
            <v>220kV 273 Mỹ Tho 500 - 276 Cai Lậy</v>
          </cell>
          <cell r="F1567">
            <v>167</v>
          </cell>
          <cell r="H1567">
            <v>132.4</v>
          </cell>
          <cell r="I1567">
            <v>128.1</v>
          </cell>
          <cell r="J1567">
            <v>154.69999999999999</v>
          </cell>
          <cell r="K1567">
            <v>113.1</v>
          </cell>
          <cell r="L1567">
            <v>132.9</v>
          </cell>
          <cell r="M1567">
            <v>167</v>
          </cell>
        </row>
        <row r="1568">
          <cell r="C1568" t="str">
            <v>220kV 274 Mỹ Tho 500 - 277 Cai Lậy</v>
          </cell>
          <cell r="F1568">
            <v>174.6</v>
          </cell>
          <cell r="H1568">
            <v>163.1</v>
          </cell>
          <cell r="I1568">
            <v>146.5</v>
          </cell>
          <cell r="J1568">
            <v>167.9</v>
          </cell>
          <cell r="K1568">
            <v>123.3</v>
          </cell>
          <cell r="L1568">
            <v>148.6</v>
          </cell>
          <cell r="M1568">
            <v>174.6</v>
          </cell>
        </row>
        <row r="1569">
          <cell r="C1569" t="str">
            <v>220kV 275 Mỹ Tho 500 - 274 Mỹ Tho 2</v>
          </cell>
          <cell r="F1569">
            <v>102.1</v>
          </cell>
          <cell r="H1569">
            <v>102.1</v>
          </cell>
          <cell r="I1569">
            <v>88.7</v>
          </cell>
          <cell r="J1569">
            <v>88.2</v>
          </cell>
          <cell r="K1569">
            <v>84.7</v>
          </cell>
          <cell r="L1569">
            <v>-46.7</v>
          </cell>
          <cell r="M1569">
            <v>-71.5</v>
          </cell>
        </row>
        <row r="1570">
          <cell r="C1570" t="str">
            <v>220kV 276 Mỹ Tho 500 - 278 NMĐ Phú Mỹ 1</v>
          </cell>
          <cell r="F1570">
            <v>55.2</v>
          </cell>
          <cell r="H1570">
            <v>-47.5</v>
          </cell>
          <cell r="I1570">
            <v>29.5</v>
          </cell>
          <cell r="J1570">
            <v>52.8</v>
          </cell>
          <cell r="K1570">
            <v>55.2</v>
          </cell>
          <cell r="L1570">
            <v>-37.1</v>
          </cell>
          <cell r="M1570">
            <v>43.9</v>
          </cell>
        </row>
        <row r="1571">
          <cell r="C1571" t="str">
            <v>220kV 277 Mỹ Tho 500 - 271 Long An 2</v>
          </cell>
          <cell r="F1571">
            <v>243.9</v>
          </cell>
          <cell r="H1571">
            <v>185</v>
          </cell>
          <cell r="I1571">
            <v>187.6</v>
          </cell>
          <cell r="J1571">
            <v>215.4</v>
          </cell>
          <cell r="K1571">
            <v>243.9</v>
          </cell>
          <cell r="L1571">
            <v>188.8</v>
          </cell>
          <cell r="M1571">
            <v>138.1</v>
          </cell>
        </row>
        <row r="1572">
          <cell r="C1572" t="str">
            <v>220kV 278 Mỹ Tho 500 - 272 Long An 2</v>
          </cell>
          <cell r="F1572">
            <v>239.1</v>
          </cell>
          <cell r="H1572">
            <v>193.2</v>
          </cell>
          <cell r="I1572">
            <v>189.5</v>
          </cell>
          <cell r="J1572">
            <v>220.8</v>
          </cell>
          <cell r="K1572">
            <v>239.1</v>
          </cell>
          <cell r="L1572">
            <v>185.6</v>
          </cell>
          <cell r="M1572">
            <v>128.6</v>
          </cell>
        </row>
        <row r="1573">
          <cell r="C1573" t="str">
            <v>Mỹ Tho 500 MBA AT2 (phía 500kV)</v>
          </cell>
          <cell r="F1573">
            <v>488</v>
          </cell>
          <cell r="H1573">
            <v>468.7</v>
          </cell>
          <cell r="I1573">
            <v>449.5</v>
          </cell>
          <cell r="J1573">
            <v>488</v>
          </cell>
          <cell r="K1573">
            <v>472.7</v>
          </cell>
          <cell r="L1573">
            <v>392</v>
          </cell>
          <cell r="M1573">
            <v>449.2</v>
          </cell>
        </row>
        <row r="1574">
          <cell r="C1574" t="str">
            <v>Mỹ Tho 500 MBA AT2 (phía 220kV)</v>
          </cell>
          <cell r="F1574">
            <v>-490.4</v>
          </cell>
          <cell r="H1574">
            <v>-467.6</v>
          </cell>
          <cell r="I1574">
            <v>-449.4</v>
          </cell>
          <cell r="J1574">
            <v>-490.4</v>
          </cell>
          <cell r="K1574">
            <v>-472</v>
          </cell>
          <cell r="L1574">
            <v>-392.2</v>
          </cell>
          <cell r="M1574">
            <v>-447.1</v>
          </cell>
        </row>
        <row r="1575">
          <cell r="C1575" t="str">
            <v>110kV 172 Mỹ Thuận - 174 Cao Lãnh 2</v>
          </cell>
          <cell r="F1575">
            <v>-83.3</v>
          </cell>
          <cell r="H1575">
            <v>-24.9</v>
          </cell>
          <cell r="I1575">
            <v>-22.1</v>
          </cell>
          <cell r="J1575">
            <v>-28.3</v>
          </cell>
          <cell r="K1575">
            <v>-22.3</v>
          </cell>
          <cell r="L1575">
            <v>-83.3</v>
          </cell>
          <cell r="M1575">
            <v>-23.5</v>
          </cell>
        </row>
        <row r="1576">
          <cell r="C1576" t="str">
            <v>Mỹ Thuận MBA T2 (phía 110kV)</v>
          </cell>
          <cell r="F1576">
            <v>10.8</v>
          </cell>
          <cell r="H1576">
            <v>10.3</v>
          </cell>
          <cell r="I1576">
            <v>9.9</v>
          </cell>
          <cell r="J1576">
            <v>10.8</v>
          </cell>
          <cell r="K1576">
            <v>8.9</v>
          </cell>
          <cell r="L1576">
            <v>9.8000000000000007</v>
          </cell>
          <cell r="M1576">
            <v>10.1</v>
          </cell>
        </row>
        <row r="1577">
          <cell r="C1577" t="str">
            <v>Mỹ Thuận MBA T2 (phía 22kV)</v>
          </cell>
          <cell r="F1577">
            <v>-10.8</v>
          </cell>
          <cell r="H1577">
            <v>-10.3</v>
          </cell>
          <cell r="I1577">
            <v>-9.9</v>
          </cell>
          <cell r="J1577">
            <v>-10.8</v>
          </cell>
          <cell r="K1577">
            <v>-8.8000000000000007</v>
          </cell>
          <cell r="L1577">
            <v>-9.9</v>
          </cell>
          <cell r="M1577">
            <v>-10</v>
          </cell>
        </row>
        <row r="1578">
          <cell r="C1578" t="str">
            <v>110kV 173 Mỹ Thuận - 171 Cái Bè</v>
          </cell>
          <cell r="E1578">
            <v>0</v>
          </cell>
          <cell r="F1578">
            <v>59.7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59.7</v>
          </cell>
          <cell r="M1578">
            <v>0</v>
          </cell>
        </row>
        <row r="1579">
          <cell r="C1579" t="str">
            <v>Mỹ Thuận MBA T1 (phía 110kV)</v>
          </cell>
          <cell r="F1579">
            <v>17.7</v>
          </cell>
          <cell r="H1579">
            <v>15.4</v>
          </cell>
          <cell r="I1579">
            <v>13.4</v>
          </cell>
          <cell r="J1579">
            <v>17.7</v>
          </cell>
          <cell r="K1579">
            <v>13.8</v>
          </cell>
          <cell r="L1579">
            <v>14.9</v>
          </cell>
          <cell r="M1579">
            <v>13.9</v>
          </cell>
        </row>
        <row r="1580">
          <cell r="C1580" t="str">
            <v>Mỹ Thuận MBA T1 (phía 22kV)</v>
          </cell>
          <cell r="F1580">
            <v>-17.600000000000001</v>
          </cell>
          <cell r="H1580">
            <v>-15.4</v>
          </cell>
          <cell r="I1580">
            <v>-13.4</v>
          </cell>
          <cell r="J1580">
            <v>-17.600000000000001</v>
          </cell>
          <cell r="K1580">
            <v>-13.9</v>
          </cell>
          <cell r="L1580">
            <v>-14.9</v>
          </cell>
          <cell r="M1580">
            <v>-13.8</v>
          </cell>
        </row>
        <row r="1581">
          <cell r="C1581" t="str">
            <v>110kV 171 Mỹ Tú - 177 Sóc Trăng</v>
          </cell>
          <cell r="F1581">
            <v>-15.4</v>
          </cell>
          <cell r="H1581">
            <v>-15.4</v>
          </cell>
          <cell r="I1581">
            <v>-12.9</v>
          </cell>
        </row>
        <row r="1582">
          <cell r="C1582" t="str">
            <v>Mỹ Tú MBA T1 (phía 110kV)</v>
          </cell>
          <cell r="E1582">
            <v>0</v>
          </cell>
          <cell r="F1582">
            <v>16.600000000000001</v>
          </cell>
          <cell r="H1582">
            <v>0</v>
          </cell>
          <cell r="I1582">
            <v>0</v>
          </cell>
          <cell r="J1582">
            <v>16.600000000000001</v>
          </cell>
          <cell r="K1582">
            <v>14.8</v>
          </cell>
          <cell r="L1582">
            <v>15.4</v>
          </cell>
          <cell r="M1582">
            <v>15.4</v>
          </cell>
        </row>
        <row r="1583">
          <cell r="C1583" t="str">
            <v>Mỹ Tú MBA T1 (phía 22kV)</v>
          </cell>
          <cell r="F1583">
            <v>-16.7</v>
          </cell>
          <cell r="H1583">
            <v>-15.4</v>
          </cell>
          <cell r="I1583">
            <v>-13</v>
          </cell>
          <cell r="J1583">
            <v>-16.7</v>
          </cell>
          <cell r="K1583">
            <v>-14.9</v>
          </cell>
          <cell r="L1583">
            <v>-15.5</v>
          </cell>
          <cell r="M1583">
            <v>-15.5</v>
          </cell>
        </row>
        <row r="1584">
          <cell r="C1584" t="str">
            <v>110kV 172 Mỹ Tú - 177 Sóc Trăng 2</v>
          </cell>
          <cell r="F1584">
            <v>-16.399999999999999</v>
          </cell>
          <cell r="J1584">
            <v>-16.399999999999999</v>
          </cell>
          <cell r="K1584">
            <v>-14.6</v>
          </cell>
          <cell r="L1584">
            <v>-15.2</v>
          </cell>
          <cell r="M1584">
            <v>-15.2</v>
          </cell>
        </row>
        <row r="1585">
          <cell r="C1585" t="str">
            <v>110kV 175 Mỹ Xuân 2 - 171 China Steel</v>
          </cell>
          <cell r="F1585">
            <v>17.7</v>
          </cell>
          <cell r="H1585">
            <v>17.7</v>
          </cell>
          <cell r="I1585">
            <v>17.100000000000001</v>
          </cell>
          <cell r="J1585">
            <v>15.7</v>
          </cell>
          <cell r="K1585">
            <v>15.1</v>
          </cell>
          <cell r="L1585">
            <v>15.5</v>
          </cell>
          <cell r="M1585">
            <v>16</v>
          </cell>
        </row>
        <row r="1586">
          <cell r="C1586" t="str">
            <v>Mỹ Xuân 2 MBA AT1 (phía 110kV)</v>
          </cell>
          <cell r="F1586">
            <v>-132.80000000000001</v>
          </cell>
          <cell r="H1586">
            <v>-129.19999999999999</v>
          </cell>
          <cell r="I1586">
            <v>-108.4</v>
          </cell>
          <cell r="J1586">
            <v>-106.2</v>
          </cell>
          <cell r="K1586">
            <v>-132.80000000000001</v>
          </cell>
          <cell r="L1586">
            <v>-116.5</v>
          </cell>
          <cell r="M1586">
            <v>-107.8</v>
          </cell>
        </row>
        <row r="1587">
          <cell r="C1587" t="str">
            <v>110kV 176 Mỹ Xuân 2 - 172 China Steel</v>
          </cell>
          <cell r="F1587">
            <v>16.899999999999999</v>
          </cell>
          <cell r="H1587">
            <v>16.7</v>
          </cell>
          <cell r="I1587">
            <v>16.899999999999999</v>
          </cell>
          <cell r="J1587">
            <v>15.1</v>
          </cell>
          <cell r="K1587">
            <v>15.1</v>
          </cell>
          <cell r="L1587">
            <v>15.2</v>
          </cell>
          <cell r="M1587">
            <v>16</v>
          </cell>
        </row>
        <row r="1588">
          <cell r="C1588" t="str">
            <v>Mỹ Xuân 2 MBA AT2 (phía 110kV)</v>
          </cell>
          <cell r="F1588">
            <v>-133.80000000000001</v>
          </cell>
          <cell r="H1588">
            <v>-129.9</v>
          </cell>
          <cell r="I1588">
            <v>-108.7</v>
          </cell>
          <cell r="J1588">
            <v>-107.3</v>
          </cell>
          <cell r="K1588">
            <v>-133.80000000000001</v>
          </cell>
          <cell r="L1588">
            <v>-116.8</v>
          </cell>
          <cell r="M1588">
            <v>-108.7</v>
          </cell>
        </row>
        <row r="1589">
          <cell r="C1589" t="str">
            <v>110kV 177 Mỹ Xuân 2 - 172 Gò Dầu</v>
          </cell>
          <cell r="F1589">
            <v>98.8</v>
          </cell>
          <cell r="H1589">
            <v>98.8</v>
          </cell>
          <cell r="I1589">
            <v>76.7</v>
          </cell>
          <cell r="J1589">
            <v>79.2</v>
          </cell>
          <cell r="K1589">
            <v>96</v>
          </cell>
          <cell r="L1589">
            <v>84.2</v>
          </cell>
          <cell r="M1589">
            <v>79.099999999999994</v>
          </cell>
        </row>
        <row r="1590">
          <cell r="C1590" t="str">
            <v>110kV 178 Mỹ Xuân 2 - 172 Vedan</v>
          </cell>
          <cell r="F1590">
            <v>54.7</v>
          </cell>
          <cell r="H1590">
            <v>54.3</v>
          </cell>
          <cell r="I1590">
            <v>37.5</v>
          </cell>
          <cell r="J1590">
            <v>31.8</v>
          </cell>
          <cell r="K1590">
            <v>54.7</v>
          </cell>
          <cell r="L1590">
            <v>52</v>
          </cell>
          <cell r="M1590">
            <v>45.1</v>
          </cell>
        </row>
        <row r="1591">
          <cell r="C1591" t="str">
            <v>110kV 179 Mỹ Xuân 2 - 172 Mỹ Xuân A</v>
          </cell>
          <cell r="F1591">
            <v>44.8</v>
          </cell>
          <cell r="H1591">
            <v>42.2</v>
          </cell>
          <cell r="I1591">
            <v>38.799999999999997</v>
          </cell>
          <cell r="J1591">
            <v>37.200000000000003</v>
          </cell>
          <cell r="K1591">
            <v>40.1</v>
          </cell>
          <cell r="L1591">
            <v>44.8</v>
          </cell>
          <cell r="M1591">
            <v>42.8</v>
          </cell>
        </row>
        <row r="1592">
          <cell r="C1592" t="str">
            <v>110kV 180 Mỹ Xuân 2 - 172 Mỹ Xuân B1</v>
          </cell>
          <cell r="F1592">
            <v>56</v>
          </cell>
          <cell r="H1592">
            <v>56</v>
          </cell>
          <cell r="I1592">
            <v>54.7</v>
          </cell>
          <cell r="J1592">
            <v>55.5</v>
          </cell>
          <cell r="K1592">
            <v>53.1</v>
          </cell>
          <cell r="L1592">
            <v>43.7</v>
          </cell>
          <cell r="M1592">
            <v>42.1</v>
          </cell>
        </row>
        <row r="1593">
          <cell r="C1593" t="str">
            <v>220kV 273 Mỹ Xuân 2 - 274  NMĐ Phú Mỹ 1</v>
          </cell>
          <cell r="F1593">
            <v>-340.9</v>
          </cell>
          <cell r="H1593">
            <v>-332.8</v>
          </cell>
          <cell r="I1593">
            <v>-237.6</v>
          </cell>
          <cell r="J1593">
            <v>-324.10000000000002</v>
          </cell>
          <cell r="K1593">
            <v>-340.9</v>
          </cell>
          <cell r="L1593">
            <v>-337.8</v>
          </cell>
          <cell r="M1593">
            <v>-273.39999999999998</v>
          </cell>
        </row>
        <row r="1594">
          <cell r="C1594" t="str">
            <v>Mỹ Xuân 2 MBA AT1 (phía 220kV)</v>
          </cell>
          <cell r="F1594">
            <v>133.30000000000001</v>
          </cell>
          <cell r="H1594">
            <v>130.69999999999999</v>
          </cell>
          <cell r="I1594">
            <v>108.5</v>
          </cell>
          <cell r="J1594">
            <v>107.7</v>
          </cell>
          <cell r="K1594">
            <v>133.30000000000001</v>
          </cell>
          <cell r="L1594">
            <v>116.9</v>
          </cell>
          <cell r="M1594">
            <v>108.3</v>
          </cell>
        </row>
        <row r="1595">
          <cell r="C1595" t="str">
            <v>220kV 274 Mỹ Xuân 2 - 275 NMĐ Phú Mỹ 1</v>
          </cell>
          <cell r="F1595">
            <v>-340.5</v>
          </cell>
          <cell r="H1595">
            <v>-331.9</v>
          </cell>
          <cell r="I1595">
            <v>-235.8</v>
          </cell>
          <cell r="J1595">
            <v>-323</v>
          </cell>
          <cell r="K1595">
            <v>-340.5</v>
          </cell>
          <cell r="L1595">
            <v>-337.3</v>
          </cell>
          <cell r="M1595">
            <v>-272.89999999999998</v>
          </cell>
        </row>
        <row r="1596">
          <cell r="C1596" t="str">
            <v>Mỹ Xuân 2 MBA AT2 (phía 220kV)</v>
          </cell>
          <cell r="F1596">
            <v>133.9</v>
          </cell>
          <cell r="H1596">
            <v>130.1</v>
          </cell>
          <cell r="I1596">
            <v>108.7</v>
          </cell>
          <cell r="J1596">
            <v>107.5</v>
          </cell>
          <cell r="K1596">
            <v>133.9</v>
          </cell>
          <cell r="L1596">
            <v>117.3</v>
          </cell>
          <cell r="M1596">
            <v>108.8</v>
          </cell>
        </row>
        <row r="1597">
          <cell r="C1597" t="str">
            <v>220kV 275 Mỹ Xuân 2 - 272 Cát Lái</v>
          </cell>
          <cell r="F1597">
            <v>225.5</v>
          </cell>
          <cell r="H1597">
            <v>197.9</v>
          </cell>
          <cell r="I1597">
            <v>132</v>
          </cell>
          <cell r="J1597">
            <v>213.7</v>
          </cell>
          <cell r="K1597">
            <v>204.5</v>
          </cell>
          <cell r="L1597">
            <v>225.5</v>
          </cell>
          <cell r="M1597">
            <v>165.8</v>
          </cell>
        </row>
        <row r="1598">
          <cell r="C1598" t="str">
            <v>220kV 276 Mỹ Xuân 2 - 271 Cát Lái</v>
          </cell>
          <cell r="F1598">
            <v>231</v>
          </cell>
          <cell r="H1598">
            <v>206.9</v>
          </cell>
          <cell r="I1598">
            <v>139</v>
          </cell>
          <cell r="J1598">
            <v>224.3</v>
          </cell>
          <cell r="K1598">
            <v>210.2</v>
          </cell>
          <cell r="L1598">
            <v>231</v>
          </cell>
          <cell r="M1598">
            <v>170.2</v>
          </cell>
        </row>
        <row r="1599">
          <cell r="C1599" t="str">
            <v>Mỹ Xuân A MBA T1 (phía 110kV)</v>
          </cell>
          <cell r="D1599">
            <v>131</v>
          </cell>
          <cell r="E1599">
            <v>32.5</v>
          </cell>
          <cell r="F1599">
            <v>39.299999999999997</v>
          </cell>
          <cell r="G1599">
            <v>37.5</v>
          </cell>
          <cell r="H1599">
            <v>37.299999999999997</v>
          </cell>
          <cell r="I1599">
            <v>34</v>
          </cell>
          <cell r="J1599">
            <v>34.1</v>
          </cell>
          <cell r="K1599">
            <v>39.299999999999997</v>
          </cell>
          <cell r="L1599">
            <v>33.799999999999997</v>
          </cell>
          <cell r="M1599">
            <v>32.5</v>
          </cell>
        </row>
        <row r="1600">
          <cell r="C1600" t="str">
            <v>Mỹ Xuân A MBA T2 (phía 110kV)</v>
          </cell>
          <cell r="D1600">
            <v>132</v>
          </cell>
          <cell r="E1600">
            <v>38.1</v>
          </cell>
          <cell r="F1600">
            <v>45.3</v>
          </cell>
          <cell r="G1600">
            <v>40.9</v>
          </cell>
          <cell r="H1600">
            <v>41.9</v>
          </cell>
          <cell r="I1600">
            <v>39.799999999999997</v>
          </cell>
          <cell r="J1600">
            <v>38.1</v>
          </cell>
          <cell r="K1600">
            <v>40.299999999999997</v>
          </cell>
          <cell r="L1600">
            <v>45.3</v>
          </cell>
          <cell r="M1600">
            <v>42.7</v>
          </cell>
        </row>
        <row r="1601">
          <cell r="C1601" t="str">
            <v>110kV 171 Mỹ Xuân A - 176 NMĐ Phú Mỹ 1</v>
          </cell>
          <cell r="D1601">
            <v>171</v>
          </cell>
          <cell r="E1601">
            <v>-33</v>
          </cell>
          <cell r="F1601">
            <v>-39.299999999999997</v>
          </cell>
          <cell r="G1601">
            <v>-37.6</v>
          </cell>
          <cell r="H1601">
            <v>-36.9</v>
          </cell>
          <cell r="I1601">
            <v>-33.700000000000003</v>
          </cell>
          <cell r="J1601">
            <v>-34</v>
          </cell>
          <cell r="K1601">
            <v>-39.299999999999997</v>
          </cell>
          <cell r="L1601">
            <v>-33.700000000000003</v>
          </cell>
          <cell r="M1601">
            <v>-33</v>
          </cell>
        </row>
        <row r="1602">
          <cell r="C1602" t="str">
            <v>110kV 172 Mỹ Xuân A - 179 Mỹ Xuân 2</v>
          </cell>
          <cell r="D1602">
            <v>172</v>
          </cell>
          <cell r="E1602">
            <v>-37.9</v>
          </cell>
          <cell r="F1602">
            <v>-45</v>
          </cell>
          <cell r="G1602">
            <v>-40.700000000000003</v>
          </cell>
          <cell r="H1602">
            <v>-42.2</v>
          </cell>
          <cell r="I1602">
            <v>-39.700000000000003</v>
          </cell>
          <cell r="J1602">
            <v>-37.9</v>
          </cell>
          <cell r="K1602">
            <v>-40.9</v>
          </cell>
          <cell r="L1602">
            <v>-45</v>
          </cell>
          <cell r="M1602">
            <v>-42.5</v>
          </cell>
        </row>
        <row r="1603">
          <cell r="C1603" t="str">
            <v>Mỹ Xuân A MBA T1 (phía 22kV)</v>
          </cell>
          <cell r="D1603">
            <v>431</v>
          </cell>
          <cell r="E1603">
            <v>-32.4</v>
          </cell>
          <cell r="F1603">
            <v>-39.1</v>
          </cell>
          <cell r="G1603">
            <v>-37.4</v>
          </cell>
          <cell r="H1603">
            <v>-36.700000000000003</v>
          </cell>
          <cell r="I1603">
            <v>-34</v>
          </cell>
          <cell r="J1603">
            <v>-33.9</v>
          </cell>
          <cell r="K1603">
            <v>-39.1</v>
          </cell>
          <cell r="L1603">
            <v>-33.5</v>
          </cell>
          <cell r="M1603">
            <v>-32.4</v>
          </cell>
        </row>
        <row r="1604">
          <cell r="C1604" t="str">
            <v>Mỹ Xuân A MBA T2 (phía 22kV)</v>
          </cell>
          <cell r="D1604">
            <v>432</v>
          </cell>
          <cell r="E1604">
            <v>-37.700000000000003</v>
          </cell>
          <cell r="F1604">
            <v>-44.9</v>
          </cell>
          <cell r="G1604">
            <v>-40.700000000000003</v>
          </cell>
          <cell r="H1604">
            <v>-42.4</v>
          </cell>
          <cell r="I1604">
            <v>-39.299999999999997</v>
          </cell>
          <cell r="J1604">
            <v>-37.700000000000003</v>
          </cell>
          <cell r="K1604">
            <v>-40.200000000000003</v>
          </cell>
          <cell r="L1604">
            <v>-44.9</v>
          </cell>
          <cell r="M1604">
            <v>-42.7</v>
          </cell>
        </row>
        <row r="1605">
          <cell r="C1605" t="str">
            <v>110kV 171 Mỹ Xuân B1 - 171 Đồng Tiến</v>
          </cell>
          <cell r="E1605">
            <v>0</v>
          </cell>
          <cell r="F1605">
            <v>0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</row>
        <row r="1606">
          <cell r="C1606" t="str">
            <v>110kV 172 Mỹ Xuân B1 - 180 Mỹ Xuân 2</v>
          </cell>
          <cell r="F1606">
            <v>-56.6</v>
          </cell>
          <cell r="H1606">
            <v>-56.6</v>
          </cell>
          <cell r="I1606">
            <v>-55.4</v>
          </cell>
          <cell r="J1606">
            <v>-55.4</v>
          </cell>
          <cell r="K1606">
            <v>-52.9</v>
          </cell>
          <cell r="L1606">
            <v>-43.6</v>
          </cell>
          <cell r="M1606">
            <v>-42.8</v>
          </cell>
        </row>
        <row r="1607">
          <cell r="C1607" t="str">
            <v>Mỹ Xuân B1 MBA T2 (phía 110kV)</v>
          </cell>
          <cell r="F1607">
            <v>39</v>
          </cell>
          <cell r="H1607">
            <v>39</v>
          </cell>
          <cell r="I1607">
            <v>38</v>
          </cell>
          <cell r="J1607">
            <v>35.6</v>
          </cell>
          <cell r="K1607">
            <v>37.1</v>
          </cell>
          <cell r="L1607">
            <v>30.1</v>
          </cell>
          <cell r="M1607">
            <v>30.4</v>
          </cell>
        </row>
        <row r="1608">
          <cell r="C1608" t="str">
            <v>Mỹ Xuân B1 MBA T2 (phía 22kV)</v>
          </cell>
          <cell r="F1608">
            <v>-38.799999999999997</v>
          </cell>
          <cell r="H1608">
            <v>-38.799999999999997</v>
          </cell>
          <cell r="I1608">
            <v>-37.9</v>
          </cell>
          <cell r="J1608">
            <v>-35.799999999999997</v>
          </cell>
          <cell r="K1608">
            <v>-37</v>
          </cell>
          <cell r="L1608">
            <v>-30.2</v>
          </cell>
          <cell r="M1608">
            <v>-30.1</v>
          </cell>
        </row>
        <row r="1609">
          <cell r="C1609" t="str">
            <v>Mỹ Xuân B1 MBA T1 (phía 110kV)</v>
          </cell>
          <cell r="F1609">
            <v>20</v>
          </cell>
          <cell r="H1609">
            <v>17.7</v>
          </cell>
          <cell r="I1609">
            <v>19.100000000000001</v>
          </cell>
          <cell r="J1609">
            <v>20</v>
          </cell>
          <cell r="K1609">
            <v>17</v>
          </cell>
          <cell r="L1609">
            <v>14.8</v>
          </cell>
          <cell r="M1609">
            <v>15.7</v>
          </cell>
        </row>
        <row r="1610">
          <cell r="C1610" t="str">
            <v>Mỹ Xuân B1 MBA T1 (phía 22kV)</v>
          </cell>
          <cell r="F1610">
            <v>-20</v>
          </cell>
          <cell r="H1610">
            <v>-17.7</v>
          </cell>
          <cell r="I1610">
            <v>-19.100000000000001</v>
          </cell>
          <cell r="J1610">
            <v>-20</v>
          </cell>
          <cell r="K1610">
            <v>-16.899999999999999</v>
          </cell>
          <cell r="L1610">
            <v>-14.7</v>
          </cell>
          <cell r="M1610">
            <v>-15.7</v>
          </cell>
        </row>
        <row r="1611">
          <cell r="C1611" t="str">
            <v>110kV 171 Mỹ Xuyên - 173 Sóc Trăng 2</v>
          </cell>
          <cell r="F1611">
            <v>-60.7</v>
          </cell>
          <cell r="H1611">
            <v>-58.6</v>
          </cell>
          <cell r="I1611">
            <v>-56.4</v>
          </cell>
          <cell r="J1611">
            <v>-60.7</v>
          </cell>
          <cell r="K1611">
            <v>-58</v>
          </cell>
          <cell r="L1611">
            <v>-57.1</v>
          </cell>
          <cell r="M1611">
            <v>-57.7</v>
          </cell>
        </row>
        <row r="1612">
          <cell r="C1612" t="str">
            <v>110kV 172 Mỹ Xuyên - 131 Vĩnh Châu</v>
          </cell>
          <cell r="F1612">
            <v>43.3</v>
          </cell>
          <cell r="H1612">
            <v>42.1</v>
          </cell>
          <cell r="I1612">
            <v>39.200000000000003</v>
          </cell>
          <cell r="J1612">
            <v>43.3</v>
          </cell>
          <cell r="K1612">
            <v>40.4</v>
          </cell>
          <cell r="L1612">
            <v>40.6</v>
          </cell>
          <cell r="M1612">
            <v>40.700000000000003</v>
          </cell>
        </row>
        <row r="1613">
          <cell r="C1613" t="str">
            <v>Mỹ Xuyên MBA T1 (phía 110kV)</v>
          </cell>
          <cell r="F1613">
            <v>18.399999999999999</v>
          </cell>
          <cell r="H1613">
            <v>17.2</v>
          </cell>
          <cell r="I1613">
            <v>17.3</v>
          </cell>
          <cell r="J1613">
            <v>18.399999999999999</v>
          </cell>
          <cell r="K1613">
            <v>17.8</v>
          </cell>
          <cell r="L1613">
            <v>17.3</v>
          </cell>
          <cell r="M1613">
            <v>17.2</v>
          </cell>
        </row>
        <row r="1614">
          <cell r="C1614" t="str">
            <v>Mỹ Xuyên MBA T1 (phía 22kV)</v>
          </cell>
          <cell r="F1614">
            <v>-18.2</v>
          </cell>
          <cell r="H1614">
            <v>-17</v>
          </cell>
          <cell r="I1614">
            <v>-17.3</v>
          </cell>
          <cell r="J1614">
            <v>-18.2</v>
          </cell>
          <cell r="K1614">
            <v>-17.8</v>
          </cell>
          <cell r="L1614">
            <v>-17.3</v>
          </cell>
          <cell r="M1614">
            <v>-17.2</v>
          </cell>
        </row>
        <row r="1615">
          <cell r="C1615" t="str">
            <v>110kV 171 Nam Sài Gòn 1 - 178 Nhà Bè</v>
          </cell>
          <cell r="F1615">
            <v>-50.2</v>
          </cell>
          <cell r="H1615">
            <v>-50.2</v>
          </cell>
          <cell r="I1615">
            <v>-38.6</v>
          </cell>
          <cell r="J1615">
            <v>-48.8</v>
          </cell>
          <cell r="K1615">
            <v>-41.9</v>
          </cell>
          <cell r="L1615">
            <v>-49.2</v>
          </cell>
          <cell r="M1615">
            <v>-41.4</v>
          </cell>
        </row>
        <row r="1616">
          <cell r="C1616" t="str">
            <v>110kV 172 Nam Sài Gòn 1 - 175 Việt Thành</v>
          </cell>
          <cell r="E1616">
            <v>0</v>
          </cell>
          <cell r="F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</row>
        <row r="1617">
          <cell r="C1617" t="str">
            <v>Nam Sài Gòn 1 MBA T1 (phía 110kV)</v>
          </cell>
          <cell r="F1617">
            <v>27.1</v>
          </cell>
          <cell r="H1617">
            <v>24.8</v>
          </cell>
          <cell r="I1617">
            <v>18.899999999999999</v>
          </cell>
          <cell r="J1617">
            <v>24.1</v>
          </cell>
          <cell r="K1617">
            <v>21</v>
          </cell>
          <cell r="L1617">
            <v>27.1</v>
          </cell>
          <cell r="M1617">
            <v>18.8</v>
          </cell>
        </row>
        <row r="1618">
          <cell r="C1618" t="str">
            <v>Nam Sài Gòn 1 MBA T1 (phía 22kV)</v>
          </cell>
          <cell r="F1618">
            <v>-27.1</v>
          </cell>
          <cell r="H1618">
            <v>-24.9</v>
          </cell>
          <cell r="I1618">
            <v>-18.899999999999999</v>
          </cell>
          <cell r="J1618">
            <v>-23.9</v>
          </cell>
          <cell r="K1618">
            <v>-20.9</v>
          </cell>
          <cell r="L1618">
            <v>-27.1</v>
          </cell>
          <cell r="M1618">
            <v>-18.8</v>
          </cell>
        </row>
        <row r="1619">
          <cell r="C1619" t="str">
            <v>Nam Sài Gòn 1 MBA T2 (phía 110kV)</v>
          </cell>
          <cell r="F1619">
            <v>25.7</v>
          </cell>
          <cell r="H1619">
            <v>25.7</v>
          </cell>
          <cell r="I1619">
            <v>21</v>
          </cell>
          <cell r="J1619">
            <v>24.7</v>
          </cell>
          <cell r="K1619">
            <v>21.3</v>
          </cell>
          <cell r="L1619">
            <v>22.4</v>
          </cell>
          <cell r="M1619">
            <v>22.5</v>
          </cell>
        </row>
        <row r="1620">
          <cell r="C1620" t="str">
            <v>Nam Sài Gòn 1 MBA T2 (phía 22kV)</v>
          </cell>
          <cell r="F1620">
            <v>-25.7</v>
          </cell>
          <cell r="H1620">
            <v>-25.7</v>
          </cell>
          <cell r="I1620">
            <v>-21</v>
          </cell>
          <cell r="J1620">
            <v>-24.7</v>
          </cell>
          <cell r="K1620">
            <v>-21.3</v>
          </cell>
          <cell r="L1620">
            <v>-22.4</v>
          </cell>
          <cell r="M1620">
            <v>-22.5</v>
          </cell>
        </row>
        <row r="1621">
          <cell r="C1621" t="str">
            <v>Nam Sài Gòn 2 MBA T1 (phía 110kV)</v>
          </cell>
          <cell r="D1621">
            <v>131</v>
          </cell>
          <cell r="E1621">
            <v>10.9</v>
          </cell>
          <cell r="F1621">
            <v>12.2</v>
          </cell>
          <cell r="G1621">
            <v>12.2</v>
          </cell>
          <cell r="H1621">
            <v>12.1</v>
          </cell>
          <cell r="I1621">
            <v>10.9</v>
          </cell>
          <cell r="J1621">
            <v>11.7</v>
          </cell>
          <cell r="K1621">
            <v>11</v>
          </cell>
          <cell r="L1621">
            <v>11.6</v>
          </cell>
          <cell r="M1621">
            <v>11.3</v>
          </cell>
        </row>
        <row r="1622">
          <cell r="C1622" t="str">
            <v>Nam Sài Gòn 2 MBA T2 (phía 110kV)</v>
          </cell>
          <cell r="D1622">
            <v>132</v>
          </cell>
          <cell r="E1622">
            <v>18.899999999999999</v>
          </cell>
          <cell r="F1622">
            <v>40</v>
          </cell>
          <cell r="G1622">
            <v>32.200000000000003</v>
          </cell>
          <cell r="H1622">
            <v>40</v>
          </cell>
          <cell r="I1622">
            <v>30.8</v>
          </cell>
          <cell r="J1622">
            <v>32.9</v>
          </cell>
          <cell r="K1622">
            <v>30.7</v>
          </cell>
          <cell r="L1622">
            <v>18.899999999999999</v>
          </cell>
          <cell r="M1622">
            <v>19.8</v>
          </cell>
        </row>
        <row r="1623">
          <cell r="C1623" t="str">
            <v xml:space="preserve">110kV 171 Nam Sài Gòn 2 - 177 Bình Chánh </v>
          </cell>
          <cell r="D1623">
            <v>171</v>
          </cell>
          <cell r="E1623">
            <v>-14.6</v>
          </cell>
          <cell r="F1623">
            <v>-25.5</v>
          </cell>
          <cell r="G1623">
            <v>-21.4</v>
          </cell>
          <cell r="H1623">
            <v>-25.5</v>
          </cell>
          <cell r="I1623">
            <v>-19.8</v>
          </cell>
          <cell r="J1623">
            <v>-22.1</v>
          </cell>
          <cell r="K1623">
            <v>-19.899999999999999</v>
          </cell>
          <cell r="L1623">
            <v>-14.6</v>
          </cell>
          <cell r="M1623">
            <v>-15.4</v>
          </cell>
        </row>
        <row r="1624">
          <cell r="C1624" t="str">
            <v>110kV 172 Nam Sài Gòn 2 - 178 Bình Chánh</v>
          </cell>
          <cell r="D1624">
            <v>172</v>
          </cell>
          <cell r="E1624">
            <v>-14.7</v>
          </cell>
          <cell r="F1624">
            <v>-25.7</v>
          </cell>
          <cell r="G1624">
            <v>-21.5</v>
          </cell>
          <cell r="H1624">
            <v>-25.7</v>
          </cell>
          <cell r="I1624">
            <v>-19.899999999999999</v>
          </cell>
          <cell r="J1624">
            <v>-22.2</v>
          </cell>
          <cell r="K1624">
            <v>-20</v>
          </cell>
          <cell r="L1624">
            <v>-14.7</v>
          </cell>
          <cell r="M1624">
            <v>-15.5</v>
          </cell>
        </row>
        <row r="1625">
          <cell r="C1625" t="str">
            <v>Nam Sài Gòn 2 MBA T1 (phía 22kV)</v>
          </cell>
          <cell r="D1625">
            <v>431</v>
          </cell>
          <cell r="E1625">
            <v>-11</v>
          </cell>
          <cell r="F1625">
            <v>-12.2</v>
          </cell>
          <cell r="G1625">
            <v>-12.2</v>
          </cell>
          <cell r="H1625">
            <v>-12.1</v>
          </cell>
          <cell r="I1625">
            <v>-11</v>
          </cell>
          <cell r="J1625">
            <v>-11.9</v>
          </cell>
          <cell r="K1625">
            <v>-11.1</v>
          </cell>
          <cell r="L1625">
            <v>-11.7</v>
          </cell>
          <cell r="M1625">
            <v>-11.4</v>
          </cell>
        </row>
        <row r="1626">
          <cell r="C1626" t="str">
            <v>Nam Sài Gòn 2 MBA T2 (phía 22kV)</v>
          </cell>
          <cell r="D1626">
            <v>432</v>
          </cell>
          <cell r="E1626">
            <v>-18.8</v>
          </cell>
          <cell r="F1626">
            <v>-39.9</v>
          </cell>
          <cell r="G1626">
            <v>-32.4</v>
          </cell>
          <cell r="H1626">
            <v>-39.9</v>
          </cell>
          <cell r="I1626">
            <v>-30.9</v>
          </cell>
          <cell r="J1626">
            <v>-33</v>
          </cell>
          <cell r="K1626">
            <v>-30.8</v>
          </cell>
          <cell r="L1626">
            <v>-18.8</v>
          </cell>
          <cell r="M1626">
            <v>-19.8</v>
          </cell>
        </row>
        <row r="1627">
          <cell r="C1627" t="str">
            <v>Nam Sài Gòn 3 MBA T1 (phía 110kV)</v>
          </cell>
          <cell r="F1627">
            <v>38.6</v>
          </cell>
          <cell r="H1627">
            <v>38.6</v>
          </cell>
          <cell r="I1627">
            <v>28.8</v>
          </cell>
          <cell r="J1627">
            <v>30.8</v>
          </cell>
          <cell r="K1627">
            <v>26.8</v>
          </cell>
          <cell r="L1627">
            <v>23</v>
          </cell>
          <cell r="M1627">
            <v>21.6</v>
          </cell>
        </row>
        <row r="1628">
          <cell r="C1628" t="str">
            <v>Nam Sài Gòn 3 MBA T2 (phía 110kV)</v>
          </cell>
          <cell r="F1628">
            <v>36.9</v>
          </cell>
          <cell r="H1628">
            <v>36.9</v>
          </cell>
          <cell r="I1628">
            <v>28</v>
          </cell>
          <cell r="J1628">
            <v>30.8</v>
          </cell>
          <cell r="K1628">
            <v>27.7</v>
          </cell>
          <cell r="L1628">
            <v>27.2</v>
          </cell>
          <cell r="M1628">
            <v>27.1</v>
          </cell>
        </row>
        <row r="1629">
          <cell r="C1629" t="str">
            <v>110kV 171 Nam Sài Gòn 3 - 174 Phú Mỹ Hưng</v>
          </cell>
          <cell r="F1629">
            <v>-38.1</v>
          </cell>
          <cell r="H1629">
            <v>-38.1</v>
          </cell>
          <cell r="I1629">
            <v>-28.4</v>
          </cell>
          <cell r="J1629">
            <v>-31</v>
          </cell>
          <cell r="K1629">
            <v>-27.8</v>
          </cell>
          <cell r="L1629">
            <v>-25.6</v>
          </cell>
          <cell r="M1629">
            <v>-24.9</v>
          </cell>
        </row>
        <row r="1630">
          <cell r="C1630" t="str">
            <v>110kV 172 Nam Sài Gòn 3 - 173 Phú Mỹ Hưng</v>
          </cell>
          <cell r="F1630">
            <v>-37.700000000000003</v>
          </cell>
          <cell r="H1630">
            <v>-37.700000000000003</v>
          </cell>
          <cell r="I1630">
            <v>-27.5</v>
          </cell>
          <cell r="J1630">
            <v>-30.2</v>
          </cell>
          <cell r="K1630">
            <v>-26.8</v>
          </cell>
          <cell r="L1630">
            <v>-25.2</v>
          </cell>
          <cell r="M1630">
            <v>-23.8</v>
          </cell>
        </row>
        <row r="1631">
          <cell r="C1631" t="str">
            <v>Nam Sài Gòn 3 MBA T1 (phía 22kV)</v>
          </cell>
          <cell r="F1631">
            <v>-38.700000000000003</v>
          </cell>
          <cell r="H1631">
            <v>-38.700000000000003</v>
          </cell>
          <cell r="I1631">
            <v>-28.9</v>
          </cell>
          <cell r="J1631">
            <v>-30.3</v>
          </cell>
          <cell r="K1631">
            <v>-26.9</v>
          </cell>
          <cell r="L1631">
            <v>-22.4</v>
          </cell>
          <cell r="M1631">
            <v>-21.6</v>
          </cell>
        </row>
        <row r="1632">
          <cell r="C1632" t="str">
            <v>Nam Sài Gòn 3 MBA T2 (phía 22kV)</v>
          </cell>
          <cell r="F1632">
            <v>-36.799999999999997</v>
          </cell>
          <cell r="H1632">
            <v>-36.799999999999997</v>
          </cell>
          <cell r="I1632">
            <v>-28.1</v>
          </cell>
          <cell r="J1632">
            <v>-31.1</v>
          </cell>
          <cell r="K1632">
            <v>-27.6</v>
          </cell>
          <cell r="L1632">
            <v>-27.1</v>
          </cell>
          <cell r="M1632">
            <v>-27.3</v>
          </cell>
        </row>
        <row r="1633">
          <cell r="C1633" t="str">
            <v>Ngãi Giao MBA T1 (phía 110kV)</v>
          </cell>
          <cell r="D1633">
            <v>131</v>
          </cell>
          <cell r="E1633">
            <v>33.5</v>
          </cell>
          <cell r="F1633">
            <v>50</v>
          </cell>
          <cell r="G1633">
            <v>50</v>
          </cell>
          <cell r="H1633">
            <v>45.5</v>
          </cell>
          <cell r="I1633">
            <v>33.5</v>
          </cell>
          <cell r="J1633">
            <v>44.4</v>
          </cell>
          <cell r="K1633">
            <v>42.8</v>
          </cell>
          <cell r="L1633">
            <v>41.9</v>
          </cell>
          <cell r="M1633">
            <v>43.4</v>
          </cell>
        </row>
        <row r="1634">
          <cell r="C1634" t="str">
            <v>110kV 171 Ngãi Giao - 172 Cẩm Mỹ</v>
          </cell>
          <cell r="D1634">
            <v>171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</row>
        <row r="1635">
          <cell r="C1635" t="str">
            <v>110kV 172 Ngãi Giao - 171 Châu Đức</v>
          </cell>
          <cell r="D1635">
            <v>172</v>
          </cell>
          <cell r="E1635">
            <v>-33.6</v>
          </cell>
          <cell r="F1635">
            <v>-50.1</v>
          </cell>
          <cell r="G1635">
            <v>-50.1</v>
          </cell>
          <cell r="H1635">
            <v>-45.6</v>
          </cell>
          <cell r="I1635">
            <v>-33.6</v>
          </cell>
          <cell r="J1635">
            <v>-43.4</v>
          </cell>
          <cell r="K1635">
            <v>-42.7</v>
          </cell>
          <cell r="L1635">
            <v>-41.8</v>
          </cell>
          <cell r="M1635">
            <v>-43.6</v>
          </cell>
        </row>
        <row r="1636">
          <cell r="C1636" t="str">
            <v>110kV 175 Ngãi Giao - 172 NMĐ MT Hồ Tầm Bó</v>
          </cell>
          <cell r="D1636">
            <v>175</v>
          </cell>
          <cell r="E1636">
            <v>-31</v>
          </cell>
          <cell r="F1636">
            <v>-49.4</v>
          </cell>
          <cell r="G1636">
            <v>-48.7</v>
          </cell>
          <cell r="H1636">
            <v>-49.4</v>
          </cell>
          <cell r="I1636">
            <v>-31</v>
          </cell>
          <cell r="J1636">
            <v>-47.9</v>
          </cell>
          <cell r="K1636">
            <v>-45.8</v>
          </cell>
          <cell r="L1636">
            <v>-36.5</v>
          </cell>
          <cell r="M1636">
            <v>-39.4</v>
          </cell>
        </row>
        <row r="1637">
          <cell r="C1637" t="str">
            <v>Ngãi Giao MBA T1 (phía 22kV)</v>
          </cell>
          <cell r="D1637">
            <v>431</v>
          </cell>
          <cell r="E1637">
            <v>-33.5</v>
          </cell>
          <cell r="F1637">
            <v>-49.9</v>
          </cell>
          <cell r="G1637">
            <v>-49.9</v>
          </cell>
          <cell r="H1637">
            <v>-45.6</v>
          </cell>
          <cell r="I1637">
            <v>-33.5</v>
          </cell>
          <cell r="J1637">
            <v>-44.3</v>
          </cell>
          <cell r="K1637">
            <v>-42.9</v>
          </cell>
          <cell r="L1637">
            <v>-41.6</v>
          </cell>
          <cell r="M1637">
            <v>-43.3</v>
          </cell>
        </row>
        <row r="1638">
          <cell r="C1638" t="str">
            <v>Ngọc Hiển MBA T2 (phía 110kV)</v>
          </cell>
          <cell r="E1638">
            <v>0</v>
          </cell>
          <cell r="F1638">
            <v>0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</row>
        <row r="1639">
          <cell r="C1639" t="str">
            <v>Ngọc Hiển MBA T2 (phía 22kV)</v>
          </cell>
          <cell r="E1639">
            <v>0</v>
          </cell>
          <cell r="F1639">
            <v>0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</row>
        <row r="1640">
          <cell r="C1640" t="str">
            <v>Ngọc Hiển MBA T1 (phía 110kV)</v>
          </cell>
          <cell r="F1640">
            <v>28.6</v>
          </cell>
          <cell r="H1640">
            <v>28</v>
          </cell>
          <cell r="I1640">
            <v>28.4</v>
          </cell>
          <cell r="J1640">
            <v>28.5</v>
          </cell>
          <cell r="K1640">
            <v>24.8</v>
          </cell>
          <cell r="L1640">
            <v>28.6</v>
          </cell>
          <cell r="M1640">
            <v>26.9</v>
          </cell>
        </row>
        <row r="1641">
          <cell r="C1641" t="str">
            <v>Ngọc Hiển MBA T1 (phía 22kV)</v>
          </cell>
          <cell r="F1641">
            <v>-28.5</v>
          </cell>
          <cell r="H1641">
            <v>-27.9</v>
          </cell>
          <cell r="I1641">
            <v>-28.2</v>
          </cell>
          <cell r="J1641">
            <v>-28.4</v>
          </cell>
          <cell r="K1641">
            <v>-24.7</v>
          </cell>
          <cell r="L1641">
            <v>-28.5</v>
          </cell>
          <cell r="M1641">
            <v>-26.8</v>
          </cell>
        </row>
        <row r="1642">
          <cell r="C1642" t="str">
            <v>Nhà Bè MBA AT1 (phía 110kV)</v>
          </cell>
          <cell r="D1642">
            <v>131</v>
          </cell>
          <cell r="E1642">
            <v>-153.69999999999999</v>
          </cell>
          <cell r="F1642">
            <v>-226.3</v>
          </cell>
          <cell r="G1642">
            <v>-226.3</v>
          </cell>
          <cell r="H1642">
            <v>-216.4</v>
          </cell>
          <cell r="I1642">
            <v>-173.8</v>
          </cell>
          <cell r="J1642">
            <v>-202.6</v>
          </cell>
          <cell r="K1642">
            <v>-177.9</v>
          </cell>
          <cell r="L1642">
            <v>-154.80000000000001</v>
          </cell>
          <cell r="M1642">
            <v>-153.69999999999999</v>
          </cell>
        </row>
        <row r="1643">
          <cell r="C1643" t="str">
            <v>Nhà Bè MBA AT2 (phía 110kV)</v>
          </cell>
          <cell r="D1643">
            <v>132</v>
          </cell>
          <cell r="E1643">
            <v>-156.1</v>
          </cell>
          <cell r="F1643">
            <v>-225.5</v>
          </cell>
          <cell r="G1643">
            <v>-225.5</v>
          </cell>
          <cell r="H1643">
            <v>-215.4</v>
          </cell>
          <cell r="I1643">
            <v>-174.6</v>
          </cell>
          <cell r="J1643">
            <v>-201.2</v>
          </cell>
          <cell r="K1643">
            <v>-178</v>
          </cell>
          <cell r="L1643">
            <v>-157.6</v>
          </cell>
          <cell r="M1643">
            <v>-156.1</v>
          </cell>
        </row>
        <row r="1644">
          <cell r="C1644" t="str">
            <v>Nhà Bè MBA T4 (phía 110kV)</v>
          </cell>
          <cell r="D1644">
            <v>134</v>
          </cell>
          <cell r="E1644">
            <v>23.2</v>
          </cell>
          <cell r="F1644">
            <v>30.2</v>
          </cell>
          <cell r="G1644">
            <v>30.2</v>
          </cell>
          <cell r="H1644">
            <v>29.4</v>
          </cell>
          <cell r="I1644">
            <v>23.2</v>
          </cell>
          <cell r="J1644">
            <v>28.2</v>
          </cell>
          <cell r="K1644">
            <v>24.4</v>
          </cell>
          <cell r="L1644">
            <v>25.2</v>
          </cell>
          <cell r="M1644">
            <v>26.5</v>
          </cell>
        </row>
        <row r="1645">
          <cell r="C1645" t="str">
            <v>Nhà Bè MBA T5 (phía 110kV)</v>
          </cell>
          <cell r="D1645">
            <v>135</v>
          </cell>
          <cell r="E1645">
            <v>25.4</v>
          </cell>
          <cell r="F1645">
            <v>33.4</v>
          </cell>
          <cell r="G1645">
            <v>33.4</v>
          </cell>
          <cell r="H1645">
            <v>31.9</v>
          </cell>
          <cell r="I1645">
            <v>25.4</v>
          </cell>
          <cell r="J1645">
            <v>28.6</v>
          </cell>
          <cell r="K1645">
            <v>26.1</v>
          </cell>
          <cell r="L1645">
            <v>27.3</v>
          </cell>
          <cell r="M1645">
            <v>28.2</v>
          </cell>
        </row>
        <row r="1646">
          <cell r="C1646" t="str">
            <v>110kV 171 Nhà Bè - 171 Long Hậu</v>
          </cell>
          <cell r="D1646">
            <v>171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</row>
        <row r="1647">
          <cell r="C1647" t="str">
            <v>110kV 172 Nhà Bè - 171 Long Thới</v>
          </cell>
          <cell r="D1647">
            <v>172</v>
          </cell>
          <cell r="E1647">
            <v>82</v>
          </cell>
          <cell r="F1647">
            <v>126.9</v>
          </cell>
          <cell r="G1647">
            <v>122.6</v>
          </cell>
          <cell r="H1647">
            <v>126.9</v>
          </cell>
          <cell r="I1647">
            <v>107.9</v>
          </cell>
          <cell r="J1647">
            <v>117.7</v>
          </cell>
          <cell r="K1647">
            <v>104.1</v>
          </cell>
          <cell r="L1647">
            <v>88.1</v>
          </cell>
          <cell r="M1647">
            <v>82</v>
          </cell>
        </row>
        <row r="1648">
          <cell r="C1648" t="str">
            <v>110kV 173 Nhà Bè - 173 NMĐ Hiệp Phước</v>
          </cell>
          <cell r="D1648">
            <v>173</v>
          </cell>
          <cell r="E1648">
            <v>99.3</v>
          </cell>
          <cell r="F1648">
            <v>157.9</v>
          </cell>
          <cell r="G1648">
            <v>154.30000000000001</v>
          </cell>
          <cell r="H1648">
            <v>157.9</v>
          </cell>
          <cell r="I1648">
            <v>133.5</v>
          </cell>
          <cell r="J1648">
            <v>145.4</v>
          </cell>
          <cell r="K1648">
            <v>129.69999999999999</v>
          </cell>
          <cell r="L1648">
            <v>104.4</v>
          </cell>
          <cell r="M1648">
            <v>99.3</v>
          </cell>
        </row>
        <row r="1649">
          <cell r="C1649" t="str">
            <v>110kV 176 Nhà Bè - 171 Cần Giờ</v>
          </cell>
          <cell r="D1649">
            <v>176</v>
          </cell>
          <cell r="E1649">
            <v>5</v>
          </cell>
          <cell r="F1649">
            <v>6.2</v>
          </cell>
          <cell r="G1649">
            <v>6.2</v>
          </cell>
          <cell r="H1649">
            <v>6.1</v>
          </cell>
          <cell r="I1649">
            <v>5</v>
          </cell>
          <cell r="J1649">
            <v>6</v>
          </cell>
          <cell r="K1649">
            <v>5.3</v>
          </cell>
          <cell r="L1649">
            <v>5.3</v>
          </cell>
          <cell r="M1649">
            <v>6</v>
          </cell>
        </row>
        <row r="1650">
          <cell r="C1650" t="str">
            <v>110kV 177 Nhà Bè - 172 An Nghĩa</v>
          </cell>
          <cell r="D1650">
            <v>177</v>
          </cell>
          <cell r="E1650">
            <v>9.6999999999999993</v>
          </cell>
          <cell r="F1650">
            <v>11.4</v>
          </cell>
          <cell r="G1650">
            <v>11.2</v>
          </cell>
          <cell r="H1650">
            <v>11.4</v>
          </cell>
          <cell r="I1650">
            <v>9.6999999999999993</v>
          </cell>
          <cell r="J1650">
            <v>10.5</v>
          </cell>
          <cell r="K1650">
            <v>9.6999999999999993</v>
          </cell>
          <cell r="L1650">
            <v>10.1</v>
          </cell>
          <cell r="M1650">
            <v>10.8</v>
          </cell>
        </row>
        <row r="1651">
          <cell r="C1651" t="str">
            <v>110kV 178 Nhà Bè - 171 Nam Sài Gòn 1</v>
          </cell>
          <cell r="D1651">
            <v>178</v>
          </cell>
          <cell r="E1651">
            <v>37.9</v>
          </cell>
          <cell r="F1651">
            <v>106.2</v>
          </cell>
          <cell r="G1651">
            <v>52.1</v>
          </cell>
          <cell r="H1651">
            <v>106.2</v>
          </cell>
          <cell r="I1651">
            <v>37.9</v>
          </cell>
          <cell r="J1651">
            <v>48.7</v>
          </cell>
          <cell r="K1651">
            <v>41.7</v>
          </cell>
          <cell r="L1651">
            <v>48.8</v>
          </cell>
          <cell r="M1651">
            <v>41</v>
          </cell>
        </row>
        <row r="1652">
          <cell r="C1652" t="str">
            <v>110kV 179 Nhà Bè - 176 Việt Thành</v>
          </cell>
          <cell r="D1652">
            <v>179</v>
          </cell>
          <cell r="E1652">
            <v>16.600000000000001</v>
          </cell>
          <cell r="F1652">
            <v>61.9</v>
          </cell>
          <cell r="G1652">
            <v>61.9</v>
          </cell>
          <cell r="H1652">
            <v>26</v>
          </cell>
          <cell r="I1652">
            <v>19.5</v>
          </cell>
          <cell r="J1652">
            <v>22.6</v>
          </cell>
          <cell r="K1652">
            <v>19.8</v>
          </cell>
          <cell r="L1652">
            <v>16.600000000000001</v>
          </cell>
          <cell r="M1652">
            <v>18.2</v>
          </cell>
        </row>
        <row r="1653">
          <cell r="C1653" t="str">
            <v>110kV 181 Nhà Bè - 172 Bình Chánh</v>
          </cell>
          <cell r="D1653">
            <v>181</v>
          </cell>
          <cell r="E1653">
            <v>0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</row>
        <row r="1654">
          <cell r="C1654" t="str">
            <v>110kV 182 Nhà Bè - 171 Bình Chánh</v>
          </cell>
          <cell r="D1654">
            <v>182</v>
          </cell>
          <cell r="E1654">
            <v>0</v>
          </cell>
          <cell r="F1654">
            <v>0</v>
          </cell>
          <cell r="G1654">
            <v>0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</row>
        <row r="1655">
          <cell r="C1655" t="str">
            <v>Nhà Bè MBA AT1 (phía 220kV)</v>
          </cell>
          <cell r="D1655">
            <v>231</v>
          </cell>
          <cell r="E1655">
            <v>153.5</v>
          </cell>
          <cell r="F1655">
            <v>226.1</v>
          </cell>
          <cell r="G1655">
            <v>226.1</v>
          </cell>
          <cell r="H1655">
            <v>216.2</v>
          </cell>
          <cell r="I1655">
            <v>173.7</v>
          </cell>
          <cell r="J1655">
            <v>202.4</v>
          </cell>
          <cell r="K1655">
            <v>177.8</v>
          </cell>
          <cell r="L1655">
            <v>154.69999999999999</v>
          </cell>
          <cell r="M1655">
            <v>153.5</v>
          </cell>
        </row>
        <row r="1656">
          <cell r="C1656" t="str">
            <v>Nhà Bè MBA AT2 (phía 220kV)</v>
          </cell>
          <cell r="D1656">
            <v>232</v>
          </cell>
          <cell r="E1656">
            <v>155.9</v>
          </cell>
          <cell r="F1656">
            <v>225.4</v>
          </cell>
          <cell r="G1656">
            <v>225.4</v>
          </cell>
          <cell r="H1656">
            <v>215.7</v>
          </cell>
          <cell r="I1656">
            <v>174.5</v>
          </cell>
          <cell r="J1656">
            <v>201.7</v>
          </cell>
          <cell r="K1656">
            <v>178.1</v>
          </cell>
          <cell r="L1656">
            <v>157.4</v>
          </cell>
          <cell r="M1656">
            <v>155.9</v>
          </cell>
        </row>
        <row r="1657">
          <cell r="C1657" t="str">
            <v>Nhà Bè MBA AT6 (phía 220kV)</v>
          </cell>
          <cell r="D1657">
            <v>236</v>
          </cell>
          <cell r="E1657">
            <v>-354.4</v>
          </cell>
          <cell r="F1657">
            <v>-484.6</v>
          </cell>
          <cell r="G1657">
            <v>-483.7</v>
          </cell>
          <cell r="H1657">
            <v>-484.6</v>
          </cell>
          <cell r="I1657">
            <v>-427.9</v>
          </cell>
          <cell r="J1657">
            <v>-475.8</v>
          </cell>
          <cell r="K1657">
            <v>-444.9</v>
          </cell>
          <cell r="L1657">
            <v>-376.9</v>
          </cell>
          <cell r="M1657">
            <v>-354.4</v>
          </cell>
        </row>
        <row r="1658">
          <cell r="C1658" t="str">
            <v>Nhà Bè MBA AT7 (phía 220kV)</v>
          </cell>
          <cell r="D1658">
            <v>237</v>
          </cell>
          <cell r="E1658">
            <v>-354.1</v>
          </cell>
          <cell r="F1658">
            <v>-483.6</v>
          </cell>
          <cell r="G1658">
            <v>-482.4</v>
          </cell>
          <cell r="H1658">
            <v>-483.6</v>
          </cell>
          <cell r="I1658">
            <v>-426.5</v>
          </cell>
          <cell r="J1658">
            <v>-474.3</v>
          </cell>
          <cell r="K1658">
            <v>-443.6</v>
          </cell>
          <cell r="L1658">
            <v>-377.2</v>
          </cell>
          <cell r="M1658">
            <v>-354.1</v>
          </cell>
        </row>
        <row r="1659">
          <cell r="C1659" t="str">
            <v>220kV 271 Nhà Bè - 276 NMĐ Phú Mỹ 1</v>
          </cell>
          <cell r="D1659">
            <v>271</v>
          </cell>
          <cell r="E1659">
            <v>-64.2</v>
          </cell>
          <cell r="F1659">
            <v>-160.6</v>
          </cell>
          <cell r="G1659">
            <v>-155.9</v>
          </cell>
          <cell r="H1659">
            <v>-125.3</v>
          </cell>
          <cell r="I1659">
            <v>-64.2</v>
          </cell>
          <cell r="J1659">
            <v>-147.6</v>
          </cell>
          <cell r="K1659">
            <v>-107.8</v>
          </cell>
          <cell r="L1659">
            <v>-160.6</v>
          </cell>
          <cell r="M1659">
            <v>-92.4</v>
          </cell>
        </row>
        <row r="1660">
          <cell r="C1660" t="str">
            <v>220kV 272 Nhà Bè - 277 NMĐ Phú Mỹ 1</v>
          </cell>
          <cell r="D1660">
            <v>272</v>
          </cell>
          <cell r="E1660">
            <v>-67.099999999999994</v>
          </cell>
          <cell r="F1660">
            <v>-162</v>
          </cell>
          <cell r="G1660">
            <v>-159.80000000000001</v>
          </cell>
          <cell r="H1660">
            <v>-127.8</v>
          </cell>
          <cell r="I1660">
            <v>-67.099999999999994</v>
          </cell>
          <cell r="J1660">
            <v>-151.1</v>
          </cell>
          <cell r="K1660">
            <v>-110</v>
          </cell>
          <cell r="L1660">
            <v>-162</v>
          </cell>
          <cell r="M1660">
            <v>-95.5</v>
          </cell>
        </row>
        <row r="1661">
          <cell r="C1661" t="str">
            <v>220kV 273 Nhà Bè - 271 NMĐ Nhơn Trạch 1 &amp; 2</v>
          </cell>
          <cell r="D1661">
            <v>273</v>
          </cell>
          <cell r="E1661">
            <v>40.299999999999997</v>
          </cell>
          <cell r="F1661">
            <v>175.7</v>
          </cell>
          <cell r="G1661">
            <v>74.3</v>
          </cell>
          <cell r="H1661">
            <v>88.2</v>
          </cell>
          <cell r="I1661">
            <v>40.299999999999997</v>
          </cell>
          <cell r="J1661">
            <v>-152.30000000000001</v>
          </cell>
          <cell r="K1661">
            <v>98</v>
          </cell>
          <cell r="L1661">
            <v>101.9</v>
          </cell>
          <cell r="M1661">
            <v>175.7</v>
          </cell>
        </row>
        <row r="1662">
          <cell r="C1662" t="str">
            <v>220kV 274 Nhà Bè - 272 NMĐ Nhơn Trạch 1 &amp; 2</v>
          </cell>
          <cell r="D1662">
            <v>274</v>
          </cell>
          <cell r="E1662">
            <v>36.299999999999997</v>
          </cell>
          <cell r="F1662">
            <v>173.7</v>
          </cell>
          <cell r="G1662">
            <v>69.3</v>
          </cell>
          <cell r="H1662">
            <v>83.9</v>
          </cell>
          <cell r="I1662">
            <v>36.299999999999997</v>
          </cell>
          <cell r="J1662">
            <v>-156.4</v>
          </cell>
          <cell r="K1662">
            <v>94.2</v>
          </cell>
          <cell r="L1662">
            <v>99.7</v>
          </cell>
          <cell r="M1662">
            <v>173.7</v>
          </cell>
        </row>
        <row r="1663">
          <cell r="C1663" t="str">
            <v>220kV 275 Nhà Bè - 272 Bình Chánh</v>
          </cell>
          <cell r="D1663">
            <v>275</v>
          </cell>
          <cell r="E1663">
            <v>-56.3</v>
          </cell>
          <cell r="F1663">
            <v>264.60000000000002</v>
          </cell>
          <cell r="G1663">
            <v>176.7</v>
          </cell>
          <cell r="H1663">
            <v>192.3</v>
          </cell>
          <cell r="I1663">
            <v>115.2</v>
          </cell>
          <cell r="J1663">
            <v>264.60000000000002</v>
          </cell>
          <cell r="K1663">
            <v>148.19999999999999</v>
          </cell>
          <cell r="L1663">
            <v>165.7</v>
          </cell>
          <cell r="M1663">
            <v>-56.3</v>
          </cell>
        </row>
        <row r="1664">
          <cell r="C1664" t="str">
            <v>220kV 276 Nhà Bè - 271 Bình Chánh</v>
          </cell>
          <cell r="D1664">
            <v>276</v>
          </cell>
          <cell r="E1664">
            <v>75.400000000000006</v>
          </cell>
          <cell r="F1664">
            <v>289.3</v>
          </cell>
          <cell r="G1664">
            <v>208.6</v>
          </cell>
          <cell r="H1664">
            <v>196.6</v>
          </cell>
          <cell r="I1664">
            <v>142.1</v>
          </cell>
          <cell r="J1664">
            <v>289.3</v>
          </cell>
          <cell r="K1664">
            <v>175.6</v>
          </cell>
          <cell r="L1664">
            <v>206.1</v>
          </cell>
          <cell r="M1664">
            <v>75.400000000000006</v>
          </cell>
        </row>
        <row r="1665">
          <cell r="C1665" t="str">
            <v>220kV 277 Nhà Bè - 273 Tao Đàn</v>
          </cell>
          <cell r="D1665">
            <v>277</v>
          </cell>
          <cell r="E1665">
            <v>128.1</v>
          </cell>
          <cell r="F1665">
            <v>244.8</v>
          </cell>
          <cell r="G1665">
            <v>244.8</v>
          </cell>
          <cell r="H1665">
            <v>221.3</v>
          </cell>
          <cell r="I1665">
            <v>173.8</v>
          </cell>
          <cell r="J1665">
            <v>193</v>
          </cell>
          <cell r="K1665">
            <v>174.2</v>
          </cell>
          <cell r="L1665">
            <v>137.69999999999999</v>
          </cell>
          <cell r="M1665">
            <v>128.1</v>
          </cell>
        </row>
        <row r="1666">
          <cell r="C1666" t="str">
            <v>220kV 278 Nhà Bè - 272 Tao Đàn</v>
          </cell>
          <cell r="D1666">
            <v>278</v>
          </cell>
          <cell r="E1666">
            <v>123.9</v>
          </cell>
          <cell r="F1666">
            <v>232</v>
          </cell>
          <cell r="G1666">
            <v>232</v>
          </cell>
          <cell r="H1666">
            <v>208</v>
          </cell>
          <cell r="I1666">
            <v>161.1</v>
          </cell>
          <cell r="J1666">
            <v>177.8</v>
          </cell>
          <cell r="K1666">
            <v>161.6</v>
          </cell>
          <cell r="L1666">
            <v>133.69999999999999</v>
          </cell>
          <cell r="M1666">
            <v>123.9</v>
          </cell>
        </row>
        <row r="1667">
          <cell r="C1667" t="str">
            <v>Nhà Bè MBA T4 (phía 22kV)</v>
          </cell>
          <cell r="D1667">
            <v>434</v>
          </cell>
          <cell r="E1667">
            <v>-21.1</v>
          </cell>
          <cell r="F1667">
            <v>-27.4</v>
          </cell>
          <cell r="G1667">
            <v>-27.4</v>
          </cell>
          <cell r="H1667">
            <v>-26.8</v>
          </cell>
          <cell r="I1667">
            <v>-21.1</v>
          </cell>
          <cell r="J1667">
            <v>-25.6</v>
          </cell>
          <cell r="K1667">
            <v>-22.2</v>
          </cell>
          <cell r="L1667">
            <v>-22.7</v>
          </cell>
          <cell r="M1667">
            <v>-23.9</v>
          </cell>
        </row>
        <row r="1668">
          <cell r="C1668" t="str">
            <v>Nhà Bè MBA T5 (phía 22kV)</v>
          </cell>
          <cell r="D1668">
            <v>435</v>
          </cell>
          <cell r="E1668">
            <v>-22.3</v>
          </cell>
          <cell r="F1668">
            <v>-29.4</v>
          </cell>
          <cell r="G1668">
            <v>-29.4</v>
          </cell>
          <cell r="H1668">
            <v>-27.8</v>
          </cell>
          <cell r="I1668">
            <v>-22.3</v>
          </cell>
          <cell r="J1668">
            <v>-24.9</v>
          </cell>
          <cell r="K1668">
            <v>-23.1</v>
          </cell>
          <cell r="L1668">
            <v>-24.3</v>
          </cell>
          <cell r="M1668">
            <v>-25</v>
          </cell>
        </row>
        <row r="1669">
          <cell r="C1669" t="str">
            <v>Nhà Bè MBA AT6 (phía 500kV)</v>
          </cell>
          <cell r="D1669">
            <v>536</v>
          </cell>
          <cell r="E1669">
            <v>358.5</v>
          </cell>
          <cell r="F1669">
            <v>488.4</v>
          </cell>
          <cell r="G1669">
            <v>488.4</v>
          </cell>
          <cell r="H1669">
            <v>485</v>
          </cell>
          <cell r="I1669">
            <v>431.3</v>
          </cell>
          <cell r="J1669">
            <v>478</v>
          </cell>
          <cell r="K1669">
            <v>448.6</v>
          </cell>
          <cell r="L1669">
            <v>379.3</v>
          </cell>
          <cell r="M1669">
            <v>358.5</v>
          </cell>
        </row>
        <row r="1670">
          <cell r="C1670" t="str">
            <v>Nhà Bè MBA AT7 (phía 500kV)</v>
          </cell>
          <cell r="D1670">
            <v>537</v>
          </cell>
          <cell r="E1670">
            <v>360.3</v>
          </cell>
          <cell r="F1670">
            <v>488.4</v>
          </cell>
          <cell r="G1670">
            <v>488.4</v>
          </cell>
          <cell r="H1670">
            <v>488.4</v>
          </cell>
          <cell r="I1670">
            <v>433</v>
          </cell>
          <cell r="J1670">
            <v>478</v>
          </cell>
          <cell r="K1670">
            <v>450.3</v>
          </cell>
          <cell r="L1670">
            <v>381</v>
          </cell>
          <cell r="M1670">
            <v>360.3</v>
          </cell>
        </row>
        <row r="1671">
          <cell r="C1671" t="str">
            <v>500kV 575 Nhà Bè - 571 Mỹ Tho 500</v>
          </cell>
          <cell r="D1671">
            <v>575</v>
          </cell>
          <cell r="E1671">
            <v>-235.8</v>
          </cell>
          <cell r="F1671">
            <v>-640.9</v>
          </cell>
          <cell r="G1671">
            <v>373.6</v>
          </cell>
          <cell r="H1671">
            <v>-318.7</v>
          </cell>
          <cell r="I1671">
            <v>-318.7</v>
          </cell>
          <cell r="J1671">
            <v>-444.5</v>
          </cell>
          <cell r="K1671">
            <v>-640.9</v>
          </cell>
          <cell r="L1671">
            <v>-423.6</v>
          </cell>
          <cell r="M1671">
            <v>-235.8</v>
          </cell>
        </row>
        <row r="1672">
          <cell r="C1672" t="str">
            <v>500kV 576 Nhà Bè - 576 Phú Mỹ 500</v>
          </cell>
          <cell r="D1672">
            <v>576</v>
          </cell>
          <cell r="E1672">
            <v>-535.20000000000005</v>
          </cell>
          <cell r="F1672">
            <v>-911</v>
          </cell>
          <cell r="G1672">
            <v>-911</v>
          </cell>
          <cell r="H1672">
            <v>-847</v>
          </cell>
          <cell r="I1672">
            <v>-673.8</v>
          </cell>
          <cell r="J1672">
            <v>-736.1</v>
          </cell>
          <cell r="K1672">
            <v>-651.20000000000005</v>
          </cell>
          <cell r="L1672">
            <v>-750</v>
          </cell>
          <cell r="M1672">
            <v>-535.20000000000005</v>
          </cell>
        </row>
        <row r="1673">
          <cell r="C1673" t="str">
            <v>500kV 577 Nhà Bè - 575 Phú Mỹ 500</v>
          </cell>
          <cell r="D1673">
            <v>577</v>
          </cell>
          <cell r="E1673">
            <v>-533.5</v>
          </cell>
          <cell r="F1673">
            <v>-914.5</v>
          </cell>
          <cell r="G1673">
            <v>-914.5</v>
          </cell>
          <cell r="H1673">
            <v>-847</v>
          </cell>
          <cell r="I1673">
            <v>-673.8</v>
          </cell>
          <cell r="J1673">
            <v>-730.9</v>
          </cell>
          <cell r="K1673">
            <v>-651.20000000000005</v>
          </cell>
          <cell r="L1673">
            <v>-748.2</v>
          </cell>
          <cell r="M1673">
            <v>-533.5</v>
          </cell>
        </row>
        <row r="1674">
          <cell r="C1674" t="str">
            <v>500kV 585 Nhà Bè - 571 Phú Lâm</v>
          </cell>
          <cell r="D1674">
            <v>585</v>
          </cell>
          <cell r="E1674">
            <v>405.3</v>
          </cell>
          <cell r="F1674">
            <v>924.9</v>
          </cell>
          <cell r="G1674">
            <v>720.5</v>
          </cell>
          <cell r="H1674">
            <v>704.9</v>
          </cell>
          <cell r="I1674">
            <v>627</v>
          </cell>
          <cell r="J1674">
            <v>904.1</v>
          </cell>
          <cell r="K1674">
            <v>772.5</v>
          </cell>
          <cell r="L1674">
            <v>924.9</v>
          </cell>
          <cell r="M1674">
            <v>405.3</v>
          </cell>
        </row>
        <row r="1675">
          <cell r="C1675" t="str">
            <v>110kV 171 Nha Mân - 172 Sa Đéc</v>
          </cell>
          <cell r="E1675">
            <v>0</v>
          </cell>
          <cell r="F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</row>
        <row r="1676">
          <cell r="C1676" t="str">
            <v>110kV 172 Nha Mân - 172 Vĩnh Long 2</v>
          </cell>
          <cell r="F1676">
            <v>-23.1</v>
          </cell>
          <cell r="H1676">
            <v>-20.7</v>
          </cell>
          <cell r="I1676">
            <v>-18.3</v>
          </cell>
          <cell r="J1676">
            <v>-23.1</v>
          </cell>
          <cell r="K1676">
            <v>-18.899999999999999</v>
          </cell>
          <cell r="L1676">
            <v>-22.3</v>
          </cell>
          <cell r="M1676">
            <v>-19.100000000000001</v>
          </cell>
        </row>
        <row r="1677">
          <cell r="C1677" t="str">
            <v>Nha Mân MBA T1 (phía 110kV)</v>
          </cell>
          <cell r="F1677">
            <v>23.1</v>
          </cell>
          <cell r="H1677">
            <v>20.7</v>
          </cell>
          <cell r="I1677">
            <v>18.2</v>
          </cell>
          <cell r="J1677">
            <v>23.1</v>
          </cell>
          <cell r="K1677">
            <v>19</v>
          </cell>
          <cell r="L1677">
            <v>22.3</v>
          </cell>
          <cell r="M1677">
            <v>19</v>
          </cell>
        </row>
        <row r="1678">
          <cell r="C1678" t="str">
            <v>Nha Mân MBA T1 (phía 22kV)</v>
          </cell>
          <cell r="F1678">
            <v>-23.2</v>
          </cell>
          <cell r="H1678">
            <v>-20.6</v>
          </cell>
          <cell r="I1678">
            <v>-18.2</v>
          </cell>
          <cell r="J1678">
            <v>-23.2</v>
          </cell>
          <cell r="K1678">
            <v>-19</v>
          </cell>
          <cell r="L1678">
            <v>-22.4</v>
          </cell>
          <cell r="M1678">
            <v>-19</v>
          </cell>
        </row>
        <row r="1679">
          <cell r="C1679" t="str">
            <v>Nhơn Trạch 5 MBA T1 (phía 110kV)</v>
          </cell>
          <cell r="D1679">
            <v>131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</row>
        <row r="1680">
          <cell r="C1680" t="str">
            <v>Nhơn Trạch 5 MBA T2 (phía 110kV)</v>
          </cell>
          <cell r="D1680">
            <v>132</v>
          </cell>
          <cell r="E1680">
            <v>46.8</v>
          </cell>
          <cell r="F1680">
            <v>54.6</v>
          </cell>
          <cell r="G1680">
            <v>51.8</v>
          </cell>
          <cell r="H1680">
            <v>53.2</v>
          </cell>
          <cell r="I1680">
            <v>51</v>
          </cell>
          <cell r="J1680">
            <v>53.2</v>
          </cell>
          <cell r="K1680">
            <v>54.6</v>
          </cell>
          <cell r="L1680">
            <v>48.5</v>
          </cell>
          <cell r="M1680">
            <v>46.8</v>
          </cell>
        </row>
        <row r="1681">
          <cell r="C1681" t="str">
            <v>Nhơn Trạch 5 MBA T3 (phía 110kV)</v>
          </cell>
          <cell r="D1681">
            <v>133</v>
          </cell>
          <cell r="E1681">
            <v>42.1</v>
          </cell>
          <cell r="F1681">
            <v>53.5</v>
          </cell>
          <cell r="G1681">
            <v>53.5</v>
          </cell>
          <cell r="H1681">
            <v>52.1</v>
          </cell>
          <cell r="I1681">
            <v>52</v>
          </cell>
          <cell r="J1681">
            <v>53.1</v>
          </cell>
          <cell r="K1681">
            <v>53.1</v>
          </cell>
          <cell r="L1681">
            <v>42.1</v>
          </cell>
          <cell r="M1681">
            <v>42.4</v>
          </cell>
        </row>
        <row r="1682">
          <cell r="C1682" t="str">
            <v>110kV 171 Nhơn Trạch 5 - 171 Nhơn Trạch 6</v>
          </cell>
          <cell r="D1682">
            <v>171</v>
          </cell>
          <cell r="E1682">
            <v>-16.899999999999999</v>
          </cell>
          <cell r="F1682">
            <v>-22</v>
          </cell>
          <cell r="G1682">
            <v>-20</v>
          </cell>
          <cell r="H1682">
            <v>-19</v>
          </cell>
          <cell r="I1682">
            <v>-16.899999999999999</v>
          </cell>
          <cell r="J1682">
            <v>-17.600000000000001</v>
          </cell>
          <cell r="K1682">
            <v>-17.3</v>
          </cell>
          <cell r="L1682">
            <v>-22</v>
          </cell>
          <cell r="M1682">
            <v>-20</v>
          </cell>
        </row>
        <row r="1683">
          <cell r="C1683" t="str">
            <v>110kV 172 Nhơn Trạch 5 - 172 Long Thành</v>
          </cell>
          <cell r="D1683">
            <v>172</v>
          </cell>
          <cell r="E1683">
            <v>-69.400000000000006</v>
          </cell>
          <cell r="F1683">
            <v>-92.5</v>
          </cell>
          <cell r="G1683">
            <v>-89.3</v>
          </cell>
          <cell r="H1683">
            <v>-88.5</v>
          </cell>
          <cell r="I1683">
            <v>-89.1</v>
          </cell>
          <cell r="J1683">
            <v>-91.3</v>
          </cell>
          <cell r="K1683">
            <v>-92.5</v>
          </cell>
          <cell r="L1683">
            <v>-72.5</v>
          </cell>
          <cell r="M1683">
            <v>-69.400000000000006</v>
          </cell>
        </row>
        <row r="1684">
          <cell r="C1684" t="str">
            <v>Nhơn Trạch 5 MBA T1 (phía 22kV)</v>
          </cell>
          <cell r="D1684">
            <v>431</v>
          </cell>
          <cell r="E1684">
            <v>0</v>
          </cell>
          <cell r="F1684">
            <v>0</v>
          </cell>
          <cell r="G1684">
            <v>0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</row>
        <row r="1685">
          <cell r="C1685" t="str">
            <v>Nhơn Trạch 5 MBA T2 (phía 22kV)</v>
          </cell>
          <cell r="D1685">
            <v>432</v>
          </cell>
          <cell r="E1685">
            <v>-46.4</v>
          </cell>
          <cell r="F1685">
            <v>-54.6</v>
          </cell>
          <cell r="G1685">
            <v>-51.5</v>
          </cell>
          <cell r="H1685">
            <v>-53</v>
          </cell>
          <cell r="I1685">
            <v>-50.8</v>
          </cell>
          <cell r="J1685">
            <v>-52.9</v>
          </cell>
          <cell r="K1685">
            <v>-54.6</v>
          </cell>
          <cell r="L1685">
            <v>-48.4</v>
          </cell>
          <cell r="M1685">
            <v>-46.4</v>
          </cell>
        </row>
        <row r="1686">
          <cell r="C1686" t="str">
            <v>Nhơn Trạch 5 MBA T3 (phía 22kV)</v>
          </cell>
          <cell r="D1686">
            <v>433</v>
          </cell>
          <cell r="E1686">
            <v>-42.1</v>
          </cell>
          <cell r="F1686">
            <v>-53.8</v>
          </cell>
          <cell r="G1686">
            <v>-53.8</v>
          </cell>
          <cell r="H1686">
            <v>-52.1</v>
          </cell>
          <cell r="I1686">
            <v>-52.1</v>
          </cell>
          <cell r="J1686">
            <v>-53.1</v>
          </cell>
          <cell r="K1686">
            <v>-53.3</v>
          </cell>
          <cell r="L1686">
            <v>-42.1</v>
          </cell>
          <cell r="M1686">
            <v>-42.1</v>
          </cell>
        </row>
        <row r="1687">
          <cell r="C1687" t="str">
            <v>110kV 171 Nhơn Trạch 6 - 171 Nhơn Trạch 5</v>
          </cell>
          <cell r="F1687">
            <v>22.8</v>
          </cell>
          <cell r="H1687">
            <v>22.8</v>
          </cell>
          <cell r="I1687">
            <v>22.8</v>
          </cell>
          <cell r="J1687">
            <v>22.8</v>
          </cell>
          <cell r="K1687">
            <v>22.8</v>
          </cell>
          <cell r="L1687">
            <v>22.8</v>
          </cell>
          <cell r="M1687">
            <v>22.8</v>
          </cell>
        </row>
        <row r="1688">
          <cell r="C1688" t="str">
            <v>Nhơn Trạch 6 MBA T1 (phía 110kV)</v>
          </cell>
          <cell r="F1688">
            <v>24.4</v>
          </cell>
          <cell r="H1688">
            <v>24.4</v>
          </cell>
          <cell r="I1688">
            <v>24.4</v>
          </cell>
          <cell r="J1688">
            <v>24.4</v>
          </cell>
          <cell r="K1688">
            <v>24.4</v>
          </cell>
          <cell r="L1688">
            <v>24.4</v>
          </cell>
          <cell r="M1688">
            <v>24.4</v>
          </cell>
        </row>
        <row r="1689">
          <cell r="C1689" t="str">
            <v>Nhơn Trạch 6 MBA T1 (phía 22kV)</v>
          </cell>
          <cell r="F1689">
            <v>49.2</v>
          </cell>
          <cell r="H1689">
            <v>49.2</v>
          </cell>
          <cell r="I1689">
            <v>49.2</v>
          </cell>
          <cell r="J1689">
            <v>49.2</v>
          </cell>
          <cell r="K1689">
            <v>49.2</v>
          </cell>
          <cell r="L1689">
            <v>49.2</v>
          </cell>
          <cell r="M1689">
            <v>49.2</v>
          </cell>
        </row>
        <row r="1690">
          <cell r="C1690" t="str">
            <v>110kV 172 Nhơn Trạch 6 - 177 Long Thành</v>
          </cell>
          <cell r="F1690">
            <v>-72.400000000000006</v>
          </cell>
          <cell r="H1690">
            <v>-72.400000000000006</v>
          </cell>
          <cell r="I1690">
            <v>-72.400000000000006</v>
          </cell>
          <cell r="J1690">
            <v>-72.400000000000006</v>
          </cell>
          <cell r="K1690">
            <v>-72.400000000000006</v>
          </cell>
          <cell r="L1690">
            <v>-72.400000000000006</v>
          </cell>
          <cell r="M1690">
            <v>-72.400000000000006</v>
          </cell>
        </row>
        <row r="1691">
          <cell r="C1691" t="str">
            <v>Nhơn Trạch 6 MBA T2 (phía 110kV)</v>
          </cell>
          <cell r="E1691">
            <v>0</v>
          </cell>
          <cell r="F1691">
            <v>0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</row>
        <row r="1692">
          <cell r="C1692" t="str">
            <v>Nhơn Trạch 6 MBA T2 (phía 22kV)</v>
          </cell>
          <cell r="E1692">
            <v>0</v>
          </cell>
          <cell r="F1692">
            <v>0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</row>
        <row r="1693">
          <cell r="C1693" t="str">
            <v>Ninh Hải MBA T1(phía 110kV)</v>
          </cell>
          <cell r="D1693">
            <v>131</v>
          </cell>
          <cell r="E1693">
            <v>14.1</v>
          </cell>
          <cell r="F1693">
            <v>-20.2</v>
          </cell>
          <cell r="G1693">
            <v>-17</v>
          </cell>
          <cell r="H1693">
            <v>-19</v>
          </cell>
          <cell r="I1693">
            <v>14.1</v>
          </cell>
          <cell r="J1693">
            <v>-18</v>
          </cell>
          <cell r="K1693">
            <v>16.3</v>
          </cell>
          <cell r="L1693">
            <v>16.2</v>
          </cell>
          <cell r="M1693">
            <v>-20.2</v>
          </cell>
        </row>
        <row r="1694">
          <cell r="C1694" t="str">
            <v>Ninh Hải MBA T2 (phía 110kV)</v>
          </cell>
          <cell r="D1694">
            <v>132</v>
          </cell>
          <cell r="E1694">
            <v>12.7</v>
          </cell>
          <cell r="F1694">
            <v>-18.100000000000001</v>
          </cell>
          <cell r="G1694">
            <v>-15.3</v>
          </cell>
          <cell r="H1694">
            <v>-17</v>
          </cell>
          <cell r="I1694">
            <v>12.7</v>
          </cell>
          <cell r="J1694">
            <v>-16.100000000000001</v>
          </cell>
          <cell r="K1694">
            <v>14.6</v>
          </cell>
          <cell r="L1694">
            <v>14.6</v>
          </cell>
          <cell r="M1694">
            <v>-18.100000000000001</v>
          </cell>
        </row>
        <row r="1695">
          <cell r="C1695" t="str">
            <v>110kV 171 Ninh Hải - 171 NMĐ Gió Đầm Nại</v>
          </cell>
          <cell r="D1695">
            <v>171</v>
          </cell>
          <cell r="E1695">
            <v>61.2</v>
          </cell>
          <cell r="F1695">
            <v>100.1</v>
          </cell>
          <cell r="G1695">
            <v>73.7</v>
          </cell>
          <cell r="H1695">
            <v>91.8</v>
          </cell>
          <cell r="I1695">
            <v>67.900000000000006</v>
          </cell>
          <cell r="J1695">
            <v>100.1</v>
          </cell>
          <cell r="K1695">
            <v>61.2</v>
          </cell>
          <cell r="L1695">
            <v>79.8</v>
          </cell>
          <cell r="M1695">
            <v>90</v>
          </cell>
        </row>
        <row r="1696">
          <cell r="C1696" t="str">
            <v>110kV 172 Ninh Hải - 172 NMĐ MT Solar Farm Nhơn Hải</v>
          </cell>
          <cell r="D1696">
            <v>172</v>
          </cell>
          <cell r="E1696">
            <v>-42.1</v>
          </cell>
          <cell r="F1696">
            <v>-67.599999999999994</v>
          </cell>
          <cell r="G1696">
            <v>-55.5</v>
          </cell>
          <cell r="H1696">
            <v>-67.599999999999994</v>
          </cell>
          <cell r="I1696">
            <v>-42.1</v>
          </cell>
          <cell r="J1696">
            <v>-66.099999999999994</v>
          </cell>
          <cell r="K1696">
            <v>-55.4</v>
          </cell>
          <cell r="L1696">
            <v>-53.9</v>
          </cell>
          <cell r="M1696">
            <v>-58.7</v>
          </cell>
        </row>
        <row r="1697">
          <cell r="C1697" t="str">
            <v>Ninh Hải MBA T1 (phía 22kV)</v>
          </cell>
          <cell r="D1697">
            <v>431</v>
          </cell>
          <cell r="E1697">
            <v>-14.1</v>
          </cell>
          <cell r="F1697">
            <v>20.399999999999999</v>
          </cell>
          <cell r="G1697">
            <v>17.2</v>
          </cell>
          <cell r="H1697">
            <v>19.100000000000001</v>
          </cell>
          <cell r="I1697">
            <v>-14.1</v>
          </cell>
          <cell r="J1697">
            <v>18.100000000000001</v>
          </cell>
          <cell r="K1697">
            <v>-16.2</v>
          </cell>
          <cell r="L1697">
            <v>-16.2</v>
          </cell>
          <cell r="M1697">
            <v>20.399999999999999</v>
          </cell>
        </row>
        <row r="1698">
          <cell r="C1698" t="str">
            <v>Ninh Hải MBA T2 (phía 22kV)</v>
          </cell>
          <cell r="D1698">
            <v>432</v>
          </cell>
          <cell r="E1698">
            <v>-12.6</v>
          </cell>
          <cell r="F1698">
            <v>18.2</v>
          </cell>
          <cell r="G1698">
            <v>15.4</v>
          </cell>
          <cell r="H1698">
            <v>17.2</v>
          </cell>
          <cell r="I1698">
            <v>-12.6</v>
          </cell>
          <cell r="J1698">
            <v>16.2</v>
          </cell>
          <cell r="K1698">
            <v>-14.5</v>
          </cell>
          <cell r="L1698">
            <v>-14.6</v>
          </cell>
          <cell r="M1698">
            <v>18.2</v>
          </cell>
        </row>
        <row r="1699">
          <cell r="C1699" t="str">
            <v>Ninh Phước MBA T1 (phía 110kV)</v>
          </cell>
          <cell r="D1699">
            <v>131</v>
          </cell>
          <cell r="E1699">
            <v>0</v>
          </cell>
          <cell r="F1699">
            <v>-19.100000000000001</v>
          </cell>
          <cell r="G1699">
            <v>0</v>
          </cell>
          <cell r="H1699">
            <v>-19.100000000000001</v>
          </cell>
          <cell r="I1699">
            <v>-10.4</v>
          </cell>
          <cell r="J1699">
            <v>-18.8</v>
          </cell>
          <cell r="K1699">
            <v>-19</v>
          </cell>
          <cell r="L1699">
            <v>-18</v>
          </cell>
          <cell r="M1699">
            <v>-17.3</v>
          </cell>
        </row>
        <row r="1700">
          <cell r="C1700" t="str">
            <v>Ninh Phước MBA T2 (phía 110kV)</v>
          </cell>
          <cell r="D1700">
            <v>132</v>
          </cell>
          <cell r="E1700">
            <v>-11.1</v>
          </cell>
          <cell r="F1700">
            <v>-20.7</v>
          </cell>
          <cell r="G1700">
            <v>-20.7</v>
          </cell>
          <cell r="H1700">
            <v>-20.399999999999999</v>
          </cell>
          <cell r="I1700">
            <v>-11.1</v>
          </cell>
          <cell r="J1700">
            <v>-20</v>
          </cell>
          <cell r="K1700">
            <v>-20.3</v>
          </cell>
          <cell r="L1700">
            <v>-19.3</v>
          </cell>
          <cell r="M1700">
            <v>-18.399999999999999</v>
          </cell>
        </row>
        <row r="1701">
          <cell r="C1701" t="str">
            <v>110kV 171 Ninh Phước - 176 trạm cắt Hậu Sanh</v>
          </cell>
          <cell r="D1701">
            <v>171</v>
          </cell>
          <cell r="E1701">
            <v>58.9</v>
          </cell>
          <cell r="F1701">
            <v>67.8</v>
          </cell>
          <cell r="G1701">
            <v>58.9</v>
          </cell>
          <cell r="H1701">
            <v>65.599999999999994</v>
          </cell>
          <cell r="I1701">
            <v>61.9</v>
          </cell>
          <cell r="J1701">
            <v>67.8</v>
          </cell>
          <cell r="K1701">
            <v>62.6</v>
          </cell>
          <cell r="L1701">
            <v>61.8</v>
          </cell>
          <cell r="M1701">
            <v>62.7</v>
          </cell>
        </row>
        <row r="1702">
          <cell r="C1702" t="str">
            <v>110kV 172 Ninh Phước - 177 trạm cắt Hậu Sanh</v>
          </cell>
          <cell r="D1702">
            <v>172</v>
          </cell>
          <cell r="E1702">
            <v>61.6</v>
          </cell>
          <cell r="F1702">
            <v>71.8</v>
          </cell>
          <cell r="G1702">
            <v>61.6</v>
          </cell>
          <cell r="H1702">
            <v>69.900000000000006</v>
          </cell>
          <cell r="I1702">
            <v>66</v>
          </cell>
          <cell r="J1702">
            <v>71.8</v>
          </cell>
          <cell r="K1702">
            <v>65.900000000000006</v>
          </cell>
          <cell r="L1702">
            <v>66</v>
          </cell>
          <cell r="M1702">
            <v>65.900000000000006</v>
          </cell>
        </row>
        <row r="1703">
          <cell r="C1703" t="str">
            <v>110kV 174 Ninh Phước - 171 NMĐ MT Phước Hữu</v>
          </cell>
          <cell r="D1703">
            <v>174</v>
          </cell>
          <cell r="E1703">
            <v>-64.099999999999994</v>
          </cell>
          <cell r="F1703">
            <v>-79.7</v>
          </cell>
          <cell r="G1703">
            <v>-74.5</v>
          </cell>
          <cell r="H1703">
            <v>-71</v>
          </cell>
          <cell r="I1703">
            <v>-77.2</v>
          </cell>
          <cell r="J1703">
            <v>-71.599999999999994</v>
          </cell>
          <cell r="K1703">
            <v>-79.7</v>
          </cell>
          <cell r="L1703">
            <v>-64.7</v>
          </cell>
          <cell r="M1703">
            <v>-64.099999999999994</v>
          </cell>
        </row>
        <row r="1704">
          <cell r="C1704" t="str">
            <v>110kV 176 Ninh Phước - 171 NMĐ MT SP Infra 1</v>
          </cell>
          <cell r="D1704">
            <v>176</v>
          </cell>
          <cell r="E1704">
            <v>-28.4</v>
          </cell>
          <cell r="F1704">
            <v>-41.8</v>
          </cell>
          <cell r="G1704">
            <v>-41.8</v>
          </cell>
          <cell r="H1704">
            <v>-38.200000000000003</v>
          </cell>
          <cell r="I1704">
            <v>-30.8</v>
          </cell>
          <cell r="J1704">
            <v>-35.799999999999997</v>
          </cell>
          <cell r="K1704">
            <v>-28.4</v>
          </cell>
          <cell r="L1704">
            <v>-34.200000000000003</v>
          </cell>
          <cell r="M1704">
            <v>-37.6</v>
          </cell>
        </row>
        <row r="1705">
          <cell r="C1705" t="str">
            <v>Ninh Phước MBA T1 (phía 22kV)</v>
          </cell>
          <cell r="D1705">
            <v>431</v>
          </cell>
          <cell r="E1705">
            <v>0</v>
          </cell>
          <cell r="F1705">
            <v>0</v>
          </cell>
          <cell r="G1705">
            <v>0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</row>
        <row r="1706">
          <cell r="C1706" t="str">
            <v>Ninh Phước MBA T2 (phía 22kV)</v>
          </cell>
          <cell r="D1706">
            <v>432</v>
          </cell>
          <cell r="E1706">
            <v>11.1</v>
          </cell>
          <cell r="F1706">
            <v>20.8</v>
          </cell>
          <cell r="G1706">
            <v>20.8</v>
          </cell>
          <cell r="H1706">
            <v>20.6</v>
          </cell>
          <cell r="I1706">
            <v>11.1</v>
          </cell>
          <cell r="J1706">
            <v>20.3</v>
          </cell>
          <cell r="K1706">
            <v>20.399999999999999</v>
          </cell>
          <cell r="L1706">
            <v>19.399999999999999</v>
          </cell>
          <cell r="M1706">
            <v>18.399999999999999</v>
          </cell>
        </row>
        <row r="1707">
          <cell r="C1707" t="str">
            <v>220kV 276 Ninh Phước 2 - 276 Thuận Nam 500</v>
          </cell>
          <cell r="F1707">
            <v>515.29999999999995</v>
          </cell>
          <cell r="H1707">
            <v>509.9</v>
          </cell>
          <cell r="I1707">
            <v>445.4</v>
          </cell>
          <cell r="J1707">
            <v>515.29999999999995</v>
          </cell>
          <cell r="K1707">
            <v>499.7</v>
          </cell>
          <cell r="L1707">
            <v>495.8</v>
          </cell>
          <cell r="M1707">
            <v>497.5</v>
          </cell>
        </row>
        <row r="1708">
          <cell r="C1708" t="str">
            <v>220kV 273 Ninh Phước 2 - 272 NMĐ MT Phước Thái 1</v>
          </cell>
          <cell r="F1708">
            <v>197.4</v>
          </cell>
          <cell r="H1708">
            <v>162.4</v>
          </cell>
          <cell r="I1708">
            <v>197.4</v>
          </cell>
          <cell r="J1708">
            <v>172.7</v>
          </cell>
          <cell r="K1708">
            <v>144.80000000000001</v>
          </cell>
          <cell r="L1708">
            <v>190.1</v>
          </cell>
          <cell r="M1708">
            <v>136.5</v>
          </cell>
        </row>
        <row r="1709">
          <cell r="C1709" t="str">
            <v>Ninh Phước 2 MBA AT1 (phía 220kV)</v>
          </cell>
          <cell r="F1709">
            <v>-238.6</v>
          </cell>
          <cell r="H1709">
            <v>-234.7</v>
          </cell>
          <cell r="I1709">
            <v>-208.5</v>
          </cell>
          <cell r="J1709">
            <v>-238.6</v>
          </cell>
          <cell r="K1709">
            <v>-234.2</v>
          </cell>
          <cell r="L1709">
            <v>-233</v>
          </cell>
          <cell r="M1709">
            <v>-237.4</v>
          </cell>
        </row>
        <row r="1710">
          <cell r="C1710" t="str">
            <v>Ninh Phước 2 MBA AT2 (phía 220kV)</v>
          </cell>
          <cell r="F1710">
            <v>-236.6</v>
          </cell>
          <cell r="H1710">
            <v>-233</v>
          </cell>
          <cell r="I1710">
            <v>-207.8</v>
          </cell>
          <cell r="J1710">
            <v>-236.6</v>
          </cell>
          <cell r="K1710">
            <v>-231.8</v>
          </cell>
          <cell r="L1710">
            <v>-231.1</v>
          </cell>
          <cell r="M1710">
            <v>-235.6</v>
          </cell>
        </row>
        <row r="1711">
          <cell r="C1711" t="str">
            <v>Ninh Phước 2 MBA AT1 (phía 110kV)</v>
          </cell>
          <cell r="F1711">
            <v>238.6</v>
          </cell>
          <cell r="H1711">
            <v>234.8</v>
          </cell>
          <cell r="I1711">
            <v>209.3</v>
          </cell>
          <cell r="J1711">
            <v>238.6</v>
          </cell>
          <cell r="K1711">
            <v>233.5</v>
          </cell>
          <cell r="L1711">
            <v>232.6</v>
          </cell>
          <cell r="M1711">
            <v>237.2</v>
          </cell>
        </row>
        <row r="1712">
          <cell r="C1712" t="str">
            <v>Ninh Phước 2 MBA AT2 (phía 110kV)</v>
          </cell>
          <cell r="F1712">
            <v>236.2</v>
          </cell>
          <cell r="H1712">
            <v>232.9</v>
          </cell>
          <cell r="I1712">
            <v>207.5</v>
          </cell>
          <cell r="J1712">
            <v>236.2</v>
          </cell>
          <cell r="K1712">
            <v>231.9</v>
          </cell>
          <cell r="L1712">
            <v>230.8</v>
          </cell>
          <cell r="M1712">
            <v>235.1</v>
          </cell>
        </row>
        <row r="1713">
          <cell r="C1713" t="str">
            <v>220kV 275 Ninh Phước 2 - 274 NMĐ MT Nhị Hà</v>
          </cell>
          <cell r="F1713">
            <v>333.1</v>
          </cell>
          <cell r="H1713">
            <v>333.1</v>
          </cell>
          <cell r="I1713">
            <v>228.4</v>
          </cell>
          <cell r="J1713">
            <v>322.7</v>
          </cell>
          <cell r="K1713">
            <v>241.6</v>
          </cell>
          <cell r="L1713">
            <v>269.5</v>
          </cell>
          <cell r="M1713">
            <v>311.5</v>
          </cell>
        </row>
        <row r="1714">
          <cell r="C1714" t="str">
            <v>220kV 274 Ninh Phước 2 - 272 NMĐ MT Mỹ Sơn HLV</v>
          </cell>
          <cell r="F1714">
            <v>-332.3</v>
          </cell>
          <cell r="H1714">
            <v>-332.3</v>
          </cell>
          <cell r="I1714">
            <v>-228.7</v>
          </cell>
          <cell r="J1714">
            <v>-323.2</v>
          </cell>
          <cell r="K1714">
            <v>-241.8</v>
          </cell>
          <cell r="L1714">
            <v>-269.89999999999998</v>
          </cell>
          <cell r="M1714">
            <v>-311.39999999999998</v>
          </cell>
        </row>
        <row r="1715">
          <cell r="C1715" t="str">
            <v>110kV 185 Ninh Phước 2 - 171 NMĐ Gió 7A</v>
          </cell>
          <cell r="E1715">
            <v>0</v>
          </cell>
          <cell r="F1715">
            <v>0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</row>
        <row r="1716">
          <cell r="C1716" t="str">
            <v>220kV 272 Ninh Phước 2 - 231 NMĐG số 5 Ninh Thuận</v>
          </cell>
          <cell r="E1716">
            <v>0</v>
          </cell>
          <cell r="F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</row>
        <row r="1717">
          <cell r="C1717" t="str">
            <v>Ninh Sơn MBA T1 (phía 110kV)</v>
          </cell>
          <cell r="D1717">
            <v>131</v>
          </cell>
          <cell r="E1717">
            <v>-15</v>
          </cell>
          <cell r="F1717">
            <v>-23.3</v>
          </cell>
          <cell r="G1717">
            <v>-22</v>
          </cell>
          <cell r="H1717">
            <v>-23</v>
          </cell>
          <cell r="I1717">
            <v>-15</v>
          </cell>
          <cell r="J1717">
            <v>-22.8</v>
          </cell>
          <cell r="K1717">
            <v>-20.7</v>
          </cell>
          <cell r="L1717">
            <v>-22.8</v>
          </cell>
          <cell r="M1717">
            <v>-23.3</v>
          </cell>
        </row>
        <row r="1718">
          <cell r="C1718" t="str">
            <v>Ninh Sơn MBA T2 (phía 110kV)</v>
          </cell>
          <cell r="D1718">
            <v>132</v>
          </cell>
          <cell r="E1718">
            <v>-14.5</v>
          </cell>
          <cell r="F1718">
            <v>-22.9</v>
          </cell>
          <cell r="G1718">
            <v>-16.600000000000001</v>
          </cell>
          <cell r="H1718">
            <v>-15.1</v>
          </cell>
          <cell r="I1718">
            <v>-14.5</v>
          </cell>
          <cell r="J1718">
            <v>-14.9</v>
          </cell>
          <cell r="K1718">
            <v>-16.2</v>
          </cell>
          <cell r="L1718">
            <v>-17.100000000000001</v>
          </cell>
          <cell r="M1718">
            <v>-22.9</v>
          </cell>
        </row>
        <row r="1719">
          <cell r="C1719" t="str">
            <v>110kV 171 Ninh Sơn - 172 NMĐ MT CMX</v>
          </cell>
          <cell r="D1719">
            <v>171</v>
          </cell>
          <cell r="E1719">
            <v>-44.4</v>
          </cell>
          <cell r="F1719">
            <v>-53.8</v>
          </cell>
          <cell r="G1719">
            <v>-51.3</v>
          </cell>
          <cell r="H1719">
            <v>-53.8</v>
          </cell>
          <cell r="I1719">
            <v>-48.3</v>
          </cell>
          <cell r="J1719">
            <v>-48.3</v>
          </cell>
          <cell r="K1719">
            <v>-47.3</v>
          </cell>
          <cell r="L1719">
            <v>-44.4</v>
          </cell>
          <cell r="M1719">
            <v>-44.7</v>
          </cell>
        </row>
        <row r="1720">
          <cell r="C1720" t="str">
            <v>110kV 172 Ninh Sơn - 172 NMĐ Hạ Sông Pha</v>
          </cell>
          <cell r="D1720">
            <v>172</v>
          </cell>
          <cell r="E1720">
            <v>72</v>
          </cell>
          <cell r="F1720">
            <v>81.3</v>
          </cell>
          <cell r="G1720">
            <v>72</v>
          </cell>
          <cell r="H1720">
            <v>81.3</v>
          </cell>
          <cell r="I1720">
            <v>75.5</v>
          </cell>
          <cell r="J1720">
            <v>77.8</v>
          </cell>
          <cell r="K1720">
            <v>75.3</v>
          </cell>
          <cell r="L1720">
            <v>80.2</v>
          </cell>
          <cell r="M1720">
            <v>78.099999999999994</v>
          </cell>
        </row>
        <row r="1721">
          <cell r="C1721" t="str">
            <v>Ninh Sơn MBA T1 (phía 22kV)</v>
          </cell>
          <cell r="D1721">
            <v>431</v>
          </cell>
          <cell r="E1721">
            <v>15</v>
          </cell>
          <cell r="F1721">
            <v>23.4</v>
          </cell>
          <cell r="G1721">
            <v>22</v>
          </cell>
          <cell r="H1721">
            <v>23.2</v>
          </cell>
          <cell r="I1721">
            <v>15</v>
          </cell>
          <cell r="J1721">
            <v>22.9</v>
          </cell>
          <cell r="K1721">
            <v>20.7</v>
          </cell>
          <cell r="L1721">
            <v>22.9</v>
          </cell>
          <cell r="M1721">
            <v>23.4</v>
          </cell>
        </row>
        <row r="1722">
          <cell r="C1722" t="str">
            <v>Ninh Sơn MBA T2 (phía 22kV)</v>
          </cell>
          <cell r="D1722">
            <v>432</v>
          </cell>
          <cell r="E1722">
            <v>14.7</v>
          </cell>
          <cell r="F1722">
            <v>23.2</v>
          </cell>
          <cell r="G1722">
            <v>16.8</v>
          </cell>
          <cell r="H1722">
            <v>15.3</v>
          </cell>
          <cell r="I1722">
            <v>14.7</v>
          </cell>
          <cell r="J1722">
            <v>15.1</v>
          </cell>
          <cell r="K1722">
            <v>16.399999999999999</v>
          </cell>
          <cell r="L1722">
            <v>17.3</v>
          </cell>
          <cell r="M1722">
            <v>23.2</v>
          </cell>
        </row>
        <row r="1723">
          <cell r="C1723" t="str">
            <v>110kV 171 Ninh Thuận 1 - 171 NMĐ MT Hồ Bàu Ngứ</v>
          </cell>
          <cell r="F1723">
            <v>67.5</v>
          </cell>
          <cell r="H1723">
            <v>53.3</v>
          </cell>
          <cell r="I1723">
            <v>35.5</v>
          </cell>
          <cell r="J1723">
            <v>50.7</v>
          </cell>
          <cell r="K1723">
            <v>61.2</v>
          </cell>
          <cell r="L1723">
            <v>57.2</v>
          </cell>
          <cell r="M1723">
            <v>67.5</v>
          </cell>
        </row>
        <row r="1724">
          <cell r="C1724" t="str">
            <v>110kV 172 Ninh Thuận 1 - 174 Tháp Chàm</v>
          </cell>
          <cell r="E1724">
            <v>0</v>
          </cell>
          <cell r="F1724">
            <v>0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</row>
        <row r="1725">
          <cell r="C1725" t="str">
            <v>Ninh Thuận 1 MBA T1 (phía 110kV)</v>
          </cell>
          <cell r="F1725">
            <v>-18.5</v>
          </cell>
          <cell r="H1725">
            <v>-18.5</v>
          </cell>
          <cell r="I1725">
            <v>-11.8</v>
          </cell>
          <cell r="J1725">
            <v>-12.8</v>
          </cell>
          <cell r="K1725">
            <v>-17.3</v>
          </cell>
          <cell r="L1725">
            <v>10.9</v>
          </cell>
          <cell r="M1725">
            <v>-18.399999999999999</v>
          </cell>
        </row>
        <row r="1726">
          <cell r="C1726" t="str">
            <v>Ninh Thuận 1 MBA T1 (phía 22kV)</v>
          </cell>
          <cell r="F1726">
            <v>18.8</v>
          </cell>
          <cell r="H1726">
            <v>18.8</v>
          </cell>
          <cell r="I1726">
            <v>12</v>
          </cell>
          <cell r="J1726">
            <v>12.9</v>
          </cell>
          <cell r="K1726">
            <v>17.7</v>
          </cell>
          <cell r="L1726">
            <v>-11</v>
          </cell>
          <cell r="M1726">
            <v>18.8</v>
          </cell>
        </row>
        <row r="1727">
          <cell r="C1727" t="str">
            <v>110kV 173 Ninh Thuận 1 - (171-7) NMĐ MT Gelex</v>
          </cell>
          <cell r="F1727">
            <v>-35.4</v>
          </cell>
          <cell r="H1727">
            <v>-34.9</v>
          </cell>
          <cell r="I1727">
            <v>-23.4</v>
          </cell>
          <cell r="J1727">
            <v>-34.200000000000003</v>
          </cell>
          <cell r="K1727">
            <v>-35.4</v>
          </cell>
          <cell r="L1727">
            <v>-33.5</v>
          </cell>
          <cell r="M1727">
            <v>-30.7</v>
          </cell>
        </row>
        <row r="1728">
          <cell r="C1728" t="str">
            <v>110kV 171 NM Nước Thủ Đức - 172 Linh Trung 1</v>
          </cell>
          <cell r="F1728">
            <v>121.7</v>
          </cell>
          <cell r="H1728">
            <v>121</v>
          </cell>
          <cell r="I1728">
            <v>108.5</v>
          </cell>
          <cell r="J1728">
            <v>121.7</v>
          </cell>
          <cell r="K1728">
            <v>117.1</v>
          </cell>
          <cell r="L1728">
            <v>82.4</v>
          </cell>
          <cell r="M1728">
            <v>71.599999999999994</v>
          </cell>
        </row>
        <row r="1729">
          <cell r="C1729" t="str">
            <v>110kV 172 NM Nước Thủ Đức - 179 Thủ Đức</v>
          </cell>
          <cell r="F1729">
            <v>-154</v>
          </cell>
          <cell r="H1729">
            <v>-154</v>
          </cell>
          <cell r="I1729">
            <v>-134.1</v>
          </cell>
          <cell r="J1729">
            <v>-153.4</v>
          </cell>
          <cell r="K1729">
            <v>-143.4</v>
          </cell>
          <cell r="L1729">
            <v>-100.9</v>
          </cell>
          <cell r="M1729">
            <v>-93.1</v>
          </cell>
        </row>
        <row r="1730">
          <cell r="C1730" t="str">
            <v>NM Nước Thủ Đức MBA T1 (phía 110kV)</v>
          </cell>
          <cell r="F1730">
            <v>22.8</v>
          </cell>
          <cell r="H1730">
            <v>21.6</v>
          </cell>
          <cell r="I1730">
            <v>20.5</v>
          </cell>
          <cell r="J1730">
            <v>22.8</v>
          </cell>
          <cell r="K1730">
            <v>18.399999999999999</v>
          </cell>
          <cell r="L1730">
            <v>17.5</v>
          </cell>
          <cell r="M1730">
            <v>21.1</v>
          </cell>
        </row>
        <row r="1731">
          <cell r="C1731" t="str">
            <v>NM Nước Thủ Đức MBA T2 (phía 110kV)</v>
          </cell>
          <cell r="F1731">
            <v>12.1</v>
          </cell>
          <cell r="H1731">
            <v>12.1</v>
          </cell>
          <cell r="I1731">
            <v>9.8000000000000007</v>
          </cell>
          <cell r="J1731">
            <v>10.4</v>
          </cell>
          <cell r="K1731">
            <v>10.6</v>
          </cell>
          <cell r="L1731">
            <v>7.4</v>
          </cell>
          <cell r="M1731">
            <v>8.3000000000000007</v>
          </cell>
        </row>
        <row r="1732">
          <cell r="C1732" t="str">
            <v>NM Nước Thủ Đức MBA T1 (phía 22kV)</v>
          </cell>
          <cell r="F1732">
            <v>-21.2</v>
          </cell>
          <cell r="H1732">
            <v>-21</v>
          </cell>
          <cell r="I1732">
            <v>-19.600000000000001</v>
          </cell>
          <cell r="J1732">
            <v>-21.2</v>
          </cell>
          <cell r="K1732">
            <v>-17.5</v>
          </cell>
          <cell r="L1732">
            <v>-16.3</v>
          </cell>
          <cell r="M1732">
            <v>-19.7</v>
          </cell>
        </row>
        <row r="1733">
          <cell r="C1733" t="str">
            <v>NM Nước Thủ Đức MBA T2 (phía 22kV)</v>
          </cell>
          <cell r="F1733">
            <v>-11.4</v>
          </cell>
          <cell r="H1733">
            <v>-11.4</v>
          </cell>
          <cell r="I1733">
            <v>-8.1999999999999993</v>
          </cell>
          <cell r="J1733">
            <v>-9.4</v>
          </cell>
          <cell r="K1733">
            <v>-8.8000000000000007</v>
          </cell>
          <cell r="L1733">
            <v>-7.5</v>
          </cell>
          <cell r="M1733">
            <v>-7.5</v>
          </cell>
        </row>
        <row r="1734">
          <cell r="C1734" t="str">
            <v>NMĐ Bà Rịa MBA T10 (phía 110kV)</v>
          </cell>
          <cell r="D1734">
            <v>130</v>
          </cell>
          <cell r="E1734">
            <v>0</v>
          </cell>
          <cell r="F1734">
            <v>-55</v>
          </cell>
          <cell r="G1734">
            <v>-53.8</v>
          </cell>
          <cell r="H1734">
            <v>0</v>
          </cell>
          <cell r="I1734">
            <v>-52.7</v>
          </cell>
          <cell r="J1734">
            <v>-54.4</v>
          </cell>
          <cell r="K1734">
            <v>-55</v>
          </cell>
          <cell r="L1734">
            <v>-54.8</v>
          </cell>
          <cell r="M1734">
            <v>0</v>
          </cell>
        </row>
        <row r="1735">
          <cell r="C1735" t="str">
            <v>NMĐ Bà Rịa MBA AT1 (phía 110kV)</v>
          </cell>
          <cell r="D1735">
            <v>131</v>
          </cell>
          <cell r="E1735">
            <v>-21.2</v>
          </cell>
          <cell r="F1735">
            <v>-37.200000000000003</v>
          </cell>
          <cell r="G1735">
            <v>-23</v>
          </cell>
          <cell r="H1735">
            <v>-37.200000000000003</v>
          </cell>
          <cell r="I1735">
            <v>-21.2</v>
          </cell>
          <cell r="J1735">
            <v>-21.3</v>
          </cell>
          <cell r="K1735">
            <v>-32</v>
          </cell>
          <cell r="L1735">
            <v>-31</v>
          </cell>
          <cell r="M1735">
            <v>-30.9</v>
          </cell>
        </row>
        <row r="1736">
          <cell r="C1736" t="str">
            <v>NMĐ Bà Rịa MBA T2 (phía 110kV)</v>
          </cell>
          <cell r="D1736">
            <v>132</v>
          </cell>
          <cell r="E1736">
            <v>0</v>
          </cell>
          <cell r="F1736">
            <v>0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</row>
        <row r="1737">
          <cell r="C1737" t="str">
            <v>NMĐ Bà Rịa MBA T3 (phía 110kV)</v>
          </cell>
          <cell r="D1737">
            <v>133</v>
          </cell>
          <cell r="E1737">
            <v>0</v>
          </cell>
          <cell r="F1737">
            <v>-34.5</v>
          </cell>
          <cell r="G1737">
            <v>-34.1</v>
          </cell>
          <cell r="H1737">
            <v>0.1</v>
          </cell>
          <cell r="I1737">
            <v>-33.799999999999997</v>
          </cell>
          <cell r="J1737">
            <v>-33.299999999999997</v>
          </cell>
          <cell r="K1737">
            <v>-34.5</v>
          </cell>
          <cell r="L1737">
            <v>-33.200000000000003</v>
          </cell>
          <cell r="M1737">
            <v>0</v>
          </cell>
        </row>
        <row r="1738">
          <cell r="C1738" t="str">
            <v>NMĐ Bà Rịa MBA T4 (phía 110kV)</v>
          </cell>
          <cell r="D1738">
            <v>134</v>
          </cell>
          <cell r="E1738">
            <v>0.2</v>
          </cell>
          <cell r="F1738">
            <v>-32.200000000000003</v>
          </cell>
          <cell r="G1738">
            <v>-31.8</v>
          </cell>
          <cell r="H1738">
            <v>0.4</v>
          </cell>
          <cell r="I1738">
            <v>-28.6</v>
          </cell>
          <cell r="J1738">
            <v>-31.7</v>
          </cell>
          <cell r="K1738">
            <v>-32.200000000000003</v>
          </cell>
          <cell r="L1738">
            <v>-32</v>
          </cell>
          <cell r="M1738">
            <v>0.2</v>
          </cell>
        </row>
        <row r="1739">
          <cell r="C1739" t="str">
            <v>NMĐ Bà Rịa MBA T8 (phía 110kV)</v>
          </cell>
          <cell r="D1739">
            <v>138</v>
          </cell>
          <cell r="E1739">
            <v>0</v>
          </cell>
          <cell r="F1739">
            <v>-30</v>
          </cell>
          <cell r="G1739">
            <v>-30</v>
          </cell>
          <cell r="H1739">
            <v>0.4</v>
          </cell>
          <cell r="I1739">
            <v>-27.5</v>
          </cell>
          <cell r="J1739">
            <v>-29.7</v>
          </cell>
          <cell r="K1739">
            <v>-29.9</v>
          </cell>
          <cell r="L1739">
            <v>-29.5</v>
          </cell>
          <cell r="M1739">
            <v>0</v>
          </cell>
        </row>
        <row r="1740">
          <cell r="C1740" t="str">
            <v>110kV 171 NMĐ Bà Rịa - 174 Vũng Tàu 2</v>
          </cell>
          <cell r="D1740">
            <v>171</v>
          </cell>
          <cell r="E1740">
            <v>19.7</v>
          </cell>
          <cell r="F1740">
            <v>-50.1</v>
          </cell>
          <cell r="G1740">
            <v>33.299999999999997</v>
          </cell>
          <cell r="H1740">
            <v>-50.1</v>
          </cell>
          <cell r="I1740">
            <v>19.7</v>
          </cell>
          <cell r="J1740">
            <v>26.9</v>
          </cell>
          <cell r="K1740">
            <v>-28.1</v>
          </cell>
          <cell r="L1740">
            <v>-23.3</v>
          </cell>
          <cell r="M1740">
            <v>-29.9</v>
          </cell>
        </row>
        <row r="1741">
          <cell r="C1741" t="str">
            <v>110kV 172 NMĐ Bà Rịa - 172 An ngãi</v>
          </cell>
          <cell r="D1741">
            <v>172</v>
          </cell>
          <cell r="E1741">
            <v>10</v>
          </cell>
          <cell r="F1741">
            <v>31.1</v>
          </cell>
          <cell r="G1741">
            <v>31.1</v>
          </cell>
          <cell r="H1741">
            <v>-13.4</v>
          </cell>
          <cell r="I1741">
            <v>21.6</v>
          </cell>
          <cell r="J1741">
            <v>31.1</v>
          </cell>
          <cell r="K1741">
            <v>22.5</v>
          </cell>
          <cell r="L1741">
            <v>23.1</v>
          </cell>
          <cell r="M1741">
            <v>10</v>
          </cell>
        </row>
        <row r="1742">
          <cell r="C1742" t="str">
            <v>110kV 173 NMĐ Bà Rịa - 171 LSP Long Sơn</v>
          </cell>
          <cell r="D1742">
            <v>173</v>
          </cell>
          <cell r="E1742">
            <v>-19.100000000000001</v>
          </cell>
          <cell r="F1742">
            <v>39.6</v>
          </cell>
          <cell r="G1742">
            <v>39.6</v>
          </cell>
          <cell r="H1742">
            <v>-23.8</v>
          </cell>
          <cell r="I1742">
            <v>35.200000000000003</v>
          </cell>
          <cell r="J1742">
            <v>21.8</v>
          </cell>
          <cell r="K1742">
            <v>26.6</v>
          </cell>
          <cell r="L1742">
            <v>26.5</v>
          </cell>
          <cell r="M1742">
            <v>-19.100000000000001</v>
          </cell>
        </row>
        <row r="1743">
          <cell r="C1743" t="str">
            <v>110kV 174 NMĐ Bà Rịa - 172 Phú Mỹ</v>
          </cell>
          <cell r="D1743">
            <v>174</v>
          </cell>
          <cell r="E1743">
            <v>-32</v>
          </cell>
          <cell r="F1743">
            <v>66.099999999999994</v>
          </cell>
          <cell r="G1743">
            <v>66.099999999999994</v>
          </cell>
          <cell r="H1743">
            <v>-39.1</v>
          </cell>
          <cell r="I1743">
            <v>59.2</v>
          </cell>
          <cell r="J1743">
            <v>35.700000000000003</v>
          </cell>
          <cell r="K1743">
            <v>43</v>
          </cell>
          <cell r="L1743">
            <v>44.4</v>
          </cell>
          <cell r="M1743">
            <v>-32</v>
          </cell>
        </row>
        <row r="1744">
          <cell r="C1744" t="str">
            <v>110kV 175 NMĐ Bà Rịa - 172 Bà Rịa</v>
          </cell>
          <cell r="D1744">
            <v>175</v>
          </cell>
          <cell r="E1744">
            <v>86.4</v>
          </cell>
          <cell r="F1744">
            <v>161.19999999999999</v>
          </cell>
          <cell r="G1744">
            <v>111.1</v>
          </cell>
          <cell r="H1744">
            <v>161.19999999999999</v>
          </cell>
          <cell r="I1744">
            <v>86.4</v>
          </cell>
          <cell r="J1744">
            <v>103</v>
          </cell>
          <cell r="K1744">
            <v>99.4</v>
          </cell>
          <cell r="L1744">
            <v>89.4</v>
          </cell>
          <cell r="M1744">
            <v>98.7</v>
          </cell>
        </row>
        <row r="1745">
          <cell r="C1745" t="str">
            <v>NMĐ Bà Rịa MBA AT1 (phía 220kV)</v>
          </cell>
          <cell r="D1745">
            <v>231</v>
          </cell>
          <cell r="E1745">
            <v>20.6</v>
          </cell>
          <cell r="F1745">
            <v>37.200000000000003</v>
          </cell>
          <cell r="G1745">
            <v>23.1</v>
          </cell>
          <cell r="H1745">
            <v>37.200000000000003</v>
          </cell>
          <cell r="I1745">
            <v>20.6</v>
          </cell>
          <cell r="J1745">
            <v>21.3</v>
          </cell>
          <cell r="K1745">
            <v>31.3</v>
          </cell>
          <cell r="L1745">
            <v>30.7</v>
          </cell>
          <cell r="M1745">
            <v>30.8</v>
          </cell>
        </row>
        <row r="1746">
          <cell r="C1746" t="str">
            <v>220kV 271 NMĐ Bà Rịa - 274 Vũng Tàu 2</v>
          </cell>
          <cell r="D1746">
            <v>271</v>
          </cell>
          <cell r="E1746">
            <v>77.900000000000006</v>
          </cell>
          <cell r="F1746">
            <v>109.3</v>
          </cell>
          <cell r="G1746">
            <v>107.5</v>
          </cell>
          <cell r="H1746">
            <v>109.3</v>
          </cell>
          <cell r="I1746">
            <v>84.7</v>
          </cell>
          <cell r="J1746">
            <v>96.6</v>
          </cell>
          <cell r="K1746">
            <v>81</v>
          </cell>
          <cell r="L1746">
            <v>95</v>
          </cell>
          <cell r="M1746">
            <v>77.900000000000006</v>
          </cell>
        </row>
        <row r="1747">
          <cell r="C1747" t="str">
            <v>220kV 272 NMĐ Bà Rịa - 274 Tân Thành</v>
          </cell>
          <cell r="D1747">
            <v>272</v>
          </cell>
          <cell r="E1747">
            <v>53.7</v>
          </cell>
          <cell r="F1747">
            <v>-145.9</v>
          </cell>
          <cell r="G1747">
            <v>64.900000000000006</v>
          </cell>
          <cell r="H1747">
            <v>-145.9</v>
          </cell>
          <cell r="I1747">
            <v>53.7</v>
          </cell>
          <cell r="J1747">
            <v>-90.1</v>
          </cell>
          <cell r="K1747">
            <v>-105.5</v>
          </cell>
          <cell r="L1747">
            <v>-102.2</v>
          </cell>
          <cell r="M1747">
            <v>-109.2</v>
          </cell>
        </row>
        <row r="1748">
          <cell r="C1748" t="str">
            <v>NMĐ Bà Rịa MBA T1 (phía 110kV)</v>
          </cell>
          <cell r="D1748" t="str">
            <v>131B</v>
          </cell>
          <cell r="E1748">
            <v>0.1</v>
          </cell>
          <cell r="F1748">
            <v>0.1</v>
          </cell>
          <cell r="G1748">
            <v>0.1</v>
          </cell>
          <cell r="H1748">
            <v>0.1</v>
          </cell>
          <cell r="I1748">
            <v>0.1</v>
          </cell>
          <cell r="J1748">
            <v>0.1</v>
          </cell>
          <cell r="K1748">
            <v>0.1</v>
          </cell>
          <cell r="L1748">
            <v>0.1</v>
          </cell>
          <cell r="M1748">
            <v>0.1</v>
          </cell>
        </row>
        <row r="1749">
          <cell r="C1749" t="str">
            <v>NMĐ Bắc Bình MBA T1 (phía 110kV)</v>
          </cell>
          <cell r="D1749">
            <v>131</v>
          </cell>
          <cell r="E1749">
            <v>-14.6</v>
          </cell>
          <cell r="F1749">
            <v>-16.399999999999999</v>
          </cell>
          <cell r="G1749">
            <v>-15</v>
          </cell>
          <cell r="H1749">
            <v>-14.6</v>
          </cell>
          <cell r="I1749">
            <v>-14.8</v>
          </cell>
          <cell r="J1749">
            <v>-16.399999999999999</v>
          </cell>
          <cell r="K1749">
            <v>-14.7</v>
          </cell>
          <cell r="L1749">
            <v>-15.3</v>
          </cell>
          <cell r="M1749">
            <v>-14.9</v>
          </cell>
        </row>
        <row r="1750">
          <cell r="C1750" t="str">
            <v>NMĐ Bắc Bình MBA T2 (phía 110kV)</v>
          </cell>
          <cell r="D1750">
            <v>132</v>
          </cell>
          <cell r="E1750">
            <v>-14.6</v>
          </cell>
          <cell r="F1750">
            <v>-16.2</v>
          </cell>
          <cell r="G1750">
            <v>-15.1</v>
          </cell>
          <cell r="H1750">
            <v>-15</v>
          </cell>
          <cell r="I1750">
            <v>-16.2</v>
          </cell>
          <cell r="J1750">
            <v>-15.2</v>
          </cell>
          <cell r="K1750">
            <v>-14.6</v>
          </cell>
          <cell r="L1750">
            <v>-14.9</v>
          </cell>
          <cell r="M1750">
            <v>-14.8</v>
          </cell>
        </row>
        <row r="1751">
          <cell r="C1751" t="str">
            <v>110kV 171 NMĐ Bắc Bình - 171 NMĐ Đại Ninh</v>
          </cell>
          <cell r="D1751">
            <v>171</v>
          </cell>
          <cell r="E1751">
            <v>28.8</v>
          </cell>
          <cell r="F1751">
            <v>29.8</v>
          </cell>
          <cell r="G1751">
            <v>29.7</v>
          </cell>
          <cell r="H1751">
            <v>28.8</v>
          </cell>
          <cell r="I1751">
            <v>29.1</v>
          </cell>
          <cell r="J1751">
            <v>29.8</v>
          </cell>
          <cell r="K1751">
            <v>28.9</v>
          </cell>
          <cell r="L1751">
            <v>29.2</v>
          </cell>
          <cell r="M1751">
            <v>29.1</v>
          </cell>
        </row>
        <row r="1752">
          <cell r="C1752" t="str">
            <v>NMĐ Bảo Lộc MBA T1 (phía 110kV)</v>
          </cell>
          <cell r="D1752">
            <v>131</v>
          </cell>
          <cell r="E1752">
            <v>-11.9</v>
          </cell>
          <cell r="F1752">
            <v>-12.4</v>
          </cell>
          <cell r="G1752">
            <v>-12.2</v>
          </cell>
          <cell r="H1752">
            <v>-12.4</v>
          </cell>
          <cell r="I1752">
            <v>-12.4</v>
          </cell>
          <cell r="J1752">
            <v>-12.3</v>
          </cell>
          <cell r="K1752">
            <v>-12.3</v>
          </cell>
          <cell r="L1752">
            <v>-11.9</v>
          </cell>
          <cell r="M1752">
            <v>-12.3</v>
          </cell>
        </row>
        <row r="1753">
          <cell r="C1753" t="str">
            <v>NMĐ Bảo Lộc MBA T2 (phía 110kV)</v>
          </cell>
          <cell r="D1753">
            <v>132</v>
          </cell>
          <cell r="E1753">
            <v>-11.9</v>
          </cell>
          <cell r="F1753">
            <v>-12.3</v>
          </cell>
          <cell r="G1753">
            <v>-12.1</v>
          </cell>
          <cell r="H1753">
            <v>-12.1</v>
          </cell>
          <cell r="I1753">
            <v>-12.3</v>
          </cell>
          <cell r="J1753">
            <v>-12.2</v>
          </cell>
          <cell r="K1753">
            <v>-12.2</v>
          </cell>
          <cell r="L1753">
            <v>-11.9</v>
          </cell>
          <cell r="M1753">
            <v>-12.1</v>
          </cell>
        </row>
        <row r="1754">
          <cell r="C1754" t="str">
            <v>110kV 171 NMĐ Bảo Lộc - 173 Bảo Lộc</v>
          </cell>
          <cell r="D1754">
            <v>171</v>
          </cell>
          <cell r="E1754">
            <v>23.7</v>
          </cell>
          <cell r="F1754">
            <v>24.6</v>
          </cell>
          <cell r="G1754">
            <v>24.3</v>
          </cell>
          <cell r="H1754">
            <v>24.4</v>
          </cell>
          <cell r="I1754">
            <v>24.6</v>
          </cell>
          <cell r="J1754">
            <v>24.5</v>
          </cell>
          <cell r="K1754">
            <v>24.3</v>
          </cell>
          <cell r="L1754">
            <v>23.7</v>
          </cell>
          <cell r="M1754">
            <v>24.4</v>
          </cell>
        </row>
        <row r="1755">
          <cell r="C1755" t="str">
            <v>NMĐ Bauxit Lâm Đồng MBA T1 (phía 110kV)</v>
          </cell>
          <cell r="D1755">
            <v>131</v>
          </cell>
          <cell r="E1755">
            <v>0.7</v>
          </cell>
          <cell r="F1755">
            <v>7.4</v>
          </cell>
          <cell r="G1755">
            <v>7.4</v>
          </cell>
          <cell r="H1755">
            <v>0.7</v>
          </cell>
          <cell r="I1755">
            <v>3.1</v>
          </cell>
          <cell r="J1755">
            <v>2.7</v>
          </cell>
          <cell r="K1755">
            <v>3.1</v>
          </cell>
          <cell r="L1755">
            <v>3.1</v>
          </cell>
          <cell r="M1755">
            <v>2.8</v>
          </cell>
        </row>
        <row r="1756">
          <cell r="C1756" t="str">
            <v>NMĐ Bauxit Lâm Đồng MBA T2 (phía 110kV)</v>
          </cell>
          <cell r="D1756">
            <v>132</v>
          </cell>
          <cell r="E1756">
            <v>-0.5</v>
          </cell>
          <cell r="F1756">
            <v>8.1</v>
          </cell>
          <cell r="G1756">
            <v>3</v>
          </cell>
          <cell r="H1756">
            <v>-0.5</v>
          </cell>
          <cell r="I1756">
            <v>7.7</v>
          </cell>
          <cell r="J1756">
            <v>8.1</v>
          </cell>
          <cell r="K1756">
            <v>8</v>
          </cell>
          <cell r="L1756">
            <v>8.1</v>
          </cell>
          <cell r="M1756">
            <v>6.8</v>
          </cell>
        </row>
        <row r="1757">
          <cell r="C1757" t="str">
            <v>110kV 172 NMĐ Bauxit Lâm Đồng - 172 Bảo Lâm</v>
          </cell>
          <cell r="D1757">
            <v>172</v>
          </cell>
          <cell r="E1757">
            <v>1</v>
          </cell>
          <cell r="F1757">
            <v>-11</v>
          </cell>
          <cell r="G1757">
            <v>-10.3</v>
          </cell>
          <cell r="H1757">
            <v>1</v>
          </cell>
          <cell r="I1757">
            <v>-11</v>
          </cell>
          <cell r="J1757">
            <v>-11</v>
          </cell>
          <cell r="K1757">
            <v>-10.9</v>
          </cell>
          <cell r="L1757">
            <v>-11</v>
          </cell>
          <cell r="M1757">
            <v>-9.6</v>
          </cell>
        </row>
        <row r="1758">
          <cell r="C1758" t="str">
            <v>110kV 171 NMĐ Bourbon - 174 Tây Ninh 2</v>
          </cell>
          <cell r="E1758">
            <v>0</v>
          </cell>
          <cell r="F1758">
            <v>0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</row>
        <row r="1759">
          <cell r="C1759" t="str">
            <v>110kV 172 NMĐ Bourbon - 172 trạm cắt Tây Ninh 1</v>
          </cell>
          <cell r="E1759">
            <v>0</v>
          </cell>
          <cell r="F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</row>
        <row r="1760">
          <cell r="C1760" t="str">
            <v>NMĐ Bourbon MBA T1 (phía 110kV)</v>
          </cell>
          <cell r="E1760">
            <v>0</v>
          </cell>
          <cell r="F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</row>
        <row r="1761">
          <cell r="C1761" t="str">
            <v>NMĐ Bourbon MBA T1 (phía 10kV)</v>
          </cell>
          <cell r="E1761">
            <v>0</v>
          </cell>
          <cell r="F1761">
            <v>0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</row>
        <row r="1762">
          <cell r="C1762" t="str">
            <v>NMĐ BP Solar 1 MBA T1 (phía 110kV)</v>
          </cell>
          <cell r="F1762">
            <v>30.2</v>
          </cell>
          <cell r="H1762">
            <v>28.8</v>
          </cell>
          <cell r="I1762">
            <v>16.600000000000001</v>
          </cell>
          <cell r="J1762">
            <v>26.9</v>
          </cell>
          <cell r="K1762">
            <v>30.2</v>
          </cell>
          <cell r="L1762">
            <v>28.3</v>
          </cell>
          <cell r="M1762">
            <v>23.1</v>
          </cell>
        </row>
        <row r="1763">
          <cell r="C1763" t="str">
            <v>NMĐ BP Solar 1 MBA T1 (phía 22kV)</v>
          </cell>
          <cell r="F1763">
            <v>31.1</v>
          </cell>
          <cell r="H1763">
            <v>29.6</v>
          </cell>
          <cell r="I1763">
            <v>16.600000000000001</v>
          </cell>
          <cell r="J1763">
            <v>28.3</v>
          </cell>
          <cell r="K1763">
            <v>31.1</v>
          </cell>
          <cell r="L1763">
            <v>29.6</v>
          </cell>
          <cell r="M1763">
            <v>23.9</v>
          </cell>
        </row>
        <row r="1764">
          <cell r="C1764" t="str">
            <v>NMĐ Cà Mau MBA T1 (phía 220kV)</v>
          </cell>
          <cell r="D1764">
            <v>231</v>
          </cell>
          <cell r="E1764">
            <v>-83.1</v>
          </cell>
          <cell r="F1764">
            <v>-242</v>
          </cell>
          <cell r="G1764">
            <v>-242</v>
          </cell>
          <cell r="H1764">
            <v>-237.6</v>
          </cell>
          <cell r="I1764">
            <v>-240.4</v>
          </cell>
          <cell r="J1764">
            <v>-180.8</v>
          </cell>
          <cell r="K1764">
            <v>-110.2</v>
          </cell>
          <cell r="L1764">
            <v>-110.8</v>
          </cell>
          <cell r="M1764">
            <v>-83.1</v>
          </cell>
        </row>
        <row r="1765">
          <cell r="C1765" t="str">
            <v>NMĐ Cà Mau MBA T2 (phía 220kV)</v>
          </cell>
          <cell r="D1765">
            <v>232</v>
          </cell>
          <cell r="E1765">
            <v>-131.9</v>
          </cell>
          <cell r="F1765">
            <v>-236.9</v>
          </cell>
          <cell r="G1765">
            <v>-233.8</v>
          </cell>
          <cell r="H1765">
            <v>-229.6</v>
          </cell>
          <cell r="I1765">
            <v>-232.7</v>
          </cell>
          <cell r="J1765">
            <v>-131.9</v>
          </cell>
          <cell r="K1765">
            <v>-236.1</v>
          </cell>
          <cell r="L1765">
            <v>-236.9</v>
          </cell>
          <cell r="M1765">
            <v>-139.5</v>
          </cell>
        </row>
        <row r="1766">
          <cell r="C1766" t="str">
            <v>NMĐ Cà Mau MBA T3 (phía 220kV)</v>
          </cell>
          <cell r="D1766">
            <v>233</v>
          </cell>
          <cell r="E1766">
            <v>4.2</v>
          </cell>
          <cell r="F1766">
            <v>-236.8</v>
          </cell>
          <cell r="G1766">
            <v>-236.8</v>
          </cell>
          <cell r="H1766">
            <v>-231.6</v>
          </cell>
          <cell r="I1766">
            <v>-234.8</v>
          </cell>
          <cell r="J1766">
            <v>-133.1</v>
          </cell>
          <cell r="K1766">
            <v>4.5999999999999996</v>
          </cell>
          <cell r="L1766">
            <v>4.5999999999999996</v>
          </cell>
          <cell r="M1766">
            <v>4.2</v>
          </cell>
        </row>
        <row r="1767">
          <cell r="C1767" t="str">
            <v>NMĐ Cà Mau MBA T4 (phía 220kV)</v>
          </cell>
          <cell r="D1767">
            <v>234</v>
          </cell>
          <cell r="E1767">
            <v>83.5</v>
          </cell>
          <cell r="F1767">
            <v>250.6</v>
          </cell>
          <cell r="G1767">
            <v>115.1</v>
          </cell>
          <cell r="H1767">
            <v>83.5</v>
          </cell>
          <cell r="I1767">
            <v>109.7</v>
          </cell>
          <cell r="J1767">
            <v>168</v>
          </cell>
          <cell r="K1767">
            <v>250.6</v>
          </cell>
          <cell r="L1767">
            <v>115.1</v>
          </cell>
          <cell r="M1767">
            <v>84</v>
          </cell>
        </row>
        <row r="1768">
          <cell r="C1768" t="str">
            <v>NMĐ Cà Mau MBA T5 (phía 220kV)</v>
          </cell>
          <cell r="D1768">
            <v>235</v>
          </cell>
          <cell r="E1768">
            <v>94</v>
          </cell>
          <cell r="F1768">
            <v>229.4</v>
          </cell>
          <cell r="G1768">
            <v>225.2</v>
          </cell>
          <cell r="H1768">
            <v>126.4</v>
          </cell>
          <cell r="I1768">
            <v>225.8</v>
          </cell>
          <cell r="J1768">
            <v>94</v>
          </cell>
          <cell r="K1768">
            <v>229.4</v>
          </cell>
          <cell r="L1768">
            <v>228.8</v>
          </cell>
          <cell r="M1768">
            <v>127.8</v>
          </cell>
        </row>
        <row r="1769">
          <cell r="C1769" t="str">
            <v>NMĐ Cà Mau MBA T6 (phía 220kV)</v>
          </cell>
          <cell r="D1769">
            <v>236</v>
          </cell>
          <cell r="E1769">
            <v>14.1</v>
          </cell>
          <cell r="F1769">
            <v>-226</v>
          </cell>
          <cell r="G1769">
            <v>14.9</v>
          </cell>
          <cell r="H1769">
            <v>14.3</v>
          </cell>
          <cell r="I1769">
            <v>14.1</v>
          </cell>
          <cell r="J1769">
            <v>-94.5</v>
          </cell>
          <cell r="K1769">
            <v>-226</v>
          </cell>
          <cell r="L1769">
            <v>16.600000000000001</v>
          </cell>
          <cell r="M1769">
            <v>15.3</v>
          </cell>
        </row>
        <row r="1770">
          <cell r="C1770" t="str">
            <v>220kV 271 NMĐ Cà Mau - 272 Sóc Trăng 2</v>
          </cell>
          <cell r="D1770">
            <v>271</v>
          </cell>
          <cell r="E1770">
            <v>21.2</v>
          </cell>
          <cell r="F1770">
            <v>108.4</v>
          </cell>
          <cell r="G1770">
            <v>72.8</v>
          </cell>
          <cell r="H1770">
            <v>108.4</v>
          </cell>
          <cell r="I1770">
            <v>65.2</v>
          </cell>
          <cell r="J1770">
            <v>41.9</v>
          </cell>
          <cell r="K1770">
            <v>67.8</v>
          </cell>
          <cell r="L1770">
            <v>34.200000000000003</v>
          </cell>
          <cell r="M1770">
            <v>21.2</v>
          </cell>
        </row>
        <row r="1771">
          <cell r="C1771" t="str">
            <v>220kV 272 NMĐ Cà Mau - 273 Ô Môn 2</v>
          </cell>
          <cell r="D1771">
            <v>272</v>
          </cell>
          <cell r="E1771">
            <v>-40.9</v>
          </cell>
          <cell r="F1771">
            <v>94.4</v>
          </cell>
          <cell r="G1771">
            <v>94.4</v>
          </cell>
          <cell r="H1771">
            <v>48.9</v>
          </cell>
          <cell r="I1771">
            <v>72.099999999999994</v>
          </cell>
          <cell r="J1771">
            <v>79.2</v>
          </cell>
          <cell r="K1771">
            <v>65.7</v>
          </cell>
          <cell r="L1771">
            <v>-40.9</v>
          </cell>
          <cell r="M1771">
            <v>-90.4</v>
          </cell>
        </row>
        <row r="1772">
          <cell r="C1772" t="str">
            <v>220kV 273 NMĐ Cà Mau - 273 Rạch Giá 2</v>
          </cell>
          <cell r="D1772">
            <v>273</v>
          </cell>
          <cell r="E1772">
            <v>40</v>
          </cell>
          <cell r="F1772">
            <v>105.5</v>
          </cell>
          <cell r="G1772">
            <v>105.5</v>
          </cell>
          <cell r="H1772">
            <v>90.1</v>
          </cell>
          <cell r="I1772">
            <v>92.6</v>
          </cell>
          <cell r="J1772">
            <v>79</v>
          </cell>
          <cell r="K1772">
            <v>94.6</v>
          </cell>
          <cell r="L1772">
            <v>62.9</v>
          </cell>
          <cell r="M1772">
            <v>40</v>
          </cell>
        </row>
        <row r="1773">
          <cell r="C1773" t="str">
            <v>220kV 274 NMĐ Cà Mau - 271 Bạc Liêu 2</v>
          </cell>
          <cell r="D1773">
            <v>274</v>
          </cell>
          <cell r="E1773">
            <v>0</v>
          </cell>
          <cell r="F1773">
            <v>98</v>
          </cell>
          <cell r="G1773">
            <v>95.3</v>
          </cell>
          <cell r="H1773">
            <v>0</v>
          </cell>
          <cell r="I1773">
            <v>93.2</v>
          </cell>
          <cell r="J1773">
            <v>81.3</v>
          </cell>
          <cell r="K1773">
            <v>98</v>
          </cell>
          <cell r="L1773">
            <v>64.8</v>
          </cell>
          <cell r="M1773">
            <v>46.9</v>
          </cell>
        </row>
        <row r="1774">
          <cell r="C1774" t="str">
            <v>220kV 275 NMĐ Cà Mau - 283 Ô Môn 2</v>
          </cell>
          <cell r="D1774">
            <v>275</v>
          </cell>
          <cell r="E1774">
            <v>-41.5</v>
          </cell>
          <cell r="F1774">
            <v>94.8</v>
          </cell>
          <cell r="G1774">
            <v>94.8</v>
          </cell>
          <cell r="H1774">
            <v>48</v>
          </cell>
          <cell r="I1774">
            <v>71.900000000000006</v>
          </cell>
          <cell r="J1774">
            <v>80.2</v>
          </cell>
          <cell r="K1774">
            <v>66.2</v>
          </cell>
          <cell r="L1774">
            <v>-41.5</v>
          </cell>
          <cell r="M1774">
            <v>-90.6</v>
          </cell>
        </row>
        <row r="1775">
          <cell r="C1775" t="str">
            <v>220kV 276 NMĐ Cà Mau - 277 Rạch Giá 2</v>
          </cell>
          <cell r="D1775">
            <v>276</v>
          </cell>
          <cell r="E1775">
            <v>66.2</v>
          </cell>
          <cell r="F1775">
            <v>175.3</v>
          </cell>
          <cell r="G1775">
            <v>175.3</v>
          </cell>
          <cell r="H1775">
            <v>152</v>
          </cell>
          <cell r="I1775">
            <v>154.69999999999999</v>
          </cell>
          <cell r="J1775">
            <v>129.80000000000001</v>
          </cell>
          <cell r="K1775">
            <v>158.1</v>
          </cell>
          <cell r="L1775">
            <v>104.1</v>
          </cell>
          <cell r="M1775">
            <v>66.2</v>
          </cell>
        </row>
        <row r="1776">
          <cell r="C1776" t="str">
            <v>220kV 277 NMĐ Cà Mau - 272 Cà Mau 2</v>
          </cell>
          <cell r="D1776">
            <v>277</v>
          </cell>
          <cell r="E1776">
            <v>0</v>
          </cell>
          <cell r="F1776">
            <v>155.1</v>
          </cell>
          <cell r="G1776">
            <v>132.9</v>
          </cell>
          <cell r="H1776">
            <v>147.30000000000001</v>
          </cell>
          <cell r="I1776">
            <v>138</v>
          </cell>
          <cell r="J1776">
            <v>155.1</v>
          </cell>
          <cell r="K1776">
            <v>136.69999999999999</v>
          </cell>
          <cell r="L1776">
            <v>135.4</v>
          </cell>
          <cell r="M1776">
            <v>0</v>
          </cell>
        </row>
        <row r="1777">
          <cell r="C1777" t="str">
            <v>220kV 278 NMĐ Cà Mau - 271 Cà Mau 2</v>
          </cell>
          <cell r="D1777">
            <v>278</v>
          </cell>
          <cell r="E1777">
            <v>134.1</v>
          </cell>
          <cell r="F1777">
            <v>277.8</v>
          </cell>
          <cell r="G1777">
            <v>134.1</v>
          </cell>
          <cell r="H1777">
            <v>148.19999999999999</v>
          </cell>
          <cell r="I1777">
            <v>138.80000000000001</v>
          </cell>
          <cell r="J1777">
            <v>156.1</v>
          </cell>
          <cell r="K1777">
            <v>137.9</v>
          </cell>
          <cell r="L1777">
            <v>136.30000000000001</v>
          </cell>
          <cell r="M1777">
            <v>277.8</v>
          </cell>
        </row>
        <row r="1778">
          <cell r="C1778" t="str">
            <v>220kV 284 NMĐ Cà Mau - 272 Bạc Liêu 2</v>
          </cell>
          <cell r="D1778">
            <v>284</v>
          </cell>
          <cell r="E1778">
            <v>0</v>
          </cell>
          <cell r="F1778">
            <v>98.3</v>
          </cell>
          <cell r="G1778">
            <v>95.3</v>
          </cell>
          <cell r="H1778">
            <v>0</v>
          </cell>
          <cell r="I1778">
            <v>93</v>
          </cell>
          <cell r="J1778">
            <v>81.3</v>
          </cell>
          <cell r="K1778">
            <v>98.3</v>
          </cell>
          <cell r="L1778">
            <v>65.099999999999994</v>
          </cell>
          <cell r="M1778">
            <v>47</v>
          </cell>
        </row>
        <row r="1779">
          <cell r="C1779" t="str">
            <v>220kV 286 NMĐ Cà Mau - 276 Rạch Giá 2</v>
          </cell>
          <cell r="D1779">
            <v>286</v>
          </cell>
          <cell r="E1779">
            <v>66.400000000000006</v>
          </cell>
          <cell r="F1779">
            <v>175.3</v>
          </cell>
          <cell r="G1779">
            <v>175.3</v>
          </cell>
          <cell r="H1779">
            <v>151.1</v>
          </cell>
          <cell r="I1779">
            <v>154.30000000000001</v>
          </cell>
          <cell r="J1779">
            <v>129.6</v>
          </cell>
          <cell r="K1779">
            <v>157.30000000000001</v>
          </cell>
          <cell r="L1779">
            <v>104.1</v>
          </cell>
          <cell r="M1779">
            <v>66.400000000000006</v>
          </cell>
        </row>
        <row r="1780">
          <cell r="C1780" t="str">
            <v>110kV 171 &amp; 173 NMĐ Cần Đơn - 171 Bù Đốp</v>
          </cell>
          <cell r="F1780">
            <v>-24.9</v>
          </cell>
          <cell r="H1780">
            <v>-14.6</v>
          </cell>
          <cell r="I1780">
            <v>-14.8</v>
          </cell>
          <cell r="J1780">
            <v>-19</v>
          </cell>
          <cell r="K1780">
            <v>-24.9</v>
          </cell>
          <cell r="L1780">
            <v>-18.7</v>
          </cell>
          <cell r="M1780">
            <v>-22.4</v>
          </cell>
        </row>
        <row r="1781">
          <cell r="C1781" t="str">
            <v>110kV 172 &amp; 174 NMĐ Cần Đơn - 173 Bình Long 2</v>
          </cell>
          <cell r="F1781">
            <v>59.6</v>
          </cell>
          <cell r="H1781">
            <v>42.7</v>
          </cell>
          <cell r="I1781">
            <v>25.6</v>
          </cell>
          <cell r="J1781">
            <v>59.6</v>
          </cell>
          <cell r="K1781">
            <v>44.2</v>
          </cell>
          <cell r="L1781">
            <v>43.5</v>
          </cell>
          <cell r="M1781">
            <v>36.1</v>
          </cell>
        </row>
        <row r="1782">
          <cell r="C1782" t="str">
            <v>NMĐ Cần Đơn MBA T1 (phía 110kV)</v>
          </cell>
          <cell r="E1782">
            <v>0</v>
          </cell>
          <cell r="F1782">
            <v>-37.5</v>
          </cell>
          <cell r="H1782">
            <v>-35.5</v>
          </cell>
          <cell r="I1782">
            <v>0</v>
          </cell>
          <cell r="J1782">
            <v>-37.5</v>
          </cell>
          <cell r="K1782">
            <v>-35.4</v>
          </cell>
          <cell r="L1782">
            <v>-36</v>
          </cell>
          <cell r="M1782">
            <v>-34.700000000000003</v>
          </cell>
        </row>
        <row r="1783">
          <cell r="C1783" t="str">
            <v>NMĐ Cần Đơn MBA T2 (phía 110kV)</v>
          </cell>
          <cell r="F1783">
            <v>-39</v>
          </cell>
          <cell r="H1783">
            <v>-38.4</v>
          </cell>
          <cell r="I1783">
            <v>-39</v>
          </cell>
          <cell r="J1783">
            <v>-38.9</v>
          </cell>
          <cell r="K1783">
            <v>-38.700000000000003</v>
          </cell>
          <cell r="L1783">
            <v>-38.9</v>
          </cell>
          <cell r="M1783">
            <v>-38.1</v>
          </cell>
        </row>
        <row r="1784">
          <cell r="C1784" t="str">
            <v>NMĐ Cần Thơ MBA T1 (phía 110kV)</v>
          </cell>
          <cell r="D1784">
            <v>131</v>
          </cell>
          <cell r="E1784">
            <v>0.1</v>
          </cell>
          <cell r="F1784">
            <v>0.1</v>
          </cell>
          <cell r="G1784">
            <v>0.1</v>
          </cell>
          <cell r="H1784">
            <v>0.1</v>
          </cell>
          <cell r="I1784">
            <v>0.1</v>
          </cell>
          <cell r="J1784">
            <v>0.1</v>
          </cell>
          <cell r="K1784">
            <v>0.1</v>
          </cell>
          <cell r="L1784">
            <v>0.1</v>
          </cell>
          <cell r="M1784">
            <v>0.1</v>
          </cell>
        </row>
        <row r="1785">
          <cell r="C1785" t="str">
            <v>110kV 171 GT 3, 4 Cần Thơ - 174 Trà Nóc</v>
          </cell>
          <cell r="D1785">
            <v>171</v>
          </cell>
          <cell r="E1785">
            <v>-0.2</v>
          </cell>
          <cell r="F1785">
            <v>0.6</v>
          </cell>
          <cell r="G1785">
            <v>0.4</v>
          </cell>
          <cell r="H1785">
            <v>0.4</v>
          </cell>
          <cell r="I1785">
            <v>-0.2</v>
          </cell>
          <cell r="J1785">
            <v>-0.2</v>
          </cell>
          <cell r="K1785">
            <v>0.6</v>
          </cell>
          <cell r="L1785">
            <v>0.6</v>
          </cell>
          <cell r="M1785">
            <v>0.6</v>
          </cell>
        </row>
        <row r="1786">
          <cell r="C1786" t="str">
            <v>NMĐ Đa Dâng 2 MBA T1 (phía 110kV)</v>
          </cell>
          <cell r="D1786">
            <v>131</v>
          </cell>
          <cell r="E1786">
            <v>0</v>
          </cell>
          <cell r="F1786">
            <v>17.7</v>
          </cell>
          <cell r="G1786">
            <v>0</v>
          </cell>
          <cell r="H1786">
            <v>17.600000000000001</v>
          </cell>
          <cell r="I1786">
            <v>17.7</v>
          </cell>
          <cell r="J1786">
            <v>17.399999999999999</v>
          </cell>
          <cell r="K1786">
            <v>17.399999999999999</v>
          </cell>
          <cell r="L1786">
            <v>17.600000000000001</v>
          </cell>
          <cell r="M1786">
            <v>17.7</v>
          </cell>
        </row>
        <row r="1787">
          <cell r="C1787" t="str">
            <v>NMĐ Đa Dâng 2 MBA T2 (phía 110kV)</v>
          </cell>
          <cell r="D1787">
            <v>132</v>
          </cell>
          <cell r="E1787">
            <v>0</v>
          </cell>
          <cell r="F1787">
            <v>17.600000000000001</v>
          </cell>
          <cell r="G1787">
            <v>0</v>
          </cell>
          <cell r="H1787">
            <v>15.3</v>
          </cell>
          <cell r="I1787">
            <v>17.600000000000001</v>
          </cell>
          <cell r="J1787">
            <v>17.399999999999999</v>
          </cell>
          <cell r="K1787">
            <v>17.399999999999999</v>
          </cell>
          <cell r="L1787">
            <v>15.2</v>
          </cell>
          <cell r="M1787">
            <v>17.5</v>
          </cell>
        </row>
        <row r="1788">
          <cell r="C1788" t="str">
            <v>110kV 171 NMĐ Đa Dâng 2 - 171 Đức Trọng</v>
          </cell>
          <cell r="D1788">
            <v>171</v>
          </cell>
          <cell r="E1788">
            <v>17.2</v>
          </cell>
          <cell r="F1788">
            <v>17.7</v>
          </cell>
          <cell r="G1788">
            <v>17.2</v>
          </cell>
          <cell r="H1788">
            <v>17.600000000000001</v>
          </cell>
          <cell r="I1788">
            <v>17.7</v>
          </cell>
          <cell r="J1788">
            <v>17.399999999999999</v>
          </cell>
          <cell r="K1788">
            <v>17.399999999999999</v>
          </cell>
          <cell r="L1788">
            <v>17.600000000000001</v>
          </cell>
          <cell r="M1788">
            <v>17.7</v>
          </cell>
        </row>
        <row r="1789">
          <cell r="C1789" t="str">
            <v>110kV 172 NMĐ Đa Dâng 2 - 171 NMĐ Đa Dâng 3</v>
          </cell>
          <cell r="D1789">
            <v>172</v>
          </cell>
          <cell r="E1789">
            <v>15.1</v>
          </cell>
          <cell r="F1789">
            <v>17.399999999999999</v>
          </cell>
          <cell r="G1789">
            <v>17.100000000000001</v>
          </cell>
          <cell r="H1789">
            <v>15.2</v>
          </cell>
          <cell r="I1789">
            <v>17.399999999999999</v>
          </cell>
          <cell r="J1789">
            <v>17.3</v>
          </cell>
          <cell r="K1789">
            <v>17.2</v>
          </cell>
          <cell r="L1789">
            <v>15.1</v>
          </cell>
          <cell r="M1789">
            <v>17.3</v>
          </cell>
        </row>
        <row r="1790">
          <cell r="C1790" t="str">
            <v>110kV 171 NMĐ Đa Dâng 3 - 172 NMĐ Đa Dâng 2</v>
          </cell>
          <cell r="F1790">
            <v>-53.4</v>
          </cell>
          <cell r="H1790">
            <v>-52</v>
          </cell>
          <cell r="I1790">
            <v>-53.4</v>
          </cell>
          <cell r="J1790">
            <v>-48.1</v>
          </cell>
          <cell r="K1790">
            <v>-40</v>
          </cell>
          <cell r="L1790">
            <v>-45.6</v>
          </cell>
          <cell r="M1790">
            <v>-50.6</v>
          </cell>
        </row>
        <row r="1791">
          <cell r="C1791" t="str">
            <v>110kV 172 NMĐ Đa Dâng 3 - 172 Di Linh 1</v>
          </cell>
          <cell r="F1791">
            <v>65</v>
          </cell>
          <cell r="H1791">
            <v>63.9</v>
          </cell>
          <cell r="I1791">
            <v>65</v>
          </cell>
          <cell r="J1791">
            <v>60.3</v>
          </cell>
          <cell r="K1791">
            <v>51.1</v>
          </cell>
          <cell r="L1791">
            <v>45.5</v>
          </cell>
          <cell r="M1791">
            <v>50</v>
          </cell>
        </row>
        <row r="1792">
          <cell r="C1792" t="str">
            <v>NMĐ Đa Dâng 3 MBA T1 (phía 110kV)</v>
          </cell>
          <cell r="F1792">
            <v>-12.3</v>
          </cell>
          <cell r="H1792">
            <v>-11.9</v>
          </cell>
          <cell r="I1792">
            <v>-11.2</v>
          </cell>
          <cell r="J1792">
            <v>-11.3</v>
          </cell>
          <cell r="K1792">
            <v>-12.3</v>
          </cell>
          <cell r="L1792">
            <v>-11.2</v>
          </cell>
          <cell r="M1792">
            <v>-11.8</v>
          </cell>
        </row>
        <row r="1793">
          <cell r="C1793" t="str">
            <v>NMĐ Đa Mi MBA T1 (phía 220kV)</v>
          </cell>
          <cell r="D1793">
            <v>231</v>
          </cell>
          <cell r="E1793">
            <v>-70.400000000000006</v>
          </cell>
          <cell r="F1793">
            <v>-99.7</v>
          </cell>
          <cell r="G1793">
            <v>-97.4</v>
          </cell>
          <cell r="H1793">
            <v>-99.7</v>
          </cell>
          <cell r="I1793">
            <v>-70.400000000000006</v>
          </cell>
          <cell r="J1793">
            <v>-98.3</v>
          </cell>
          <cell r="K1793">
            <v>-96.8</v>
          </cell>
          <cell r="L1793">
            <v>-99</v>
          </cell>
          <cell r="M1793">
            <v>-98.4</v>
          </cell>
        </row>
        <row r="1794">
          <cell r="C1794" t="str">
            <v>NMĐ Đa Mi MBA T2 (phía 220kV)</v>
          </cell>
          <cell r="D1794">
            <v>232</v>
          </cell>
          <cell r="E1794">
            <v>-89.4</v>
          </cell>
          <cell r="F1794">
            <v>-126.4</v>
          </cell>
          <cell r="G1794">
            <v>-123.8</v>
          </cell>
          <cell r="H1794">
            <v>-126.4</v>
          </cell>
          <cell r="I1794">
            <v>-89.4</v>
          </cell>
          <cell r="J1794">
            <v>-126.1</v>
          </cell>
          <cell r="K1794">
            <v>-121.6</v>
          </cell>
          <cell r="L1794">
            <v>-126.3</v>
          </cell>
          <cell r="M1794">
            <v>-124.2</v>
          </cell>
        </row>
        <row r="1795">
          <cell r="C1795" t="str">
            <v>220kV 271 NMĐ Đa Mi - 271 NMĐ Hàm Thuận</v>
          </cell>
          <cell r="D1795">
            <v>271</v>
          </cell>
          <cell r="E1795">
            <v>-118.1</v>
          </cell>
          <cell r="F1795">
            <v>-193</v>
          </cell>
          <cell r="G1795">
            <v>-151.30000000000001</v>
          </cell>
          <cell r="H1795">
            <v>-166.2</v>
          </cell>
          <cell r="I1795">
            <v>-193</v>
          </cell>
          <cell r="J1795">
            <v>-177.1</v>
          </cell>
          <cell r="K1795">
            <v>-161.1</v>
          </cell>
          <cell r="L1795">
            <v>-133</v>
          </cell>
          <cell r="M1795">
            <v>-118.1</v>
          </cell>
        </row>
        <row r="1796">
          <cell r="C1796" t="str">
            <v>220kV 272 NMĐ Đa Mi - 274 Xuân Lộc 2</v>
          </cell>
          <cell r="D1796">
            <v>272</v>
          </cell>
          <cell r="E1796">
            <v>177.9</v>
          </cell>
          <cell r="F1796">
            <v>231.7</v>
          </cell>
          <cell r="G1796">
            <v>201.8</v>
          </cell>
          <cell r="H1796">
            <v>231.7</v>
          </cell>
          <cell r="I1796">
            <v>215</v>
          </cell>
          <cell r="J1796">
            <v>198.1</v>
          </cell>
          <cell r="K1796">
            <v>224.4</v>
          </cell>
          <cell r="L1796">
            <v>177.9</v>
          </cell>
          <cell r="M1796">
            <v>203.7</v>
          </cell>
        </row>
        <row r="1797">
          <cell r="C1797" t="str">
            <v>NMĐ Đa Nhim MBA 10T (phía 110kV)</v>
          </cell>
          <cell r="D1797">
            <v>130</v>
          </cell>
          <cell r="E1797">
            <v>43.5</v>
          </cell>
          <cell r="F1797">
            <v>52.8</v>
          </cell>
          <cell r="G1797">
            <v>-50.7</v>
          </cell>
          <cell r="H1797">
            <v>50.9</v>
          </cell>
          <cell r="I1797">
            <v>44</v>
          </cell>
          <cell r="J1797">
            <v>52.8</v>
          </cell>
          <cell r="K1797">
            <v>45.8</v>
          </cell>
          <cell r="L1797">
            <v>43.5</v>
          </cell>
          <cell r="M1797">
            <v>44.5</v>
          </cell>
        </row>
        <row r="1798">
          <cell r="C1798" t="str">
            <v>NMĐ Đa Nhim MBA 9T (phía 110kV)</v>
          </cell>
          <cell r="D1798">
            <v>139</v>
          </cell>
          <cell r="E1798">
            <v>37</v>
          </cell>
          <cell r="F1798">
            <v>44.8</v>
          </cell>
          <cell r="G1798">
            <v>-43.1</v>
          </cell>
          <cell r="H1798">
            <v>43.4</v>
          </cell>
          <cell r="I1798">
            <v>37.200000000000003</v>
          </cell>
          <cell r="J1798">
            <v>44.8</v>
          </cell>
          <cell r="K1798">
            <v>38.9</v>
          </cell>
          <cell r="L1798">
            <v>37</v>
          </cell>
          <cell r="M1798">
            <v>37.5</v>
          </cell>
        </row>
        <row r="1799">
          <cell r="C1799" t="str">
            <v>110kV 171 NMĐ Đa Nhim - 171 Suối Vàng</v>
          </cell>
          <cell r="D1799">
            <v>171</v>
          </cell>
          <cell r="E1799">
            <v>27.1</v>
          </cell>
          <cell r="F1799">
            <v>-68.599999999999994</v>
          </cell>
          <cell r="G1799">
            <v>50.7</v>
          </cell>
          <cell r="H1799">
            <v>40.200000000000003</v>
          </cell>
          <cell r="I1799">
            <v>28.3</v>
          </cell>
          <cell r="J1799">
            <v>33.6</v>
          </cell>
          <cell r="K1799">
            <v>-68.599999999999994</v>
          </cell>
          <cell r="L1799">
            <v>39.6</v>
          </cell>
          <cell r="M1799">
            <v>27.1</v>
          </cell>
        </row>
        <row r="1800">
          <cell r="C1800" t="str">
            <v>110kV 172 NMĐ Đa Nhim - 172 Đơn Dương</v>
          </cell>
          <cell r="D1800">
            <v>172</v>
          </cell>
          <cell r="E1800">
            <v>40.1</v>
          </cell>
          <cell r="F1800">
            <v>77.5</v>
          </cell>
          <cell r="G1800">
            <v>63.5</v>
          </cell>
          <cell r="H1800">
            <v>44.4</v>
          </cell>
          <cell r="I1800">
            <v>40.1</v>
          </cell>
          <cell r="J1800">
            <v>47.2</v>
          </cell>
          <cell r="K1800">
            <v>77.5</v>
          </cell>
          <cell r="L1800">
            <v>48</v>
          </cell>
          <cell r="M1800">
            <v>45.9</v>
          </cell>
        </row>
        <row r="1801">
          <cell r="C1801" t="str">
            <v>110kV 173 NMĐ Đa Nhim - 171 NMĐ Hạ Sông Pha</v>
          </cell>
          <cell r="D1801">
            <v>173</v>
          </cell>
          <cell r="E1801">
            <v>-71.099999999999994</v>
          </cell>
          <cell r="F1801">
            <v>-79.599999999999994</v>
          </cell>
          <cell r="G1801">
            <v>-71.099999999999994</v>
          </cell>
          <cell r="H1801">
            <v>-79.599999999999994</v>
          </cell>
          <cell r="I1801">
            <v>-76.3</v>
          </cell>
          <cell r="J1801">
            <v>-75.400000000000006</v>
          </cell>
          <cell r="K1801">
            <v>-72.599999999999994</v>
          </cell>
          <cell r="L1801">
            <v>-78.5</v>
          </cell>
          <cell r="M1801">
            <v>-76.8</v>
          </cell>
        </row>
        <row r="1802">
          <cell r="C1802" t="str">
            <v>110kV 174 NMĐ Đa Nhim - 131-7 NMĐ Sông Pha</v>
          </cell>
          <cell r="D1802">
            <v>174</v>
          </cell>
          <cell r="E1802">
            <v>-7.4</v>
          </cell>
          <cell r="F1802">
            <v>-7.4</v>
          </cell>
          <cell r="G1802">
            <v>-7.4</v>
          </cell>
          <cell r="H1802">
            <v>-7.4</v>
          </cell>
          <cell r="I1802">
            <v>-7.4</v>
          </cell>
          <cell r="J1802">
            <v>-7.4</v>
          </cell>
          <cell r="K1802">
            <v>-7.4</v>
          </cell>
          <cell r="L1802">
            <v>-7.4</v>
          </cell>
          <cell r="M1802">
            <v>-7.4</v>
          </cell>
        </row>
        <row r="1803">
          <cell r="C1803" t="str">
            <v>110kV 175 NMĐ Đa Nhim - 174 NMĐ MT CMX</v>
          </cell>
          <cell r="D1803">
            <v>175</v>
          </cell>
          <cell r="E1803">
            <v>-61.2</v>
          </cell>
          <cell r="F1803">
            <v>-71.3</v>
          </cell>
          <cell r="G1803">
            <v>-61.2</v>
          </cell>
          <cell r="H1803">
            <v>-71.3</v>
          </cell>
          <cell r="I1803">
            <v>-65.3</v>
          </cell>
          <cell r="J1803">
            <v>-66.3</v>
          </cell>
          <cell r="K1803">
            <v>-63.8</v>
          </cell>
          <cell r="L1803">
            <v>-65.2</v>
          </cell>
          <cell r="M1803">
            <v>-61.9</v>
          </cell>
        </row>
        <row r="1804">
          <cell r="C1804" t="str">
            <v>NMĐ Đa Nhim MBA 10T (phía 220kV)</v>
          </cell>
          <cell r="D1804">
            <v>230</v>
          </cell>
          <cell r="E1804">
            <v>-40.799999999999997</v>
          </cell>
          <cell r="F1804">
            <v>-49.7</v>
          </cell>
          <cell r="G1804">
            <v>48.1</v>
          </cell>
          <cell r="H1804">
            <v>-47.8</v>
          </cell>
          <cell r="I1804">
            <v>-40.799999999999997</v>
          </cell>
          <cell r="J1804">
            <v>-49.7</v>
          </cell>
          <cell r="K1804">
            <v>-43</v>
          </cell>
          <cell r="L1804">
            <v>-41.8</v>
          </cell>
          <cell r="M1804">
            <v>-42.4</v>
          </cell>
        </row>
        <row r="1805">
          <cell r="C1805" t="str">
            <v>NMĐ Đa Nhim MBA 9T (phía 220kV)</v>
          </cell>
          <cell r="D1805">
            <v>239</v>
          </cell>
          <cell r="E1805">
            <v>-35.200000000000003</v>
          </cell>
          <cell r="F1805">
            <v>-42.2</v>
          </cell>
          <cell r="G1805">
            <v>40.700000000000003</v>
          </cell>
          <cell r="H1805">
            <v>-40.299999999999997</v>
          </cell>
          <cell r="I1805">
            <v>-35.200000000000003</v>
          </cell>
          <cell r="J1805">
            <v>-42.2</v>
          </cell>
          <cell r="K1805">
            <v>-35.799999999999997</v>
          </cell>
          <cell r="L1805">
            <v>-35.4</v>
          </cell>
          <cell r="M1805">
            <v>-35.6</v>
          </cell>
        </row>
        <row r="1806">
          <cell r="C1806" t="str">
            <v>220kV 271 NMĐ Đa Nhim - 271 Đức Trọng 2</v>
          </cell>
          <cell r="D1806">
            <v>271</v>
          </cell>
          <cell r="E1806">
            <v>224</v>
          </cell>
          <cell r="F1806">
            <v>294</v>
          </cell>
          <cell r="G1806">
            <v>294</v>
          </cell>
          <cell r="H1806">
            <v>271.89999999999998</v>
          </cell>
          <cell r="I1806">
            <v>277.2</v>
          </cell>
          <cell r="J1806">
            <v>269.10000000000002</v>
          </cell>
          <cell r="K1806">
            <v>224</v>
          </cell>
          <cell r="L1806">
            <v>263.3</v>
          </cell>
          <cell r="M1806">
            <v>252.5</v>
          </cell>
        </row>
        <row r="1807">
          <cell r="C1807" t="str">
            <v>220kV 272 NMĐ Đa Nhim - 275 Tháp Chàm 2</v>
          </cell>
          <cell r="D1807">
            <v>272</v>
          </cell>
          <cell r="E1807">
            <v>-122.1</v>
          </cell>
          <cell r="F1807">
            <v>-197.8</v>
          </cell>
          <cell r="G1807">
            <v>-197.8</v>
          </cell>
          <cell r="H1807">
            <v>-190.6</v>
          </cell>
          <cell r="I1807">
            <v>-191.3</v>
          </cell>
          <cell r="J1807">
            <v>-188</v>
          </cell>
          <cell r="K1807">
            <v>-122.1</v>
          </cell>
          <cell r="L1807">
            <v>-151.80000000000001</v>
          </cell>
          <cell r="M1807">
            <v>-147.5</v>
          </cell>
        </row>
        <row r="1808">
          <cell r="C1808" t="str">
            <v>NMĐ Đại Ninh MBA AT3 (phía 110kV)</v>
          </cell>
          <cell r="D1808">
            <v>133</v>
          </cell>
          <cell r="E1808">
            <v>30.5</v>
          </cell>
          <cell r="F1808">
            <v>38</v>
          </cell>
          <cell r="G1808">
            <v>34.200000000000003</v>
          </cell>
          <cell r="H1808">
            <v>37.1</v>
          </cell>
          <cell r="I1808">
            <v>33.9</v>
          </cell>
          <cell r="J1808">
            <v>34.6</v>
          </cell>
          <cell r="K1808">
            <v>38</v>
          </cell>
          <cell r="L1808">
            <v>30.5</v>
          </cell>
          <cell r="M1808">
            <v>31.2</v>
          </cell>
        </row>
        <row r="1809">
          <cell r="C1809" t="str">
            <v>NMĐ Đại Ninh MBA AT4 (phía 110kV)</v>
          </cell>
          <cell r="D1809">
            <v>134</v>
          </cell>
          <cell r="E1809">
            <v>56.3</v>
          </cell>
          <cell r="F1809">
            <v>73.099999999999994</v>
          </cell>
          <cell r="G1809">
            <v>66.400000000000006</v>
          </cell>
          <cell r="H1809">
            <v>71.5</v>
          </cell>
          <cell r="I1809">
            <v>64.7</v>
          </cell>
          <cell r="J1809">
            <v>66.099999999999994</v>
          </cell>
          <cell r="K1809">
            <v>73.099999999999994</v>
          </cell>
          <cell r="L1809">
            <v>56.3</v>
          </cell>
          <cell r="M1809">
            <v>57.7</v>
          </cell>
        </row>
        <row r="1810">
          <cell r="C1810" t="str">
            <v>110kV 171 NMĐ Đại Ninh - 171 NMĐ Bắc Bình</v>
          </cell>
          <cell r="D1810">
            <v>171</v>
          </cell>
          <cell r="E1810">
            <v>-28.1</v>
          </cell>
          <cell r="F1810">
            <v>-29.2</v>
          </cell>
          <cell r="G1810">
            <v>-29.2</v>
          </cell>
          <cell r="H1810">
            <v>-28.3</v>
          </cell>
          <cell r="I1810">
            <v>-28.5</v>
          </cell>
          <cell r="J1810">
            <v>-29</v>
          </cell>
          <cell r="K1810">
            <v>-28.1</v>
          </cell>
          <cell r="L1810">
            <v>-28.9</v>
          </cell>
          <cell r="M1810">
            <v>-28.6</v>
          </cell>
        </row>
        <row r="1811">
          <cell r="C1811" t="str">
            <v>110kV 172 NMĐ Đại Ninh - 171 NMĐ MT Phan Lâm 2</v>
          </cell>
          <cell r="D1811">
            <v>172</v>
          </cell>
          <cell r="E1811">
            <v>-24.3</v>
          </cell>
          <cell r="F1811">
            <v>-39.6</v>
          </cell>
          <cell r="G1811">
            <v>-38.1</v>
          </cell>
          <cell r="H1811">
            <v>-36</v>
          </cell>
          <cell r="I1811">
            <v>-24.3</v>
          </cell>
          <cell r="J1811">
            <v>-33.6</v>
          </cell>
          <cell r="K1811">
            <v>-39.299999999999997</v>
          </cell>
          <cell r="L1811">
            <v>-27.9</v>
          </cell>
          <cell r="M1811">
            <v>-39.6</v>
          </cell>
        </row>
        <row r="1812">
          <cell r="C1812" t="str">
            <v>110kV 173 NMĐ Đại Ninh - 171 NMĐ MT Phan Lâm</v>
          </cell>
          <cell r="D1812">
            <v>173</v>
          </cell>
          <cell r="E1812">
            <v>-28</v>
          </cell>
          <cell r="F1812">
            <v>-36.5</v>
          </cell>
          <cell r="G1812">
            <v>-33.200000000000003</v>
          </cell>
          <cell r="H1812">
            <v>-36.5</v>
          </cell>
          <cell r="I1812">
            <v>-29.3</v>
          </cell>
          <cell r="J1812">
            <v>-33.700000000000003</v>
          </cell>
          <cell r="K1812">
            <v>-36</v>
          </cell>
          <cell r="L1812">
            <v>-28</v>
          </cell>
          <cell r="M1812">
            <v>-29.9</v>
          </cell>
        </row>
        <row r="1813">
          <cell r="C1813" t="str">
            <v>NMĐ Đại Ninh MBA AT3 (phía 220kV)</v>
          </cell>
          <cell r="D1813">
            <v>233</v>
          </cell>
          <cell r="E1813">
            <v>-30.1</v>
          </cell>
          <cell r="F1813">
            <v>-37.6</v>
          </cell>
          <cell r="G1813">
            <v>-34.200000000000003</v>
          </cell>
          <cell r="H1813">
            <v>-36.700000000000003</v>
          </cell>
          <cell r="I1813">
            <v>-33.5</v>
          </cell>
          <cell r="J1813">
            <v>-34.799999999999997</v>
          </cell>
          <cell r="K1813">
            <v>-37.6</v>
          </cell>
          <cell r="L1813">
            <v>-30.1</v>
          </cell>
          <cell r="M1813">
            <v>-30.8</v>
          </cell>
        </row>
        <row r="1814">
          <cell r="C1814" t="str">
            <v>NMĐ Đại Ninh MBA AT4 (phía 220kV)</v>
          </cell>
          <cell r="D1814">
            <v>234</v>
          </cell>
          <cell r="E1814">
            <v>-55.9</v>
          </cell>
          <cell r="F1814">
            <v>-72.8</v>
          </cell>
          <cell r="G1814">
            <v>-66</v>
          </cell>
          <cell r="H1814">
            <v>-71.400000000000006</v>
          </cell>
          <cell r="I1814">
            <v>-64</v>
          </cell>
          <cell r="J1814">
            <v>-65.7</v>
          </cell>
          <cell r="K1814">
            <v>-72.8</v>
          </cell>
          <cell r="L1814">
            <v>-55.9</v>
          </cell>
          <cell r="M1814">
            <v>-57.4</v>
          </cell>
        </row>
        <row r="1815">
          <cell r="C1815" t="str">
            <v>220kV 271 NMĐ Đại Ninh - 273 Di Linh</v>
          </cell>
          <cell r="D1815">
            <v>271</v>
          </cell>
          <cell r="E1815">
            <v>156.19999999999999</v>
          </cell>
          <cell r="F1815">
            <v>197.6</v>
          </cell>
          <cell r="G1815">
            <v>160</v>
          </cell>
          <cell r="H1815">
            <v>156.19999999999999</v>
          </cell>
          <cell r="I1815">
            <v>166.1</v>
          </cell>
          <cell r="J1815">
            <v>184.8</v>
          </cell>
          <cell r="K1815">
            <v>197.6</v>
          </cell>
          <cell r="L1815">
            <v>157.5</v>
          </cell>
          <cell r="M1815">
            <v>156.19999999999999</v>
          </cell>
        </row>
        <row r="1816">
          <cell r="C1816" t="str">
            <v>220kV 272 NMĐ Đại Ninh - 274 Di Linh</v>
          </cell>
          <cell r="D1816">
            <v>272</v>
          </cell>
          <cell r="E1816">
            <v>158.19999999999999</v>
          </cell>
          <cell r="F1816">
            <v>200.3</v>
          </cell>
          <cell r="G1816">
            <v>162.4</v>
          </cell>
          <cell r="H1816">
            <v>158.5</v>
          </cell>
          <cell r="I1816">
            <v>167.4</v>
          </cell>
          <cell r="J1816">
            <v>185.6</v>
          </cell>
          <cell r="K1816">
            <v>200.3</v>
          </cell>
          <cell r="L1816">
            <v>160.1</v>
          </cell>
          <cell r="M1816">
            <v>158.19999999999999</v>
          </cell>
        </row>
        <row r="1817">
          <cell r="C1817" t="str">
            <v>110kV 171 NMĐ Đa M'bri - 171 Bảo Lộc</v>
          </cell>
          <cell r="F1817">
            <v>88.4</v>
          </cell>
          <cell r="H1817">
            <v>-31.8</v>
          </cell>
          <cell r="I1817">
            <v>-26.5</v>
          </cell>
          <cell r="J1817">
            <v>-32.299999999999997</v>
          </cell>
          <cell r="K1817">
            <v>88.4</v>
          </cell>
          <cell r="L1817">
            <v>-21.2</v>
          </cell>
          <cell r="M1817">
            <v>76.3</v>
          </cell>
        </row>
        <row r="1818">
          <cell r="C1818" t="str">
            <v>110kV 174 NMĐ Đa M'bri - 171 Đạ Tẻh</v>
          </cell>
          <cell r="F1818">
            <v>35.200000000000003</v>
          </cell>
          <cell r="H1818">
            <v>31.6</v>
          </cell>
          <cell r="I1818">
            <v>26.4</v>
          </cell>
          <cell r="J1818">
            <v>32.1</v>
          </cell>
          <cell r="K1818">
            <v>26.6</v>
          </cell>
          <cell r="L1818">
            <v>35.200000000000003</v>
          </cell>
          <cell r="M1818">
            <v>27.2</v>
          </cell>
        </row>
        <row r="1819">
          <cell r="C1819" t="str">
            <v>NMĐ Đam B'ri MBA T1 (phía 110kV)</v>
          </cell>
          <cell r="E1819">
            <v>0</v>
          </cell>
          <cell r="F1819">
            <v>38.4</v>
          </cell>
          <cell r="H1819">
            <v>0</v>
          </cell>
          <cell r="I1819">
            <v>0</v>
          </cell>
          <cell r="J1819">
            <v>0</v>
          </cell>
          <cell r="K1819">
            <v>38.4</v>
          </cell>
          <cell r="L1819">
            <v>0</v>
          </cell>
          <cell r="M1819">
            <v>38.299999999999997</v>
          </cell>
        </row>
        <row r="1820">
          <cell r="C1820" t="str">
            <v>NMĐ Đam B'ri MBA T2 (phía 110kV)</v>
          </cell>
          <cell r="E1820">
            <v>0</v>
          </cell>
          <cell r="F1820">
            <v>38.4</v>
          </cell>
          <cell r="H1820">
            <v>0</v>
          </cell>
          <cell r="I1820">
            <v>0</v>
          </cell>
          <cell r="J1820">
            <v>0</v>
          </cell>
          <cell r="K1820">
            <v>38.4</v>
          </cell>
          <cell r="L1820">
            <v>38.200000000000003</v>
          </cell>
          <cell r="M1820">
            <v>37.9</v>
          </cell>
        </row>
        <row r="1821">
          <cell r="C1821" t="str">
            <v>220kV 272 NMĐ Đồng Nai 2 - 273 NMĐ Đồng Nai 2 - 275 Di Linh</v>
          </cell>
          <cell r="F1821">
            <v>33.6</v>
          </cell>
          <cell r="H1821">
            <v>33.6</v>
          </cell>
          <cell r="I1821">
            <v>33.299999999999997</v>
          </cell>
          <cell r="J1821">
            <v>33.5</v>
          </cell>
          <cell r="K1821">
            <v>32</v>
          </cell>
          <cell r="L1821">
            <v>32.700000000000003</v>
          </cell>
          <cell r="M1821">
            <v>29.9</v>
          </cell>
        </row>
        <row r="1822">
          <cell r="C1822" t="str">
            <v>220kV 273 NMĐ Đồng Nai 2 - 272 NMĐ Đồng Nai 2 - 275 Di Linh</v>
          </cell>
          <cell r="F1822">
            <v>34</v>
          </cell>
          <cell r="H1822">
            <v>34</v>
          </cell>
          <cell r="I1822">
            <v>33.200000000000003</v>
          </cell>
          <cell r="J1822">
            <v>32.5</v>
          </cell>
          <cell r="K1822">
            <v>31.4</v>
          </cell>
          <cell r="L1822">
            <v>32.6</v>
          </cell>
          <cell r="M1822">
            <v>30.1</v>
          </cell>
        </row>
        <row r="1823">
          <cell r="C1823" t="str">
            <v>NMĐ Duyên Hải 1 MBA T1 (phía 220kV)</v>
          </cell>
          <cell r="F1823">
            <v>572.70000000000005</v>
          </cell>
          <cell r="H1823">
            <v>572.70000000000005</v>
          </cell>
          <cell r="I1823">
            <v>508.3</v>
          </cell>
          <cell r="J1823">
            <v>513.70000000000005</v>
          </cell>
          <cell r="K1823">
            <v>538.29999999999995</v>
          </cell>
          <cell r="L1823">
            <v>538.4</v>
          </cell>
          <cell r="M1823">
            <v>570.1</v>
          </cell>
        </row>
        <row r="1824">
          <cell r="C1824" t="str">
            <v>NMĐ Duyên Hải 1 MBA T2 (phía 220kV)</v>
          </cell>
          <cell r="F1824">
            <v>579</v>
          </cell>
          <cell r="H1824">
            <v>519.70000000000005</v>
          </cell>
          <cell r="I1824">
            <v>512.29999999999995</v>
          </cell>
          <cell r="J1824">
            <v>579</v>
          </cell>
          <cell r="K1824">
            <v>572.9</v>
          </cell>
          <cell r="L1824">
            <v>575.20000000000005</v>
          </cell>
          <cell r="M1824">
            <v>567.6</v>
          </cell>
        </row>
        <row r="1825">
          <cell r="C1825" t="str">
            <v>NMĐ Formosa MBA T1 (phía 110kV)</v>
          </cell>
          <cell r="D1825">
            <v>131</v>
          </cell>
          <cell r="E1825">
            <v>36.1</v>
          </cell>
          <cell r="F1825">
            <v>69.3</v>
          </cell>
          <cell r="G1825">
            <v>60.8</v>
          </cell>
          <cell r="H1825">
            <v>38.9</v>
          </cell>
          <cell r="I1825">
            <v>36.1</v>
          </cell>
          <cell r="J1825">
            <v>69.3</v>
          </cell>
          <cell r="K1825">
            <v>39.4</v>
          </cell>
          <cell r="L1825">
            <v>39.4</v>
          </cell>
          <cell r="M1825">
            <v>45.3</v>
          </cell>
        </row>
        <row r="1826">
          <cell r="C1826" t="str">
            <v>NMĐ Formosa MBA T2 (phía 110kV)</v>
          </cell>
          <cell r="D1826">
            <v>132</v>
          </cell>
          <cell r="E1826">
            <v>36.299999999999997</v>
          </cell>
          <cell r="F1826">
            <v>69.5</v>
          </cell>
          <cell r="G1826">
            <v>61.1</v>
          </cell>
          <cell r="H1826">
            <v>38.9</v>
          </cell>
          <cell r="I1826">
            <v>36.299999999999997</v>
          </cell>
          <cell r="J1826">
            <v>69.5</v>
          </cell>
          <cell r="K1826">
            <v>39.6</v>
          </cell>
          <cell r="L1826">
            <v>39.6</v>
          </cell>
          <cell r="M1826">
            <v>45.5</v>
          </cell>
        </row>
        <row r="1827">
          <cell r="C1827" t="str">
            <v>NMĐ Formosa MBA T3 (phía 110kV)</v>
          </cell>
          <cell r="D1827">
            <v>133</v>
          </cell>
          <cell r="E1827">
            <v>35.5</v>
          </cell>
          <cell r="F1827">
            <v>39.299999999999997</v>
          </cell>
          <cell r="G1827">
            <v>37.200000000000003</v>
          </cell>
          <cell r="H1827">
            <v>35.5</v>
          </cell>
          <cell r="I1827">
            <v>38.4</v>
          </cell>
          <cell r="J1827">
            <v>39.299999999999997</v>
          </cell>
          <cell r="K1827">
            <v>38.9</v>
          </cell>
          <cell r="L1827">
            <v>37.9</v>
          </cell>
          <cell r="M1827">
            <v>38</v>
          </cell>
        </row>
        <row r="1828">
          <cell r="C1828" t="str">
            <v>NMĐ Formosa MBA T4 (phía 110kV)</v>
          </cell>
          <cell r="D1828">
            <v>134</v>
          </cell>
          <cell r="E1828">
            <v>32.6</v>
          </cell>
          <cell r="F1828">
            <v>35.1</v>
          </cell>
          <cell r="G1828">
            <v>34</v>
          </cell>
          <cell r="H1828">
            <v>33.200000000000003</v>
          </cell>
          <cell r="I1828">
            <v>33.1</v>
          </cell>
          <cell r="J1828">
            <v>35.1</v>
          </cell>
          <cell r="K1828">
            <v>32.9</v>
          </cell>
          <cell r="L1828">
            <v>32.6</v>
          </cell>
          <cell r="M1828">
            <v>32.700000000000003</v>
          </cell>
        </row>
        <row r="1829">
          <cell r="C1829" t="str">
            <v>NMĐ Formosa MBA T5 (phía 110kV)</v>
          </cell>
          <cell r="D1829">
            <v>135</v>
          </cell>
          <cell r="E1829">
            <v>-110.6</v>
          </cell>
          <cell r="F1829">
            <v>-143.30000000000001</v>
          </cell>
          <cell r="G1829">
            <v>-143</v>
          </cell>
          <cell r="H1829">
            <v>-113.3</v>
          </cell>
          <cell r="I1829">
            <v>-110.6</v>
          </cell>
          <cell r="J1829">
            <v>-143.30000000000001</v>
          </cell>
          <cell r="K1829">
            <v>-128.30000000000001</v>
          </cell>
          <cell r="L1829">
            <v>-111.7</v>
          </cell>
          <cell r="M1829">
            <v>-113.1</v>
          </cell>
        </row>
        <row r="1830">
          <cell r="C1830" t="str">
            <v>NMĐ Formosa MBA T6 (phía 110kV)</v>
          </cell>
          <cell r="D1830">
            <v>136</v>
          </cell>
          <cell r="E1830">
            <v>-111.9</v>
          </cell>
          <cell r="F1830">
            <v>-147.4</v>
          </cell>
          <cell r="G1830">
            <v>-144.80000000000001</v>
          </cell>
          <cell r="H1830">
            <v>-115.5</v>
          </cell>
          <cell r="I1830">
            <v>-112.2</v>
          </cell>
          <cell r="J1830">
            <v>-147.4</v>
          </cell>
          <cell r="K1830">
            <v>-114.3</v>
          </cell>
          <cell r="L1830">
            <v>-112.9</v>
          </cell>
          <cell r="M1830">
            <v>-111.9</v>
          </cell>
        </row>
        <row r="1831">
          <cell r="C1831" t="str">
            <v>NMĐ Formosa MBA T7 (phía 110kV)</v>
          </cell>
          <cell r="D1831">
            <v>137</v>
          </cell>
          <cell r="E1831">
            <v>38.1</v>
          </cell>
          <cell r="F1831">
            <v>44.2</v>
          </cell>
          <cell r="G1831">
            <v>44.2</v>
          </cell>
          <cell r="H1831">
            <v>44</v>
          </cell>
          <cell r="I1831">
            <v>42</v>
          </cell>
          <cell r="J1831">
            <v>43.4</v>
          </cell>
          <cell r="K1831">
            <v>40.299999999999997</v>
          </cell>
          <cell r="L1831">
            <v>40</v>
          </cell>
          <cell r="M1831">
            <v>38.1</v>
          </cell>
        </row>
        <row r="1832">
          <cell r="C1832" t="str">
            <v>NMĐ Formosa MBA T8 (phía 110kV)</v>
          </cell>
          <cell r="D1832">
            <v>138</v>
          </cell>
          <cell r="E1832">
            <v>40.799999999999997</v>
          </cell>
          <cell r="F1832">
            <v>52.2</v>
          </cell>
          <cell r="G1832">
            <v>52.2</v>
          </cell>
          <cell r="H1832">
            <v>51.8</v>
          </cell>
          <cell r="I1832">
            <v>49.6</v>
          </cell>
          <cell r="J1832">
            <v>50.9</v>
          </cell>
          <cell r="K1832">
            <v>50.5</v>
          </cell>
          <cell r="L1832">
            <v>45.9</v>
          </cell>
          <cell r="M1832">
            <v>40.799999999999997</v>
          </cell>
        </row>
        <row r="1833">
          <cell r="C1833" t="str">
            <v>NMĐ Formosa MBA T1 (phía 220kV)</v>
          </cell>
          <cell r="D1833">
            <v>231</v>
          </cell>
          <cell r="E1833">
            <v>-36.299999999999997</v>
          </cell>
          <cell r="F1833">
            <v>-69.5</v>
          </cell>
          <cell r="G1833">
            <v>-60.8</v>
          </cell>
          <cell r="H1833">
            <v>-39</v>
          </cell>
          <cell r="I1833">
            <v>-36.299999999999997</v>
          </cell>
          <cell r="J1833">
            <v>-69.5</v>
          </cell>
          <cell r="K1833">
            <v>-39.6</v>
          </cell>
          <cell r="L1833">
            <v>-39.6</v>
          </cell>
          <cell r="M1833">
            <v>-45.5</v>
          </cell>
        </row>
        <row r="1834">
          <cell r="C1834" t="str">
            <v>NMĐ Formosa MBA T2 (phía 220kV)</v>
          </cell>
          <cell r="D1834">
            <v>232</v>
          </cell>
          <cell r="E1834">
            <v>-36.4</v>
          </cell>
          <cell r="F1834">
            <v>-69.7</v>
          </cell>
          <cell r="G1834">
            <v>-61.4</v>
          </cell>
          <cell r="H1834">
            <v>-39.1</v>
          </cell>
          <cell r="I1834">
            <v>-36.4</v>
          </cell>
          <cell r="J1834">
            <v>-69.7</v>
          </cell>
          <cell r="K1834">
            <v>-39.700000000000003</v>
          </cell>
          <cell r="L1834">
            <v>-39.6</v>
          </cell>
          <cell r="M1834">
            <v>-45.7</v>
          </cell>
        </row>
        <row r="1835">
          <cell r="C1835" t="str">
            <v>NMĐ Formosa MBA AT9 (phía 220kV)</v>
          </cell>
          <cell r="D1835">
            <v>239</v>
          </cell>
          <cell r="E1835">
            <v>-114</v>
          </cell>
          <cell r="F1835">
            <v>-145.19999999999999</v>
          </cell>
          <cell r="G1835">
            <v>-144.6</v>
          </cell>
          <cell r="H1835">
            <v>-114.5</v>
          </cell>
          <cell r="I1835">
            <v>-114.3</v>
          </cell>
          <cell r="J1835">
            <v>-145.19999999999999</v>
          </cell>
          <cell r="K1835">
            <v>-134.6</v>
          </cell>
          <cell r="L1835">
            <v>-114.9</v>
          </cell>
          <cell r="M1835">
            <v>-114</v>
          </cell>
        </row>
        <row r="1836">
          <cell r="C1836" t="str">
            <v>220kV 271 NMĐ Formosa - 271 Long Thành</v>
          </cell>
          <cell r="D1836">
            <v>271</v>
          </cell>
          <cell r="E1836">
            <v>91.5</v>
          </cell>
          <cell r="F1836">
            <v>140.4</v>
          </cell>
          <cell r="G1836">
            <v>131</v>
          </cell>
          <cell r="H1836">
            <v>95.3</v>
          </cell>
          <cell r="I1836">
            <v>91.5</v>
          </cell>
          <cell r="J1836">
            <v>140.4</v>
          </cell>
          <cell r="K1836">
            <v>106</v>
          </cell>
          <cell r="L1836">
            <v>94.3</v>
          </cell>
          <cell r="M1836">
            <v>100.1</v>
          </cell>
        </row>
        <row r="1837">
          <cell r="C1837" t="str">
            <v>220kV 272 NMĐ Formosa - 272 Long Thành</v>
          </cell>
          <cell r="D1837">
            <v>272</v>
          </cell>
          <cell r="E1837">
            <v>92.9</v>
          </cell>
          <cell r="F1837">
            <v>142.9</v>
          </cell>
          <cell r="G1837">
            <v>133.4</v>
          </cell>
          <cell r="H1837">
            <v>97</v>
          </cell>
          <cell r="I1837">
            <v>92.9</v>
          </cell>
          <cell r="J1837">
            <v>142.9</v>
          </cell>
          <cell r="K1837">
            <v>107.7</v>
          </cell>
          <cell r="L1837">
            <v>95.8</v>
          </cell>
          <cell r="M1837">
            <v>101.8</v>
          </cell>
        </row>
        <row r="1838">
          <cell r="C1838" t="str">
            <v>NMĐ Formosa MBA T3 (phía 22kV)</v>
          </cell>
          <cell r="D1838">
            <v>433</v>
          </cell>
          <cell r="E1838">
            <v>-35.200000000000003</v>
          </cell>
          <cell r="F1838">
            <v>-39</v>
          </cell>
          <cell r="G1838">
            <v>-36.799999999999997</v>
          </cell>
          <cell r="H1838">
            <v>-35.200000000000003</v>
          </cell>
          <cell r="I1838">
            <v>-38</v>
          </cell>
          <cell r="J1838">
            <v>-39</v>
          </cell>
          <cell r="K1838">
            <v>-38.6</v>
          </cell>
          <cell r="L1838">
            <v>-37.6</v>
          </cell>
          <cell r="M1838">
            <v>-37.6</v>
          </cell>
        </row>
        <row r="1839">
          <cell r="C1839" t="str">
            <v>NMĐ Formosa MBA T4 (phía 22kV)</v>
          </cell>
          <cell r="D1839">
            <v>434</v>
          </cell>
          <cell r="E1839">
            <v>-32.200000000000003</v>
          </cell>
          <cell r="F1839">
            <v>-34.6</v>
          </cell>
          <cell r="G1839">
            <v>-33.700000000000003</v>
          </cell>
          <cell r="H1839">
            <v>-32.700000000000003</v>
          </cell>
          <cell r="I1839">
            <v>-32.6</v>
          </cell>
          <cell r="J1839">
            <v>-34.6</v>
          </cell>
          <cell r="K1839">
            <v>-32.6</v>
          </cell>
          <cell r="L1839">
            <v>-32.200000000000003</v>
          </cell>
          <cell r="M1839">
            <v>-32.4</v>
          </cell>
        </row>
        <row r="1840">
          <cell r="C1840" t="str">
            <v>NMĐ Formosa MBA T7 (phía 22kV)</v>
          </cell>
          <cell r="D1840">
            <v>437</v>
          </cell>
          <cell r="E1840">
            <v>-37.5</v>
          </cell>
          <cell r="F1840">
            <v>-43.5</v>
          </cell>
          <cell r="G1840">
            <v>-43.5</v>
          </cell>
          <cell r="H1840">
            <v>-43.1</v>
          </cell>
          <cell r="I1840">
            <v>-41.2</v>
          </cell>
          <cell r="J1840">
            <v>-42.6</v>
          </cell>
          <cell r="K1840">
            <v>-39.6</v>
          </cell>
          <cell r="L1840">
            <v>-39.4</v>
          </cell>
          <cell r="M1840">
            <v>-37.5</v>
          </cell>
        </row>
        <row r="1841">
          <cell r="C1841" t="str">
            <v>NMĐ Formosa MBA T8 (phía 22kV)</v>
          </cell>
          <cell r="D1841">
            <v>438</v>
          </cell>
          <cell r="E1841">
            <v>-39.9</v>
          </cell>
          <cell r="F1841">
            <v>-51.1</v>
          </cell>
          <cell r="G1841">
            <v>-51.1</v>
          </cell>
          <cell r="H1841">
            <v>-50.6</v>
          </cell>
          <cell r="I1841">
            <v>-48.8</v>
          </cell>
          <cell r="J1841">
            <v>-49.9</v>
          </cell>
          <cell r="K1841">
            <v>-49.4</v>
          </cell>
          <cell r="L1841">
            <v>-44.9</v>
          </cell>
          <cell r="M1841">
            <v>-39.9</v>
          </cell>
        </row>
        <row r="1842">
          <cell r="C1842" t="str">
            <v>110kV 171 NMĐ Gió 7A - 185 Ninh Phước 2</v>
          </cell>
          <cell r="E1842">
            <v>0</v>
          </cell>
          <cell r="F1842">
            <v>-0.4</v>
          </cell>
          <cell r="H1842">
            <v>-0.4</v>
          </cell>
          <cell r="I1842">
            <v>-0.4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</row>
        <row r="1843">
          <cell r="C1843" t="str">
            <v>NMĐ Gió 7A MBA T1 (phía 110kV)</v>
          </cell>
          <cell r="E1843">
            <v>0</v>
          </cell>
          <cell r="F1843">
            <v>0.1</v>
          </cell>
          <cell r="H1843">
            <v>0.1</v>
          </cell>
          <cell r="I1843">
            <v>0.1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</row>
        <row r="1844">
          <cell r="C1844" t="str">
            <v>NMĐ Gió 7A MBA T1 (phía 22kV)</v>
          </cell>
          <cell r="E1844">
            <v>0</v>
          </cell>
          <cell r="F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</row>
        <row r="1845">
          <cell r="C1845" t="str">
            <v>110kV 171 NMĐ Gió Chính Thắng - 172 NMĐ MT Hồ Bàu Ngứ</v>
          </cell>
          <cell r="F1845">
            <v>-138.6</v>
          </cell>
          <cell r="H1845">
            <v>-121.5</v>
          </cell>
          <cell r="I1845">
            <v>-112</v>
          </cell>
          <cell r="J1845">
            <v>-121.2</v>
          </cell>
          <cell r="K1845">
            <v>-83</v>
          </cell>
          <cell r="L1845">
            <v>-123.4</v>
          </cell>
          <cell r="M1845">
            <v>-138.6</v>
          </cell>
        </row>
        <row r="1846">
          <cell r="C1846" t="str">
            <v>110kV 172 NMĐ Gió Chính Thắng - 175 trạm  cắt Hậu Sanh</v>
          </cell>
          <cell r="F1846">
            <v>138.19999999999999</v>
          </cell>
          <cell r="H1846">
            <v>121.7</v>
          </cell>
          <cell r="I1846">
            <v>112.1</v>
          </cell>
          <cell r="J1846">
            <v>120.4</v>
          </cell>
          <cell r="K1846">
            <v>83</v>
          </cell>
          <cell r="L1846">
            <v>123.7</v>
          </cell>
          <cell r="M1846">
            <v>138.19999999999999</v>
          </cell>
        </row>
        <row r="1847">
          <cell r="C1847" t="str">
            <v>NMĐ Gió Chính Thắng MBA T1 (phía 110kV)</v>
          </cell>
          <cell r="E1847">
            <v>0</v>
          </cell>
          <cell r="F1847">
            <v>1.2</v>
          </cell>
          <cell r="H1847">
            <v>1.2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</row>
        <row r="1848">
          <cell r="C1848" t="str">
            <v>NMĐ Gió Chính Thắng MBA T1 (phía 22kV)</v>
          </cell>
          <cell r="E1848">
            <v>0</v>
          </cell>
          <cell r="F1848">
            <v>1.3</v>
          </cell>
          <cell r="H1848">
            <v>1.3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</row>
        <row r="1849">
          <cell r="C1849" t="str">
            <v>NMĐ Gió Đại Phong MBA T1 (phía 110kV)</v>
          </cell>
          <cell r="F1849">
            <v>-39.6</v>
          </cell>
          <cell r="H1849">
            <v>-13.1</v>
          </cell>
          <cell r="I1849">
            <v>-31.5</v>
          </cell>
          <cell r="J1849">
            <v>-35.5</v>
          </cell>
          <cell r="K1849">
            <v>-38</v>
          </cell>
          <cell r="L1849">
            <v>-39.6</v>
          </cell>
          <cell r="M1849">
            <v>-39.299999999999997</v>
          </cell>
        </row>
        <row r="1850">
          <cell r="C1850" t="str">
            <v>NMĐ Gió Đại Phong MBA T1 (phía 35kV)</v>
          </cell>
          <cell r="F1850">
            <v>-39.6</v>
          </cell>
          <cell r="H1850">
            <v>-12.9</v>
          </cell>
          <cell r="I1850">
            <v>-31.5</v>
          </cell>
          <cell r="J1850">
            <v>-35.799999999999997</v>
          </cell>
          <cell r="K1850">
            <v>-38.299999999999997</v>
          </cell>
          <cell r="L1850">
            <v>-38.9</v>
          </cell>
          <cell r="M1850">
            <v>-39.6</v>
          </cell>
        </row>
        <row r="1851">
          <cell r="C1851" t="str">
            <v>110kV 171 NMĐ Gió Đầm Nại - 171 Ninh Hải</v>
          </cell>
          <cell r="F1851">
            <v>-99.1</v>
          </cell>
          <cell r="H1851">
            <v>-91.9</v>
          </cell>
          <cell r="I1851">
            <v>-67.599999999999994</v>
          </cell>
          <cell r="J1851">
            <v>-99.1</v>
          </cell>
          <cell r="K1851">
            <v>-60.5</v>
          </cell>
          <cell r="L1851">
            <v>-78.900000000000006</v>
          </cell>
          <cell r="M1851">
            <v>-89.4</v>
          </cell>
        </row>
        <row r="1852">
          <cell r="C1852" t="str">
            <v>110kV 172 NMĐ Gió Đầm Nại - 175 Tháp Chàm 2</v>
          </cell>
          <cell r="F1852">
            <v>98.8</v>
          </cell>
          <cell r="H1852">
            <v>89.8</v>
          </cell>
          <cell r="I1852">
            <v>68.3</v>
          </cell>
          <cell r="J1852">
            <v>96.6</v>
          </cell>
          <cell r="K1852">
            <v>60.7</v>
          </cell>
          <cell r="L1852">
            <v>77.3</v>
          </cell>
          <cell r="M1852">
            <v>98.8</v>
          </cell>
        </row>
        <row r="1853">
          <cell r="C1853" t="str">
            <v>NMĐ Gió Đầm Nại MBA T1 (phía 110kV)</v>
          </cell>
          <cell r="F1853">
            <v>-36.799999999999997</v>
          </cell>
          <cell r="H1853">
            <v>-8.9</v>
          </cell>
          <cell r="I1853">
            <v>-11.9</v>
          </cell>
          <cell r="J1853">
            <v>-18.5</v>
          </cell>
          <cell r="K1853">
            <v>-5.5</v>
          </cell>
          <cell r="L1853">
            <v>-12.9</v>
          </cell>
          <cell r="M1853">
            <v>-36.799999999999997</v>
          </cell>
        </row>
        <row r="1854">
          <cell r="C1854" t="str">
            <v>NMĐ Gió Đầm Nại MBA T1 (phía 22kV)</v>
          </cell>
          <cell r="F1854">
            <v>-36.1</v>
          </cell>
          <cell r="H1854">
            <v>-8.1999999999999993</v>
          </cell>
          <cell r="I1854">
            <v>-11</v>
          </cell>
          <cell r="J1854">
            <v>-18.899999999999999</v>
          </cell>
          <cell r="K1854">
            <v>-5.3</v>
          </cell>
          <cell r="L1854">
            <v>-12.2</v>
          </cell>
          <cell r="M1854">
            <v>-36.1</v>
          </cell>
        </row>
        <row r="1855">
          <cell r="C1855" t="str">
            <v>NMĐ Gió Đông Hải 1 MBA T1 (phía 110kV)</v>
          </cell>
          <cell r="F1855">
            <v>-44.5</v>
          </cell>
          <cell r="H1855">
            <v>-42</v>
          </cell>
          <cell r="I1855">
            <v>-44.5</v>
          </cell>
        </row>
        <row r="1856">
          <cell r="C1856" t="str">
            <v>NMĐ Gió Đông Hải 1 MBA T1 (phía 22kV)</v>
          </cell>
          <cell r="F1856">
            <v>44.5</v>
          </cell>
          <cell r="H1856">
            <v>42.3</v>
          </cell>
          <cell r="I1856">
            <v>44.5</v>
          </cell>
        </row>
        <row r="1857">
          <cell r="C1857" t="str">
            <v>NMĐ Gió Đông Hải 1 - GĐ1 MBA T1 (phía 110kV)</v>
          </cell>
          <cell r="F1857">
            <v>-43.4</v>
          </cell>
          <cell r="J1857">
            <v>-12.1</v>
          </cell>
          <cell r="K1857">
            <v>-15.7</v>
          </cell>
          <cell r="L1857">
            <v>-37.1</v>
          </cell>
          <cell r="M1857">
            <v>-43.4</v>
          </cell>
        </row>
        <row r="1858">
          <cell r="C1858" t="str">
            <v>NMĐ Gió Đông Hải 1 - GĐ1 MBA T1 (phía 22kV)</v>
          </cell>
          <cell r="F1858">
            <v>43.7</v>
          </cell>
          <cell r="J1858">
            <v>12.5</v>
          </cell>
          <cell r="K1858">
            <v>16</v>
          </cell>
          <cell r="L1858">
            <v>37.4</v>
          </cell>
          <cell r="M1858">
            <v>43.7</v>
          </cell>
        </row>
        <row r="1859">
          <cell r="C1859" t="str">
            <v>NMĐ Gió Đông Hải 1 - GĐ2 MBA T2 (phía 35kV)</v>
          </cell>
          <cell r="E1859">
            <v>0</v>
          </cell>
          <cell r="F1859">
            <v>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</row>
        <row r="1860">
          <cell r="C1860" t="str">
            <v>NMĐ Gió Đông Hải 1 - GĐ2 MBA T2 (phía 110kV)</v>
          </cell>
          <cell r="E1860">
            <v>0</v>
          </cell>
          <cell r="F1860">
            <v>-0.2</v>
          </cell>
          <cell r="J1860">
            <v>0</v>
          </cell>
          <cell r="K1860">
            <v>-0.2</v>
          </cell>
          <cell r="L1860">
            <v>-0.2</v>
          </cell>
          <cell r="M1860">
            <v>-0.2</v>
          </cell>
        </row>
        <row r="1861">
          <cell r="C1861" t="str">
            <v>110kV 172 NMĐ Gió Hồng Phong 1 - 172 NMĐ MT Hồng Phong 4</v>
          </cell>
          <cell r="F1861">
            <v>-38.6</v>
          </cell>
          <cell r="H1861">
            <v>-38.5</v>
          </cell>
          <cell r="I1861">
            <v>-24.6</v>
          </cell>
          <cell r="J1861">
            <v>-36.299999999999997</v>
          </cell>
          <cell r="K1861">
            <v>-38.6</v>
          </cell>
          <cell r="L1861">
            <v>-33.9</v>
          </cell>
          <cell r="M1861">
            <v>-36.200000000000003</v>
          </cell>
        </row>
        <row r="1862">
          <cell r="C1862" t="str">
            <v>110kV 173 NMĐ Gió Hồng Phong 1 - 172 NMĐ MT Mũi Né</v>
          </cell>
          <cell r="F1862">
            <v>41.9</v>
          </cell>
          <cell r="H1862">
            <v>38.5</v>
          </cell>
          <cell r="I1862">
            <v>24.6</v>
          </cell>
          <cell r="J1862">
            <v>36.299999999999997</v>
          </cell>
          <cell r="K1862">
            <v>38.5</v>
          </cell>
          <cell r="L1862">
            <v>33.9</v>
          </cell>
          <cell r="M1862">
            <v>41.9</v>
          </cell>
        </row>
        <row r="1863">
          <cell r="C1863" t="str">
            <v>NMĐ Gió Hồng Phong 1 MBA T1 (phía 110kV)</v>
          </cell>
          <cell r="E1863">
            <v>0</v>
          </cell>
          <cell r="F1863">
            <v>9.1999999999999993</v>
          </cell>
          <cell r="H1863">
            <v>0</v>
          </cell>
          <cell r="I1863">
            <v>0</v>
          </cell>
          <cell r="J1863">
            <v>0</v>
          </cell>
          <cell r="K1863">
            <v>4.9000000000000004</v>
          </cell>
          <cell r="L1863">
            <v>-1</v>
          </cell>
          <cell r="M1863">
            <v>9.1999999999999993</v>
          </cell>
        </row>
        <row r="1864">
          <cell r="C1864" t="str">
            <v>NMĐ Gió Hồng Phong 1 MBA T1 (phía 22kV)</v>
          </cell>
          <cell r="E1864">
            <v>0</v>
          </cell>
          <cell r="F1864">
            <v>9.1999999999999993</v>
          </cell>
          <cell r="H1864">
            <v>0</v>
          </cell>
          <cell r="I1864">
            <v>0</v>
          </cell>
          <cell r="J1864">
            <v>0</v>
          </cell>
          <cell r="K1864">
            <v>4.7</v>
          </cell>
          <cell r="L1864">
            <v>1</v>
          </cell>
          <cell r="M1864">
            <v>9.1999999999999993</v>
          </cell>
        </row>
        <row r="1865">
          <cell r="C1865" t="str">
            <v>NMĐ Gió Mũi Dinh MBA T2 (phía 110kV)</v>
          </cell>
          <cell r="F1865">
            <v>-33.9</v>
          </cell>
          <cell r="H1865">
            <v>-4.0999999999999996</v>
          </cell>
          <cell r="I1865">
            <v>-9.9</v>
          </cell>
          <cell r="J1865">
            <v>-19</v>
          </cell>
          <cell r="K1865">
            <v>-33.9</v>
          </cell>
          <cell r="L1865">
            <v>-28.8</v>
          </cell>
          <cell r="M1865">
            <v>-31.3</v>
          </cell>
        </row>
        <row r="1866">
          <cell r="C1866" t="str">
            <v>NMĐ Gió  Mũi Dinh MBA T2 (phía 22kV)</v>
          </cell>
          <cell r="F1866">
            <v>34.200000000000003</v>
          </cell>
          <cell r="H1866">
            <v>4.0999999999999996</v>
          </cell>
          <cell r="I1866">
            <v>9.9</v>
          </cell>
          <cell r="J1866">
            <v>19.100000000000001</v>
          </cell>
          <cell r="K1866">
            <v>34.200000000000003</v>
          </cell>
          <cell r="L1866">
            <v>29.1</v>
          </cell>
          <cell r="M1866">
            <v>32.1</v>
          </cell>
        </row>
        <row r="1867">
          <cell r="C1867" t="str">
            <v>NMĐ Gió Phú Lạc MBA T1 (phía 22kV)</v>
          </cell>
          <cell r="F1867">
            <v>23.9</v>
          </cell>
          <cell r="H1867">
            <v>4.4000000000000004</v>
          </cell>
          <cell r="I1867">
            <v>22.6</v>
          </cell>
          <cell r="J1867">
            <v>15</v>
          </cell>
          <cell r="K1867">
            <v>21.7</v>
          </cell>
          <cell r="L1867">
            <v>23.6</v>
          </cell>
          <cell r="M1867">
            <v>23.9</v>
          </cell>
        </row>
        <row r="1868">
          <cell r="C1868" t="str">
            <v>NMĐ Gió Phú Lạc MBA T1 (phía 110kV)</v>
          </cell>
          <cell r="F1868">
            <v>-23.8</v>
          </cell>
          <cell r="H1868">
            <v>-4.4000000000000004</v>
          </cell>
          <cell r="I1868">
            <v>-22.7</v>
          </cell>
          <cell r="J1868">
            <v>-15.2</v>
          </cell>
          <cell r="K1868">
            <v>-21.8</v>
          </cell>
          <cell r="L1868">
            <v>-23.5</v>
          </cell>
          <cell r="M1868">
            <v>-23.8</v>
          </cell>
        </row>
        <row r="1869">
          <cell r="C1869" t="str">
            <v>110kV 171 NMĐ Gió Phú Lạc - 171 NMĐ MT Tuy Phong</v>
          </cell>
          <cell r="F1869">
            <v>-100.6</v>
          </cell>
          <cell r="H1869">
            <v>-100.6</v>
          </cell>
          <cell r="I1869">
            <v>-84.9</v>
          </cell>
          <cell r="J1869">
            <v>-97.7</v>
          </cell>
          <cell r="K1869">
            <v>-95.8</v>
          </cell>
          <cell r="L1869">
            <v>-96.4</v>
          </cell>
          <cell r="M1869">
            <v>-94.3</v>
          </cell>
        </row>
        <row r="1870">
          <cell r="C1870" t="str">
            <v>110kV 172 NMĐ Gió Phú Lạc - 172 NMĐ Gió Tuy Phong</v>
          </cell>
          <cell r="F1870">
            <v>106.1</v>
          </cell>
          <cell r="H1870">
            <v>102</v>
          </cell>
          <cell r="I1870">
            <v>93.4</v>
          </cell>
          <cell r="J1870">
            <v>105</v>
          </cell>
          <cell r="K1870">
            <v>101.4</v>
          </cell>
          <cell r="L1870">
            <v>102.7</v>
          </cell>
          <cell r="M1870">
            <v>106.1</v>
          </cell>
        </row>
        <row r="1871">
          <cell r="C1871" t="str">
            <v>NMĐ Gió số 5 Ninh Thuận MBA T1 (phía 220kV)</v>
          </cell>
          <cell r="E1871">
            <v>0</v>
          </cell>
          <cell r="F1871">
            <v>0.1</v>
          </cell>
          <cell r="J1871">
            <v>0</v>
          </cell>
          <cell r="K1871">
            <v>0</v>
          </cell>
          <cell r="L1871">
            <v>0.1</v>
          </cell>
          <cell r="M1871">
            <v>0</v>
          </cell>
        </row>
        <row r="1872">
          <cell r="C1872" t="str">
            <v>NMĐ Gió số 5 Ninh Thuận MBA T1 (phía 35kV)</v>
          </cell>
          <cell r="E1872">
            <v>0</v>
          </cell>
          <cell r="F1872">
            <v>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</row>
        <row r="1873">
          <cell r="C1873" t="str">
            <v>110kV 171 NMĐG Số 5 Thạnh Hải 1 - 173 Bình Thạnh</v>
          </cell>
          <cell r="E1873">
            <v>0</v>
          </cell>
          <cell r="F1873">
            <v>0</v>
          </cell>
          <cell r="H1873">
            <v>0</v>
          </cell>
          <cell r="I1873">
            <v>0</v>
          </cell>
        </row>
        <row r="1874">
          <cell r="C1874" t="str">
            <v>110kV 172 NMĐG Số 5 Thạnh Hải 1 - 172 Bình Thạnh</v>
          </cell>
          <cell r="E1874">
            <v>0</v>
          </cell>
          <cell r="F1874">
            <v>0</v>
          </cell>
          <cell r="H1874">
            <v>0</v>
          </cell>
          <cell r="I1874">
            <v>0</v>
          </cell>
        </row>
        <row r="1875">
          <cell r="C1875" t="str">
            <v>NMĐG Số 5 Thạnh Hải 1 MBA T1 (phía 110kV)</v>
          </cell>
          <cell r="E1875">
            <v>0</v>
          </cell>
          <cell r="F1875">
            <v>0</v>
          </cell>
          <cell r="H1875">
            <v>0</v>
          </cell>
          <cell r="I1875">
            <v>0</v>
          </cell>
        </row>
        <row r="1876">
          <cell r="C1876" t="str">
            <v>NMĐG Số 5 Thạnh Hải 1 MBA T1 (phía 22kV)</v>
          </cell>
          <cell r="E1876">
            <v>0</v>
          </cell>
          <cell r="F1876">
            <v>0</v>
          </cell>
          <cell r="H1876">
            <v>0</v>
          </cell>
          <cell r="I1876">
            <v>0</v>
          </cell>
        </row>
        <row r="1877">
          <cell r="C1877" t="str">
            <v>110kV 171 NMĐ Gió số 5 Thạnh Hải 1 - 173 Bình Thạnh</v>
          </cell>
          <cell r="E1877">
            <v>0</v>
          </cell>
          <cell r="F1877">
            <v>0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</row>
        <row r="1878">
          <cell r="C1878" t="str">
            <v>110kV 172 NMĐ Gió số 5 Thạnh Hải 1 - 172 Bình Thạnh</v>
          </cell>
          <cell r="E1878">
            <v>0</v>
          </cell>
          <cell r="F1878">
            <v>0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</row>
        <row r="1879">
          <cell r="C1879" t="str">
            <v>NMĐ Gió số 5 Thạnh Hải 1 MBA T1 (phía 110kV)</v>
          </cell>
          <cell r="E1879">
            <v>0</v>
          </cell>
          <cell r="F1879">
            <v>0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</row>
        <row r="1880">
          <cell r="C1880" t="str">
            <v>NMĐ Gió số 5 Thạnh Hải 1 MBA T1 (phía 22kV)</v>
          </cell>
          <cell r="E1880">
            <v>0</v>
          </cell>
          <cell r="F1880">
            <v>0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</row>
        <row r="1881">
          <cell r="C1881" t="str">
            <v>110kV 171 NMĐ Gió Trung Nam - 177 Tháp Chàm 2</v>
          </cell>
          <cell r="F1881">
            <v>37.200000000000003</v>
          </cell>
          <cell r="H1881">
            <v>9.4</v>
          </cell>
          <cell r="I1881">
            <v>6.1</v>
          </cell>
          <cell r="J1881">
            <v>12.5</v>
          </cell>
          <cell r="K1881">
            <v>12.8</v>
          </cell>
          <cell r="L1881">
            <v>7.7</v>
          </cell>
          <cell r="M1881">
            <v>37.200000000000003</v>
          </cell>
        </row>
        <row r="1882">
          <cell r="C1882" t="str">
            <v>110kV 172 NMĐ Gió Trung Nam - 178 Tháp Chàm 2</v>
          </cell>
          <cell r="F1882">
            <v>37.5</v>
          </cell>
          <cell r="H1882">
            <v>9.6</v>
          </cell>
          <cell r="I1882">
            <v>6.3</v>
          </cell>
          <cell r="J1882">
            <v>12.9</v>
          </cell>
          <cell r="K1882">
            <v>13.1</v>
          </cell>
          <cell r="L1882">
            <v>7.8</v>
          </cell>
          <cell r="M1882">
            <v>37.5</v>
          </cell>
        </row>
        <row r="1883">
          <cell r="C1883" t="str">
            <v>NMĐ Gió Trung Nam MBA T2 (phía 110kV)</v>
          </cell>
          <cell r="F1883">
            <v>-38.799999999999997</v>
          </cell>
          <cell r="H1883">
            <v>-9</v>
          </cell>
          <cell r="I1883">
            <v>-6.4</v>
          </cell>
          <cell r="J1883">
            <v>-11.8</v>
          </cell>
          <cell r="K1883">
            <v>-10.7</v>
          </cell>
          <cell r="L1883">
            <v>-7.3</v>
          </cell>
          <cell r="M1883">
            <v>-38.799999999999997</v>
          </cell>
        </row>
        <row r="1884">
          <cell r="C1884" t="str">
            <v>NMĐ Gió Trung Nam MBA T2 (phía 22kV)</v>
          </cell>
          <cell r="F1884">
            <v>37.299999999999997</v>
          </cell>
          <cell r="H1884">
            <v>9.1999999999999993</v>
          </cell>
          <cell r="I1884">
            <v>6.4</v>
          </cell>
          <cell r="J1884">
            <v>11.7</v>
          </cell>
          <cell r="K1884">
            <v>10.7</v>
          </cell>
          <cell r="L1884">
            <v>7.4</v>
          </cell>
          <cell r="M1884">
            <v>37.299999999999997</v>
          </cell>
        </row>
        <row r="1885">
          <cell r="C1885" t="str">
            <v>NMĐ Gió Trung Nam MBA T1 (phía 110kV)</v>
          </cell>
          <cell r="F1885">
            <v>-24.5</v>
          </cell>
          <cell r="H1885">
            <v>-8.6</v>
          </cell>
          <cell r="I1885">
            <v>-5</v>
          </cell>
          <cell r="J1885">
            <v>-8.5</v>
          </cell>
          <cell r="K1885">
            <v>-9.3000000000000007</v>
          </cell>
          <cell r="L1885">
            <v>-7</v>
          </cell>
          <cell r="M1885">
            <v>-24.5</v>
          </cell>
        </row>
        <row r="1886">
          <cell r="C1886" t="str">
            <v>NMĐ Gió Trung Nam MBA T1 (phía 22kV)</v>
          </cell>
          <cell r="F1886">
            <v>25</v>
          </cell>
          <cell r="H1886">
            <v>8.5</v>
          </cell>
          <cell r="I1886">
            <v>5.0999999999999996</v>
          </cell>
          <cell r="J1886">
            <v>8.6999999999999993</v>
          </cell>
          <cell r="K1886">
            <v>9.5</v>
          </cell>
          <cell r="L1886">
            <v>7.1</v>
          </cell>
          <cell r="M1886">
            <v>25</v>
          </cell>
        </row>
        <row r="1887">
          <cell r="C1887" t="str">
            <v>NMĐ Gió Trung Nam MBA T4 (phía 110kV)</v>
          </cell>
          <cell r="F1887">
            <v>-16</v>
          </cell>
          <cell r="H1887">
            <v>-2</v>
          </cell>
          <cell r="I1887">
            <v>-3.2</v>
          </cell>
          <cell r="J1887">
            <v>-5.5</v>
          </cell>
          <cell r="K1887">
            <v>-6</v>
          </cell>
          <cell r="L1887">
            <v>-4.9000000000000004</v>
          </cell>
          <cell r="M1887">
            <v>-16</v>
          </cell>
        </row>
        <row r="1888">
          <cell r="C1888" t="str">
            <v>NMĐ Gió Trung Nam MBA T4 (phía 22kV)</v>
          </cell>
          <cell r="F1888">
            <v>16.100000000000001</v>
          </cell>
          <cell r="H1888">
            <v>1.9</v>
          </cell>
          <cell r="I1888">
            <v>3.2</v>
          </cell>
          <cell r="J1888">
            <v>5.4</v>
          </cell>
          <cell r="K1888">
            <v>5.9</v>
          </cell>
          <cell r="L1888">
            <v>5.3</v>
          </cell>
          <cell r="M1888">
            <v>16.100000000000001</v>
          </cell>
        </row>
        <row r="1889">
          <cell r="C1889" t="str">
            <v xml:space="preserve">110kV 171 NMĐ Gió Tuy Phong - 172 NMĐ MT Eco Seido Tuy Phong </v>
          </cell>
          <cell r="F1889">
            <v>118.2</v>
          </cell>
          <cell r="H1889">
            <v>-0.2</v>
          </cell>
          <cell r="I1889">
            <v>-0.2</v>
          </cell>
          <cell r="J1889">
            <v>-0.2</v>
          </cell>
          <cell r="K1889">
            <v>-0.2</v>
          </cell>
          <cell r="L1889">
            <v>-0.2</v>
          </cell>
          <cell r="M1889">
            <v>118.2</v>
          </cell>
        </row>
        <row r="1890">
          <cell r="C1890" t="str">
            <v>110kV 172 NMĐ Gió Tuy Phong - 172 NMĐ Gió Phú Lạc</v>
          </cell>
          <cell r="F1890">
            <v>-106</v>
          </cell>
          <cell r="H1890">
            <v>0.1</v>
          </cell>
          <cell r="I1890">
            <v>0.1</v>
          </cell>
          <cell r="J1890">
            <v>0.1</v>
          </cell>
          <cell r="K1890">
            <v>0.1</v>
          </cell>
          <cell r="L1890">
            <v>0.1</v>
          </cell>
          <cell r="M1890">
            <v>-106</v>
          </cell>
        </row>
        <row r="1891">
          <cell r="C1891" t="str">
            <v>NMĐ Gió Tuy Phong MBA T1 (phía 110kV)</v>
          </cell>
          <cell r="E1891">
            <v>0</v>
          </cell>
          <cell r="F1891">
            <v>-22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-22</v>
          </cell>
        </row>
        <row r="1892">
          <cell r="C1892" t="str">
            <v>NMĐ Gió Tuy Phong MBA T1 (phía 22kV)</v>
          </cell>
          <cell r="E1892">
            <v>0</v>
          </cell>
          <cell r="F1892">
            <v>22.1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0</v>
          </cell>
          <cell r="M1892">
            <v>22.1</v>
          </cell>
        </row>
        <row r="1893">
          <cell r="C1893" t="str">
            <v>110kV 171 NMĐ Gió V1-3 Bến Tre - 177 Ba Tri</v>
          </cell>
          <cell r="E1893">
            <v>0</v>
          </cell>
          <cell r="F1893">
            <v>11</v>
          </cell>
          <cell r="H1893">
            <v>0</v>
          </cell>
          <cell r="I1893">
            <v>1.6</v>
          </cell>
          <cell r="J1893">
            <v>3.4</v>
          </cell>
          <cell r="K1893">
            <v>3.3</v>
          </cell>
          <cell r="L1893">
            <v>9.8000000000000007</v>
          </cell>
          <cell r="M1893">
            <v>11</v>
          </cell>
        </row>
        <row r="1894">
          <cell r="C1894" t="str">
            <v>110kV 172 NMĐ Gió V1-3 Bến Tre - 175 Ba Tri</v>
          </cell>
          <cell r="E1894">
            <v>0</v>
          </cell>
          <cell r="F1894">
            <v>11</v>
          </cell>
          <cell r="H1894">
            <v>0</v>
          </cell>
          <cell r="I1894">
            <v>1.6</v>
          </cell>
          <cell r="J1894">
            <v>3.4</v>
          </cell>
          <cell r="K1894">
            <v>3.3</v>
          </cell>
          <cell r="L1894">
            <v>9.6999999999999993</v>
          </cell>
          <cell r="M1894">
            <v>11</v>
          </cell>
        </row>
        <row r="1895">
          <cell r="C1895" t="str">
            <v>NMĐ Gió V1-3 Bến Tre MBA T1 (phía 110kV)</v>
          </cell>
          <cell r="F1895">
            <v>-21.3</v>
          </cell>
          <cell r="H1895">
            <v>0.1</v>
          </cell>
          <cell r="I1895">
            <v>-3.1</v>
          </cell>
          <cell r="J1895">
            <v>-6.7</v>
          </cell>
          <cell r="K1895">
            <v>-7.2</v>
          </cell>
          <cell r="L1895">
            <v>-19.399999999999999</v>
          </cell>
          <cell r="M1895">
            <v>-21.3</v>
          </cell>
        </row>
        <row r="1896">
          <cell r="C1896" t="str">
            <v>NMĐ Gió V1-3 Bến Tre MBA T1 (phía 22kV)</v>
          </cell>
          <cell r="E1896">
            <v>0</v>
          </cell>
          <cell r="F1896">
            <v>22.1</v>
          </cell>
          <cell r="H1896">
            <v>0</v>
          </cell>
          <cell r="I1896">
            <v>3.4</v>
          </cell>
          <cell r="J1896">
            <v>7.2</v>
          </cell>
          <cell r="K1896">
            <v>7</v>
          </cell>
          <cell r="L1896">
            <v>19.899999999999999</v>
          </cell>
          <cell r="M1896">
            <v>22.1</v>
          </cell>
        </row>
        <row r="1897">
          <cell r="C1897" t="str">
            <v>NMĐ Hạ Sông Pha 1 MBT T1 (phía 110kV)</v>
          </cell>
          <cell r="D1897">
            <v>131</v>
          </cell>
          <cell r="E1897">
            <v>11</v>
          </cell>
          <cell r="F1897">
            <v>13.3</v>
          </cell>
          <cell r="G1897">
            <v>12.2</v>
          </cell>
          <cell r="H1897">
            <v>12.8</v>
          </cell>
          <cell r="I1897">
            <v>13.3</v>
          </cell>
          <cell r="J1897">
            <v>12.3</v>
          </cell>
          <cell r="K1897">
            <v>12.6</v>
          </cell>
          <cell r="L1897">
            <v>11</v>
          </cell>
          <cell r="M1897">
            <v>11</v>
          </cell>
        </row>
        <row r="1898">
          <cell r="C1898" t="str">
            <v>110kV 171 NMĐ Hạ Sông Pha 1 - 173 NMĐ Đa Nhim</v>
          </cell>
          <cell r="D1898">
            <v>171</v>
          </cell>
          <cell r="E1898">
            <v>71.599999999999994</v>
          </cell>
          <cell r="F1898">
            <v>77.599999999999994</v>
          </cell>
          <cell r="G1898">
            <v>71.599999999999994</v>
          </cell>
          <cell r="H1898">
            <v>74.5</v>
          </cell>
          <cell r="I1898">
            <v>75.8</v>
          </cell>
          <cell r="J1898">
            <v>76.7</v>
          </cell>
          <cell r="K1898">
            <v>73.7</v>
          </cell>
          <cell r="L1898">
            <v>77.599999999999994</v>
          </cell>
          <cell r="M1898">
            <v>76.900000000000006</v>
          </cell>
        </row>
        <row r="1899">
          <cell r="C1899" t="str">
            <v>110kV 172 NMĐ Hạ Sông Pha 2 - 172 Ninh Sơn</v>
          </cell>
          <cell r="D1899">
            <v>172</v>
          </cell>
          <cell r="E1899">
            <v>-69.8</v>
          </cell>
          <cell r="F1899">
            <v>-77.3</v>
          </cell>
          <cell r="G1899">
            <v>-69.8</v>
          </cell>
          <cell r="H1899">
            <v>-74.3</v>
          </cell>
          <cell r="I1899">
            <v>-73.7</v>
          </cell>
          <cell r="J1899">
            <v>-76.3</v>
          </cell>
          <cell r="K1899">
            <v>-73.599999999999994</v>
          </cell>
          <cell r="L1899">
            <v>-77.3</v>
          </cell>
          <cell r="M1899">
            <v>-76.599999999999994</v>
          </cell>
        </row>
        <row r="1900">
          <cell r="C1900" t="str">
            <v>NMĐ Hạ Sông Pha 1 MBA T1 (phía 22kV)</v>
          </cell>
          <cell r="D1900">
            <v>431</v>
          </cell>
          <cell r="E1900">
            <v>5.2</v>
          </cell>
          <cell r="F1900">
            <v>6.7</v>
          </cell>
          <cell r="G1900">
            <v>6</v>
          </cell>
          <cell r="H1900">
            <v>6.4</v>
          </cell>
          <cell r="I1900">
            <v>6.7</v>
          </cell>
          <cell r="J1900">
            <v>6.1</v>
          </cell>
          <cell r="K1900">
            <v>6.5</v>
          </cell>
          <cell r="L1900">
            <v>5.2</v>
          </cell>
          <cell r="M1900">
            <v>5.2</v>
          </cell>
        </row>
        <row r="1901">
          <cell r="C1901" t="str">
            <v>NMĐ Hàm Thuận MBA AT3 (phía 110kV)</v>
          </cell>
          <cell r="D1901">
            <v>133</v>
          </cell>
          <cell r="E1901">
            <v>-3</v>
          </cell>
          <cell r="F1901">
            <v>-6.6</v>
          </cell>
          <cell r="G1901">
            <v>-4.0999999999999996</v>
          </cell>
          <cell r="H1901">
            <v>-4.5</v>
          </cell>
          <cell r="I1901">
            <v>-3.9</v>
          </cell>
          <cell r="J1901">
            <v>-6.6</v>
          </cell>
          <cell r="K1901">
            <v>-3.9</v>
          </cell>
          <cell r="L1901">
            <v>-3</v>
          </cell>
          <cell r="M1901">
            <v>-3.8</v>
          </cell>
        </row>
        <row r="1902">
          <cell r="C1902" t="str">
            <v>110kV 171 NMĐ Hàm Thuận - 172 NMĐ MT Hàm Phú 2</v>
          </cell>
          <cell r="D1902">
            <v>171</v>
          </cell>
          <cell r="E1902">
            <v>-0.1</v>
          </cell>
          <cell r="F1902">
            <v>0.2</v>
          </cell>
          <cell r="G1902">
            <v>-0.1</v>
          </cell>
          <cell r="H1902">
            <v>0.2</v>
          </cell>
          <cell r="I1902">
            <v>0.2</v>
          </cell>
          <cell r="J1902">
            <v>0.2</v>
          </cell>
          <cell r="K1902">
            <v>0.2</v>
          </cell>
          <cell r="L1902">
            <v>0.2</v>
          </cell>
          <cell r="M1902">
            <v>0.2</v>
          </cell>
        </row>
        <row r="1903">
          <cell r="C1903" t="str">
            <v>110kV 172 NMĐ Hàm Thuận - 176 Phan Thiết 2</v>
          </cell>
          <cell r="D1903">
            <v>172</v>
          </cell>
          <cell r="E1903">
            <v>0</v>
          </cell>
          <cell r="F1903">
            <v>-0.1</v>
          </cell>
          <cell r="G1903">
            <v>-0.1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</row>
        <row r="1904">
          <cell r="C1904" t="str">
            <v>110kV 173 NMĐ Hàm Thuận - 171 NMĐ MT Đa Mi</v>
          </cell>
          <cell r="D1904">
            <v>173</v>
          </cell>
          <cell r="E1904">
            <v>30.7</v>
          </cell>
          <cell r="F1904">
            <v>38.299999999999997</v>
          </cell>
          <cell r="G1904">
            <v>38.299999999999997</v>
          </cell>
          <cell r="H1904">
            <v>36.1</v>
          </cell>
          <cell r="I1904">
            <v>33.700000000000003</v>
          </cell>
          <cell r="J1904">
            <v>36.6</v>
          </cell>
          <cell r="K1904">
            <v>33.299999999999997</v>
          </cell>
          <cell r="L1904">
            <v>33.1</v>
          </cell>
          <cell r="M1904">
            <v>30.7</v>
          </cell>
        </row>
        <row r="1905">
          <cell r="C1905" t="str">
            <v>NMĐ Hàm Thuận MBA AT3 (phía 220kV)</v>
          </cell>
          <cell r="D1905">
            <v>233</v>
          </cell>
          <cell r="E1905">
            <v>-3.3</v>
          </cell>
          <cell r="F1905">
            <v>-10.7</v>
          </cell>
          <cell r="G1905">
            <v>-5.6</v>
          </cell>
          <cell r="H1905">
            <v>-6.6</v>
          </cell>
          <cell r="I1905">
            <v>-4.8</v>
          </cell>
          <cell r="J1905">
            <v>-10.7</v>
          </cell>
          <cell r="K1905">
            <v>-5.0999999999999996</v>
          </cell>
          <cell r="L1905">
            <v>-3.3</v>
          </cell>
          <cell r="M1905">
            <v>-4.9000000000000004</v>
          </cell>
        </row>
        <row r="1906">
          <cell r="C1906" t="str">
            <v>220kV 271 NMĐ Hàm Thuận - 271 NMĐ Đa Mi</v>
          </cell>
          <cell r="D1906">
            <v>271</v>
          </cell>
          <cell r="E1906">
            <v>100.8</v>
          </cell>
          <cell r="F1906">
            <v>163.80000000000001</v>
          </cell>
          <cell r="G1906">
            <v>128.69999999999999</v>
          </cell>
          <cell r="H1906">
            <v>141</v>
          </cell>
          <cell r="I1906">
            <v>163.80000000000001</v>
          </cell>
          <cell r="J1906">
            <v>150.30000000000001</v>
          </cell>
          <cell r="K1906">
            <v>137.5</v>
          </cell>
          <cell r="L1906">
            <v>112.9</v>
          </cell>
          <cell r="M1906">
            <v>100.8</v>
          </cell>
        </row>
        <row r="1907">
          <cell r="C1907" t="str">
            <v>220kV 272 NMĐ Hàm Thuận - 273 Xuân Lộc 2</v>
          </cell>
          <cell r="D1907">
            <v>272</v>
          </cell>
          <cell r="E1907">
            <v>144.9</v>
          </cell>
          <cell r="F1907">
            <v>193</v>
          </cell>
          <cell r="G1907">
            <v>167</v>
          </cell>
          <cell r="H1907">
            <v>193</v>
          </cell>
          <cell r="I1907">
            <v>180.3</v>
          </cell>
          <cell r="J1907">
            <v>164.3</v>
          </cell>
          <cell r="K1907">
            <v>184.6</v>
          </cell>
          <cell r="L1907">
            <v>144.9</v>
          </cell>
          <cell r="M1907">
            <v>161.4</v>
          </cell>
        </row>
        <row r="1908">
          <cell r="C1908" t="str">
            <v>220kV 273 NMĐ Hàm Thuận - 272 Phan Thiết 2</v>
          </cell>
          <cell r="D1908">
            <v>273</v>
          </cell>
          <cell r="E1908">
            <v>-203.4</v>
          </cell>
          <cell r="F1908">
            <v>-295.89999999999998</v>
          </cell>
          <cell r="G1908">
            <v>-268.3</v>
          </cell>
          <cell r="H1908">
            <v>-295.39999999999998</v>
          </cell>
          <cell r="I1908">
            <v>-203.4</v>
          </cell>
          <cell r="J1908">
            <v>-275.7</v>
          </cell>
          <cell r="K1908">
            <v>-295.89999999999998</v>
          </cell>
          <cell r="L1908">
            <v>-233.9</v>
          </cell>
          <cell r="M1908">
            <v>-241.4</v>
          </cell>
        </row>
        <row r="1909">
          <cell r="C1909" t="str">
            <v>220kV 274 NMĐ Hàm Thuận - 272 Bảo Lộc</v>
          </cell>
          <cell r="D1909">
            <v>274</v>
          </cell>
          <cell r="E1909">
            <v>-50.5</v>
          </cell>
          <cell r="F1909">
            <v>103.3</v>
          </cell>
          <cell r="G1909">
            <v>52.7</v>
          </cell>
          <cell r="H1909">
            <v>-68.3</v>
          </cell>
          <cell r="I1909">
            <v>-60.3</v>
          </cell>
          <cell r="J1909">
            <v>103.3</v>
          </cell>
          <cell r="K1909">
            <v>-50.5</v>
          </cell>
          <cell r="L1909">
            <v>82.7</v>
          </cell>
          <cell r="M1909">
            <v>69.3</v>
          </cell>
        </row>
        <row r="1910">
          <cell r="C1910" t="str">
            <v>110kV 171 NMĐ Krông Nô 2 - 176 Suối Vàng</v>
          </cell>
          <cell r="F1910">
            <v>47.2</v>
          </cell>
          <cell r="H1910">
            <v>45.6</v>
          </cell>
          <cell r="I1910">
            <v>0.8</v>
          </cell>
          <cell r="J1910">
            <v>47.2</v>
          </cell>
          <cell r="K1910">
            <v>47.2</v>
          </cell>
          <cell r="L1910">
            <v>29.2</v>
          </cell>
          <cell r="M1910">
            <v>47.2</v>
          </cell>
        </row>
        <row r="1911">
          <cell r="C1911" t="str">
            <v>110kV 172 NMĐ Krông Nô 2 - 171 NMĐ Krông Nô 3</v>
          </cell>
          <cell r="F1911">
            <v>-18</v>
          </cell>
          <cell r="H1911">
            <v>-17.399999999999999</v>
          </cell>
          <cell r="I1911">
            <v>-0.8</v>
          </cell>
          <cell r="J1911">
            <v>-18</v>
          </cell>
          <cell r="K1911">
            <v>-17.8</v>
          </cell>
          <cell r="L1911">
            <v>-0.8</v>
          </cell>
          <cell r="M1911">
            <v>-17.8</v>
          </cell>
        </row>
        <row r="1912">
          <cell r="C1912" t="str">
            <v>NMĐ Krông Nô 2 MBA T1 (phía 110kV)</v>
          </cell>
          <cell r="E1912">
            <v>0</v>
          </cell>
          <cell r="F1912">
            <v>15</v>
          </cell>
          <cell r="H1912">
            <v>14</v>
          </cell>
          <cell r="I1912">
            <v>0</v>
          </cell>
          <cell r="J1912">
            <v>15</v>
          </cell>
          <cell r="K1912">
            <v>14.6</v>
          </cell>
          <cell r="L1912">
            <v>14</v>
          </cell>
          <cell r="M1912">
            <v>14</v>
          </cell>
        </row>
        <row r="1913">
          <cell r="C1913" t="str">
            <v>NMĐ Krông Nô 2 MBA T2 (phía 110kV)</v>
          </cell>
          <cell r="F1913">
            <v>14.6</v>
          </cell>
          <cell r="H1913">
            <v>14</v>
          </cell>
          <cell r="I1913">
            <v>0.8</v>
          </cell>
          <cell r="J1913">
            <v>14</v>
          </cell>
          <cell r="K1913">
            <v>14.6</v>
          </cell>
          <cell r="L1913">
            <v>14</v>
          </cell>
          <cell r="M1913">
            <v>14</v>
          </cell>
        </row>
        <row r="1914">
          <cell r="C1914" t="str">
            <v>110kV 171 NMĐ Krông Nô 3 - 172 NMĐ Krông Nô 2</v>
          </cell>
          <cell r="F1914">
            <v>18.2</v>
          </cell>
          <cell r="H1914">
            <v>17.100000000000001</v>
          </cell>
          <cell r="I1914">
            <v>18.2</v>
          </cell>
          <cell r="J1914">
            <v>18.100000000000001</v>
          </cell>
          <cell r="K1914">
            <v>18</v>
          </cell>
          <cell r="L1914">
            <v>17.100000000000001</v>
          </cell>
          <cell r="M1914">
            <v>18</v>
          </cell>
        </row>
        <row r="1915">
          <cell r="C1915" t="str">
            <v>NMĐ Krông Nô 3 MBA T1 (phía 110kV)</v>
          </cell>
          <cell r="F1915">
            <v>-9.1</v>
          </cell>
          <cell r="H1915">
            <v>-8.1</v>
          </cell>
          <cell r="I1915">
            <v>-9</v>
          </cell>
          <cell r="J1915">
            <v>-9.1</v>
          </cell>
          <cell r="K1915">
            <v>-9</v>
          </cell>
          <cell r="L1915">
            <v>-8</v>
          </cell>
          <cell r="M1915">
            <v>-8.1</v>
          </cell>
        </row>
        <row r="1916">
          <cell r="C1916" t="str">
            <v>NMĐ Krông Nô 3 MBA T2 (phía 110kV)</v>
          </cell>
          <cell r="F1916">
            <v>-9.1</v>
          </cell>
          <cell r="H1916">
            <v>-8.1</v>
          </cell>
          <cell r="I1916">
            <v>-9.1</v>
          </cell>
          <cell r="J1916">
            <v>-9</v>
          </cell>
          <cell r="K1916">
            <v>-9.1</v>
          </cell>
          <cell r="L1916">
            <v>-8.1</v>
          </cell>
          <cell r="M1916">
            <v>-9</v>
          </cell>
        </row>
        <row r="1917">
          <cell r="C1917" t="str">
            <v>110kV 171 NMĐ MT Adani Phước Minh - 171 NMĐ MT Phước Ninh</v>
          </cell>
          <cell r="F1917">
            <v>122.4</v>
          </cell>
          <cell r="H1917">
            <v>122.4</v>
          </cell>
          <cell r="I1917">
            <v>102</v>
          </cell>
          <cell r="J1917">
            <v>112.4</v>
          </cell>
          <cell r="K1917">
            <v>110.8</v>
          </cell>
          <cell r="L1917">
            <v>113.4</v>
          </cell>
          <cell r="M1917">
            <v>115.8</v>
          </cell>
        </row>
        <row r="1918">
          <cell r="C1918" t="str">
            <v>110kV 172 NMĐ MT Adani Phước Minh - 171 NMĐ MT Thuận Nam 19</v>
          </cell>
          <cell r="F1918">
            <v>-111.9</v>
          </cell>
          <cell r="H1918">
            <v>-111.9</v>
          </cell>
          <cell r="I1918">
            <v>-77.900000000000006</v>
          </cell>
          <cell r="J1918">
            <v>-88.9</v>
          </cell>
          <cell r="K1918">
            <v>-90.1</v>
          </cell>
          <cell r="L1918">
            <v>-89.5</v>
          </cell>
          <cell r="M1918">
            <v>-87.5</v>
          </cell>
        </row>
        <row r="1919">
          <cell r="C1919" t="str">
            <v>NMĐ MT Adani Phước Minh MBA T2 (phía 110kV)</v>
          </cell>
          <cell r="F1919">
            <v>-35.200000000000003</v>
          </cell>
          <cell r="H1919">
            <v>-35.200000000000003</v>
          </cell>
          <cell r="I1919">
            <v>-24.6</v>
          </cell>
          <cell r="J1919">
            <v>-32.6</v>
          </cell>
          <cell r="K1919">
            <v>-30.6</v>
          </cell>
          <cell r="L1919">
            <v>-33.9</v>
          </cell>
          <cell r="M1919">
            <v>-29.2</v>
          </cell>
        </row>
        <row r="1920">
          <cell r="C1920" t="str">
            <v>NMĐ MT Adani Phước Minh MBA T2 (phía 22kV)</v>
          </cell>
          <cell r="F1920">
            <v>35.4</v>
          </cell>
          <cell r="H1920">
            <v>35.4</v>
          </cell>
          <cell r="I1920">
            <v>24.6</v>
          </cell>
          <cell r="J1920">
            <v>32.799999999999997</v>
          </cell>
          <cell r="K1920">
            <v>30.7</v>
          </cell>
          <cell r="L1920">
            <v>34.200000000000003</v>
          </cell>
          <cell r="M1920">
            <v>29.3</v>
          </cell>
        </row>
        <row r="1921">
          <cell r="C1921" t="str">
            <v>NMĐ MT Bách Khoa Á Châu MBA T1 (phía 110kV)</v>
          </cell>
          <cell r="F1921">
            <v>-21.7</v>
          </cell>
          <cell r="H1921">
            <v>-21.7</v>
          </cell>
          <cell r="I1921">
            <v>-19</v>
          </cell>
          <cell r="J1921">
            <v>-21.3</v>
          </cell>
          <cell r="K1921">
            <v>-21.1</v>
          </cell>
          <cell r="L1921">
            <v>-12.7</v>
          </cell>
          <cell r="M1921">
            <v>-17.100000000000001</v>
          </cell>
        </row>
        <row r="1922">
          <cell r="C1922" t="str">
            <v>NMĐ MT Bách Khoa Á Châu MBA T1 (phía 22kV)</v>
          </cell>
          <cell r="F1922">
            <v>21.2</v>
          </cell>
          <cell r="H1922">
            <v>21.2</v>
          </cell>
          <cell r="I1922">
            <v>18.600000000000001</v>
          </cell>
          <cell r="J1922">
            <v>20.9</v>
          </cell>
          <cell r="K1922">
            <v>20.6</v>
          </cell>
          <cell r="L1922">
            <v>13</v>
          </cell>
          <cell r="M1922">
            <v>17.3</v>
          </cell>
        </row>
        <row r="1923">
          <cell r="C1923" t="str">
            <v>110kV 171 NMĐ MT Bầu Zôn - 173 trạm cắt Hậu Sanh</v>
          </cell>
          <cell r="F1923">
            <v>18.2</v>
          </cell>
          <cell r="H1923">
            <v>15.6</v>
          </cell>
          <cell r="I1923">
            <v>9.4</v>
          </cell>
          <cell r="J1923">
            <v>14.8</v>
          </cell>
          <cell r="K1923">
            <v>18.2</v>
          </cell>
          <cell r="L1923">
            <v>18.100000000000001</v>
          </cell>
          <cell r="M1923">
            <v>18</v>
          </cell>
        </row>
        <row r="1924">
          <cell r="C1924" t="str">
            <v>NMĐ MT Bầu Zôn MBA T1 (phía 110kV)</v>
          </cell>
          <cell r="F1924">
            <v>-18.2</v>
          </cell>
          <cell r="H1924">
            <v>-15.7</v>
          </cell>
          <cell r="I1924">
            <v>-9.4</v>
          </cell>
          <cell r="J1924">
            <v>-14.8</v>
          </cell>
          <cell r="K1924">
            <v>-18.2</v>
          </cell>
          <cell r="L1924">
            <v>-18.2</v>
          </cell>
          <cell r="M1924">
            <v>-18</v>
          </cell>
        </row>
        <row r="1925">
          <cell r="C1925" t="str">
            <v>NMĐ MT Bầu Zôn MBA T1 (phía 22kV)</v>
          </cell>
          <cell r="F1925">
            <v>18.5</v>
          </cell>
          <cell r="H1925">
            <v>15.7</v>
          </cell>
          <cell r="I1925">
            <v>9.6999999999999993</v>
          </cell>
          <cell r="J1925">
            <v>15.6</v>
          </cell>
          <cell r="K1925">
            <v>18.5</v>
          </cell>
          <cell r="L1925">
            <v>18.3</v>
          </cell>
          <cell r="M1925">
            <v>18.2</v>
          </cell>
        </row>
        <row r="1926">
          <cell r="C1926" t="str">
            <v>NMĐ MT BCG Băng Dương MBA T1 (phía 110kV)</v>
          </cell>
          <cell r="E1926">
            <v>0</v>
          </cell>
          <cell r="F1926">
            <v>-30.2</v>
          </cell>
          <cell r="H1926">
            <v>-28.4</v>
          </cell>
          <cell r="I1926">
            <v>-14.8</v>
          </cell>
          <cell r="J1926">
            <v>-29</v>
          </cell>
          <cell r="K1926">
            <v>-30.2</v>
          </cell>
          <cell r="L1926">
            <v>0</v>
          </cell>
          <cell r="M1926">
            <v>-22.5</v>
          </cell>
        </row>
        <row r="1927">
          <cell r="C1927" t="str">
            <v>NMĐ MT BCG Băng Dương MBA T1 (phía 22kV)</v>
          </cell>
          <cell r="E1927">
            <v>0</v>
          </cell>
          <cell r="F1927">
            <v>30.5</v>
          </cell>
          <cell r="H1927">
            <v>28.8</v>
          </cell>
          <cell r="I1927">
            <v>14.7</v>
          </cell>
          <cell r="J1927">
            <v>29.1</v>
          </cell>
          <cell r="K1927">
            <v>30.5</v>
          </cell>
          <cell r="L1927">
            <v>0</v>
          </cell>
          <cell r="M1927">
            <v>22.6</v>
          </cell>
        </row>
        <row r="1928">
          <cell r="C1928" t="str">
            <v>110kV 171 NMĐ MT Bim - 172 NMĐ MT Thuận Nam 19</v>
          </cell>
          <cell r="F1928">
            <v>82</v>
          </cell>
          <cell r="H1928">
            <v>82</v>
          </cell>
          <cell r="I1928">
            <v>51.6</v>
          </cell>
          <cell r="J1928">
            <v>62.6</v>
          </cell>
          <cell r="K1928">
            <v>66.599999999999994</v>
          </cell>
          <cell r="L1928">
            <v>59.1</v>
          </cell>
          <cell r="M1928">
            <v>68.400000000000006</v>
          </cell>
        </row>
        <row r="1929">
          <cell r="C1929" t="str">
            <v>110kV 172 NMĐ MT Bim - 172 NMĐ MT Vĩnh Tân 2</v>
          </cell>
          <cell r="F1929">
            <v>-61.2</v>
          </cell>
          <cell r="H1929">
            <v>-61.2</v>
          </cell>
          <cell r="I1929">
            <v>-39.200000000000003</v>
          </cell>
          <cell r="J1929">
            <v>-49</v>
          </cell>
          <cell r="K1929">
            <v>-59.9</v>
          </cell>
          <cell r="L1929">
            <v>-44.9</v>
          </cell>
          <cell r="M1929">
            <v>-58.1</v>
          </cell>
        </row>
        <row r="1930">
          <cell r="C1930" t="str">
            <v>NMĐ MT Bim MBA T1 (phía 110kV)</v>
          </cell>
          <cell r="F1930">
            <v>-20.7</v>
          </cell>
          <cell r="H1930">
            <v>-20.399999999999999</v>
          </cell>
          <cell r="I1930">
            <v>-12.4</v>
          </cell>
          <cell r="J1930">
            <v>-15.3</v>
          </cell>
          <cell r="K1930">
            <v>-20.7</v>
          </cell>
          <cell r="L1930">
            <v>-15.2</v>
          </cell>
          <cell r="M1930">
            <v>-16.399999999999999</v>
          </cell>
        </row>
        <row r="1931">
          <cell r="C1931" t="str">
            <v>NMĐ MT Bim MBA T1 (phía 22kV)</v>
          </cell>
          <cell r="F1931">
            <v>21</v>
          </cell>
          <cell r="H1931">
            <v>20.6</v>
          </cell>
          <cell r="I1931">
            <v>12.5</v>
          </cell>
          <cell r="J1931">
            <v>15.6</v>
          </cell>
          <cell r="K1931">
            <v>21</v>
          </cell>
          <cell r="L1931">
            <v>15.3</v>
          </cell>
          <cell r="M1931">
            <v>16.8</v>
          </cell>
        </row>
        <row r="1932">
          <cell r="C1932" t="str">
            <v>220kV 271 NMĐ MT Bim 2 - 275 Quán Thẻ</v>
          </cell>
          <cell r="F1932">
            <v>238.3</v>
          </cell>
          <cell r="H1932">
            <v>238.3</v>
          </cell>
          <cell r="I1932">
            <v>161.5</v>
          </cell>
          <cell r="J1932">
            <v>234.2</v>
          </cell>
          <cell r="K1932">
            <v>227.4</v>
          </cell>
          <cell r="L1932">
            <v>203.1</v>
          </cell>
          <cell r="M1932">
            <v>190.7</v>
          </cell>
        </row>
        <row r="1933">
          <cell r="C1933" t="str">
            <v>NMĐ MT Bim 2 MBA T1 (phía 220kV)</v>
          </cell>
          <cell r="F1933">
            <v>-95.1</v>
          </cell>
          <cell r="H1933">
            <v>-95.1</v>
          </cell>
          <cell r="I1933">
            <v>-59.9</v>
          </cell>
          <cell r="J1933">
            <v>-92.6</v>
          </cell>
          <cell r="K1933">
            <v>-91.3</v>
          </cell>
          <cell r="L1933">
            <v>-82.2</v>
          </cell>
          <cell r="M1933">
            <v>-85.6</v>
          </cell>
        </row>
        <row r="1934">
          <cell r="C1934" t="str">
            <v>NMĐ MT Bim 2 MBA T2 (phía 220kV)</v>
          </cell>
          <cell r="F1934">
            <v>-94.8</v>
          </cell>
          <cell r="H1934">
            <v>-94.8</v>
          </cell>
          <cell r="I1934">
            <v>-61.8</v>
          </cell>
          <cell r="J1934">
            <v>-93</v>
          </cell>
          <cell r="K1934">
            <v>-87.4</v>
          </cell>
          <cell r="L1934">
            <v>-82.1</v>
          </cell>
          <cell r="M1934">
            <v>-84.7</v>
          </cell>
        </row>
        <row r="1935">
          <cell r="C1935" t="str">
            <v>NMĐ MT Bim 2 MBA T3 (phía 220kV)</v>
          </cell>
          <cell r="F1935">
            <v>-49.2</v>
          </cell>
          <cell r="H1935">
            <v>-49.2</v>
          </cell>
          <cell r="I1935">
            <v>-40</v>
          </cell>
          <cell r="J1935">
            <v>-49.2</v>
          </cell>
          <cell r="K1935">
            <v>-49</v>
          </cell>
          <cell r="L1935">
            <v>-46.9</v>
          </cell>
          <cell r="M1935">
            <v>-39.5</v>
          </cell>
        </row>
        <row r="1936">
          <cell r="C1936" t="str">
            <v>NMĐ MT Bim 2 MBA T3 (phía 110kV)</v>
          </cell>
          <cell r="E1936">
            <v>0</v>
          </cell>
          <cell r="F1936">
            <v>0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</row>
        <row r="1937">
          <cell r="C1937" t="str">
            <v>NMĐ MT Bim 2 MBA T2 (phía 35kV)</v>
          </cell>
          <cell r="F1937">
            <v>96.2</v>
          </cell>
          <cell r="H1937">
            <v>96.2</v>
          </cell>
          <cell r="I1937">
            <v>62.4</v>
          </cell>
          <cell r="J1937">
            <v>94.3</v>
          </cell>
          <cell r="K1937">
            <v>87.1</v>
          </cell>
          <cell r="L1937">
            <v>83.2</v>
          </cell>
          <cell r="M1937">
            <v>84.6</v>
          </cell>
        </row>
        <row r="1938">
          <cell r="C1938" t="str">
            <v>NMĐ MT Bim 2 MBA T1 (phía 35kV)</v>
          </cell>
          <cell r="F1938">
            <v>95.8</v>
          </cell>
          <cell r="H1938">
            <v>95.8</v>
          </cell>
          <cell r="I1938">
            <v>60.5</v>
          </cell>
          <cell r="J1938">
            <v>93.6</v>
          </cell>
          <cell r="K1938">
            <v>91.7</v>
          </cell>
          <cell r="L1938">
            <v>83.2</v>
          </cell>
          <cell r="M1938">
            <v>85.5</v>
          </cell>
        </row>
        <row r="1939">
          <cell r="C1939" t="str">
            <v>NMĐ MT Bim 3 MBA T1 (phía 220kV)</v>
          </cell>
          <cell r="F1939">
            <v>-40.4</v>
          </cell>
          <cell r="H1939">
            <v>-38.700000000000003</v>
          </cell>
          <cell r="I1939">
            <v>-19.7</v>
          </cell>
          <cell r="J1939">
            <v>-36.9</v>
          </cell>
          <cell r="K1939">
            <v>-39.5</v>
          </cell>
          <cell r="L1939">
            <v>-30.8</v>
          </cell>
          <cell r="M1939">
            <v>-40.4</v>
          </cell>
        </row>
        <row r="1940">
          <cell r="C1940" t="str">
            <v>NMĐ MT Bim 3 MBA T1 (phía 35kV)</v>
          </cell>
          <cell r="F1940">
            <v>41.1</v>
          </cell>
          <cell r="H1940">
            <v>39.299999999999997</v>
          </cell>
          <cell r="I1940">
            <v>20</v>
          </cell>
          <cell r="J1940">
            <v>37.4</v>
          </cell>
          <cell r="K1940">
            <v>40.1</v>
          </cell>
          <cell r="L1940">
            <v>31.4</v>
          </cell>
          <cell r="M1940">
            <v>41.1</v>
          </cell>
        </row>
        <row r="1941">
          <cell r="C1941" t="str">
            <v>110kV 171 NMĐ MT Bình An - 176 Phan Rí 2</v>
          </cell>
          <cell r="E1941">
            <v>0</v>
          </cell>
          <cell r="F1941">
            <v>0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</row>
        <row r="1942">
          <cell r="C1942" t="str">
            <v>110kV 172 NMĐ MT Bình An - 172 Sông Bình</v>
          </cell>
          <cell r="F1942">
            <v>39.200000000000003</v>
          </cell>
          <cell r="H1942">
            <v>36.9</v>
          </cell>
          <cell r="I1942">
            <v>35.4</v>
          </cell>
          <cell r="J1942">
            <v>33.200000000000003</v>
          </cell>
          <cell r="K1942">
            <v>39.200000000000003</v>
          </cell>
          <cell r="L1942">
            <v>29.5</v>
          </cell>
          <cell r="M1942">
            <v>32.200000000000003</v>
          </cell>
        </row>
        <row r="1943">
          <cell r="C1943" t="str">
            <v>NMĐ MT Bình An MBA T1 (phía 110kV)</v>
          </cell>
          <cell r="F1943">
            <v>-39.299999999999997</v>
          </cell>
          <cell r="H1943">
            <v>-36.9</v>
          </cell>
          <cell r="I1943">
            <v>-35.6</v>
          </cell>
          <cell r="J1943">
            <v>-33.200000000000003</v>
          </cell>
          <cell r="K1943">
            <v>-39.299999999999997</v>
          </cell>
          <cell r="L1943">
            <v>-29.6</v>
          </cell>
          <cell r="M1943">
            <v>-32.200000000000003</v>
          </cell>
        </row>
        <row r="1944">
          <cell r="C1944" t="str">
            <v>NMĐ MT Bình An MBA T1 (phía 22kV)</v>
          </cell>
          <cell r="F1944">
            <v>39.5</v>
          </cell>
          <cell r="H1944">
            <v>37.200000000000003</v>
          </cell>
          <cell r="I1944">
            <v>35.9</v>
          </cell>
          <cell r="J1944">
            <v>33.5</v>
          </cell>
          <cell r="K1944">
            <v>39.5</v>
          </cell>
          <cell r="L1944">
            <v>29.7</v>
          </cell>
          <cell r="M1944">
            <v>32.4</v>
          </cell>
        </row>
        <row r="1945">
          <cell r="C1945" t="str">
            <v>110kV 171 NMĐ MT Châu Đức - 173 Châu Đức</v>
          </cell>
          <cell r="F1945">
            <v>47.4</v>
          </cell>
          <cell r="H1945">
            <v>36.4</v>
          </cell>
          <cell r="I1945">
            <v>19.600000000000001</v>
          </cell>
          <cell r="J1945">
            <v>45.6</v>
          </cell>
          <cell r="K1945">
            <v>47.4</v>
          </cell>
          <cell r="L1945">
            <v>30.8</v>
          </cell>
          <cell r="M1945">
            <v>42.8</v>
          </cell>
        </row>
        <row r="1946">
          <cell r="C1946" t="str">
            <v>NMĐ MT Châu Đức MBA T1 (phía 110kV)</v>
          </cell>
          <cell r="F1946">
            <v>-20.2</v>
          </cell>
          <cell r="H1946">
            <v>-15.6</v>
          </cell>
          <cell r="I1946">
            <v>-8.5</v>
          </cell>
          <cell r="J1946">
            <v>-19.100000000000001</v>
          </cell>
          <cell r="K1946">
            <v>-20.2</v>
          </cell>
          <cell r="L1946">
            <v>-13.1</v>
          </cell>
          <cell r="M1946">
            <v>-18.600000000000001</v>
          </cell>
        </row>
        <row r="1947">
          <cell r="C1947" t="str">
            <v>NMĐ MT Châu Đức MBA T2 (phía 110kV)</v>
          </cell>
          <cell r="F1947">
            <v>-27.3</v>
          </cell>
          <cell r="H1947">
            <v>-23.6</v>
          </cell>
          <cell r="I1947">
            <v>-11.1</v>
          </cell>
          <cell r="J1947">
            <v>-26.5</v>
          </cell>
          <cell r="K1947">
            <v>-27.3</v>
          </cell>
          <cell r="L1947">
            <v>-17.7</v>
          </cell>
          <cell r="M1947">
            <v>-24.3</v>
          </cell>
        </row>
        <row r="1948">
          <cell r="C1948" t="str">
            <v>NMĐ MT Châu Đức MBA T1 (phía 22kV)</v>
          </cell>
          <cell r="F1948">
            <v>20.3</v>
          </cell>
          <cell r="H1948">
            <v>15.7</v>
          </cell>
          <cell r="I1948">
            <v>8.6</v>
          </cell>
          <cell r="J1948">
            <v>19.600000000000001</v>
          </cell>
          <cell r="K1948">
            <v>20.3</v>
          </cell>
          <cell r="L1948">
            <v>13.2</v>
          </cell>
          <cell r="M1948">
            <v>18.399999999999999</v>
          </cell>
        </row>
        <row r="1949">
          <cell r="C1949" t="str">
            <v>NMĐ MT Châu Đức MBA T2 (phía 22kV)</v>
          </cell>
          <cell r="F1949">
            <v>27.5</v>
          </cell>
          <cell r="H1949">
            <v>23.6</v>
          </cell>
          <cell r="I1949">
            <v>11.3</v>
          </cell>
          <cell r="J1949">
            <v>26.9</v>
          </cell>
          <cell r="K1949">
            <v>27.5</v>
          </cell>
          <cell r="L1949">
            <v>17.899999999999999</v>
          </cell>
          <cell r="M1949">
            <v>24</v>
          </cell>
        </row>
        <row r="1950">
          <cell r="C1950" t="str">
            <v>NMĐ MT CMX MBA T1 (phía 110kV)</v>
          </cell>
          <cell r="F1950">
            <v>-54.4</v>
          </cell>
          <cell r="H1950">
            <v>-54.4</v>
          </cell>
          <cell r="I1950">
            <v>-49.8</v>
          </cell>
          <cell r="J1950">
            <v>-49.9</v>
          </cell>
          <cell r="K1950">
            <v>-51.8</v>
          </cell>
          <cell r="L1950">
            <v>-46.5</v>
          </cell>
          <cell r="M1950">
            <v>-49.6</v>
          </cell>
        </row>
        <row r="1951">
          <cell r="C1951" t="str">
            <v>110kV 171 NMĐ MT CMX - 171 NMĐ MT Mỹ Sơn</v>
          </cell>
          <cell r="F1951">
            <v>-54.6</v>
          </cell>
          <cell r="H1951">
            <v>-54.6</v>
          </cell>
          <cell r="I1951">
            <v>-33</v>
          </cell>
          <cell r="J1951">
            <v>-51.5</v>
          </cell>
          <cell r="K1951">
            <v>39.200000000000003</v>
          </cell>
          <cell r="L1951">
            <v>-43</v>
          </cell>
          <cell r="M1951">
            <v>-43.7</v>
          </cell>
        </row>
        <row r="1952">
          <cell r="C1952" t="str">
            <v>110kV 172 NMĐ MT CMX - 171 Ninh Sơn</v>
          </cell>
          <cell r="F1952">
            <v>53.9</v>
          </cell>
          <cell r="H1952">
            <v>53.9</v>
          </cell>
          <cell r="I1952">
            <v>48.3</v>
          </cell>
          <cell r="J1952">
            <v>48.2</v>
          </cell>
          <cell r="K1952">
            <v>47.2</v>
          </cell>
          <cell r="L1952">
            <v>44.4</v>
          </cell>
          <cell r="M1952">
            <v>44.6</v>
          </cell>
        </row>
        <row r="1953">
          <cell r="C1953" t="str">
            <v>NMĐ MT CMX MBA T2 (phía 110kV)</v>
          </cell>
          <cell r="F1953">
            <v>-36.5</v>
          </cell>
          <cell r="H1953">
            <v>-36.5</v>
          </cell>
          <cell r="I1953">
            <v>-33.200000000000003</v>
          </cell>
          <cell r="J1953">
            <v>-33.6</v>
          </cell>
          <cell r="K1953">
            <v>-32.4</v>
          </cell>
          <cell r="L1953">
            <v>-31</v>
          </cell>
          <cell r="M1953">
            <v>-34.200000000000003</v>
          </cell>
        </row>
        <row r="1954">
          <cell r="C1954" t="str">
            <v>NMĐ MT CMX MBA T3 (phía 110kV)</v>
          </cell>
          <cell r="F1954">
            <v>-36.299999999999997</v>
          </cell>
          <cell r="H1954">
            <v>-36.299999999999997</v>
          </cell>
          <cell r="I1954">
            <v>-33.1</v>
          </cell>
          <cell r="J1954">
            <v>-33.700000000000003</v>
          </cell>
          <cell r="K1954">
            <v>-34.4</v>
          </cell>
          <cell r="L1954">
            <v>-31.8</v>
          </cell>
          <cell r="M1954">
            <v>-28.3</v>
          </cell>
        </row>
        <row r="1955">
          <cell r="C1955" t="str">
            <v>110kV 173 NMĐ MT CMX - 173 Tháp Chàm 2</v>
          </cell>
          <cell r="F1955">
            <v>54.5</v>
          </cell>
          <cell r="H1955">
            <v>54.5</v>
          </cell>
          <cell r="I1955">
            <v>33</v>
          </cell>
          <cell r="J1955">
            <v>51.5</v>
          </cell>
          <cell r="K1955">
            <v>35.9</v>
          </cell>
          <cell r="L1955">
            <v>43</v>
          </cell>
          <cell r="M1955">
            <v>43.6</v>
          </cell>
        </row>
        <row r="1956">
          <cell r="C1956" t="str">
            <v>110kV 174 NMĐ MT CMX - 175 NMĐ Đa Nhim</v>
          </cell>
          <cell r="F1956">
            <v>73.400000000000006</v>
          </cell>
          <cell r="H1956">
            <v>73.400000000000006</v>
          </cell>
          <cell r="I1956">
            <v>67.900000000000006</v>
          </cell>
          <cell r="J1956">
            <v>69</v>
          </cell>
          <cell r="K1956">
            <v>67</v>
          </cell>
          <cell r="L1956">
            <v>67.099999999999994</v>
          </cell>
          <cell r="M1956">
            <v>63.8</v>
          </cell>
        </row>
        <row r="1957">
          <cell r="C1957" t="str">
            <v>NMĐ MT CMX MBA T1 (phía 22kV)</v>
          </cell>
          <cell r="F1957">
            <v>54.8</v>
          </cell>
          <cell r="H1957">
            <v>54.8</v>
          </cell>
          <cell r="I1957">
            <v>49.8</v>
          </cell>
          <cell r="J1957">
            <v>50</v>
          </cell>
          <cell r="K1957">
            <v>52</v>
          </cell>
          <cell r="L1957">
            <v>47</v>
          </cell>
          <cell r="M1957">
            <v>49.9</v>
          </cell>
        </row>
        <row r="1958">
          <cell r="C1958" t="str">
            <v>NMĐ MT CMX MBA T2 (phía 22kV)</v>
          </cell>
          <cell r="F1958">
            <v>36.799999999999997</v>
          </cell>
          <cell r="H1958">
            <v>36.799999999999997</v>
          </cell>
          <cell r="I1958">
            <v>33.200000000000003</v>
          </cell>
          <cell r="J1958">
            <v>33.700000000000003</v>
          </cell>
          <cell r="K1958">
            <v>32.799999999999997</v>
          </cell>
          <cell r="L1958">
            <v>31.4</v>
          </cell>
          <cell r="M1958">
            <v>34.6</v>
          </cell>
        </row>
        <row r="1959">
          <cell r="C1959" t="str">
            <v>NMĐ MT CMX MBA T3 (phía 22kV)</v>
          </cell>
          <cell r="F1959">
            <v>36.700000000000003</v>
          </cell>
          <cell r="H1959">
            <v>36.700000000000003</v>
          </cell>
          <cell r="I1959">
            <v>33.1</v>
          </cell>
          <cell r="J1959">
            <v>33.9</v>
          </cell>
          <cell r="K1959">
            <v>34.799999999999997</v>
          </cell>
          <cell r="L1959">
            <v>31.4</v>
          </cell>
          <cell r="M1959">
            <v>28.4</v>
          </cell>
        </row>
        <row r="1960">
          <cell r="C1960" t="str">
            <v>220kV 271 NMĐ MT Đá Bạc - 274 CHÂU ĐỨC 2</v>
          </cell>
          <cell r="F1960">
            <v>375.8</v>
          </cell>
          <cell r="H1960">
            <v>375.8</v>
          </cell>
          <cell r="I1960">
            <v>237.6</v>
          </cell>
          <cell r="J1960">
            <v>321.7</v>
          </cell>
          <cell r="K1960">
            <v>325.89999999999998</v>
          </cell>
          <cell r="L1960">
            <v>251.9</v>
          </cell>
          <cell r="M1960">
            <v>286.10000000000002</v>
          </cell>
        </row>
        <row r="1961">
          <cell r="C1961" t="str">
            <v>220kV 272 NMĐ MT Đá Bạc - 272 Hàm Tân 2</v>
          </cell>
          <cell r="F1961">
            <v>-252.7</v>
          </cell>
          <cell r="H1961">
            <v>-252.7</v>
          </cell>
          <cell r="I1961">
            <v>-167.7</v>
          </cell>
          <cell r="J1961">
            <v>-185</v>
          </cell>
          <cell r="K1961">
            <v>-214.1</v>
          </cell>
          <cell r="L1961">
            <v>-183.6</v>
          </cell>
          <cell r="M1961">
            <v>-191.4</v>
          </cell>
        </row>
        <row r="1962">
          <cell r="C1962" t="str">
            <v>NMĐ MT Đá Bạc MBA T1 (phía 220kV)</v>
          </cell>
          <cell r="F1962">
            <v>-44.8</v>
          </cell>
          <cell r="H1962">
            <v>-44.8</v>
          </cell>
          <cell r="I1962">
            <v>-37.9</v>
          </cell>
          <cell r="J1962">
            <v>-43.1</v>
          </cell>
          <cell r="K1962">
            <v>-41.5</v>
          </cell>
          <cell r="L1962">
            <v>-25.9</v>
          </cell>
          <cell r="M1962">
            <v>-43.3</v>
          </cell>
        </row>
        <row r="1963">
          <cell r="C1963" t="str">
            <v>NMĐ MT Đá Bạc MBA T1 (phía 22kV)</v>
          </cell>
          <cell r="F1963">
            <v>45.1</v>
          </cell>
          <cell r="H1963">
            <v>45.1</v>
          </cell>
          <cell r="I1963">
            <v>38</v>
          </cell>
          <cell r="J1963">
            <v>43.6</v>
          </cell>
          <cell r="K1963">
            <v>41.7</v>
          </cell>
          <cell r="L1963">
            <v>26.2</v>
          </cell>
          <cell r="M1963">
            <v>43.7</v>
          </cell>
        </row>
        <row r="1964">
          <cell r="C1964" t="str">
            <v>NMĐ MT Đá Bạc 2 MBA T2 (phía 220kV)</v>
          </cell>
          <cell r="F1964">
            <v>-48.2</v>
          </cell>
          <cell r="H1964">
            <v>-43.8</v>
          </cell>
          <cell r="I1964">
            <v>-36.299999999999997</v>
          </cell>
          <cell r="J1964">
            <v>-48.2</v>
          </cell>
          <cell r="K1964">
            <v>-37.1</v>
          </cell>
          <cell r="L1964">
            <v>-25</v>
          </cell>
          <cell r="M1964">
            <v>-39.799999999999997</v>
          </cell>
        </row>
        <row r="1965">
          <cell r="C1965" t="str">
            <v>NMĐ MT Đá Bạc 2 MBA T2 (phía 22kV)</v>
          </cell>
          <cell r="F1965">
            <v>48.6</v>
          </cell>
          <cell r="H1965">
            <v>44.4</v>
          </cell>
          <cell r="I1965">
            <v>36.700000000000003</v>
          </cell>
          <cell r="J1965">
            <v>48.6</v>
          </cell>
          <cell r="K1965">
            <v>37.1</v>
          </cell>
          <cell r="L1965">
            <v>25.2</v>
          </cell>
          <cell r="M1965">
            <v>40.200000000000003</v>
          </cell>
        </row>
        <row r="1966">
          <cell r="C1966" t="str">
            <v>NMĐ MT Đá Bạc 3 MBA T3 (phía 220kV)</v>
          </cell>
          <cell r="F1966">
            <v>-39.799999999999997</v>
          </cell>
          <cell r="H1966">
            <v>-38.1</v>
          </cell>
          <cell r="I1966">
            <v>-29.2</v>
          </cell>
          <cell r="J1966">
            <v>-39.799999999999997</v>
          </cell>
          <cell r="K1966">
            <v>-30.9</v>
          </cell>
          <cell r="L1966">
            <v>-20.5</v>
          </cell>
          <cell r="M1966">
            <v>-32.799999999999997</v>
          </cell>
        </row>
        <row r="1967">
          <cell r="C1967" t="str">
            <v>NMĐ MT Đá Bạc 3 MBA T3 (phía 22kV)</v>
          </cell>
          <cell r="F1967">
            <v>39.9</v>
          </cell>
          <cell r="H1967">
            <v>38.200000000000003</v>
          </cell>
          <cell r="I1967">
            <v>29.3</v>
          </cell>
          <cell r="J1967">
            <v>39.9</v>
          </cell>
          <cell r="K1967">
            <v>31.2</v>
          </cell>
          <cell r="L1967">
            <v>20.5</v>
          </cell>
          <cell r="M1967">
            <v>33.299999999999997</v>
          </cell>
        </row>
        <row r="1968">
          <cell r="C1968" t="str">
            <v>NMĐ MT Đá Bạc 4 MBA T4 (phía 220kV)</v>
          </cell>
          <cell r="F1968">
            <v>-39.9</v>
          </cell>
          <cell r="H1968">
            <v>-36.700000000000003</v>
          </cell>
          <cell r="I1968">
            <v>-28.2</v>
          </cell>
          <cell r="J1968">
            <v>-39.9</v>
          </cell>
          <cell r="K1968">
            <v>-39.1</v>
          </cell>
          <cell r="L1968">
            <v>-21.3</v>
          </cell>
          <cell r="M1968">
            <v>-36.1</v>
          </cell>
        </row>
        <row r="1969">
          <cell r="C1969" t="str">
            <v>NMĐ MT Đá Bạc 4 MBA T4 (phía 22kV)</v>
          </cell>
          <cell r="F1969">
            <v>40.5</v>
          </cell>
          <cell r="H1969">
            <v>36.700000000000003</v>
          </cell>
          <cell r="I1969">
            <v>28</v>
          </cell>
          <cell r="J1969">
            <v>40.5</v>
          </cell>
          <cell r="K1969">
            <v>39</v>
          </cell>
          <cell r="L1969">
            <v>21.2</v>
          </cell>
          <cell r="M1969">
            <v>36.200000000000003</v>
          </cell>
        </row>
        <row r="1970">
          <cell r="C1970" t="str">
            <v>110kV 171 NMĐ MT Đa Mi - 173 NMĐ Hàm Thuận</v>
          </cell>
          <cell r="F1970">
            <v>-36.5</v>
          </cell>
          <cell r="H1970">
            <v>-35.9</v>
          </cell>
          <cell r="I1970">
            <v>-33</v>
          </cell>
          <cell r="J1970">
            <v>-36.5</v>
          </cell>
          <cell r="K1970">
            <v>-33.4</v>
          </cell>
          <cell r="L1970">
            <v>-32.6</v>
          </cell>
          <cell r="M1970">
            <v>-30</v>
          </cell>
        </row>
        <row r="1971">
          <cell r="C1971" t="str">
            <v>110kV 172 NMĐ MT Đa Mi - 171 Đức Linh</v>
          </cell>
          <cell r="F1971">
            <v>36.799999999999997</v>
          </cell>
          <cell r="H1971">
            <v>36.6</v>
          </cell>
          <cell r="I1971">
            <v>32.9</v>
          </cell>
          <cell r="J1971">
            <v>36.799999999999997</v>
          </cell>
          <cell r="K1971">
            <v>33.299999999999997</v>
          </cell>
          <cell r="L1971">
            <v>32.5</v>
          </cell>
          <cell r="M1971">
            <v>29.9</v>
          </cell>
        </row>
        <row r="1972">
          <cell r="C1972" t="str">
            <v>NMĐ MT Đa Mi MBA T1 (phía 110kV)</v>
          </cell>
          <cell r="F1972">
            <v>-33.9</v>
          </cell>
          <cell r="H1972">
            <v>-30.9</v>
          </cell>
          <cell r="I1972">
            <v>-11.2</v>
          </cell>
          <cell r="J1972">
            <v>-33.9</v>
          </cell>
          <cell r="K1972">
            <v>-30.5</v>
          </cell>
          <cell r="L1972">
            <v>-26.5</v>
          </cell>
          <cell r="M1972">
            <v>-23</v>
          </cell>
        </row>
        <row r="1973">
          <cell r="C1973" t="str">
            <v>NMĐ MT Đa Mi MBA T1 (phía 22kV)</v>
          </cell>
          <cell r="F1973">
            <v>34.1</v>
          </cell>
          <cell r="H1973">
            <v>31</v>
          </cell>
          <cell r="I1973">
            <v>11.2</v>
          </cell>
          <cell r="J1973">
            <v>34.1</v>
          </cell>
          <cell r="K1973">
            <v>30.7</v>
          </cell>
          <cell r="L1973">
            <v>26.6</v>
          </cell>
          <cell r="M1973">
            <v>23.1</v>
          </cell>
        </row>
        <row r="1974">
          <cell r="C1974" t="str">
            <v>220kV 274 NMĐ MT Dầu Tiếng 1, 2, 3 - 271 Bình Long 2</v>
          </cell>
          <cell r="F1974">
            <v>-203.7</v>
          </cell>
          <cell r="H1974">
            <v>-160.80000000000001</v>
          </cell>
          <cell r="I1974">
            <v>-133.19999999999999</v>
          </cell>
          <cell r="J1974">
            <v>-203.7</v>
          </cell>
          <cell r="K1974">
            <v>-151.80000000000001</v>
          </cell>
          <cell r="L1974">
            <v>-122.9</v>
          </cell>
          <cell r="M1974">
            <v>-134.4</v>
          </cell>
        </row>
        <row r="1975">
          <cell r="C1975" t="str">
            <v>220kV 273 NMĐ MT Dầu Tiếng 1, 2, 3 - 273 Tây Ninh 2</v>
          </cell>
          <cell r="F1975">
            <v>268.60000000000002</v>
          </cell>
          <cell r="H1975">
            <v>268.60000000000002</v>
          </cell>
          <cell r="I1975">
            <v>224.1</v>
          </cell>
          <cell r="J1975">
            <v>234.8</v>
          </cell>
          <cell r="K1975">
            <v>259.60000000000002</v>
          </cell>
          <cell r="L1975">
            <v>196.8</v>
          </cell>
          <cell r="M1975">
            <v>230.7</v>
          </cell>
        </row>
        <row r="1976">
          <cell r="C1976" t="str">
            <v>220kV 272 NMĐ MT Dầu Tiếng 1, 2, 3 - 272 Bình Long 2</v>
          </cell>
          <cell r="F1976">
            <v>-203.9</v>
          </cell>
          <cell r="H1976">
            <v>-161.4</v>
          </cell>
          <cell r="I1976">
            <v>-133.4</v>
          </cell>
          <cell r="J1976">
            <v>-203.9</v>
          </cell>
          <cell r="K1976">
            <v>-152.6</v>
          </cell>
          <cell r="L1976">
            <v>-123.1</v>
          </cell>
          <cell r="M1976">
            <v>-134.30000000000001</v>
          </cell>
        </row>
        <row r="1977">
          <cell r="C1977" t="str">
            <v>220kV 271 NMĐ MT Dầu Tiếng 1, 2, 3 - 274 Tây Ninh 2</v>
          </cell>
          <cell r="F1977">
            <v>268.39999999999998</v>
          </cell>
          <cell r="H1977">
            <v>268.39999999999998</v>
          </cell>
          <cell r="I1977">
            <v>224.7</v>
          </cell>
          <cell r="J1977">
            <v>235.1</v>
          </cell>
          <cell r="K1977">
            <v>259.5</v>
          </cell>
          <cell r="L1977">
            <v>196.2</v>
          </cell>
          <cell r="M1977">
            <v>231.3</v>
          </cell>
        </row>
        <row r="1978">
          <cell r="C1978" t="str">
            <v>NMĐ MT Dầu Tiếng 1, 2, 3 MBA T1 (phía 220kV)</v>
          </cell>
          <cell r="F1978">
            <v>-202.2</v>
          </cell>
          <cell r="H1978">
            <v>-200.2</v>
          </cell>
          <cell r="I1978">
            <v>-187.6</v>
          </cell>
          <cell r="J1978">
            <v>-202.2</v>
          </cell>
          <cell r="K1978">
            <v>-178.8</v>
          </cell>
          <cell r="L1978">
            <v>-127.8</v>
          </cell>
          <cell r="M1978">
            <v>-190.8</v>
          </cell>
        </row>
        <row r="1979">
          <cell r="C1979" t="str">
            <v>NMĐ MT Dầu Tiếng 1, 2, 3 MBA T1 (phía 22kV)</v>
          </cell>
          <cell r="F1979">
            <v>107.6</v>
          </cell>
          <cell r="H1979">
            <v>101.7</v>
          </cell>
          <cell r="I1979">
            <v>107.6</v>
          </cell>
          <cell r="J1979">
            <v>97.8</v>
          </cell>
          <cell r="K1979">
            <v>88</v>
          </cell>
          <cell r="L1979">
            <v>63.3</v>
          </cell>
          <cell r="M1979">
            <v>89.8</v>
          </cell>
        </row>
        <row r="1980">
          <cell r="C1980" t="str">
            <v>NMĐ MT Dầu Tiếng 1, 2, 3 MBA T2 (phía 220kV)</v>
          </cell>
          <cell r="F1980">
            <v>-216.4</v>
          </cell>
          <cell r="H1980">
            <v>-216.4</v>
          </cell>
          <cell r="I1980">
            <v>-149.5</v>
          </cell>
          <cell r="J1980">
            <v>-186.1</v>
          </cell>
          <cell r="K1980">
            <v>-164</v>
          </cell>
          <cell r="L1980">
            <v>-130.6</v>
          </cell>
          <cell r="M1980">
            <v>-189.4</v>
          </cell>
        </row>
        <row r="1981">
          <cell r="C1981" t="str">
            <v>NMĐ MT Dầu Tiếng 1, 2, 3 MBA T2 (phía 22kV)</v>
          </cell>
          <cell r="F1981">
            <v>105.8</v>
          </cell>
          <cell r="H1981">
            <v>105.8</v>
          </cell>
          <cell r="I1981">
            <v>77.7</v>
          </cell>
          <cell r="J1981">
            <v>89.8</v>
          </cell>
          <cell r="K1981">
            <v>90.1</v>
          </cell>
          <cell r="L1981">
            <v>66.8</v>
          </cell>
          <cell r="M1981">
            <v>96.9</v>
          </cell>
        </row>
        <row r="1982">
          <cell r="C1982" t="str">
            <v>110kV 171 NMĐ MT Eco Seido Tuy Phong - 174 Phan Rí</v>
          </cell>
          <cell r="F1982">
            <v>133.1</v>
          </cell>
          <cell r="H1982">
            <v>130.80000000000001</v>
          </cell>
          <cell r="I1982">
            <v>128.6</v>
          </cell>
          <cell r="J1982">
            <v>132.6</v>
          </cell>
          <cell r="K1982">
            <v>133.1</v>
          </cell>
          <cell r="L1982">
            <v>131.4</v>
          </cell>
          <cell r="M1982">
            <v>131.4</v>
          </cell>
        </row>
        <row r="1983">
          <cell r="C1983" t="str">
            <v>110kV 172 NMĐ MT Eco Seido Tuy Phong - 171 NMĐ Gió Tuy Phong</v>
          </cell>
          <cell r="F1983">
            <v>-115.6</v>
          </cell>
          <cell r="H1983">
            <v>-100.1</v>
          </cell>
          <cell r="I1983">
            <v>-96.8</v>
          </cell>
          <cell r="J1983">
            <v>-105.7</v>
          </cell>
          <cell r="K1983">
            <v>-115.6</v>
          </cell>
          <cell r="L1983">
            <v>-109.6</v>
          </cell>
          <cell r="M1983">
            <v>-111.7</v>
          </cell>
        </row>
        <row r="1984">
          <cell r="C1984" t="str">
            <v>NMĐ MT Eco Seido Tuy Phong MBA T1 (phía 110kV)</v>
          </cell>
          <cell r="F1984">
            <v>-36.4</v>
          </cell>
          <cell r="H1984">
            <v>-36.4</v>
          </cell>
          <cell r="I1984">
            <v>-31.7</v>
          </cell>
          <cell r="J1984">
            <v>-28.6</v>
          </cell>
          <cell r="K1984">
            <v>-33</v>
          </cell>
          <cell r="L1984">
            <v>-30.5</v>
          </cell>
          <cell r="M1984">
            <v>-28.9</v>
          </cell>
        </row>
        <row r="1985">
          <cell r="C1985" t="str">
            <v>NMĐ MT Eco Seido Tuy Phong MBA T1 (phía 22kV)</v>
          </cell>
          <cell r="F1985">
            <v>36.700000000000003</v>
          </cell>
          <cell r="H1985">
            <v>36.700000000000003</v>
          </cell>
          <cell r="I1985">
            <v>32</v>
          </cell>
          <cell r="J1985">
            <v>28.9</v>
          </cell>
          <cell r="K1985">
            <v>33.299999999999997</v>
          </cell>
          <cell r="L1985">
            <v>30.8</v>
          </cell>
          <cell r="M1985">
            <v>29.1</v>
          </cell>
        </row>
        <row r="1986">
          <cell r="C1986" t="str">
            <v>NMĐ MT Europlast Long An MBA T1 (phía 110kV)</v>
          </cell>
          <cell r="F1986">
            <v>-36.299999999999997</v>
          </cell>
          <cell r="H1986">
            <v>-35.1</v>
          </cell>
          <cell r="I1986">
            <v>-20.7</v>
          </cell>
          <cell r="J1986">
            <v>-36.299999999999997</v>
          </cell>
          <cell r="K1986">
            <v>-31</v>
          </cell>
          <cell r="L1986">
            <v>-23.9</v>
          </cell>
          <cell r="M1986">
            <v>-24.1</v>
          </cell>
        </row>
        <row r="1987">
          <cell r="C1987" t="str">
            <v>NMĐ MT Europlast Long An MBA T1 (phía 22kV)</v>
          </cell>
          <cell r="F1987">
            <v>36.4</v>
          </cell>
          <cell r="H1987">
            <v>35.200000000000003</v>
          </cell>
          <cell r="I1987">
            <v>20.6</v>
          </cell>
          <cell r="J1987">
            <v>36.4</v>
          </cell>
          <cell r="K1987">
            <v>31.2</v>
          </cell>
          <cell r="L1987">
            <v>23.9</v>
          </cell>
          <cell r="M1987">
            <v>24.3</v>
          </cell>
        </row>
        <row r="1988">
          <cell r="C1988" t="str">
            <v>110kV 171 NMĐ MT GAIA - 178 Long An 2</v>
          </cell>
          <cell r="F1988">
            <v>30.9</v>
          </cell>
          <cell r="H1988">
            <v>27.9</v>
          </cell>
          <cell r="I1988">
            <v>12.6</v>
          </cell>
          <cell r="J1988">
            <v>24.1</v>
          </cell>
          <cell r="K1988">
            <v>30.9</v>
          </cell>
          <cell r="L1988">
            <v>16.600000000000001</v>
          </cell>
          <cell r="M1988">
            <v>23.2</v>
          </cell>
        </row>
        <row r="1989">
          <cell r="C1989" t="str">
            <v>110kV 172 NMĐ MT GAIA - 179 Long An 2</v>
          </cell>
          <cell r="F1989">
            <v>31</v>
          </cell>
          <cell r="H1989">
            <v>28</v>
          </cell>
          <cell r="I1989">
            <v>12.8</v>
          </cell>
          <cell r="J1989">
            <v>24.2</v>
          </cell>
          <cell r="K1989">
            <v>31</v>
          </cell>
          <cell r="L1989">
            <v>16.7</v>
          </cell>
          <cell r="M1989">
            <v>23.3</v>
          </cell>
        </row>
        <row r="1990">
          <cell r="C1990" t="str">
            <v>NMĐ MT GAIA MBA T1 (phía 110kV)</v>
          </cell>
          <cell r="F1990">
            <v>-61.7</v>
          </cell>
          <cell r="H1990">
            <v>-55.8</v>
          </cell>
          <cell r="I1990">
            <v>-25.4</v>
          </cell>
          <cell r="J1990">
            <v>-48.3</v>
          </cell>
          <cell r="K1990">
            <v>-61.7</v>
          </cell>
          <cell r="L1990">
            <v>-33.299999999999997</v>
          </cell>
          <cell r="M1990">
            <v>-46.3</v>
          </cell>
        </row>
        <row r="1991">
          <cell r="C1991" t="str">
            <v>NMĐ MT GAIA MBA T1 (phía 22kV)</v>
          </cell>
          <cell r="F1991">
            <v>62.7</v>
          </cell>
          <cell r="H1991">
            <v>56.6</v>
          </cell>
          <cell r="I1991">
            <v>26.9</v>
          </cell>
          <cell r="J1991">
            <v>47.4</v>
          </cell>
          <cell r="K1991">
            <v>62.7</v>
          </cell>
          <cell r="L1991">
            <v>33.5</v>
          </cell>
          <cell r="M1991">
            <v>46.8</v>
          </cell>
        </row>
        <row r="1992">
          <cell r="C1992" t="str">
            <v>NMĐ MT Gelex MBA T1 (phía 110kV)</v>
          </cell>
          <cell r="F1992">
            <v>-35.4</v>
          </cell>
          <cell r="H1992">
            <v>-35</v>
          </cell>
          <cell r="I1992">
            <v>-23.5</v>
          </cell>
          <cell r="J1992">
            <v>-34.200000000000003</v>
          </cell>
          <cell r="K1992">
            <v>-35.4</v>
          </cell>
          <cell r="L1992">
            <v>-33.4</v>
          </cell>
          <cell r="M1992">
            <v>-30.8</v>
          </cell>
        </row>
        <row r="1993">
          <cell r="C1993" t="str">
            <v>NMĐ MT Gelex MBA T1 (phía 22kV)</v>
          </cell>
          <cell r="F1993">
            <v>32</v>
          </cell>
          <cell r="H1993">
            <v>32</v>
          </cell>
          <cell r="I1993">
            <v>23.6</v>
          </cell>
          <cell r="J1993">
            <v>31</v>
          </cell>
          <cell r="K1993">
            <v>31.4</v>
          </cell>
          <cell r="L1993">
            <v>32</v>
          </cell>
          <cell r="M1993">
            <v>31.1</v>
          </cell>
        </row>
        <row r="1994">
          <cell r="C1994" t="str">
            <v>220kV 272 NMĐ MT Hacom Solar - 276 NMĐ MT Nhị Hà</v>
          </cell>
          <cell r="F1994">
            <v>38.4</v>
          </cell>
          <cell r="H1994">
            <v>37.6</v>
          </cell>
          <cell r="I1994">
            <v>23.5</v>
          </cell>
          <cell r="J1994">
            <v>36.5</v>
          </cell>
          <cell r="K1994">
            <v>37.700000000000003</v>
          </cell>
          <cell r="L1994">
            <v>32.700000000000003</v>
          </cell>
          <cell r="M1994">
            <v>38.4</v>
          </cell>
        </row>
        <row r="1995">
          <cell r="C1995" t="str">
            <v>NMĐ MT Hacom Solar MBA T2 (phía 220kV)</v>
          </cell>
          <cell r="F1995">
            <v>-38.299999999999997</v>
          </cell>
          <cell r="H1995">
            <v>-37.6</v>
          </cell>
          <cell r="I1995">
            <v>-23.5</v>
          </cell>
          <cell r="J1995">
            <v>-36.4</v>
          </cell>
          <cell r="K1995">
            <v>-37.6</v>
          </cell>
          <cell r="L1995">
            <v>-32.700000000000003</v>
          </cell>
          <cell r="M1995">
            <v>-38.299999999999997</v>
          </cell>
        </row>
        <row r="1996">
          <cell r="C1996" t="str">
            <v>NMĐ MT Hacom Solar MBA T2 (phía 22kV)</v>
          </cell>
          <cell r="F1996">
            <v>38.4</v>
          </cell>
          <cell r="H1996">
            <v>37.700000000000003</v>
          </cell>
          <cell r="I1996">
            <v>23.6</v>
          </cell>
          <cell r="J1996">
            <v>36.6</v>
          </cell>
          <cell r="K1996">
            <v>37.799999999999997</v>
          </cell>
          <cell r="L1996">
            <v>32.700000000000003</v>
          </cell>
          <cell r="M1996">
            <v>38.4</v>
          </cell>
        </row>
        <row r="1997">
          <cell r="C1997" t="str">
            <v>110kV 171 NMĐ MT Hàm Kiệm - 172 trạm cắt Dân Bình</v>
          </cell>
          <cell r="F1997">
            <v>70.8</v>
          </cell>
          <cell r="H1997">
            <v>70.8</v>
          </cell>
          <cell r="I1997">
            <v>36.299999999999997</v>
          </cell>
          <cell r="J1997">
            <v>65.8</v>
          </cell>
          <cell r="K1997">
            <v>64.599999999999994</v>
          </cell>
          <cell r="L1997">
            <v>41.1</v>
          </cell>
          <cell r="M1997">
            <v>53.2</v>
          </cell>
        </row>
        <row r="1998">
          <cell r="C1998" t="str">
            <v>NMĐ MT Hàm Kiệm MBA T1 (phía 110kV)</v>
          </cell>
          <cell r="F1998">
            <v>-36.200000000000003</v>
          </cell>
          <cell r="H1998">
            <v>-36</v>
          </cell>
          <cell r="I1998">
            <v>-19</v>
          </cell>
          <cell r="J1998">
            <v>-33.9</v>
          </cell>
          <cell r="K1998">
            <v>-36.200000000000003</v>
          </cell>
          <cell r="L1998">
            <v>-22.8</v>
          </cell>
          <cell r="M1998">
            <v>-28.8</v>
          </cell>
        </row>
        <row r="1999">
          <cell r="C1999" t="str">
            <v>NMĐ MT Hàm Kiệm MBA T1 (phía 22kV)</v>
          </cell>
          <cell r="F1999">
            <v>32.700000000000003</v>
          </cell>
          <cell r="H1999">
            <v>32.700000000000003</v>
          </cell>
          <cell r="I1999">
            <v>17.2</v>
          </cell>
          <cell r="J1999">
            <v>30.9</v>
          </cell>
          <cell r="K1999">
            <v>32.4</v>
          </cell>
          <cell r="L1999">
            <v>20.9</v>
          </cell>
          <cell r="M1999">
            <v>26.3</v>
          </cell>
        </row>
        <row r="2000">
          <cell r="C2000" t="str">
            <v>NMĐ MT Hàm Kiệm 1 MBA T2 (phía 110kV)</v>
          </cell>
          <cell r="F2000">
            <v>-36.5</v>
          </cell>
          <cell r="H2000">
            <v>-35.299999999999997</v>
          </cell>
          <cell r="I2000">
            <v>-17.3</v>
          </cell>
          <cell r="J2000">
            <v>-32.700000000000003</v>
          </cell>
          <cell r="K2000">
            <v>-36.5</v>
          </cell>
          <cell r="L2000">
            <v>-20.7</v>
          </cell>
          <cell r="M2000">
            <v>-24.5</v>
          </cell>
        </row>
        <row r="2001">
          <cell r="C2001" t="str">
            <v>NMĐ MT Hàm Kiệm 1 MBA T2 (phía 22kV)</v>
          </cell>
          <cell r="F2001">
            <v>36.9</v>
          </cell>
          <cell r="H2001">
            <v>35.299999999999997</v>
          </cell>
          <cell r="I2001">
            <v>17.600000000000001</v>
          </cell>
          <cell r="J2001">
            <v>32.5</v>
          </cell>
          <cell r="K2001">
            <v>36.9</v>
          </cell>
          <cell r="L2001">
            <v>20</v>
          </cell>
          <cell r="M2001">
            <v>24.2</v>
          </cell>
        </row>
        <row r="2002">
          <cell r="C2002" t="str">
            <v>110kV 171 NMĐ MT Hàm Phú 2 - 172 Ma Lâm</v>
          </cell>
          <cell r="F2002">
            <v>37.9</v>
          </cell>
          <cell r="H2002">
            <v>37.799999999999997</v>
          </cell>
          <cell r="I2002">
            <v>14.6</v>
          </cell>
          <cell r="J2002">
            <v>34.5</v>
          </cell>
          <cell r="K2002">
            <v>37.9</v>
          </cell>
          <cell r="L2002">
            <v>26.6</v>
          </cell>
          <cell r="M2002">
            <v>19.399999999999999</v>
          </cell>
        </row>
        <row r="2003">
          <cell r="C2003" t="str">
            <v>110kV 172 NMĐ MT Hàm Phú 2 - 171 NMĐ Hàm Thuận</v>
          </cell>
          <cell r="F2003">
            <v>-0.1</v>
          </cell>
          <cell r="H2003">
            <v>-0.1</v>
          </cell>
          <cell r="I2003">
            <v>-0.1</v>
          </cell>
          <cell r="J2003">
            <v>-0.1</v>
          </cell>
          <cell r="K2003">
            <v>-0.1</v>
          </cell>
          <cell r="L2003">
            <v>-0.1</v>
          </cell>
          <cell r="M2003">
            <v>-0.1</v>
          </cell>
        </row>
        <row r="2004">
          <cell r="C2004" t="str">
            <v>NMĐ MT Hàm Phú 2 MBA T2 (phía 110kV)</v>
          </cell>
          <cell r="F2004">
            <v>-38</v>
          </cell>
          <cell r="H2004">
            <v>-38</v>
          </cell>
          <cell r="I2004">
            <v>-14.7</v>
          </cell>
          <cell r="J2004">
            <v>-34.6</v>
          </cell>
          <cell r="K2004">
            <v>-37.700000000000003</v>
          </cell>
          <cell r="L2004">
            <v>-27.1</v>
          </cell>
          <cell r="M2004">
            <v>-19.7</v>
          </cell>
        </row>
        <row r="2005">
          <cell r="C2005" t="str">
            <v>NMĐ MT Hàm Phú 2 MBA T2 (phía 22kV)</v>
          </cell>
          <cell r="F2005">
            <v>38.1</v>
          </cell>
          <cell r="H2005">
            <v>38.1</v>
          </cell>
          <cell r="I2005">
            <v>14.6</v>
          </cell>
          <cell r="J2005">
            <v>34.799999999999997</v>
          </cell>
          <cell r="K2005">
            <v>38.1</v>
          </cell>
          <cell r="L2005">
            <v>27</v>
          </cell>
          <cell r="M2005">
            <v>19.899999999999999</v>
          </cell>
        </row>
        <row r="2006">
          <cell r="C2006" t="str">
            <v>110kV 171 NMĐ MT Hậu Giang - 172 Long Mỹ</v>
          </cell>
          <cell r="F2006">
            <v>28.8</v>
          </cell>
          <cell r="H2006">
            <v>28.8</v>
          </cell>
          <cell r="I2006">
            <v>20.9</v>
          </cell>
          <cell r="J2006">
            <v>26.9</v>
          </cell>
          <cell r="K2006">
            <v>19</v>
          </cell>
          <cell r="L2006">
            <v>12.3</v>
          </cell>
          <cell r="M2006">
            <v>27.3</v>
          </cell>
        </row>
        <row r="2007">
          <cell r="C2007" t="str">
            <v>110kV 172 NMĐ MT Hậu Giang - 172 Vị Thanh</v>
          </cell>
          <cell r="E2007">
            <v>0</v>
          </cell>
          <cell r="F2007">
            <v>0</v>
          </cell>
          <cell r="H2007">
            <v>0</v>
          </cell>
          <cell r="I2007">
            <v>0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</row>
        <row r="2008">
          <cell r="C2008" t="str">
            <v>NMĐ MT Hậu Giang MBA T1 (phía 110kV)</v>
          </cell>
          <cell r="F2008">
            <v>-28.7</v>
          </cell>
          <cell r="H2008">
            <v>-28.7</v>
          </cell>
          <cell r="I2008">
            <v>-20.8</v>
          </cell>
          <cell r="J2008">
            <v>-26.9</v>
          </cell>
          <cell r="K2008">
            <v>-19</v>
          </cell>
          <cell r="L2008">
            <v>-12.3</v>
          </cell>
          <cell r="M2008">
            <v>-27.4</v>
          </cell>
        </row>
        <row r="2009">
          <cell r="C2009" t="str">
            <v>NMĐ MT Hậu Giang MBA T1 (phía 22kV)</v>
          </cell>
          <cell r="F2009">
            <v>28.9</v>
          </cell>
          <cell r="H2009">
            <v>28.9</v>
          </cell>
          <cell r="I2009">
            <v>20.9</v>
          </cell>
          <cell r="J2009">
            <v>27.1</v>
          </cell>
          <cell r="K2009">
            <v>19.100000000000001</v>
          </cell>
          <cell r="L2009">
            <v>12.4</v>
          </cell>
          <cell r="M2009">
            <v>27.5</v>
          </cell>
        </row>
        <row r="2010">
          <cell r="C2010" t="str">
            <v>NMĐ MT HCG MBA T2 (phía 110kV)</v>
          </cell>
          <cell r="F2010">
            <v>-37</v>
          </cell>
          <cell r="H2010">
            <v>-36.799999999999997</v>
          </cell>
          <cell r="I2010">
            <v>-21.3</v>
          </cell>
          <cell r="J2010">
            <v>-30</v>
          </cell>
          <cell r="K2010">
            <v>-33.9</v>
          </cell>
          <cell r="L2010">
            <v>-22.4</v>
          </cell>
          <cell r="M2010">
            <v>-37</v>
          </cell>
        </row>
        <row r="2011">
          <cell r="C2011" t="str">
            <v>NMĐ MT HCG MBA T2 (phía 22kV)</v>
          </cell>
          <cell r="F2011">
            <v>37.1</v>
          </cell>
          <cell r="H2011">
            <v>36.9</v>
          </cell>
          <cell r="I2011">
            <v>21.4</v>
          </cell>
          <cell r="J2011">
            <v>30.2</v>
          </cell>
          <cell r="K2011">
            <v>34.1</v>
          </cell>
          <cell r="L2011">
            <v>22.5</v>
          </cell>
          <cell r="M2011">
            <v>37.1</v>
          </cell>
        </row>
        <row r="2012">
          <cell r="C2012" t="str">
            <v>110kV 171 NMĐ MT Hồ Bàu Ngứ - 171 Ninh Thuận 1</v>
          </cell>
          <cell r="F2012">
            <v>-67.2</v>
          </cell>
          <cell r="H2012">
            <v>-53.2</v>
          </cell>
          <cell r="I2012">
            <v>-35.200000000000003</v>
          </cell>
          <cell r="J2012">
            <v>-50.3</v>
          </cell>
          <cell r="K2012">
            <v>-60.7</v>
          </cell>
          <cell r="L2012">
            <v>-56.7</v>
          </cell>
          <cell r="M2012">
            <v>-67.2</v>
          </cell>
        </row>
        <row r="2013">
          <cell r="C2013" t="str">
            <v>110kV 172 NMĐ MT Hồ Bàu Ngứ - 171 NMĐ Gió Chính Thắng</v>
          </cell>
          <cell r="F2013">
            <v>140</v>
          </cell>
          <cell r="H2013">
            <v>123.2</v>
          </cell>
          <cell r="I2013">
            <v>112.8</v>
          </cell>
          <cell r="J2013">
            <v>121.1</v>
          </cell>
          <cell r="K2013">
            <v>134.5</v>
          </cell>
          <cell r="L2013">
            <v>124.4</v>
          </cell>
          <cell r="M2013">
            <v>140</v>
          </cell>
        </row>
        <row r="2014">
          <cell r="C2014" t="str">
            <v>NMĐ MT Hồ Bàu Ngứ MBA T2 (phía 110kV)</v>
          </cell>
          <cell r="F2014">
            <v>-46.3</v>
          </cell>
          <cell r="H2014">
            <v>-41.6</v>
          </cell>
          <cell r="I2014">
            <v>-46.2</v>
          </cell>
          <cell r="J2014">
            <v>-44.1</v>
          </cell>
          <cell r="K2014">
            <v>-46.3</v>
          </cell>
          <cell r="L2014">
            <v>-39.200000000000003</v>
          </cell>
          <cell r="M2014">
            <v>-43.4</v>
          </cell>
        </row>
        <row r="2015">
          <cell r="C2015" t="str">
            <v>NMĐ MT Hồ Bàu Ngứ MBA T2 (phía 22kV)</v>
          </cell>
          <cell r="F2015">
            <v>46.5</v>
          </cell>
          <cell r="H2015">
            <v>41.8</v>
          </cell>
          <cell r="I2015">
            <v>46.4</v>
          </cell>
          <cell r="J2015">
            <v>43.9</v>
          </cell>
          <cell r="K2015">
            <v>46.5</v>
          </cell>
          <cell r="L2015">
            <v>39.200000000000003</v>
          </cell>
          <cell r="M2015">
            <v>43.4</v>
          </cell>
        </row>
        <row r="2016">
          <cell r="C2016" t="str">
            <v>110kV 173 NMĐ MT Hồ Bàu Ngứ - 171 NMĐ MT Hồ Núi Một 1</v>
          </cell>
          <cell r="F2016">
            <v>4.2</v>
          </cell>
          <cell r="H2016">
            <v>1</v>
          </cell>
          <cell r="I2016">
            <v>-3.4</v>
          </cell>
          <cell r="J2016">
            <v>1</v>
          </cell>
          <cell r="K2016">
            <v>1.2</v>
          </cell>
          <cell r="L2016">
            <v>-4</v>
          </cell>
          <cell r="M2016">
            <v>4.2</v>
          </cell>
        </row>
        <row r="2017">
          <cell r="C2017" t="str">
            <v>NMĐ MT Hồ Gia Hoét 1 MBA T1 (phía 110kV)</v>
          </cell>
          <cell r="F2017">
            <v>-26.4</v>
          </cell>
          <cell r="H2017">
            <v>-23.2</v>
          </cell>
          <cell r="I2017">
            <v>-13.7</v>
          </cell>
          <cell r="J2017">
            <v>-25.7</v>
          </cell>
          <cell r="K2017">
            <v>-23</v>
          </cell>
          <cell r="L2017">
            <v>-14</v>
          </cell>
          <cell r="M2017">
            <v>-26.4</v>
          </cell>
        </row>
        <row r="2018">
          <cell r="C2018" t="str">
            <v>NMĐ MT Hồ Gia Hoét 1 MBA T1 (phía 22kV)</v>
          </cell>
          <cell r="F2018">
            <v>26.1</v>
          </cell>
          <cell r="H2018">
            <v>23.2</v>
          </cell>
          <cell r="I2018">
            <v>14</v>
          </cell>
          <cell r="J2018">
            <v>25.8</v>
          </cell>
          <cell r="K2018">
            <v>22.8</v>
          </cell>
          <cell r="L2018">
            <v>14.2</v>
          </cell>
          <cell r="M2018">
            <v>26.1</v>
          </cell>
        </row>
        <row r="2019">
          <cell r="C2019" t="str">
            <v>110kV 171 NMĐ MT Hồ Núi Một 1 - 173 NMĐ MT Hồ Bàu Ngứ</v>
          </cell>
          <cell r="F2019">
            <v>41.1</v>
          </cell>
          <cell r="H2019">
            <v>32.5</v>
          </cell>
          <cell r="I2019">
            <v>31.5</v>
          </cell>
          <cell r="J2019">
            <v>36.200000000000003</v>
          </cell>
          <cell r="K2019">
            <v>41.1</v>
          </cell>
          <cell r="L2019">
            <v>35.5</v>
          </cell>
          <cell r="M2019">
            <v>33.9</v>
          </cell>
        </row>
        <row r="2020">
          <cell r="C2020" t="str">
            <v>NMĐ MT Hồ Núi Một 1 MBA T1 (phía 110kV)</v>
          </cell>
          <cell r="F2020">
            <v>-41.2</v>
          </cell>
          <cell r="H2020">
            <v>-32.5</v>
          </cell>
          <cell r="I2020">
            <v>-31.2</v>
          </cell>
          <cell r="J2020">
            <v>-36.200000000000003</v>
          </cell>
          <cell r="K2020">
            <v>-41.2</v>
          </cell>
          <cell r="L2020">
            <v>-35.299999999999997</v>
          </cell>
          <cell r="M2020">
            <v>-34.299999999999997</v>
          </cell>
        </row>
        <row r="2021">
          <cell r="C2021" t="str">
            <v>NMĐ MT Hồ Núi Một 1 MBA T1 (phía 22kV)</v>
          </cell>
          <cell r="F2021">
            <v>41.4</v>
          </cell>
          <cell r="H2021">
            <v>32.700000000000003</v>
          </cell>
          <cell r="I2021">
            <v>31.3</v>
          </cell>
          <cell r="J2021">
            <v>36.4</v>
          </cell>
          <cell r="K2021">
            <v>41.4</v>
          </cell>
          <cell r="L2021">
            <v>35.5</v>
          </cell>
          <cell r="M2021">
            <v>34.4</v>
          </cell>
        </row>
        <row r="2022">
          <cell r="C2022" t="str">
            <v>110kV 171 NMĐ MT Hồ Tầm Bó - 131 NMĐ MT Hồ Gia Hoét 1</v>
          </cell>
          <cell r="F2022">
            <v>-25.8</v>
          </cell>
          <cell r="H2022">
            <v>-23</v>
          </cell>
          <cell r="I2022">
            <v>-13.8</v>
          </cell>
          <cell r="J2022">
            <v>-25.4</v>
          </cell>
          <cell r="K2022">
            <v>-22.3</v>
          </cell>
          <cell r="L2022">
            <v>-13.9</v>
          </cell>
          <cell r="M2022">
            <v>-25.8</v>
          </cell>
        </row>
        <row r="2023">
          <cell r="C2023" t="str">
            <v>110kV 172 NMĐ MT Hồ Tầm Bó - 175 Ngãi Giao</v>
          </cell>
          <cell r="F2023">
            <v>48.2</v>
          </cell>
          <cell r="H2023">
            <v>48.2</v>
          </cell>
          <cell r="I2023">
            <v>29.8</v>
          </cell>
          <cell r="J2023">
            <v>46.8</v>
          </cell>
          <cell r="K2023">
            <v>44.6</v>
          </cell>
          <cell r="L2023">
            <v>35.9</v>
          </cell>
          <cell r="M2023">
            <v>38.700000000000003</v>
          </cell>
        </row>
        <row r="2024">
          <cell r="C2024" t="str">
            <v>NMĐ MT Hồ Tầm Bó MBA T1 (phía 110kV)</v>
          </cell>
          <cell r="F2024">
            <v>28.1</v>
          </cell>
          <cell r="H2024">
            <v>28.1</v>
          </cell>
          <cell r="I2024">
            <v>19.2</v>
          </cell>
          <cell r="J2024">
            <v>21.7</v>
          </cell>
          <cell r="K2024">
            <v>22.4</v>
          </cell>
          <cell r="L2024">
            <v>22</v>
          </cell>
          <cell r="M2024">
            <v>21.7</v>
          </cell>
        </row>
        <row r="2025">
          <cell r="C2025" t="str">
            <v>NMĐ MT Hồ Tầm Bó MBA T1 (phía 22kV)</v>
          </cell>
          <cell r="F2025">
            <v>28.3</v>
          </cell>
          <cell r="H2025">
            <v>28.3</v>
          </cell>
          <cell r="I2025">
            <v>19.3</v>
          </cell>
          <cell r="J2025">
            <v>21.8</v>
          </cell>
          <cell r="K2025">
            <v>22.5</v>
          </cell>
          <cell r="L2025">
            <v>22.1</v>
          </cell>
          <cell r="M2025">
            <v>21.9</v>
          </cell>
        </row>
        <row r="2026">
          <cell r="C2026" t="str">
            <v>NMĐ MT Hồng Liêm 3 MBA T2 (phía 110kV)</v>
          </cell>
          <cell r="F2026">
            <v>-41.2</v>
          </cell>
          <cell r="H2026">
            <v>-39.799999999999997</v>
          </cell>
          <cell r="I2026">
            <v>-33.200000000000003</v>
          </cell>
          <cell r="J2026">
            <v>-37</v>
          </cell>
          <cell r="K2026">
            <v>-41.2</v>
          </cell>
          <cell r="L2026">
            <v>-33.200000000000003</v>
          </cell>
          <cell r="M2026">
            <v>-21.6</v>
          </cell>
        </row>
        <row r="2027">
          <cell r="C2027" t="str">
            <v>NMĐ MT Hồng Liêm 3 MBA T2 (phía 22kV)</v>
          </cell>
          <cell r="F2027">
            <v>41.5</v>
          </cell>
          <cell r="H2027">
            <v>40.4</v>
          </cell>
          <cell r="I2027">
            <v>33.799999999999997</v>
          </cell>
          <cell r="J2027">
            <v>37.6</v>
          </cell>
          <cell r="K2027">
            <v>41.5</v>
          </cell>
          <cell r="L2027">
            <v>33.299999999999997</v>
          </cell>
          <cell r="M2027">
            <v>22.1</v>
          </cell>
        </row>
        <row r="2028">
          <cell r="C2028" t="str">
            <v>NMĐ MT Hồng Phong 1A, 1B MBA T1 (phía 220kV)</v>
          </cell>
          <cell r="F2028">
            <v>-48.9</v>
          </cell>
          <cell r="H2028">
            <v>-47</v>
          </cell>
          <cell r="I2028">
            <v>-33.299999999999997</v>
          </cell>
          <cell r="J2028">
            <v>-46.6</v>
          </cell>
          <cell r="K2028">
            <v>-42.3</v>
          </cell>
          <cell r="L2028">
            <v>-43.4</v>
          </cell>
          <cell r="M2028">
            <v>-48.9</v>
          </cell>
        </row>
        <row r="2029">
          <cell r="C2029" t="str">
            <v>NMĐ MT Hồng Phong 1A, 1B MBA T2 (phía 220kV)</v>
          </cell>
          <cell r="F2029">
            <v>-99.8</v>
          </cell>
          <cell r="H2029">
            <v>-99.8</v>
          </cell>
          <cell r="I2029">
            <v>-90.3</v>
          </cell>
          <cell r="J2029">
            <v>-95.5</v>
          </cell>
          <cell r="K2029">
            <v>-96.6</v>
          </cell>
          <cell r="L2029">
            <v>-86.8</v>
          </cell>
          <cell r="M2029">
            <v>-96.7</v>
          </cell>
        </row>
        <row r="2030">
          <cell r="C2030" t="str">
            <v>220kV 272 NMĐ MT Hồng Phong 1A, 1B - 276 Phan Thiết 2</v>
          </cell>
          <cell r="F2030">
            <v>478.6</v>
          </cell>
          <cell r="H2030">
            <v>478.6</v>
          </cell>
          <cell r="I2030">
            <v>364.8</v>
          </cell>
          <cell r="J2030">
            <v>409.4</v>
          </cell>
          <cell r="K2030">
            <v>444</v>
          </cell>
          <cell r="L2030">
            <v>403.3</v>
          </cell>
          <cell r="M2030">
            <v>429.2</v>
          </cell>
        </row>
        <row r="2031">
          <cell r="C2031" t="str">
            <v>220kV 273 NMĐ MT Hồng Phong 1A, 1B - 271 Phan Rí 2</v>
          </cell>
          <cell r="F2031">
            <v>-328.6</v>
          </cell>
          <cell r="H2031">
            <v>-328.6</v>
          </cell>
          <cell r="I2031">
            <v>-284.2</v>
          </cell>
          <cell r="J2031">
            <v>-239.3</v>
          </cell>
          <cell r="K2031">
            <v>-319.3</v>
          </cell>
          <cell r="L2031">
            <v>-255.5</v>
          </cell>
          <cell r="M2031">
            <v>-285.8</v>
          </cell>
        </row>
        <row r="2032">
          <cell r="C2032" t="str">
            <v>NMĐ MT Hồng Phong 1A, 1B MBA T1 (phía 22kV)</v>
          </cell>
          <cell r="F2032">
            <v>49.6</v>
          </cell>
          <cell r="H2032">
            <v>47.3</v>
          </cell>
          <cell r="I2032">
            <v>33.5</v>
          </cell>
          <cell r="J2032">
            <v>46.9</v>
          </cell>
          <cell r="K2032">
            <v>42.6</v>
          </cell>
          <cell r="L2032">
            <v>43.6</v>
          </cell>
          <cell r="M2032">
            <v>49.6</v>
          </cell>
        </row>
        <row r="2033">
          <cell r="C2033" t="str">
            <v>NMĐ MT Hồng Phong 1A, 1B MBA T2 (phía 22kV)</v>
          </cell>
          <cell r="F2033">
            <v>100.8</v>
          </cell>
          <cell r="H2033">
            <v>100.8</v>
          </cell>
          <cell r="I2033">
            <v>91</v>
          </cell>
          <cell r="J2033">
            <v>96.2</v>
          </cell>
          <cell r="K2033">
            <v>97.7</v>
          </cell>
          <cell r="L2033">
            <v>87.5</v>
          </cell>
          <cell r="M2033">
            <v>97.5</v>
          </cell>
        </row>
        <row r="2034">
          <cell r="C2034" t="str">
            <v>NMĐ MT Hồng Phong 1A, 1B MBA T3 (phía 220kV)</v>
          </cell>
          <cell r="F2034">
            <v>-99.5</v>
          </cell>
          <cell r="H2034">
            <v>-95.4</v>
          </cell>
          <cell r="I2034">
            <v>-77.3</v>
          </cell>
          <cell r="J2034">
            <v>-96.5</v>
          </cell>
          <cell r="K2034">
            <v>-84.1</v>
          </cell>
          <cell r="L2034">
            <v>-86.7</v>
          </cell>
          <cell r="M2034">
            <v>-99.5</v>
          </cell>
        </row>
        <row r="2035">
          <cell r="C2035" t="str">
            <v>NMĐ MT Hồng Phong 1A, 1B MBA T3 (phía 22kV)</v>
          </cell>
          <cell r="F2035">
            <v>100</v>
          </cell>
          <cell r="H2035">
            <v>95.7</v>
          </cell>
          <cell r="I2035">
            <v>77.400000000000006</v>
          </cell>
          <cell r="J2035">
            <v>96.9</v>
          </cell>
          <cell r="K2035">
            <v>84.5</v>
          </cell>
          <cell r="L2035">
            <v>86.7</v>
          </cell>
          <cell r="M2035">
            <v>100</v>
          </cell>
        </row>
        <row r="2036">
          <cell r="C2036" t="str">
            <v>110kV 171 NMĐ MT Hồng Phong 4 - 173 Lương Sơn</v>
          </cell>
          <cell r="E2036">
            <v>0</v>
          </cell>
          <cell r="F2036">
            <v>0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</row>
        <row r="2037">
          <cell r="C2037" t="str">
            <v>110kV 172 NMĐ MT Hồng Phong 4 - 172 NMĐ Gió Hồng Phong 1</v>
          </cell>
          <cell r="F2037">
            <v>38.799999999999997</v>
          </cell>
          <cell r="H2037">
            <v>38.6</v>
          </cell>
          <cell r="I2037">
            <v>24.6</v>
          </cell>
          <cell r="J2037">
            <v>36.4</v>
          </cell>
          <cell r="K2037">
            <v>38.799999999999997</v>
          </cell>
          <cell r="L2037">
            <v>33.9</v>
          </cell>
          <cell r="M2037">
            <v>36.200000000000003</v>
          </cell>
        </row>
        <row r="2038">
          <cell r="C2038" t="str">
            <v>NMĐ MT Hồng Phong 4 MBA T1 (phía 110kV)</v>
          </cell>
          <cell r="F2038">
            <v>-19.2</v>
          </cell>
          <cell r="H2038">
            <v>-19.2</v>
          </cell>
          <cell r="I2038">
            <v>-12.4</v>
          </cell>
          <cell r="J2038">
            <v>-18.399999999999999</v>
          </cell>
          <cell r="K2038">
            <v>-18.8</v>
          </cell>
          <cell r="L2038">
            <v>-17</v>
          </cell>
          <cell r="M2038">
            <v>-18.2</v>
          </cell>
        </row>
        <row r="2039">
          <cell r="C2039" t="str">
            <v>NMĐ MT Hồng Phong 4 MBA T2 (phía 110kV)</v>
          </cell>
          <cell r="F2039">
            <v>-20.399999999999999</v>
          </cell>
          <cell r="H2039">
            <v>-19.5</v>
          </cell>
          <cell r="I2039">
            <v>-12.5</v>
          </cell>
          <cell r="J2039">
            <v>-18.3</v>
          </cell>
          <cell r="K2039">
            <v>-20.399999999999999</v>
          </cell>
          <cell r="L2039">
            <v>-17.2</v>
          </cell>
          <cell r="M2039">
            <v>-18.2</v>
          </cell>
        </row>
        <row r="2040">
          <cell r="C2040" t="str">
            <v>NMĐ MT Hồng Phong 4 MBA T1 (phía 22kV)</v>
          </cell>
          <cell r="F2040">
            <v>19.399999999999999</v>
          </cell>
          <cell r="H2040">
            <v>19.399999999999999</v>
          </cell>
          <cell r="I2040">
            <v>12.3</v>
          </cell>
          <cell r="J2040">
            <v>18.5</v>
          </cell>
          <cell r="K2040">
            <v>18.8</v>
          </cell>
          <cell r="L2040">
            <v>17.100000000000001</v>
          </cell>
          <cell r="M2040">
            <v>18.3</v>
          </cell>
        </row>
        <row r="2041">
          <cell r="C2041" t="str">
            <v>NMĐ MT Hồng Phong 4 MBA T2 (phía 22kV)</v>
          </cell>
          <cell r="F2041">
            <v>20.399999999999999</v>
          </cell>
          <cell r="H2041">
            <v>19.600000000000001</v>
          </cell>
          <cell r="I2041">
            <v>12.4</v>
          </cell>
          <cell r="J2041">
            <v>18.3</v>
          </cell>
          <cell r="K2041">
            <v>20.399999999999999</v>
          </cell>
          <cell r="L2041">
            <v>17.3</v>
          </cell>
          <cell r="M2041">
            <v>18.3</v>
          </cell>
        </row>
        <row r="2042">
          <cell r="C2042" t="str">
            <v>110kV 171 NMĐ MT Hồng Phong 5.2 - 173 trạm cắt Hồng Sơn</v>
          </cell>
          <cell r="F2042">
            <v>38.6</v>
          </cell>
          <cell r="H2042">
            <v>36.799999999999997</v>
          </cell>
          <cell r="I2042">
            <v>27.1</v>
          </cell>
          <cell r="J2042">
            <v>34.6</v>
          </cell>
          <cell r="K2042">
            <v>38.6</v>
          </cell>
          <cell r="L2042">
            <v>31.2</v>
          </cell>
          <cell r="M2042">
            <v>28.4</v>
          </cell>
        </row>
        <row r="2043">
          <cell r="C2043" t="str">
            <v>NMĐ MT Hồng Phong 5.2 MBA T1 (phía 110kV)</v>
          </cell>
          <cell r="F2043">
            <v>-20.2</v>
          </cell>
          <cell r="H2043">
            <v>-18.399999999999999</v>
          </cell>
          <cell r="I2043">
            <v>-13.3</v>
          </cell>
          <cell r="J2043">
            <v>-17.100000000000001</v>
          </cell>
          <cell r="K2043">
            <v>-20.2</v>
          </cell>
          <cell r="L2043">
            <v>-15.6</v>
          </cell>
          <cell r="M2043">
            <v>-14.9</v>
          </cell>
        </row>
        <row r="2044">
          <cell r="C2044" t="str">
            <v>NMĐ MT Hồng Phong 5.2 MBA T2 (phía 110kV)</v>
          </cell>
          <cell r="F2044">
            <v>-18.5</v>
          </cell>
          <cell r="H2044">
            <v>-18.5</v>
          </cell>
          <cell r="I2044">
            <v>-13.8</v>
          </cell>
          <cell r="J2044">
            <v>-17.600000000000001</v>
          </cell>
          <cell r="K2044">
            <v>-18.5</v>
          </cell>
          <cell r="L2044">
            <v>-15.7</v>
          </cell>
          <cell r="M2044">
            <v>-13.7</v>
          </cell>
        </row>
        <row r="2045">
          <cell r="C2045" t="str">
            <v>NMĐ MT Hồng Phong 5.2 MBA T1 (phía 22kV)</v>
          </cell>
          <cell r="F2045">
            <v>20.399999999999999</v>
          </cell>
          <cell r="H2045">
            <v>18.5</v>
          </cell>
          <cell r="I2045">
            <v>13.6</v>
          </cell>
          <cell r="J2045">
            <v>17.2</v>
          </cell>
          <cell r="K2045">
            <v>20.399999999999999</v>
          </cell>
          <cell r="L2045">
            <v>15.7</v>
          </cell>
          <cell r="M2045">
            <v>15</v>
          </cell>
        </row>
        <row r="2046">
          <cell r="C2046" t="str">
            <v>NMĐ MT Hồng Phong 5.2 MBA T2 (phía 22kV)</v>
          </cell>
          <cell r="F2046">
            <v>18.600000000000001</v>
          </cell>
          <cell r="H2046">
            <v>18.600000000000001</v>
          </cell>
          <cell r="I2046">
            <v>13.9</v>
          </cell>
          <cell r="J2046">
            <v>17.7</v>
          </cell>
          <cell r="K2046">
            <v>18.600000000000001</v>
          </cell>
          <cell r="L2046">
            <v>15.8</v>
          </cell>
          <cell r="M2046">
            <v>13.7</v>
          </cell>
        </row>
        <row r="2047">
          <cell r="C2047" t="str">
            <v>110kV 171 NMĐ MT HTG - 172 Bến Cầu</v>
          </cell>
          <cell r="F2047">
            <v>84.9</v>
          </cell>
          <cell r="H2047">
            <v>84.9</v>
          </cell>
          <cell r="I2047">
            <v>72.900000000000006</v>
          </cell>
          <cell r="J2047">
            <v>84</v>
          </cell>
          <cell r="K2047">
            <v>79.3</v>
          </cell>
          <cell r="L2047">
            <v>80.3</v>
          </cell>
          <cell r="M2047">
            <v>66.400000000000006</v>
          </cell>
        </row>
        <row r="2048">
          <cell r="C2048" t="str">
            <v>110kV 172 NMĐ MT HTG - 178 Trảng Bàng 2</v>
          </cell>
          <cell r="F2048">
            <v>-84.8</v>
          </cell>
          <cell r="H2048">
            <v>-84.8</v>
          </cell>
          <cell r="I2048">
            <v>-73.099999999999994</v>
          </cell>
          <cell r="J2048">
            <v>-83.5</v>
          </cell>
          <cell r="K2048">
            <v>-79.7</v>
          </cell>
          <cell r="L2048">
            <v>-80.5</v>
          </cell>
          <cell r="M2048">
            <v>-66.7</v>
          </cell>
        </row>
        <row r="2049">
          <cell r="C2049" t="str">
            <v>NMĐ MT HTG MBA T1 (phía 110kV)</v>
          </cell>
          <cell r="F2049">
            <v>-37.6</v>
          </cell>
          <cell r="H2049">
            <v>-37.299999999999997</v>
          </cell>
          <cell r="I2049">
            <v>-21</v>
          </cell>
          <cell r="J2049">
            <v>-27.7</v>
          </cell>
          <cell r="K2049">
            <v>-36.1</v>
          </cell>
          <cell r="L2049">
            <v>-20</v>
          </cell>
          <cell r="M2049">
            <v>-37.6</v>
          </cell>
        </row>
        <row r="2050">
          <cell r="C2050" t="str">
            <v>NMĐ MT HTG MBA T1 (phía 22kV)</v>
          </cell>
          <cell r="F2050">
            <v>37.700000000000003</v>
          </cell>
          <cell r="H2050">
            <v>37.4</v>
          </cell>
          <cell r="I2050">
            <v>21.1</v>
          </cell>
          <cell r="J2050">
            <v>27.8</v>
          </cell>
          <cell r="K2050">
            <v>36.200000000000003</v>
          </cell>
          <cell r="L2050">
            <v>20.100000000000001</v>
          </cell>
          <cell r="M2050">
            <v>37.700000000000003</v>
          </cell>
        </row>
        <row r="2051">
          <cell r="C2051" t="str">
            <v>NMĐ MT Lộc Ninh 1,2, 3 MBA T1 (phía 220kV)</v>
          </cell>
          <cell r="F2051">
            <v>-148.69999999999999</v>
          </cell>
          <cell r="H2051">
            <v>-141.80000000000001</v>
          </cell>
          <cell r="I2051">
            <v>-99.4</v>
          </cell>
          <cell r="J2051">
            <v>-138.19999999999999</v>
          </cell>
          <cell r="K2051">
            <v>-113.4</v>
          </cell>
          <cell r="L2051">
            <v>-148.69999999999999</v>
          </cell>
          <cell r="M2051">
            <v>-140.1</v>
          </cell>
        </row>
        <row r="2052">
          <cell r="C2052" t="str">
            <v>220kV 271 NMĐ MT Lộc Ninh 1, 2, 3 - 275 trạm cắt Lộc Tấn</v>
          </cell>
          <cell r="F2052">
            <v>177.4</v>
          </cell>
          <cell r="H2052">
            <v>175.2</v>
          </cell>
          <cell r="I2052">
            <v>120.2</v>
          </cell>
          <cell r="J2052">
            <v>177.4</v>
          </cell>
          <cell r="K2052">
            <v>157.4</v>
          </cell>
          <cell r="L2052">
            <v>155.4</v>
          </cell>
          <cell r="M2052">
            <v>152</v>
          </cell>
        </row>
        <row r="2053">
          <cell r="C2053" t="str">
            <v>220kV 272 NMĐ MT Lộc Ninh 1, 2, 3 - 276 trạm cắt Lộc Tấn</v>
          </cell>
          <cell r="F2053">
            <v>181</v>
          </cell>
          <cell r="H2053">
            <v>176.5</v>
          </cell>
          <cell r="I2053">
            <v>124.2</v>
          </cell>
          <cell r="J2053">
            <v>181</v>
          </cell>
          <cell r="K2053">
            <v>161.4</v>
          </cell>
          <cell r="L2053">
            <v>157.80000000000001</v>
          </cell>
          <cell r="M2053">
            <v>155.19999999999999</v>
          </cell>
        </row>
        <row r="2054">
          <cell r="C2054" t="str">
            <v>NMĐ MT Lộc Ninh 1, 2, 3 MBA T1 (phía 35kV)</v>
          </cell>
          <cell r="F2054">
            <v>80.099999999999994</v>
          </cell>
          <cell r="H2054">
            <v>76.599999999999994</v>
          </cell>
          <cell r="I2054">
            <v>44.2</v>
          </cell>
          <cell r="J2054">
            <v>76.400000000000006</v>
          </cell>
          <cell r="K2054">
            <v>59.5</v>
          </cell>
          <cell r="L2054">
            <v>80.099999999999994</v>
          </cell>
          <cell r="M2054">
            <v>75</v>
          </cell>
        </row>
        <row r="2055">
          <cell r="C2055" t="str">
            <v>NMĐ MT Lộc Ninh 1,2, 3 MBA T2 (phía 220kV)</v>
          </cell>
          <cell r="F2055">
            <v>-147</v>
          </cell>
          <cell r="H2055">
            <v>-137</v>
          </cell>
          <cell r="I2055">
            <v>-104.9</v>
          </cell>
          <cell r="J2055">
            <v>-147</v>
          </cell>
          <cell r="K2055">
            <v>-127.9</v>
          </cell>
          <cell r="L2055">
            <v>-106.4</v>
          </cell>
          <cell r="M2055">
            <v>-119.5</v>
          </cell>
        </row>
        <row r="2056">
          <cell r="C2056" t="str">
            <v>NMĐ MT Lộc Ninh 1, 2, 3 MBA T2 (phía 35kV)</v>
          </cell>
          <cell r="F2056">
            <v>69.3</v>
          </cell>
          <cell r="H2056">
            <v>69.3</v>
          </cell>
          <cell r="I2056">
            <v>66.8</v>
          </cell>
          <cell r="J2056">
            <v>67.400000000000006</v>
          </cell>
          <cell r="K2056">
            <v>64.7</v>
          </cell>
          <cell r="L2056">
            <v>47.5</v>
          </cell>
          <cell r="M2056">
            <v>61.2</v>
          </cell>
        </row>
        <row r="2057">
          <cell r="C2057" t="str">
            <v>NMĐ MT Lộc Ninh 1,2, 3 MBA T3 (phía 220kV)</v>
          </cell>
          <cell r="F2057">
            <v>-101.2</v>
          </cell>
          <cell r="H2057">
            <v>-101.2</v>
          </cell>
          <cell r="I2057">
            <v>-61.7</v>
          </cell>
          <cell r="J2057">
            <v>-97</v>
          </cell>
          <cell r="K2057">
            <v>-77.900000000000006</v>
          </cell>
          <cell r="L2057">
            <v>-80.5</v>
          </cell>
          <cell r="M2057">
            <v>-91.2</v>
          </cell>
        </row>
        <row r="2058">
          <cell r="C2058" t="str">
            <v>NMĐ MT Lộc Ninh 1, 2, 3 MBA T3 (phía 35kV)</v>
          </cell>
          <cell r="F2058">
            <v>48.8</v>
          </cell>
          <cell r="H2058">
            <v>48.8</v>
          </cell>
          <cell r="I2058">
            <v>26.6</v>
          </cell>
          <cell r="J2058">
            <v>43.7</v>
          </cell>
          <cell r="K2058">
            <v>36.200000000000003</v>
          </cell>
          <cell r="L2058">
            <v>36.299999999999997</v>
          </cell>
          <cell r="M2058">
            <v>46.4</v>
          </cell>
        </row>
        <row r="2059">
          <cell r="C2059" t="str">
            <v>NMĐ MT Lộc Ninh 4, 5 MBA T1 (phía 220kV)</v>
          </cell>
          <cell r="F2059">
            <v>-141</v>
          </cell>
          <cell r="H2059">
            <v>-115</v>
          </cell>
          <cell r="I2059">
            <v>-109.7</v>
          </cell>
          <cell r="J2059">
            <v>-130.1</v>
          </cell>
          <cell r="K2059">
            <v>-141</v>
          </cell>
          <cell r="L2059">
            <v>-106.6</v>
          </cell>
          <cell r="M2059">
            <v>-104.2</v>
          </cell>
        </row>
        <row r="2060">
          <cell r="C2060" t="str">
            <v>220kV 271 NMĐ MT Lộc Ninh 4, 5 - 273 trạm cắt Lộc Tấn</v>
          </cell>
          <cell r="F2060">
            <v>-177.5</v>
          </cell>
          <cell r="H2060">
            <v>-174.3</v>
          </cell>
          <cell r="I2060">
            <v>-119.3</v>
          </cell>
          <cell r="J2060">
            <v>-177.5</v>
          </cell>
          <cell r="K2060">
            <v>-156.4</v>
          </cell>
          <cell r="L2060">
            <v>-155.80000000000001</v>
          </cell>
          <cell r="M2060">
            <v>-151.6</v>
          </cell>
        </row>
        <row r="2061">
          <cell r="C2061" t="str">
            <v>220kV 272 NMĐ MT Lộc Ninh 4, 5 - 274 trạm cắt Lộc Tấn</v>
          </cell>
          <cell r="F2061">
            <v>-178.9</v>
          </cell>
          <cell r="H2061">
            <v>-177.5</v>
          </cell>
          <cell r="I2061">
            <v>-121.7</v>
          </cell>
          <cell r="J2061">
            <v>-178.9</v>
          </cell>
          <cell r="K2061">
            <v>-159.4</v>
          </cell>
          <cell r="L2061">
            <v>-157.4</v>
          </cell>
          <cell r="M2061">
            <v>-153</v>
          </cell>
        </row>
        <row r="2062">
          <cell r="C2062" t="str">
            <v>220kV 273 NMĐ MT Lộc Ninh 4, 5 - 277 Bình Long 2</v>
          </cell>
          <cell r="F2062">
            <v>258.7</v>
          </cell>
          <cell r="H2062">
            <v>241</v>
          </cell>
          <cell r="I2062">
            <v>161.9</v>
          </cell>
          <cell r="J2062">
            <v>258.7</v>
          </cell>
          <cell r="K2062">
            <v>245.8</v>
          </cell>
          <cell r="L2062">
            <v>211.3</v>
          </cell>
          <cell r="M2062">
            <v>208.4</v>
          </cell>
        </row>
        <row r="2063">
          <cell r="C2063" t="str">
            <v>220kV 274 NMĐ MT Lộc Ninh 4, 5 - 278 Bình Long 2</v>
          </cell>
          <cell r="F2063">
            <v>259.10000000000002</v>
          </cell>
          <cell r="H2063">
            <v>240.6</v>
          </cell>
          <cell r="I2063">
            <v>162.6</v>
          </cell>
          <cell r="J2063">
            <v>259.10000000000002</v>
          </cell>
          <cell r="K2063">
            <v>244.8</v>
          </cell>
          <cell r="L2063">
            <v>212.3</v>
          </cell>
          <cell r="M2063">
            <v>209.1</v>
          </cell>
        </row>
        <row r="2064">
          <cell r="C2064" t="str">
            <v>NMĐ MT Lộc Ninh 4, 5 MBA T1 (phía 22kV)</v>
          </cell>
          <cell r="F2064">
            <v>73.7</v>
          </cell>
          <cell r="H2064">
            <v>54.4</v>
          </cell>
          <cell r="I2064">
            <v>57</v>
          </cell>
          <cell r="J2064">
            <v>66.099999999999994</v>
          </cell>
          <cell r="K2064">
            <v>73.7</v>
          </cell>
          <cell r="L2064">
            <v>51.7</v>
          </cell>
          <cell r="M2064">
            <v>53.8</v>
          </cell>
        </row>
        <row r="2065">
          <cell r="C2065" t="str">
            <v>NMĐ MT Lộc Ninh 4, 5 MBA T2 (phía 220kV)</v>
          </cell>
          <cell r="F2065">
            <v>-35.5</v>
          </cell>
          <cell r="H2065">
            <v>-35.5</v>
          </cell>
          <cell r="I2065">
            <v>-22</v>
          </cell>
          <cell r="J2065">
            <v>-32.1</v>
          </cell>
          <cell r="K2065">
            <v>-33.9</v>
          </cell>
          <cell r="L2065">
            <v>-28</v>
          </cell>
          <cell r="M2065">
            <v>-29</v>
          </cell>
        </row>
        <row r="2066">
          <cell r="C2066" t="str">
            <v>NMĐ MT Lộc Ninh 4, 5 MBA T2 (phía 22kV)</v>
          </cell>
          <cell r="F2066">
            <v>36</v>
          </cell>
          <cell r="H2066">
            <v>36</v>
          </cell>
          <cell r="I2066">
            <v>21.6</v>
          </cell>
          <cell r="J2066">
            <v>32.700000000000003</v>
          </cell>
          <cell r="K2066">
            <v>33.5</v>
          </cell>
          <cell r="L2066">
            <v>28.4</v>
          </cell>
          <cell r="M2066">
            <v>29.4</v>
          </cell>
        </row>
        <row r="2067">
          <cell r="C2067" t="str">
            <v>110kV 171 NMĐ MT Mũi Né - 172 Mũi Né</v>
          </cell>
          <cell r="F2067">
            <v>64</v>
          </cell>
          <cell r="H2067">
            <v>64</v>
          </cell>
          <cell r="I2067">
            <v>42.8</v>
          </cell>
          <cell r="J2067">
            <v>63.9</v>
          </cell>
          <cell r="K2067">
            <v>63.1</v>
          </cell>
          <cell r="L2067">
            <v>54.6</v>
          </cell>
          <cell r="M2067">
            <v>55.9</v>
          </cell>
        </row>
        <row r="2068">
          <cell r="C2068" t="str">
            <v>110kV 172 NMĐ MT Mũi Né - 173 NMĐ Gió Hồng Phong 1</v>
          </cell>
          <cell r="F2068">
            <v>-42.1</v>
          </cell>
          <cell r="H2068">
            <v>-39.1</v>
          </cell>
          <cell r="I2068">
            <v>-24.7</v>
          </cell>
          <cell r="J2068">
            <v>-36.5</v>
          </cell>
          <cell r="K2068">
            <v>-38.299999999999997</v>
          </cell>
          <cell r="L2068">
            <v>-33.299999999999997</v>
          </cell>
          <cell r="M2068">
            <v>-42.1</v>
          </cell>
        </row>
        <row r="2069">
          <cell r="C2069" t="str">
            <v>NMĐ MT Mũi Né MBA T1 (phía 110kV)</v>
          </cell>
          <cell r="F2069">
            <v>-14.7</v>
          </cell>
          <cell r="H2069">
            <v>-13.2</v>
          </cell>
          <cell r="I2069">
            <v>-10.1</v>
          </cell>
          <cell r="J2069">
            <v>-13.4</v>
          </cell>
          <cell r="K2069">
            <v>-14.7</v>
          </cell>
          <cell r="L2069">
            <v>-11</v>
          </cell>
          <cell r="M2069">
            <v>-12.5</v>
          </cell>
        </row>
        <row r="2070">
          <cell r="C2070" t="str">
            <v>NMĐ MT Mũi Né MBA T2 (phía 110kV)</v>
          </cell>
          <cell r="F2070">
            <v>-14.8</v>
          </cell>
          <cell r="H2070">
            <v>-13.3</v>
          </cell>
          <cell r="I2070">
            <v>-10.199999999999999</v>
          </cell>
          <cell r="J2070">
            <v>-13.5</v>
          </cell>
          <cell r="K2070">
            <v>-14.8</v>
          </cell>
          <cell r="L2070">
            <v>-11.1</v>
          </cell>
          <cell r="M2070">
            <v>-12.5</v>
          </cell>
        </row>
        <row r="2071">
          <cell r="C2071" t="str">
            <v>NMĐ MT Mũi Né MBA T1 (phía 22kV)</v>
          </cell>
          <cell r="F2071">
            <v>14.7</v>
          </cell>
          <cell r="H2071">
            <v>13.2</v>
          </cell>
          <cell r="I2071">
            <v>10.1</v>
          </cell>
          <cell r="J2071">
            <v>13.5</v>
          </cell>
          <cell r="K2071">
            <v>14.7</v>
          </cell>
          <cell r="L2071">
            <v>11</v>
          </cell>
          <cell r="M2071">
            <v>12.4</v>
          </cell>
        </row>
        <row r="2072">
          <cell r="C2072" t="str">
            <v>NMĐ MT Mũi Né MBA T2 (phía 22kV)</v>
          </cell>
          <cell r="F2072">
            <v>14.8</v>
          </cell>
          <cell r="H2072">
            <v>13.3</v>
          </cell>
          <cell r="I2072">
            <v>10.199999999999999</v>
          </cell>
          <cell r="J2072">
            <v>13.6</v>
          </cell>
          <cell r="K2072">
            <v>14.8</v>
          </cell>
          <cell r="L2072">
            <v>11</v>
          </cell>
          <cell r="M2072">
            <v>12.5</v>
          </cell>
        </row>
        <row r="2073">
          <cell r="C2073" t="str">
            <v>110kV 171 NMĐ MT Mỹ Sơn - 171 NMĐ MT CMX</v>
          </cell>
          <cell r="F2073">
            <v>54.3</v>
          </cell>
          <cell r="H2073">
            <v>54.3</v>
          </cell>
          <cell r="I2073">
            <v>32.700000000000003</v>
          </cell>
          <cell r="J2073">
            <v>51.3</v>
          </cell>
          <cell r="K2073">
            <v>-38.9</v>
          </cell>
          <cell r="L2073">
            <v>42.8</v>
          </cell>
          <cell r="M2073">
            <v>43.5</v>
          </cell>
        </row>
        <row r="2074">
          <cell r="C2074" t="str">
            <v>110kV 172 NMĐ MT Mỹ Sơn - 172 Tháp Chàm</v>
          </cell>
          <cell r="F2074">
            <v>38.799999999999997</v>
          </cell>
          <cell r="H2074">
            <v>30.4</v>
          </cell>
          <cell r="I2074">
            <v>19</v>
          </cell>
          <cell r="J2074">
            <v>28.2</v>
          </cell>
          <cell r="K2074">
            <v>38.799999999999997</v>
          </cell>
          <cell r="L2074">
            <v>25.6</v>
          </cell>
          <cell r="M2074">
            <v>33.799999999999997</v>
          </cell>
        </row>
        <row r="2075">
          <cell r="C2075" t="str">
            <v>110kV 174 NMĐ MT Mỹ Sơn - 171 NMĐ MT Mỹ Sơn 2</v>
          </cell>
          <cell r="F2075">
            <v>-37.700000000000003</v>
          </cell>
          <cell r="H2075">
            <v>-37.700000000000003</v>
          </cell>
          <cell r="I2075">
            <v>-23.4</v>
          </cell>
          <cell r="J2075">
            <v>-36.299999999999997</v>
          </cell>
          <cell r="K2075">
            <v>-32.299999999999997</v>
          </cell>
          <cell r="L2075">
            <v>-29.5</v>
          </cell>
          <cell r="M2075">
            <v>-35.299999999999997</v>
          </cell>
        </row>
        <row r="2076">
          <cell r="C2076" t="str">
            <v>NMĐ MT Mỹ Sơn MBA T1 (phía 110kV)</v>
          </cell>
          <cell r="F2076">
            <v>-47.2</v>
          </cell>
          <cell r="H2076">
            <v>-47.2</v>
          </cell>
          <cell r="I2076">
            <v>-30</v>
          </cell>
          <cell r="J2076">
            <v>-43.6</v>
          </cell>
          <cell r="K2076">
            <v>-31</v>
          </cell>
          <cell r="L2076">
            <v>-39.1</v>
          </cell>
          <cell r="M2076">
            <v>-37.9</v>
          </cell>
        </row>
        <row r="2077">
          <cell r="C2077" t="str">
            <v>NMĐ MT Mỹ Sơn MBA T1 (phía 22kV)</v>
          </cell>
          <cell r="F2077">
            <v>47.6</v>
          </cell>
          <cell r="H2077">
            <v>47.6</v>
          </cell>
          <cell r="I2077">
            <v>30.3</v>
          </cell>
          <cell r="J2077">
            <v>43.7</v>
          </cell>
          <cell r="K2077">
            <v>31.4</v>
          </cell>
          <cell r="L2077">
            <v>39.5</v>
          </cell>
          <cell r="M2077">
            <v>38.6</v>
          </cell>
        </row>
        <row r="2078">
          <cell r="C2078" t="str">
            <v>110kV 171 NMĐ MT Mỹ Sơn 2 - 174 NMĐ MT Mỹ Sơn</v>
          </cell>
          <cell r="F2078">
            <v>37.700000000000003</v>
          </cell>
          <cell r="H2078">
            <v>37.700000000000003</v>
          </cell>
          <cell r="I2078">
            <v>23.4</v>
          </cell>
          <cell r="J2078">
            <v>36.299999999999997</v>
          </cell>
          <cell r="K2078">
            <v>32.299999999999997</v>
          </cell>
          <cell r="L2078">
            <v>29.5</v>
          </cell>
          <cell r="M2078">
            <v>35.5</v>
          </cell>
        </row>
        <row r="2079">
          <cell r="C2079" t="str">
            <v>NMĐ MT Mỹ Sơn 2 MBA T1 (phía 110kV)</v>
          </cell>
          <cell r="F2079">
            <v>-37.799999999999997</v>
          </cell>
          <cell r="H2079">
            <v>-37.799999999999997</v>
          </cell>
          <cell r="I2079">
            <v>-23.4</v>
          </cell>
          <cell r="J2079">
            <v>-36.4</v>
          </cell>
          <cell r="K2079">
            <v>-32.4</v>
          </cell>
          <cell r="L2079">
            <v>-29.5</v>
          </cell>
          <cell r="M2079">
            <v>-35.5</v>
          </cell>
        </row>
        <row r="2080">
          <cell r="C2080" t="str">
            <v>NMĐ MT Mỹ Sơn 2 MBA T1 (phía 22kV)</v>
          </cell>
          <cell r="F2080">
            <v>38.200000000000003</v>
          </cell>
          <cell r="H2080">
            <v>38.200000000000003</v>
          </cell>
          <cell r="I2080">
            <v>23.8</v>
          </cell>
          <cell r="J2080">
            <v>36.700000000000003</v>
          </cell>
          <cell r="K2080">
            <v>32.9</v>
          </cell>
          <cell r="L2080">
            <v>29.8</v>
          </cell>
          <cell r="M2080">
            <v>36.1</v>
          </cell>
        </row>
        <row r="2081">
          <cell r="C2081" t="str">
            <v>220kV 271 NMĐ MT Mỹ Sơn HLV - 274 Tháp Chàm 2</v>
          </cell>
          <cell r="F2081">
            <v>-296.7</v>
          </cell>
          <cell r="H2081">
            <v>-296.7</v>
          </cell>
          <cell r="I2081">
            <v>-193.1</v>
          </cell>
          <cell r="J2081">
            <v>-289.8</v>
          </cell>
          <cell r="K2081">
            <v>-215.5</v>
          </cell>
          <cell r="L2081">
            <v>-240.4</v>
          </cell>
          <cell r="M2081">
            <v>-290.89999999999998</v>
          </cell>
        </row>
        <row r="2082">
          <cell r="C2082" t="str">
            <v>220kV 272 NMĐ MT Mỹ Sơn HLV - 274 Ninh Phước 2</v>
          </cell>
          <cell r="F2082">
            <v>336.9</v>
          </cell>
          <cell r="H2082">
            <v>336.9</v>
          </cell>
          <cell r="I2082">
            <v>229.2</v>
          </cell>
          <cell r="J2082">
            <v>326.8</v>
          </cell>
          <cell r="K2082">
            <v>242.3</v>
          </cell>
          <cell r="L2082">
            <v>272.2</v>
          </cell>
          <cell r="M2082">
            <v>314.3</v>
          </cell>
        </row>
        <row r="2083">
          <cell r="C2083" t="str">
            <v>NMĐ MT Mỹ Sơn HLV MBA T1 (phía 220kV)</v>
          </cell>
          <cell r="F2083">
            <v>-39</v>
          </cell>
          <cell r="H2083">
            <v>-39</v>
          </cell>
          <cell r="I2083">
            <v>-36.200000000000003</v>
          </cell>
          <cell r="J2083">
            <v>-36</v>
          </cell>
          <cell r="K2083">
            <v>-31.9</v>
          </cell>
          <cell r="L2083">
            <v>-32.9</v>
          </cell>
          <cell r="M2083">
            <v>-28.6</v>
          </cell>
        </row>
        <row r="2084">
          <cell r="C2084" t="str">
            <v>NMĐ MT Mỹ Sơn HLV MBA T1 (phía 22kV)</v>
          </cell>
          <cell r="F2084">
            <v>39.4</v>
          </cell>
          <cell r="H2084">
            <v>39.4</v>
          </cell>
          <cell r="I2084">
            <v>36.1</v>
          </cell>
          <cell r="J2084">
            <v>36.9</v>
          </cell>
          <cell r="K2084">
            <v>32.299999999999997</v>
          </cell>
          <cell r="L2084">
            <v>32.799999999999997</v>
          </cell>
          <cell r="M2084">
            <v>28.7</v>
          </cell>
        </row>
        <row r="2085">
          <cell r="C2085" t="str">
            <v>220kV 274 NMĐ MT Nhị Hà - 275 Ninh Phước 2</v>
          </cell>
          <cell r="F2085">
            <v>-326.8</v>
          </cell>
          <cell r="H2085">
            <v>-326.8</v>
          </cell>
          <cell r="I2085">
            <v>-225.3</v>
          </cell>
          <cell r="J2085">
            <v>-318.7</v>
          </cell>
          <cell r="K2085">
            <v>-238</v>
          </cell>
          <cell r="L2085">
            <v>-267</v>
          </cell>
          <cell r="M2085">
            <v>-315.8</v>
          </cell>
        </row>
        <row r="2086">
          <cell r="C2086" t="str">
            <v>220kV 275 NMĐ MT Nhị Hà - 275 Thuận Nam 500</v>
          </cell>
          <cell r="F2086">
            <v>476.2</v>
          </cell>
          <cell r="H2086">
            <v>476.2</v>
          </cell>
          <cell r="I2086">
            <v>325.8</v>
          </cell>
          <cell r="J2086">
            <v>468.5</v>
          </cell>
          <cell r="K2086">
            <v>362.8</v>
          </cell>
          <cell r="L2086">
            <v>403.7</v>
          </cell>
          <cell r="M2086">
            <v>435.3</v>
          </cell>
        </row>
        <row r="2087">
          <cell r="C2087" t="str">
            <v>NMĐ MT Nhị Hà MBA T1 (phía 220kV)</v>
          </cell>
          <cell r="F2087">
            <v>-39.700000000000003</v>
          </cell>
          <cell r="H2087">
            <v>-39.700000000000003</v>
          </cell>
          <cell r="I2087">
            <v>-23.1</v>
          </cell>
          <cell r="J2087">
            <v>-36.200000000000003</v>
          </cell>
          <cell r="K2087">
            <v>-37.6</v>
          </cell>
          <cell r="L2087">
            <v>-33.1</v>
          </cell>
          <cell r="M2087">
            <v>-31.1</v>
          </cell>
        </row>
        <row r="2088">
          <cell r="C2088" t="str">
            <v>NMĐ MT Nhị Hà MBA T1 (phía 22kV)</v>
          </cell>
          <cell r="F2088">
            <v>39.9</v>
          </cell>
          <cell r="H2088">
            <v>39.9</v>
          </cell>
          <cell r="I2088">
            <v>23.2</v>
          </cell>
          <cell r="J2088">
            <v>36.4</v>
          </cell>
          <cell r="K2088">
            <v>37.799999999999997</v>
          </cell>
          <cell r="L2088">
            <v>33.299999999999997</v>
          </cell>
          <cell r="M2088">
            <v>31.6</v>
          </cell>
        </row>
        <row r="2089">
          <cell r="C2089" t="str">
            <v>220kV 276 NMĐ MT Nhị Hà - 272 NMĐ MT Hacom Solar</v>
          </cell>
          <cell r="F2089">
            <v>-38.200000000000003</v>
          </cell>
          <cell r="H2089">
            <v>-37.4</v>
          </cell>
          <cell r="I2089">
            <v>-23.4</v>
          </cell>
          <cell r="J2089">
            <v>-36.299999999999997</v>
          </cell>
          <cell r="K2089">
            <v>-37.700000000000003</v>
          </cell>
          <cell r="L2089">
            <v>-32.6</v>
          </cell>
          <cell r="M2089">
            <v>-38.200000000000003</v>
          </cell>
        </row>
        <row r="2090">
          <cell r="C2090" t="str">
            <v>220kV 277 NMĐ MT Nhị Hà - 271 NMĐ MT Thuận Nam Đức Long</v>
          </cell>
          <cell r="F2090">
            <v>-40.299999999999997</v>
          </cell>
          <cell r="H2090">
            <v>-39.1</v>
          </cell>
          <cell r="I2090">
            <v>-23.1</v>
          </cell>
          <cell r="J2090">
            <v>-37.799999999999997</v>
          </cell>
          <cell r="K2090">
            <v>-40.299999999999997</v>
          </cell>
          <cell r="L2090">
            <v>-34.9</v>
          </cell>
          <cell r="M2090">
            <v>-39.799999999999997</v>
          </cell>
        </row>
        <row r="2091">
          <cell r="C2091" t="str">
            <v>220kV 272 NMĐ MT Nhị Hà - 271 NMĐ MT Thuận Nam 12</v>
          </cell>
          <cell r="F2091">
            <v>-39.6</v>
          </cell>
          <cell r="H2091">
            <v>-38.6</v>
          </cell>
          <cell r="I2091">
            <v>-29.7</v>
          </cell>
          <cell r="J2091">
            <v>-37</v>
          </cell>
          <cell r="K2091">
            <v>-39.6</v>
          </cell>
          <cell r="L2091">
            <v>-35.299999999999997</v>
          </cell>
          <cell r="M2091">
            <v>-32.200000000000003</v>
          </cell>
        </row>
        <row r="2092">
          <cell r="C2092" t="str">
            <v>NMĐ MT Ninh Phước 6.2 MBA T1 (phía 110kV)</v>
          </cell>
          <cell r="F2092">
            <v>-36.200000000000003</v>
          </cell>
          <cell r="H2092">
            <v>-33.9</v>
          </cell>
          <cell r="I2092">
            <v>-36.200000000000003</v>
          </cell>
          <cell r="J2092">
            <v>-34.9</v>
          </cell>
          <cell r="K2092">
            <v>-33.5</v>
          </cell>
          <cell r="L2092">
            <v>-30.3</v>
          </cell>
          <cell r="M2092">
            <v>-30.5</v>
          </cell>
        </row>
        <row r="2093">
          <cell r="C2093" t="str">
            <v>NMĐ MT Ninh Phước 6.2 MBA T1 (phía 22kV)</v>
          </cell>
          <cell r="F2093">
            <v>36.299999999999997</v>
          </cell>
          <cell r="H2093">
            <v>33.4</v>
          </cell>
          <cell r="I2093">
            <v>36.299999999999997</v>
          </cell>
          <cell r="J2093">
            <v>34.299999999999997</v>
          </cell>
          <cell r="K2093">
            <v>33.6</v>
          </cell>
          <cell r="L2093">
            <v>30.4</v>
          </cell>
          <cell r="M2093">
            <v>30.5</v>
          </cell>
        </row>
        <row r="2094">
          <cell r="C2094" t="str">
            <v>110kV 171 NMĐ MT Phan Lâm - 173 NMĐ Đại Ninh</v>
          </cell>
          <cell r="F2094">
            <v>74</v>
          </cell>
          <cell r="H2094">
            <v>73.7</v>
          </cell>
          <cell r="I2094">
            <v>59.6</v>
          </cell>
          <cell r="J2094">
            <v>67.099999999999994</v>
          </cell>
          <cell r="K2094">
            <v>74</v>
          </cell>
          <cell r="L2094">
            <v>56.2</v>
          </cell>
          <cell r="M2094">
            <v>60.2</v>
          </cell>
        </row>
        <row r="2095">
          <cell r="C2095" t="str">
            <v>110kV 172 NMĐ MT Phan Lâm - 171 Sông Bình</v>
          </cell>
          <cell r="F2095">
            <v>-48.4</v>
          </cell>
          <cell r="H2095">
            <v>-47.7</v>
          </cell>
          <cell r="I2095">
            <v>-42</v>
          </cell>
          <cell r="J2095">
            <v>-43.5</v>
          </cell>
          <cell r="K2095">
            <v>-48.4</v>
          </cell>
          <cell r="L2095">
            <v>-36.700000000000003</v>
          </cell>
          <cell r="M2095">
            <v>-37.799999999999997</v>
          </cell>
        </row>
        <row r="2096">
          <cell r="C2096" t="str">
            <v>NMĐ MT Phan Lâm MBA T1 (phía 110kV)</v>
          </cell>
          <cell r="F2096">
            <v>-28</v>
          </cell>
          <cell r="H2096">
            <v>-26.1</v>
          </cell>
          <cell r="I2096">
            <v>-17.7</v>
          </cell>
          <cell r="J2096">
            <v>-23.5</v>
          </cell>
          <cell r="K2096">
            <v>-28</v>
          </cell>
          <cell r="L2096">
            <v>-21.2</v>
          </cell>
          <cell r="M2096">
            <v>-23.1</v>
          </cell>
        </row>
        <row r="2097">
          <cell r="C2097" t="str">
            <v>NMĐ MT Phan Lâm MBA T1 (phía 22kV)</v>
          </cell>
          <cell r="F2097">
            <v>28.1</v>
          </cell>
          <cell r="H2097">
            <v>26.2</v>
          </cell>
          <cell r="I2097">
            <v>17.8</v>
          </cell>
          <cell r="J2097">
            <v>23.6</v>
          </cell>
          <cell r="K2097">
            <v>28.1</v>
          </cell>
          <cell r="L2097">
            <v>21.4</v>
          </cell>
          <cell r="M2097">
            <v>23.1</v>
          </cell>
        </row>
        <row r="2098">
          <cell r="C2098" t="str">
            <v>110kV 171 NMĐ MT Phan Lâm 2 - 172 NMĐ Đại Ninh</v>
          </cell>
          <cell r="F2098">
            <v>40.5</v>
          </cell>
          <cell r="H2098">
            <v>36</v>
          </cell>
          <cell r="I2098">
            <v>24.4</v>
          </cell>
          <cell r="J2098">
            <v>34.299999999999997</v>
          </cell>
          <cell r="K2098">
            <v>40.5</v>
          </cell>
          <cell r="L2098">
            <v>29.5</v>
          </cell>
          <cell r="M2098">
            <v>39.6</v>
          </cell>
        </row>
        <row r="2099">
          <cell r="C2099" t="str">
            <v>NMĐ MT Phan Lâm 2 MBA T1 (phía 110kV)</v>
          </cell>
          <cell r="F2099">
            <v>-40.5</v>
          </cell>
          <cell r="H2099">
            <v>-36.1</v>
          </cell>
          <cell r="I2099">
            <v>-24.4</v>
          </cell>
          <cell r="J2099">
            <v>-34.4</v>
          </cell>
          <cell r="K2099">
            <v>-40.5</v>
          </cell>
          <cell r="L2099">
            <v>-29.5</v>
          </cell>
          <cell r="M2099">
            <v>-39.6</v>
          </cell>
        </row>
        <row r="2100">
          <cell r="C2100" t="str">
            <v>NMĐ MT Phan Lâm 2 MBA T1 (phía 22kV)</v>
          </cell>
          <cell r="F2100">
            <v>40.700000000000003</v>
          </cell>
          <cell r="H2100">
            <v>36.299999999999997</v>
          </cell>
          <cell r="I2100">
            <v>24.5</v>
          </cell>
          <cell r="J2100">
            <v>34.5</v>
          </cell>
          <cell r="K2100">
            <v>40.700000000000003</v>
          </cell>
          <cell r="L2100">
            <v>29.6</v>
          </cell>
          <cell r="M2100">
            <v>39.9</v>
          </cell>
        </row>
        <row r="2101">
          <cell r="C2101" t="str">
            <v>110kV 172 NMĐ MT Phong Phú - 173 Phan Rí</v>
          </cell>
          <cell r="F2101">
            <v>37.799999999999997</v>
          </cell>
          <cell r="H2101">
            <v>35.200000000000003</v>
          </cell>
          <cell r="I2101">
            <v>22.7</v>
          </cell>
          <cell r="J2101">
            <v>34.299999999999997</v>
          </cell>
          <cell r="K2101">
            <v>37.799999999999997</v>
          </cell>
          <cell r="L2101">
            <v>26.9</v>
          </cell>
          <cell r="M2101">
            <v>34.799999999999997</v>
          </cell>
        </row>
        <row r="2102">
          <cell r="C2102" t="str">
            <v>NMĐ MT Phong Phú MBA T2 (phía 110kV)</v>
          </cell>
          <cell r="F2102">
            <v>-20.399999999999999</v>
          </cell>
          <cell r="H2102">
            <v>-18.3</v>
          </cell>
          <cell r="I2102">
            <v>-9.9</v>
          </cell>
          <cell r="J2102">
            <v>-17.899999999999999</v>
          </cell>
          <cell r="K2102">
            <v>-20.399999999999999</v>
          </cell>
          <cell r="L2102">
            <v>-14.3</v>
          </cell>
          <cell r="M2102">
            <v>-18.5</v>
          </cell>
        </row>
        <row r="2103">
          <cell r="C2103" t="str">
            <v>NMĐ MT Phong Phú MBA T1 (phía 110kV)</v>
          </cell>
          <cell r="F2103">
            <v>-18.5</v>
          </cell>
          <cell r="H2103">
            <v>-17</v>
          </cell>
          <cell r="I2103">
            <v>-12.9</v>
          </cell>
          <cell r="J2103">
            <v>-16.600000000000001</v>
          </cell>
          <cell r="K2103">
            <v>-18.5</v>
          </cell>
          <cell r="L2103">
            <v>-12.6</v>
          </cell>
          <cell r="M2103">
            <v>-16.399999999999999</v>
          </cell>
        </row>
        <row r="2104">
          <cell r="C2104" t="str">
            <v>NMĐ MT Phong Phú MBA T1 (phía 22kV)</v>
          </cell>
          <cell r="F2104">
            <v>18.5</v>
          </cell>
          <cell r="H2104">
            <v>17.100000000000001</v>
          </cell>
          <cell r="I2104">
            <v>13</v>
          </cell>
          <cell r="J2104">
            <v>16.8</v>
          </cell>
          <cell r="K2104">
            <v>18.5</v>
          </cell>
          <cell r="L2104">
            <v>12.7</v>
          </cell>
          <cell r="M2104">
            <v>16.399999999999999</v>
          </cell>
        </row>
        <row r="2105">
          <cell r="C2105" t="str">
            <v>NMĐ MT Phong Phú MBA T2 (phía 22kV)</v>
          </cell>
          <cell r="F2105">
            <v>20.6</v>
          </cell>
          <cell r="H2105">
            <v>18.399999999999999</v>
          </cell>
          <cell r="I2105">
            <v>10.199999999999999</v>
          </cell>
          <cell r="J2105">
            <v>17.8</v>
          </cell>
          <cell r="K2105">
            <v>20.6</v>
          </cell>
          <cell r="L2105">
            <v>14.3</v>
          </cell>
          <cell r="M2105">
            <v>18.5</v>
          </cell>
        </row>
        <row r="2106">
          <cell r="C2106" t="str">
            <v>110kV 171 NMĐ MT Phước Hữu - 174 Ninh Phước</v>
          </cell>
          <cell r="F2106">
            <v>79.7</v>
          </cell>
          <cell r="H2106">
            <v>71.099999999999994</v>
          </cell>
          <cell r="I2106">
            <v>76.3</v>
          </cell>
          <cell r="J2106">
            <v>71.5</v>
          </cell>
          <cell r="K2106">
            <v>79.7</v>
          </cell>
          <cell r="L2106">
            <v>64.400000000000006</v>
          </cell>
          <cell r="M2106">
            <v>64.099999999999994</v>
          </cell>
        </row>
        <row r="2107">
          <cell r="C2107" t="str">
            <v>NMĐ MT Phước Hữu MBA T1 (phía 110kV)</v>
          </cell>
          <cell r="F2107">
            <v>-48.4</v>
          </cell>
          <cell r="H2107">
            <v>-38</v>
          </cell>
          <cell r="I2107">
            <v>-46.4</v>
          </cell>
          <cell r="J2107">
            <v>-38.9</v>
          </cell>
          <cell r="K2107">
            <v>-48.4</v>
          </cell>
          <cell r="L2107">
            <v>-37.299999999999997</v>
          </cell>
          <cell r="M2107">
            <v>-35.299999999999997</v>
          </cell>
        </row>
        <row r="2108">
          <cell r="C2108" t="str">
            <v>NMĐ MT Phước Hữu MBA T1 (phía 22kV)</v>
          </cell>
          <cell r="F2108">
            <v>49.2</v>
          </cell>
          <cell r="H2108">
            <v>38.299999999999997</v>
          </cell>
          <cell r="I2108">
            <v>47.1</v>
          </cell>
          <cell r="J2108">
            <v>39.799999999999997</v>
          </cell>
          <cell r="K2108">
            <v>49.2</v>
          </cell>
          <cell r="L2108">
            <v>37.799999999999997</v>
          </cell>
          <cell r="M2108">
            <v>35.4</v>
          </cell>
        </row>
        <row r="2109">
          <cell r="C2109" t="str">
            <v>110kV 172 NMĐ MT Phước Hữu - 131 NMĐ MT Ninh Phước 6.2</v>
          </cell>
          <cell r="F2109">
            <v>-36.6</v>
          </cell>
          <cell r="H2109">
            <v>-34.1</v>
          </cell>
          <cell r="I2109">
            <v>-36.6</v>
          </cell>
          <cell r="J2109">
            <v>-34.9</v>
          </cell>
          <cell r="K2109">
            <v>-34</v>
          </cell>
          <cell r="L2109">
            <v>-30.4</v>
          </cell>
          <cell r="M2109">
            <v>-30.6</v>
          </cell>
        </row>
        <row r="2110">
          <cell r="C2110" t="str">
            <v>110kV 171 NMĐ MT Phước Hữu - Điện Lực 1 - 171 trạm cắt Hậu Sanh</v>
          </cell>
          <cell r="F2110">
            <v>26.8</v>
          </cell>
          <cell r="H2110">
            <v>22.6</v>
          </cell>
          <cell r="I2110">
            <v>26.8</v>
          </cell>
          <cell r="J2110">
            <v>23</v>
          </cell>
          <cell r="K2110">
            <v>25.6</v>
          </cell>
          <cell r="L2110">
            <v>19.8</v>
          </cell>
          <cell r="M2110">
            <v>24.9</v>
          </cell>
        </row>
        <row r="2111">
          <cell r="C2111" t="str">
            <v>NMĐ MT Phước Hữu - Điện Lực 1 MBA T1 (phía 110kV)</v>
          </cell>
          <cell r="F2111">
            <v>-27</v>
          </cell>
          <cell r="H2111">
            <v>-22.8</v>
          </cell>
          <cell r="I2111">
            <v>-27</v>
          </cell>
          <cell r="J2111">
            <v>-23.2</v>
          </cell>
          <cell r="K2111">
            <v>-25.7</v>
          </cell>
          <cell r="L2111">
            <v>-20</v>
          </cell>
          <cell r="M2111">
            <v>-25.2</v>
          </cell>
        </row>
        <row r="2112">
          <cell r="C2112" t="str">
            <v>NMĐ MT Phước Hữu - Điện Lực 1 MBA T1 (phía 22kV)</v>
          </cell>
          <cell r="F2112">
            <v>26.7</v>
          </cell>
          <cell r="H2112">
            <v>22.5</v>
          </cell>
          <cell r="I2112">
            <v>26.7</v>
          </cell>
          <cell r="J2112">
            <v>23.1</v>
          </cell>
          <cell r="K2112">
            <v>25.4</v>
          </cell>
          <cell r="L2112">
            <v>19.8</v>
          </cell>
          <cell r="M2112">
            <v>25.3</v>
          </cell>
        </row>
        <row r="2113">
          <cell r="C2113" t="str">
            <v>110kV 171 NMĐ MT Phước Ninh - 171 NMĐ MT Adani Phước Minh</v>
          </cell>
          <cell r="F2113">
            <v>-122.8</v>
          </cell>
          <cell r="H2113">
            <v>-122.8</v>
          </cell>
          <cell r="I2113">
            <v>-102.5</v>
          </cell>
          <cell r="J2113">
            <v>-112.7</v>
          </cell>
          <cell r="K2113">
            <v>-111.4</v>
          </cell>
          <cell r="L2113">
            <v>-114.3</v>
          </cell>
          <cell r="M2113">
            <v>-116.7</v>
          </cell>
        </row>
        <row r="2114">
          <cell r="C2114" t="str">
            <v>110kV 172 NMĐ MT Phước Ninh - 178 Trạm  cắt 110 kV Hậu Sanh</v>
          </cell>
          <cell r="F2114">
            <v>138.4</v>
          </cell>
          <cell r="H2114">
            <v>134.30000000000001</v>
          </cell>
          <cell r="I2114">
            <v>122.7</v>
          </cell>
          <cell r="J2114">
            <v>134.80000000000001</v>
          </cell>
          <cell r="K2114">
            <v>134.5</v>
          </cell>
          <cell r="L2114">
            <v>135.80000000000001</v>
          </cell>
          <cell r="M2114">
            <v>138.4</v>
          </cell>
        </row>
        <row r="2115">
          <cell r="C2115" t="str">
            <v>NMĐ MT Phước Ninh MBA T1 (phía 110kV)</v>
          </cell>
          <cell r="F2115">
            <v>-29.6</v>
          </cell>
          <cell r="H2115">
            <v>-23.6</v>
          </cell>
          <cell r="I2115">
            <v>-20.100000000000001</v>
          </cell>
          <cell r="J2115">
            <v>-25.3</v>
          </cell>
          <cell r="K2115">
            <v>-29.6</v>
          </cell>
          <cell r="L2115">
            <v>-23.8</v>
          </cell>
          <cell r="M2115">
            <v>-24.3</v>
          </cell>
        </row>
        <row r="2116">
          <cell r="C2116" t="str">
            <v>NMĐ MT Phước Ninh MBA T1 (phía 22kV)</v>
          </cell>
          <cell r="F2116">
            <v>30.2</v>
          </cell>
          <cell r="H2116">
            <v>24</v>
          </cell>
          <cell r="I2116">
            <v>20.5</v>
          </cell>
          <cell r="J2116">
            <v>26.1</v>
          </cell>
          <cell r="K2116">
            <v>30.2</v>
          </cell>
          <cell r="L2116">
            <v>23.9</v>
          </cell>
          <cell r="M2116">
            <v>24.5</v>
          </cell>
        </row>
        <row r="2117">
          <cell r="C2117" t="str">
            <v>220kV 271 NMĐ MT Phước Thái 1 - 273 Tháp Chàm 2</v>
          </cell>
          <cell r="F2117">
            <v>196.5</v>
          </cell>
          <cell r="H2117">
            <v>161.69999999999999</v>
          </cell>
          <cell r="I2117">
            <v>196.5</v>
          </cell>
          <cell r="J2117">
            <v>172.2</v>
          </cell>
          <cell r="K2117">
            <v>144.19999999999999</v>
          </cell>
          <cell r="L2117">
            <v>189.1</v>
          </cell>
          <cell r="M2117">
            <v>136.4</v>
          </cell>
        </row>
        <row r="2118">
          <cell r="C2118" t="str">
            <v>220kV 272 NMĐ MT Phước Thái 1 - 273 Ninh Phước 2</v>
          </cell>
          <cell r="F2118">
            <v>-197.2</v>
          </cell>
          <cell r="H2118">
            <v>-162.19999999999999</v>
          </cell>
          <cell r="I2118">
            <v>-197.2</v>
          </cell>
          <cell r="J2118">
            <v>-172.3</v>
          </cell>
          <cell r="K2118">
            <v>-144.80000000000001</v>
          </cell>
          <cell r="L2118">
            <v>-189.4</v>
          </cell>
          <cell r="M2118">
            <v>-136.4</v>
          </cell>
        </row>
        <row r="2119">
          <cell r="C2119" t="str">
            <v>NMĐ MT Phước Thái 1 MBA T1 (phía 220kV)</v>
          </cell>
          <cell r="F2119">
            <v>-38</v>
          </cell>
          <cell r="H2119">
            <v>-38</v>
          </cell>
          <cell r="I2119">
            <v>-22.3</v>
          </cell>
          <cell r="J2119">
            <v>-35.799999999999997</v>
          </cell>
          <cell r="K2119">
            <v>-35.4</v>
          </cell>
          <cell r="L2119">
            <v>-30.1</v>
          </cell>
          <cell r="M2119">
            <v>-28.4</v>
          </cell>
        </row>
        <row r="2120">
          <cell r="C2120" t="str">
            <v>NMĐ MT Phước Thái 1 MBA T1 (phía 22kV)</v>
          </cell>
          <cell r="F2120">
            <v>38.200000000000003</v>
          </cell>
          <cell r="H2120">
            <v>38.200000000000003</v>
          </cell>
          <cell r="I2120">
            <v>22.4</v>
          </cell>
          <cell r="J2120">
            <v>36</v>
          </cell>
          <cell r="K2120">
            <v>35.700000000000003</v>
          </cell>
          <cell r="L2120">
            <v>30.4</v>
          </cell>
          <cell r="M2120">
            <v>28.6</v>
          </cell>
        </row>
        <row r="2121">
          <cell r="C2121" t="str">
            <v>220kV 273 NMĐ MT Phước Thái 1 - 231 NMĐ MT Thiên Tân 1.3</v>
          </cell>
          <cell r="F2121">
            <v>-6.3</v>
          </cell>
          <cell r="H2121">
            <v>-6.1</v>
          </cell>
          <cell r="I2121">
            <v>-6.3</v>
          </cell>
          <cell r="J2121">
            <v>-5.9</v>
          </cell>
          <cell r="K2121">
            <v>0.1</v>
          </cell>
          <cell r="L2121">
            <v>-5.9</v>
          </cell>
          <cell r="M2121">
            <v>0.1</v>
          </cell>
        </row>
        <row r="2122">
          <cell r="C2122" t="str">
            <v>NMĐ MT Sao Mai MBA T1 (phía 110kV)</v>
          </cell>
          <cell r="F2122">
            <v>-27.7</v>
          </cell>
          <cell r="H2122">
            <v>-27</v>
          </cell>
          <cell r="I2122">
            <v>-22.4</v>
          </cell>
          <cell r="J2122">
            <v>-27.6</v>
          </cell>
          <cell r="K2122">
            <v>-27.7</v>
          </cell>
          <cell r="L2122">
            <v>-17.100000000000001</v>
          </cell>
          <cell r="M2122">
            <v>-17.399999999999999</v>
          </cell>
        </row>
        <row r="2123">
          <cell r="C2123" t="str">
            <v>110kV 171 NMĐ MT Sao Mai - (171-7) Tri Tôn</v>
          </cell>
          <cell r="F2123">
            <v>30.3</v>
          </cell>
          <cell r="H2123">
            <v>25.6</v>
          </cell>
          <cell r="I2123">
            <v>25.1</v>
          </cell>
          <cell r="J2123">
            <v>30.3</v>
          </cell>
          <cell r="K2123">
            <v>26.2</v>
          </cell>
          <cell r="L2123">
            <v>26.5</v>
          </cell>
          <cell r="M2123">
            <v>25.6</v>
          </cell>
        </row>
        <row r="2124">
          <cell r="C2124" t="str">
            <v>NMĐ MT Sao Mai MBA T2 (phía 110kV)</v>
          </cell>
          <cell r="F2124">
            <v>-28.8</v>
          </cell>
          <cell r="H2124">
            <v>-28.8</v>
          </cell>
          <cell r="I2124">
            <v>-21.7</v>
          </cell>
          <cell r="J2124">
            <v>-25.3</v>
          </cell>
          <cell r="K2124">
            <v>-24.4</v>
          </cell>
          <cell r="L2124">
            <v>-15.4</v>
          </cell>
          <cell r="M2124">
            <v>-15.4</v>
          </cell>
        </row>
        <row r="2125">
          <cell r="C2125" t="str">
            <v>110kV 172 NMĐ MT Sao Mai - 172 Tịnh Biên</v>
          </cell>
          <cell r="F2125">
            <v>22.4</v>
          </cell>
          <cell r="H2125">
            <v>22.4</v>
          </cell>
          <cell r="I2125">
            <v>18.899999999999999</v>
          </cell>
          <cell r="J2125">
            <v>22</v>
          </cell>
          <cell r="K2125">
            <v>19.399999999999999</v>
          </cell>
          <cell r="L2125">
            <v>13.2</v>
          </cell>
          <cell r="M2125">
            <v>14.4</v>
          </cell>
        </row>
        <row r="2126">
          <cell r="C2126" t="str">
            <v>NMĐ MT Sao Mai MBA T1 (phía 22kV)</v>
          </cell>
          <cell r="F2126">
            <v>28</v>
          </cell>
          <cell r="H2126">
            <v>27.3</v>
          </cell>
          <cell r="I2126">
            <v>22.6</v>
          </cell>
          <cell r="J2126">
            <v>27.6</v>
          </cell>
          <cell r="K2126">
            <v>28</v>
          </cell>
          <cell r="L2126">
            <v>17.3</v>
          </cell>
          <cell r="M2126">
            <v>17.399999999999999</v>
          </cell>
        </row>
        <row r="2127">
          <cell r="C2127" t="str">
            <v>NMĐ MT Sao Mai MBA T2 (phía 22kV)</v>
          </cell>
          <cell r="F2127">
            <v>28.4</v>
          </cell>
          <cell r="H2127">
            <v>28.4</v>
          </cell>
          <cell r="I2127">
            <v>21.8</v>
          </cell>
          <cell r="J2127">
            <v>25.3</v>
          </cell>
          <cell r="K2127">
            <v>24.5</v>
          </cell>
          <cell r="L2127">
            <v>15.6</v>
          </cell>
          <cell r="M2127">
            <v>15.1</v>
          </cell>
        </row>
        <row r="2128">
          <cell r="C2128" t="str">
            <v>NMĐ MT Sao Mai MBA T3 (phía 110kV)</v>
          </cell>
          <cell r="F2128">
            <v>-27.4</v>
          </cell>
          <cell r="H2128">
            <v>-27.4</v>
          </cell>
          <cell r="I2128">
            <v>-23</v>
          </cell>
          <cell r="J2128">
            <v>-26.4</v>
          </cell>
          <cell r="K2128">
            <v>-22.9</v>
          </cell>
          <cell r="L2128">
            <v>-17.7</v>
          </cell>
          <cell r="M2128">
            <v>-15.6</v>
          </cell>
        </row>
        <row r="2129">
          <cell r="C2129" t="str">
            <v>NMĐ MT Sao Mai MBA T4 (phía 110kV)</v>
          </cell>
          <cell r="F2129">
            <v>-29</v>
          </cell>
          <cell r="H2129">
            <v>-28.4</v>
          </cell>
          <cell r="I2129">
            <v>-25.2</v>
          </cell>
          <cell r="J2129">
            <v>-29</v>
          </cell>
          <cell r="K2129">
            <v>-25.8</v>
          </cell>
          <cell r="L2129">
            <v>-19.100000000000001</v>
          </cell>
          <cell r="M2129">
            <v>-17.7</v>
          </cell>
        </row>
        <row r="2130">
          <cell r="C2130" t="str">
            <v>110kV 173 NMĐ MT Sao Mai - 177 Tịnh Biên</v>
          </cell>
          <cell r="F2130">
            <v>39.799999999999997</v>
          </cell>
          <cell r="H2130">
            <v>39.799999999999997</v>
          </cell>
          <cell r="I2130">
            <v>32.799999999999997</v>
          </cell>
          <cell r="J2130">
            <v>38.700000000000003</v>
          </cell>
          <cell r="K2130">
            <v>34</v>
          </cell>
          <cell r="L2130">
            <v>22.9</v>
          </cell>
          <cell r="M2130">
            <v>25</v>
          </cell>
        </row>
        <row r="2131">
          <cell r="C2131" t="str">
            <v>110kV 174 NMĐ MT Sao Mai - 179 Tịnh Biên</v>
          </cell>
          <cell r="F2131">
            <v>39.6</v>
          </cell>
          <cell r="H2131">
            <v>39.6</v>
          </cell>
          <cell r="I2131">
            <v>32.9</v>
          </cell>
          <cell r="J2131">
            <v>38.799999999999997</v>
          </cell>
          <cell r="K2131">
            <v>34.200000000000003</v>
          </cell>
          <cell r="L2131">
            <v>23</v>
          </cell>
          <cell r="M2131">
            <v>24.9</v>
          </cell>
        </row>
        <row r="2132">
          <cell r="C2132" t="str">
            <v>NMĐ MT Sao Mai MBA T3 (phía 22kV)</v>
          </cell>
          <cell r="F2132">
            <v>27.5</v>
          </cell>
          <cell r="H2132">
            <v>27.5</v>
          </cell>
          <cell r="I2132">
            <v>23.2</v>
          </cell>
          <cell r="J2132">
            <v>26.5</v>
          </cell>
          <cell r="K2132">
            <v>23</v>
          </cell>
          <cell r="L2132">
            <v>17.8</v>
          </cell>
          <cell r="M2132">
            <v>15.7</v>
          </cell>
        </row>
        <row r="2133">
          <cell r="C2133" t="str">
            <v>NMĐ MT Sao Mai MBA T4 (phía 22kV)</v>
          </cell>
          <cell r="F2133">
            <v>29.2</v>
          </cell>
          <cell r="H2133">
            <v>28.5</v>
          </cell>
          <cell r="I2133">
            <v>25.3</v>
          </cell>
          <cell r="J2133">
            <v>29.2</v>
          </cell>
          <cell r="K2133">
            <v>25.9</v>
          </cell>
          <cell r="L2133">
            <v>19.2</v>
          </cell>
          <cell r="M2133">
            <v>17.8</v>
          </cell>
        </row>
        <row r="2134">
          <cell r="C2134" t="str">
            <v>110kV 171 NMĐ MT Sinenergy Ninh Thuận 1 - 174 trạm cắt Hậu Sanh</v>
          </cell>
          <cell r="F2134">
            <v>31.9</v>
          </cell>
          <cell r="H2134">
            <v>30.9</v>
          </cell>
          <cell r="I2134">
            <v>20.9</v>
          </cell>
          <cell r="J2134">
            <v>30.8</v>
          </cell>
          <cell r="K2134">
            <v>31.9</v>
          </cell>
          <cell r="L2134">
            <v>28</v>
          </cell>
          <cell r="M2134">
            <v>27.5</v>
          </cell>
        </row>
        <row r="2135">
          <cell r="C2135" t="str">
            <v>NMĐ MT Sinenergy Ninh Thuận 1 MBA T1 (phía 110kV)</v>
          </cell>
          <cell r="F2135">
            <v>-31.9</v>
          </cell>
          <cell r="H2135">
            <v>-30.9</v>
          </cell>
          <cell r="I2135">
            <v>-21</v>
          </cell>
          <cell r="J2135">
            <v>-30.9</v>
          </cell>
          <cell r="K2135">
            <v>-31.9</v>
          </cell>
          <cell r="L2135">
            <v>-28.3</v>
          </cell>
          <cell r="M2135">
            <v>-27.5</v>
          </cell>
        </row>
        <row r="2136">
          <cell r="C2136" t="str">
            <v>NMĐ MT Sinenergy Ninh Thuận 1 MBA T1 (phía 22kV)</v>
          </cell>
          <cell r="F2136">
            <v>31.9</v>
          </cell>
          <cell r="H2136">
            <v>31</v>
          </cell>
          <cell r="I2136">
            <v>21.1</v>
          </cell>
          <cell r="J2136">
            <v>31</v>
          </cell>
          <cell r="K2136">
            <v>31.9</v>
          </cell>
          <cell r="L2136">
            <v>28.3</v>
          </cell>
          <cell r="M2136">
            <v>27.7</v>
          </cell>
        </row>
        <row r="2137">
          <cell r="C2137" t="str">
            <v>110kV 171 NMĐ MT Solar Park 1, 2, 3, 4 - 174 An Thạnh</v>
          </cell>
          <cell r="F2137">
            <v>69.7</v>
          </cell>
          <cell r="H2137">
            <v>69.7</v>
          </cell>
          <cell r="I2137">
            <v>29.3</v>
          </cell>
          <cell r="J2137">
            <v>65.599999999999994</v>
          </cell>
          <cell r="K2137">
            <v>63.3</v>
          </cell>
          <cell r="L2137">
            <v>39.799999999999997</v>
          </cell>
          <cell r="M2137">
            <v>52.5</v>
          </cell>
        </row>
        <row r="2138">
          <cell r="C2138" t="str">
            <v>110kV 172 NMĐ MT Solar Park 1, 2, 3, 4 - 172 An Thạnh</v>
          </cell>
          <cell r="F2138">
            <v>69.7</v>
          </cell>
          <cell r="H2138">
            <v>69.7</v>
          </cell>
          <cell r="I2138">
            <v>29.3</v>
          </cell>
          <cell r="J2138">
            <v>65.7</v>
          </cell>
          <cell r="K2138">
            <v>63.5</v>
          </cell>
          <cell r="L2138">
            <v>39.799999999999997</v>
          </cell>
          <cell r="M2138">
            <v>52.3</v>
          </cell>
        </row>
        <row r="2139">
          <cell r="C2139" t="str">
            <v>NMĐ MT Solar Park 1, 2, 3, 4 MBA T1 (phía 110kV)</v>
          </cell>
          <cell r="F2139">
            <v>-36.9</v>
          </cell>
          <cell r="H2139">
            <v>-34.299999999999997</v>
          </cell>
          <cell r="I2139">
            <v>-15.5</v>
          </cell>
          <cell r="J2139">
            <v>-36.9</v>
          </cell>
          <cell r="K2139">
            <v>-31.8</v>
          </cell>
          <cell r="L2139">
            <v>-20</v>
          </cell>
          <cell r="M2139">
            <v>-27.5</v>
          </cell>
        </row>
        <row r="2140">
          <cell r="C2140" t="str">
            <v>NMĐ MT Solar Park 1, 2, 3, 4 MBA T1 (phía 22kV)</v>
          </cell>
          <cell r="F2140">
            <v>37</v>
          </cell>
          <cell r="H2140">
            <v>34.6</v>
          </cell>
          <cell r="I2140">
            <v>15.6</v>
          </cell>
          <cell r="J2140">
            <v>37</v>
          </cell>
          <cell r="K2140">
            <v>31.9</v>
          </cell>
          <cell r="L2140">
            <v>20.100000000000001</v>
          </cell>
          <cell r="M2140">
            <v>27.5</v>
          </cell>
        </row>
        <row r="2141">
          <cell r="C2141" t="str">
            <v>NMĐ MT Solar Park 1, 2, 3, 4 MBA T2 (phía 110kV)</v>
          </cell>
          <cell r="F2141">
            <v>-38</v>
          </cell>
          <cell r="H2141">
            <v>-38</v>
          </cell>
          <cell r="I2141">
            <v>-15.1</v>
          </cell>
          <cell r="J2141">
            <v>-31.9</v>
          </cell>
          <cell r="K2141">
            <v>-31.6</v>
          </cell>
          <cell r="L2141">
            <v>-19.899999999999999</v>
          </cell>
          <cell r="M2141">
            <v>-26.1</v>
          </cell>
        </row>
        <row r="2142">
          <cell r="C2142" t="str">
            <v>NMĐ MT Solar Park 1, 2, 3, 4 MBA T2 (phía 22kV)</v>
          </cell>
          <cell r="F2142">
            <v>38</v>
          </cell>
          <cell r="H2142">
            <v>38</v>
          </cell>
          <cell r="I2142">
            <v>15.2</v>
          </cell>
          <cell r="J2142">
            <v>32.200000000000003</v>
          </cell>
          <cell r="K2142">
            <v>31.5</v>
          </cell>
          <cell r="L2142">
            <v>20</v>
          </cell>
          <cell r="M2142">
            <v>26</v>
          </cell>
        </row>
        <row r="2143">
          <cell r="C2143" t="str">
            <v>NMĐ MT Solar Park 1, 2, 3, 4 MBA T3 (phía 110kV)</v>
          </cell>
          <cell r="F2143">
            <v>-35.9</v>
          </cell>
          <cell r="H2143">
            <v>-35.9</v>
          </cell>
          <cell r="I2143">
            <v>-13.8</v>
          </cell>
          <cell r="J2143">
            <v>-30.6</v>
          </cell>
          <cell r="K2143">
            <v>-31.9</v>
          </cell>
          <cell r="L2143">
            <v>-19.899999999999999</v>
          </cell>
          <cell r="M2143">
            <v>-26.4</v>
          </cell>
        </row>
        <row r="2144">
          <cell r="C2144" t="str">
            <v>NMĐ MT Solar Park 1, 2, 3, 4 MBA T3 (phía 22kV)</v>
          </cell>
          <cell r="F2144">
            <v>36</v>
          </cell>
          <cell r="H2144">
            <v>36</v>
          </cell>
          <cell r="I2144">
            <v>13.8</v>
          </cell>
          <cell r="J2144">
            <v>30.4</v>
          </cell>
          <cell r="K2144">
            <v>31.9</v>
          </cell>
          <cell r="L2144">
            <v>19.899999999999999</v>
          </cell>
          <cell r="M2144">
            <v>26.7</v>
          </cell>
        </row>
        <row r="2145">
          <cell r="C2145" t="str">
            <v>NMĐ MT Solar Park 1, 2, 3, 4 MBA T4 (phía 110kV)</v>
          </cell>
          <cell r="F2145">
            <v>-34.200000000000003</v>
          </cell>
          <cell r="H2145">
            <v>-34.200000000000003</v>
          </cell>
          <cell r="I2145">
            <v>-15.3</v>
          </cell>
          <cell r="J2145">
            <v>-33.1</v>
          </cell>
          <cell r="K2145">
            <v>-31.8</v>
          </cell>
          <cell r="L2145">
            <v>-19.899999999999999</v>
          </cell>
          <cell r="M2145">
            <v>-26.3</v>
          </cell>
        </row>
        <row r="2146">
          <cell r="C2146" t="str">
            <v>NMĐ MT Solar Park 1, 2, 3, 4 MBA T4 (phía 22kV)</v>
          </cell>
          <cell r="F2146">
            <v>34.200000000000003</v>
          </cell>
          <cell r="H2146">
            <v>34.200000000000003</v>
          </cell>
          <cell r="I2146">
            <v>15.5</v>
          </cell>
          <cell r="J2146">
            <v>32.700000000000003</v>
          </cell>
          <cell r="K2146">
            <v>32</v>
          </cell>
          <cell r="L2146">
            <v>19.899999999999999</v>
          </cell>
          <cell r="M2146">
            <v>26.6</v>
          </cell>
        </row>
        <row r="2147">
          <cell r="C2147" t="str">
            <v>110kV 171 NMĐ MT Sơn Mỹ 3.1 - 175 Hàm Tân 2</v>
          </cell>
          <cell r="F2147">
            <v>-84.7</v>
          </cell>
          <cell r="H2147">
            <v>-84.7</v>
          </cell>
          <cell r="I2147">
            <v>-77.2</v>
          </cell>
          <cell r="J2147">
            <v>-75.400000000000006</v>
          </cell>
          <cell r="K2147">
            <v>-67.8</v>
          </cell>
          <cell r="L2147">
            <v>-66</v>
          </cell>
          <cell r="M2147">
            <v>-73.3</v>
          </cell>
        </row>
        <row r="2148">
          <cell r="C2148" t="str">
            <v>110kV 172 NMĐ MT Sơn Mỹ 3.1 - 171 Thắng Hải</v>
          </cell>
          <cell r="F2148">
            <v>84.8</v>
          </cell>
          <cell r="H2148">
            <v>84.8</v>
          </cell>
          <cell r="I2148">
            <v>77.8</v>
          </cell>
          <cell r="J2148">
            <v>75.400000000000006</v>
          </cell>
          <cell r="K2148">
            <v>68.099999999999994</v>
          </cell>
          <cell r="L2148">
            <v>66.400000000000006</v>
          </cell>
          <cell r="M2148">
            <v>73.400000000000006</v>
          </cell>
        </row>
        <row r="2149">
          <cell r="C2149" t="str">
            <v>NMĐ MT Sơn Mỹ 3.1 MBA T1 (phía 110kV)</v>
          </cell>
          <cell r="F2149">
            <v>-39.4</v>
          </cell>
          <cell r="H2149">
            <v>-39.4</v>
          </cell>
          <cell r="I2149">
            <v>-32.9</v>
          </cell>
          <cell r="J2149">
            <v>-37.6</v>
          </cell>
          <cell r="K2149">
            <v>-36.9</v>
          </cell>
          <cell r="L2149">
            <v>-25.3</v>
          </cell>
          <cell r="M2149">
            <v>-31</v>
          </cell>
        </row>
        <row r="2150">
          <cell r="C2150" t="str">
            <v>NMĐ MT Sơn Mỹ 3.1 MBA T1 (phía 22kV)</v>
          </cell>
          <cell r="F2150">
            <v>39.6</v>
          </cell>
          <cell r="H2150">
            <v>39.6</v>
          </cell>
          <cell r="I2150">
            <v>33</v>
          </cell>
          <cell r="J2150">
            <v>37.9</v>
          </cell>
          <cell r="K2150">
            <v>37.1</v>
          </cell>
          <cell r="L2150">
            <v>25.8</v>
          </cell>
          <cell r="M2150">
            <v>31.3</v>
          </cell>
        </row>
        <row r="2151">
          <cell r="C2151" t="str">
            <v>NMĐ MT Sông Lũy 1 MBA T1 (phía 110kV)</v>
          </cell>
          <cell r="F2151">
            <v>-37.200000000000003</v>
          </cell>
          <cell r="H2151">
            <v>-33.9</v>
          </cell>
          <cell r="I2151">
            <v>-30.1</v>
          </cell>
          <cell r="J2151">
            <v>-32.9</v>
          </cell>
          <cell r="K2151">
            <v>-37.200000000000003</v>
          </cell>
          <cell r="L2151">
            <v>-27.2</v>
          </cell>
          <cell r="M2151">
            <v>-23.9</v>
          </cell>
        </row>
        <row r="2152">
          <cell r="C2152" t="str">
            <v>NMĐ MT Sông Lũy 1 MBA T1 (phía 22kV)</v>
          </cell>
          <cell r="F2152">
            <v>37.299999999999997</v>
          </cell>
          <cell r="H2152">
            <v>34.1</v>
          </cell>
          <cell r="I2152">
            <v>30.1</v>
          </cell>
          <cell r="J2152">
            <v>32.9</v>
          </cell>
          <cell r="K2152">
            <v>37.299999999999997</v>
          </cell>
          <cell r="L2152">
            <v>27.2</v>
          </cell>
          <cell r="M2152">
            <v>24</v>
          </cell>
        </row>
        <row r="2153">
          <cell r="C2153" t="str">
            <v>110kV 171 NMĐ MT SP Infra 1 - 176 Ninh Phước</v>
          </cell>
          <cell r="F2153">
            <v>38.200000000000003</v>
          </cell>
          <cell r="H2153">
            <v>38.200000000000003</v>
          </cell>
          <cell r="I2153">
            <v>30.7</v>
          </cell>
          <cell r="J2153">
            <v>35.6</v>
          </cell>
          <cell r="K2153">
            <v>28.2</v>
          </cell>
          <cell r="L2153">
            <v>34</v>
          </cell>
          <cell r="M2153">
            <v>37.6</v>
          </cell>
        </row>
        <row r="2154">
          <cell r="C2154" t="str">
            <v>NMĐ MT SP Infra 1 MBA T1 (phía 110kV)</v>
          </cell>
          <cell r="F2154">
            <v>-38.4</v>
          </cell>
          <cell r="H2154">
            <v>-38.4</v>
          </cell>
          <cell r="I2154">
            <v>-31</v>
          </cell>
          <cell r="J2154">
            <v>-35.9</v>
          </cell>
          <cell r="K2154">
            <v>-28.4</v>
          </cell>
          <cell r="L2154">
            <v>-34.200000000000003</v>
          </cell>
          <cell r="M2154">
            <v>-37.799999999999997</v>
          </cell>
        </row>
        <row r="2155">
          <cell r="C2155" t="str">
            <v>NMĐ MT SP Infra 1 MBA T1 (phía 22kV)</v>
          </cell>
          <cell r="F2155">
            <v>38.6</v>
          </cell>
          <cell r="H2155">
            <v>38.6</v>
          </cell>
          <cell r="I2155">
            <v>31.3</v>
          </cell>
          <cell r="J2155">
            <v>36</v>
          </cell>
          <cell r="K2155">
            <v>28.6</v>
          </cell>
          <cell r="L2155">
            <v>34.4</v>
          </cell>
          <cell r="M2155">
            <v>38.1</v>
          </cell>
        </row>
        <row r="2156">
          <cell r="C2156" t="str">
            <v>110kV 171 NMĐ MT Tân Châu 1 - 176 trạm cắt Tây Ninh 1</v>
          </cell>
          <cell r="F2156">
            <v>38.9</v>
          </cell>
          <cell r="H2156">
            <v>38.9</v>
          </cell>
          <cell r="I2156">
            <v>33.6</v>
          </cell>
          <cell r="J2156">
            <v>34.4</v>
          </cell>
          <cell r="K2156">
            <v>38.1</v>
          </cell>
          <cell r="L2156">
            <v>24.6</v>
          </cell>
          <cell r="M2156">
            <v>37.299999999999997</v>
          </cell>
        </row>
        <row r="2157">
          <cell r="C2157" t="str">
            <v>NMĐ MT Tân Châu 1 MBA T1 (phía 22kV)</v>
          </cell>
          <cell r="F2157">
            <v>39.1</v>
          </cell>
          <cell r="H2157">
            <v>39.1</v>
          </cell>
          <cell r="I2157">
            <v>33.799999999999997</v>
          </cell>
          <cell r="J2157">
            <v>34.6</v>
          </cell>
          <cell r="K2157">
            <v>38.299999999999997</v>
          </cell>
          <cell r="L2157">
            <v>24.7</v>
          </cell>
          <cell r="M2157">
            <v>37.5</v>
          </cell>
        </row>
        <row r="2158">
          <cell r="C2158" t="str">
            <v>NMĐ MT Thác Mơ MBA T5 (phía 110kV)</v>
          </cell>
          <cell r="F2158">
            <v>-38.1</v>
          </cell>
          <cell r="H2158">
            <v>-38.1</v>
          </cell>
          <cell r="I2158">
            <v>-24.1</v>
          </cell>
          <cell r="J2158">
            <v>-33.6</v>
          </cell>
          <cell r="K2158">
            <v>-37.700000000000003</v>
          </cell>
          <cell r="L2158">
            <v>-29.8</v>
          </cell>
          <cell r="M2158">
            <v>-25.9</v>
          </cell>
        </row>
        <row r="2159">
          <cell r="C2159" t="str">
            <v>NMĐ MT Thác Mơ MBA T5 (phía 22kV)</v>
          </cell>
          <cell r="F2159">
            <v>38</v>
          </cell>
          <cell r="H2159">
            <v>38</v>
          </cell>
          <cell r="I2159">
            <v>24.1</v>
          </cell>
          <cell r="J2159">
            <v>33.5</v>
          </cell>
          <cell r="K2159">
            <v>37.6</v>
          </cell>
          <cell r="L2159">
            <v>29.8</v>
          </cell>
          <cell r="M2159">
            <v>25.9</v>
          </cell>
        </row>
        <row r="2160">
          <cell r="C2160" t="str">
            <v>NMĐ MT Thiện Tân 1.2 MBA T1 (phía 220kV)</v>
          </cell>
          <cell r="F2160">
            <v>37</v>
          </cell>
          <cell r="H2160">
            <v>34.299999999999997</v>
          </cell>
          <cell r="I2160">
            <v>20.8</v>
          </cell>
          <cell r="J2160">
            <v>36.299999999999997</v>
          </cell>
          <cell r="K2160">
            <v>37</v>
          </cell>
          <cell r="L2160">
            <v>29.8</v>
          </cell>
          <cell r="M2160">
            <v>29.5</v>
          </cell>
        </row>
        <row r="2161">
          <cell r="C2161" t="str">
            <v>NMĐ MT Thiện Tân 1.2 MBA T1 (phía 22kV)</v>
          </cell>
          <cell r="F2161">
            <v>19</v>
          </cell>
          <cell r="H2161">
            <v>17.100000000000001</v>
          </cell>
          <cell r="I2161">
            <v>10.1</v>
          </cell>
          <cell r="J2161">
            <v>18.2</v>
          </cell>
          <cell r="K2161">
            <v>19</v>
          </cell>
          <cell r="L2161">
            <v>14.8</v>
          </cell>
          <cell r="M2161">
            <v>16.399999999999999</v>
          </cell>
        </row>
        <row r="2162">
          <cell r="C2162" t="str">
            <v>NMĐ MT Thiên Tân 1.3 MBA T1 (phía 220kV)</v>
          </cell>
          <cell r="E2162">
            <v>0</v>
          </cell>
          <cell r="F2162">
            <v>-6.4</v>
          </cell>
          <cell r="H2162">
            <v>-6.1</v>
          </cell>
          <cell r="I2162">
            <v>-6.4</v>
          </cell>
          <cell r="J2162">
            <v>-5.9</v>
          </cell>
          <cell r="K2162">
            <v>0</v>
          </cell>
          <cell r="L2162">
            <v>-5.8</v>
          </cell>
          <cell r="M2162">
            <v>0</v>
          </cell>
        </row>
        <row r="2163">
          <cell r="C2163" t="str">
            <v>NMĐ MT Thiên Tân 1.3 MBA T1 (phía 22kV)</v>
          </cell>
          <cell r="E2163">
            <v>0</v>
          </cell>
          <cell r="F2163">
            <v>6.4</v>
          </cell>
          <cell r="H2163">
            <v>6.2</v>
          </cell>
          <cell r="I2163">
            <v>6.4</v>
          </cell>
          <cell r="J2163">
            <v>6</v>
          </cell>
          <cell r="K2163">
            <v>0</v>
          </cell>
          <cell r="L2163">
            <v>5.9</v>
          </cell>
          <cell r="M2163">
            <v>0</v>
          </cell>
        </row>
        <row r="2164">
          <cell r="C2164" t="str">
            <v>220kV 271 NMĐ MT Thiên Tân Solar Ninh Thuận - 273 NMĐ MT Xuân Thiện Thuận Bắc GĐ1</v>
          </cell>
          <cell r="F2164">
            <v>-281.10000000000002</v>
          </cell>
          <cell r="H2164">
            <v>-205.2</v>
          </cell>
          <cell r="I2164">
            <v>-210.7</v>
          </cell>
          <cell r="J2164">
            <v>-252.5</v>
          </cell>
          <cell r="K2164">
            <v>-202.2</v>
          </cell>
          <cell r="L2164">
            <v>-281.10000000000002</v>
          </cell>
          <cell r="M2164">
            <v>-208.9</v>
          </cell>
        </row>
        <row r="2165">
          <cell r="C2165" t="str">
            <v>220kV 272 NMĐ MT Thiên Tân Solar Ninh Thuận - 274 Nha Trang</v>
          </cell>
          <cell r="F2165">
            <v>280.8</v>
          </cell>
          <cell r="H2165">
            <v>222</v>
          </cell>
          <cell r="I2165">
            <v>210.3</v>
          </cell>
          <cell r="J2165">
            <v>252.5</v>
          </cell>
          <cell r="K2165">
            <v>202.4</v>
          </cell>
          <cell r="L2165">
            <v>280.8</v>
          </cell>
          <cell r="M2165">
            <v>207.9</v>
          </cell>
        </row>
        <row r="2166">
          <cell r="C2166" t="str">
            <v>NMĐ MT Thiên Tân Solar Ninh Thuận MBA T1 (phía 220kV)</v>
          </cell>
          <cell r="F2166">
            <v>-21</v>
          </cell>
          <cell r="H2166">
            <v>-21</v>
          </cell>
          <cell r="I2166">
            <v>-14.4</v>
          </cell>
          <cell r="J2166">
            <v>-20.5</v>
          </cell>
          <cell r="K2166">
            <v>-12.1</v>
          </cell>
          <cell r="L2166">
            <v>-20.8</v>
          </cell>
          <cell r="M2166">
            <v>-20.7</v>
          </cell>
        </row>
        <row r="2167">
          <cell r="C2167" t="str">
            <v>NMĐ MT Thiên Tân Solar Ninh Thuận MBA T2 (phía 220kV)</v>
          </cell>
          <cell r="F2167">
            <v>-18.600000000000001</v>
          </cell>
          <cell r="H2167">
            <v>-18.600000000000001</v>
          </cell>
          <cell r="I2167">
            <v>-13.1</v>
          </cell>
          <cell r="J2167">
            <v>-17.8</v>
          </cell>
          <cell r="K2167">
            <v>-13.6</v>
          </cell>
          <cell r="L2167">
            <v>-18.5</v>
          </cell>
          <cell r="M2167">
            <v>-18.399999999999999</v>
          </cell>
        </row>
        <row r="2168">
          <cell r="C2168" t="str">
            <v>NMĐ MT Thiên Tân Solar Ninh Thuận MBA T1 (phía 35kV)</v>
          </cell>
          <cell r="F2168">
            <v>21.4</v>
          </cell>
          <cell r="H2168">
            <v>21.4</v>
          </cell>
          <cell r="I2168">
            <v>14.7</v>
          </cell>
          <cell r="J2168">
            <v>20.9</v>
          </cell>
          <cell r="K2168">
            <v>12.4</v>
          </cell>
          <cell r="L2168">
            <v>20.9</v>
          </cell>
          <cell r="M2168">
            <v>21.4</v>
          </cell>
        </row>
        <row r="2169">
          <cell r="C2169" t="str">
            <v>NMĐ MT Thiên Tân Solar Ninh Thuận MBA T2 (phía 35kV)</v>
          </cell>
          <cell r="F2169">
            <v>19.3</v>
          </cell>
          <cell r="H2169">
            <v>19.3</v>
          </cell>
          <cell r="I2169">
            <v>13</v>
          </cell>
          <cell r="J2169">
            <v>18.3</v>
          </cell>
          <cell r="K2169">
            <v>14.3</v>
          </cell>
          <cell r="L2169">
            <v>19</v>
          </cell>
          <cell r="M2169">
            <v>18.7</v>
          </cell>
        </row>
        <row r="2170">
          <cell r="C2170" t="str">
            <v>110kV 171 NMĐ MT Thuận Minh 2 - 173 Ma Lâm</v>
          </cell>
          <cell r="F2170">
            <v>35.200000000000003</v>
          </cell>
          <cell r="H2170">
            <v>33</v>
          </cell>
          <cell r="I2170">
            <v>23.9</v>
          </cell>
          <cell r="J2170">
            <v>22.5</v>
          </cell>
          <cell r="K2170">
            <v>35.200000000000003</v>
          </cell>
          <cell r="L2170">
            <v>22</v>
          </cell>
          <cell r="M2170">
            <v>25.7</v>
          </cell>
        </row>
        <row r="2171">
          <cell r="C2171" t="str">
            <v>NMĐ MT Thuận Minh 2 MBA T1 (phía 110kV)</v>
          </cell>
          <cell r="F2171">
            <v>-35.700000000000003</v>
          </cell>
          <cell r="H2171">
            <v>-33.1</v>
          </cell>
          <cell r="I2171">
            <v>-24</v>
          </cell>
          <cell r="J2171">
            <v>-22.5</v>
          </cell>
          <cell r="K2171">
            <v>-35.700000000000003</v>
          </cell>
          <cell r="L2171">
            <v>-22.1</v>
          </cell>
          <cell r="M2171">
            <v>-25</v>
          </cell>
        </row>
        <row r="2172">
          <cell r="C2172" t="str">
            <v>NMĐ MT Thuận Minh 2 MBA T1 (phía 22kV)</v>
          </cell>
          <cell r="F2172">
            <v>35.700000000000003</v>
          </cell>
          <cell r="H2172">
            <v>33.1</v>
          </cell>
          <cell r="I2172">
            <v>24</v>
          </cell>
          <cell r="J2172">
            <v>22.5</v>
          </cell>
          <cell r="K2172">
            <v>35.700000000000003</v>
          </cell>
          <cell r="L2172">
            <v>22.1</v>
          </cell>
          <cell r="M2172">
            <v>25.1</v>
          </cell>
        </row>
        <row r="2173">
          <cell r="C2173" t="str">
            <v>NMĐ MT Thuận Nam 12 MBA T1 (phía 220kV)</v>
          </cell>
          <cell r="F2173">
            <v>-39</v>
          </cell>
          <cell r="H2173">
            <v>-38.9</v>
          </cell>
          <cell r="I2173">
            <v>-29.7</v>
          </cell>
          <cell r="J2173">
            <v>-37.1</v>
          </cell>
          <cell r="K2173">
            <v>-39</v>
          </cell>
          <cell r="L2173">
            <v>-35.299999999999997</v>
          </cell>
          <cell r="M2173">
            <v>-32.299999999999997</v>
          </cell>
        </row>
        <row r="2174">
          <cell r="C2174" t="str">
            <v>220kV 271 NMĐ MT Thuận Nam 12 - 272 NMĐ MT Nhị Hà</v>
          </cell>
          <cell r="F2174">
            <v>39</v>
          </cell>
          <cell r="H2174">
            <v>39</v>
          </cell>
          <cell r="I2174">
            <v>29.7</v>
          </cell>
          <cell r="J2174">
            <v>37.1</v>
          </cell>
          <cell r="K2174">
            <v>39</v>
          </cell>
          <cell r="L2174">
            <v>35.299999999999997</v>
          </cell>
          <cell r="M2174">
            <v>32.299999999999997</v>
          </cell>
        </row>
        <row r="2175">
          <cell r="C2175" t="str">
            <v>NMĐ MT Thuận Nam 12 MBA T1 (phía 22kV)</v>
          </cell>
          <cell r="F2175">
            <v>39.200000000000003</v>
          </cell>
          <cell r="H2175">
            <v>39.200000000000003</v>
          </cell>
          <cell r="I2175">
            <v>29.8</v>
          </cell>
          <cell r="J2175">
            <v>37.299999999999997</v>
          </cell>
          <cell r="K2175">
            <v>39.200000000000003</v>
          </cell>
          <cell r="L2175">
            <v>35.5</v>
          </cell>
          <cell r="M2175">
            <v>32.5</v>
          </cell>
        </row>
        <row r="2176">
          <cell r="C2176" t="str">
            <v>110kV 171 NMĐ MT Thuận Nam 19 - 172 NMĐ MT Adani Phước Minh</v>
          </cell>
          <cell r="F2176">
            <v>112.4</v>
          </cell>
          <cell r="H2176">
            <v>112.4</v>
          </cell>
          <cell r="I2176">
            <v>78.599999999999994</v>
          </cell>
          <cell r="J2176">
            <v>89.7</v>
          </cell>
          <cell r="K2176">
            <v>91.3</v>
          </cell>
          <cell r="L2176">
            <v>90.1</v>
          </cell>
          <cell r="M2176">
            <v>88.4</v>
          </cell>
        </row>
        <row r="2177">
          <cell r="C2177" t="str">
            <v>110kV 172 NMĐ MT Thuận Nam 19 - 171 NMĐ MT Bim</v>
          </cell>
          <cell r="F2177">
            <v>-81.400000000000006</v>
          </cell>
          <cell r="H2177">
            <v>-81.400000000000006</v>
          </cell>
          <cell r="I2177">
            <v>-51.9</v>
          </cell>
          <cell r="J2177">
            <v>-62.8</v>
          </cell>
          <cell r="K2177">
            <v>-67.400000000000006</v>
          </cell>
          <cell r="L2177">
            <v>-59.6</v>
          </cell>
          <cell r="M2177">
            <v>-68.2</v>
          </cell>
        </row>
        <row r="2178">
          <cell r="C2178" t="str">
            <v>NMĐ MT Thuận Nam 19 MBA T1 (phía 110kV)</v>
          </cell>
          <cell r="F2178">
            <v>-32.799999999999997</v>
          </cell>
          <cell r="H2178">
            <v>-32.799999999999997</v>
          </cell>
          <cell r="I2178">
            <v>-26.6</v>
          </cell>
          <cell r="J2178">
            <v>-31.2</v>
          </cell>
          <cell r="K2178">
            <v>-28.7</v>
          </cell>
          <cell r="L2178">
            <v>-30.5</v>
          </cell>
          <cell r="M2178">
            <v>-32.200000000000003</v>
          </cell>
        </row>
        <row r="2179">
          <cell r="C2179" t="str">
            <v>NMĐ MT Thuận Nam 19 MBA T1 (phía 22kV)</v>
          </cell>
          <cell r="F2179">
            <v>32.9</v>
          </cell>
          <cell r="H2179">
            <v>32.9</v>
          </cell>
          <cell r="I2179">
            <v>26.6</v>
          </cell>
          <cell r="J2179">
            <v>31.2</v>
          </cell>
          <cell r="K2179">
            <v>28.7</v>
          </cell>
          <cell r="L2179">
            <v>30.8</v>
          </cell>
          <cell r="M2179">
            <v>32.200000000000003</v>
          </cell>
        </row>
        <row r="2180">
          <cell r="C2180" t="str">
            <v>220kV 271 NMĐ MT Thuận Nam Đức Long - 277 NMĐ MT Nhị Hà</v>
          </cell>
          <cell r="F2180">
            <v>39.799999999999997</v>
          </cell>
          <cell r="H2180">
            <v>39</v>
          </cell>
          <cell r="I2180">
            <v>23.3</v>
          </cell>
          <cell r="J2180">
            <v>37.700000000000003</v>
          </cell>
          <cell r="K2180">
            <v>37.1</v>
          </cell>
          <cell r="L2180">
            <v>34.9</v>
          </cell>
          <cell r="M2180">
            <v>39.799999999999997</v>
          </cell>
        </row>
        <row r="2181">
          <cell r="C2181" t="str">
            <v>NMĐ MT Thuận Nam Đức Long MBA T1 (phía 220kV)</v>
          </cell>
          <cell r="F2181">
            <v>-40.1</v>
          </cell>
          <cell r="H2181">
            <v>-39.299999999999997</v>
          </cell>
          <cell r="I2181">
            <v>-23.4</v>
          </cell>
          <cell r="J2181">
            <v>-38.1</v>
          </cell>
          <cell r="K2181">
            <v>-37.4</v>
          </cell>
          <cell r="L2181">
            <v>-35.200000000000003</v>
          </cell>
          <cell r="M2181">
            <v>-40.1</v>
          </cell>
        </row>
        <row r="2182">
          <cell r="C2182" t="str">
            <v>NMĐ MT Thuận Nam Đức Long MBA T1 (phía 22kV)</v>
          </cell>
          <cell r="F2182">
            <v>40.1</v>
          </cell>
          <cell r="H2182">
            <v>39.6</v>
          </cell>
          <cell r="I2182">
            <v>23.6</v>
          </cell>
          <cell r="J2182">
            <v>38.299999999999997</v>
          </cell>
          <cell r="K2182">
            <v>37.6</v>
          </cell>
          <cell r="L2182">
            <v>35.5</v>
          </cell>
          <cell r="M2182">
            <v>40.1</v>
          </cell>
        </row>
        <row r="2183">
          <cell r="C2183" t="str">
            <v>NMĐ MT Trí Việt 1 MBA T1 (phía 110kV)</v>
          </cell>
          <cell r="F2183">
            <v>-22.4</v>
          </cell>
          <cell r="H2183">
            <v>-22.3</v>
          </cell>
          <cell r="I2183">
            <v>-20.5</v>
          </cell>
          <cell r="J2183">
            <v>-22</v>
          </cell>
          <cell r="K2183">
            <v>-22.4</v>
          </cell>
          <cell r="L2183">
            <v>-13.8</v>
          </cell>
          <cell r="M2183">
            <v>-22.1</v>
          </cell>
        </row>
        <row r="2184">
          <cell r="C2184" t="str">
            <v>NMĐ MT Trí Việt 1 MBA T1 (phía 22kV)</v>
          </cell>
          <cell r="F2184">
            <v>22.6</v>
          </cell>
          <cell r="H2184">
            <v>22.6</v>
          </cell>
          <cell r="I2184">
            <v>20.100000000000001</v>
          </cell>
          <cell r="J2184">
            <v>21.9</v>
          </cell>
          <cell r="K2184">
            <v>22.4</v>
          </cell>
          <cell r="L2184">
            <v>13.6</v>
          </cell>
          <cell r="M2184">
            <v>21.5</v>
          </cell>
        </row>
        <row r="2185">
          <cell r="C2185" t="str">
            <v>220kV 274 NMĐ MT Trung Nam - 279 Tháp Chàm 2</v>
          </cell>
          <cell r="F2185">
            <v>196.2</v>
          </cell>
          <cell r="H2185">
            <v>195</v>
          </cell>
          <cell r="I2185">
            <v>196.2</v>
          </cell>
          <cell r="J2185">
            <v>192.9</v>
          </cell>
          <cell r="K2185">
            <v>128.19999999999999</v>
          </cell>
          <cell r="L2185">
            <v>156.1</v>
          </cell>
          <cell r="M2185">
            <v>156.69999999999999</v>
          </cell>
        </row>
        <row r="2186">
          <cell r="C2186" t="str">
            <v>NMĐ MT Trung Nam MBA T1 (phía 220kV)</v>
          </cell>
          <cell r="F2186">
            <v>-98.1</v>
          </cell>
          <cell r="H2186">
            <v>-98.1</v>
          </cell>
          <cell r="I2186">
            <v>-96</v>
          </cell>
          <cell r="J2186">
            <v>-96.8</v>
          </cell>
          <cell r="K2186">
            <v>-68.7</v>
          </cell>
          <cell r="L2186">
            <v>-78.7</v>
          </cell>
          <cell r="M2186">
            <v>-81.3</v>
          </cell>
        </row>
        <row r="2187">
          <cell r="C2187" t="str">
            <v>NMĐ MT Trung Nam MBA T2 (phía 220kV)</v>
          </cell>
          <cell r="F2187">
            <v>-99.8</v>
          </cell>
          <cell r="H2187">
            <v>-97</v>
          </cell>
          <cell r="I2187">
            <v>-99.8</v>
          </cell>
          <cell r="J2187">
            <v>-95.8</v>
          </cell>
          <cell r="K2187">
            <v>-60.4</v>
          </cell>
          <cell r="L2187">
            <v>-76.599999999999994</v>
          </cell>
          <cell r="M2187">
            <v>-76.099999999999994</v>
          </cell>
        </row>
        <row r="2188">
          <cell r="C2188" t="str">
            <v>NMĐ MT Trung Nam MBA T1 (phía 35kV)</v>
          </cell>
          <cell r="F2188">
            <v>99</v>
          </cell>
          <cell r="H2188">
            <v>99</v>
          </cell>
          <cell r="I2188">
            <v>97.1</v>
          </cell>
          <cell r="J2188">
            <v>98</v>
          </cell>
          <cell r="K2188">
            <v>69.5</v>
          </cell>
          <cell r="L2188">
            <v>79.5</v>
          </cell>
          <cell r="M2188">
            <v>82.2</v>
          </cell>
        </row>
        <row r="2189">
          <cell r="C2189" t="str">
            <v>NMĐ MT Trung Nam MBA T2 (phía 35kV)</v>
          </cell>
          <cell r="F2189">
            <v>100.8</v>
          </cell>
          <cell r="H2189">
            <v>98.3</v>
          </cell>
          <cell r="I2189">
            <v>100.8</v>
          </cell>
          <cell r="J2189">
            <v>96.8</v>
          </cell>
          <cell r="K2189">
            <v>60.3</v>
          </cell>
          <cell r="L2189">
            <v>77.400000000000006</v>
          </cell>
          <cell r="M2189">
            <v>76.8</v>
          </cell>
        </row>
        <row r="2190">
          <cell r="C2190" t="str">
            <v>220kV 273 NMĐ MT Trung Nam Trà Vinh - 275 Duyên Hải</v>
          </cell>
          <cell r="F2190">
            <v>122.3</v>
          </cell>
          <cell r="H2190">
            <v>122.3</v>
          </cell>
          <cell r="I2190">
            <v>89.3</v>
          </cell>
          <cell r="J2190">
            <v>100</v>
          </cell>
          <cell r="K2190">
            <v>102.1</v>
          </cell>
          <cell r="L2190">
            <v>86.7</v>
          </cell>
          <cell r="M2190">
            <v>105.2</v>
          </cell>
        </row>
        <row r="2191">
          <cell r="C2191" t="str">
            <v>NMĐ MT Trung Nam Trà Vinh MBA T1 (phía 220kV)</v>
          </cell>
          <cell r="F2191">
            <v>-58.5</v>
          </cell>
          <cell r="H2191">
            <v>-58.5</v>
          </cell>
          <cell r="I2191">
            <v>-44</v>
          </cell>
          <cell r="J2191">
            <v>-48.5</v>
          </cell>
          <cell r="K2191">
            <v>-52.8</v>
          </cell>
          <cell r="L2191">
            <v>-49.8</v>
          </cell>
          <cell r="M2191">
            <v>-50.8</v>
          </cell>
        </row>
        <row r="2192">
          <cell r="C2192" t="str">
            <v>NMĐ MT Trung Nam Trà Vinh MBA T2 (phía 220kV)</v>
          </cell>
          <cell r="F2192">
            <v>-63.4</v>
          </cell>
          <cell r="H2192">
            <v>-63.4</v>
          </cell>
          <cell r="I2192">
            <v>-45</v>
          </cell>
          <cell r="J2192">
            <v>-51.4</v>
          </cell>
          <cell r="K2192">
            <v>-59.7</v>
          </cell>
          <cell r="L2192">
            <v>-39.799999999999997</v>
          </cell>
          <cell r="M2192">
            <v>-54</v>
          </cell>
        </row>
        <row r="2193">
          <cell r="C2193" t="str">
            <v>NMĐ MT Trung Nam Trà Vinh MBA T1 (phía 35kV)</v>
          </cell>
          <cell r="F2193">
            <v>59.2</v>
          </cell>
          <cell r="H2193">
            <v>59.2</v>
          </cell>
          <cell r="I2193">
            <v>44.4</v>
          </cell>
          <cell r="J2193">
            <v>48.7</v>
          </cell>
          <cell r="K2193">
            <v>52.9</v>
          </cell>
          <cell r="L2193">
            <v>50.2</v>
          </cell>
          <cell r="M2193">
            <v>51.3</v>
          </cell>
        </row>
        <row r="2194">
          <cell r="C2194" t="str">
            <v>NMĐ MT Trung Nam Trà Vinh MBA T2 (phía 35kV)</v>
          </cell>
          <cell r="F2194">
            <v>64.2</v>
          </cell>
          <cell r="H2194">
            <v>64.2</v>
          </cell>
          <cell r="I2194">
            <v>45.2</v>
          </cell>
          <cell r="J2194">
            <v>51.6</v>
          </cell>
          <cell r="K2194">
            <v>59.6</v>
          </cell>
          <cell r="L2194">
            <v>40.200000000000003</v>
          </cell>
          <cell r="M2194">
            <v>54.5</v>
          </cell>
        </row>
        <row r="2195">
          <cell r="C2195" t="str">
            <v>110kV 171 NMĐ MT TTC Đức Huệ 1 - 175 Đức Huệ</v>
          </cell>
          <cell r="F2195">
            <v>39.700000000000003</v>
          </cell>
          <cell r="H2195">
            <v>36.9</v>
          </cell>
          <cell r="I2195">
            <v>21</v>
          </cell>
          <cell r="J2195">
            <v>34</v>
          </cell>
          <cell r="K2195">
            <v>39.700000000000003</v>
          </cell>
          <cell r="L2195">
            <v>22.6</v>
          </cell>
          <cell r="M2195">
            <v>27.1</v>
          </cell>
        </row>
        <row r="2196">
          <cell r="C2196" t="str">
            <v>NMĐ MT TTC Đức Huệ 1 MBA T1 (phía 110kV)</v>
          </cell>
          <cell r="F2196">
            <v>-39.9</v>
          </cell>
          <cell r="H2196">
            <v>-37</v>
          </cell>
          <cell r="I2196">
            <v>-21.1</v>
          </cell>
          <cell r="J2196">
            <v>-33.9</v>
          </cell>
          <cell r="K2196">
            <v>-39.9</v>
          </cell>
          <cell r="L2196">
            <v>-22.6</v>
          </cell>
          <cell r="M2196">
            <v>-27.1</v>
          </cell>
        </row>
        <row r="2197">
          <cell r="C2197" t="str">
            <v>NMĐ MT TTC Đức Huệ 1 MBA T1 (phía 22kV)</v>
          </cell>
          <cell r="F2197">
            <v>39.9</v>
          </cell>
          <cell r="H2197">
            <v>37</v>
          </cell>
          <cell r="I2197">
            <v>21.1</v>
          </cell>
          <cell r="J2197">
            <v>34</v>
          </cell>
          <cell r="K2197">
            <v>39.9</v>
          </cell>
          <cell r="L2197">
            <v>22.7</v>
          </cell>
          <cell r="M2197">
            <v>26.4</v>
          </cell>
        </row>
        <row r="2198">
          <cell r="C2198" t="str">
            <v>110kV 171 NMĐ MT TTC1 - 177 Đức Hòa 2</v>
          </cell>
          <cell r="F2198">
            <v>48.1</v>
          </cell>
          <cell r="H2198">
            <v>48.1</v>
          </cell>
          <cell r="I2198">
            <v>30.4</v>
          </cell>
          <cell r="J2198">
            <v>48.1</v>
          </cell>
          <cell r="K2198">
            <v>44</v>
          </cell>
          <cell r="L2198">
            <v>37.6</v>
          </cell>
          <cell r="M2198">
            <v>-41</v>
          </cell>
        </row>
        <row r="2199">
          <cell r="C2199" t="str">
            <v>110kV 172 NMĐ MT TTC1 - 171 Thành Công</v>
          </cell>
          <cell r="F2199">
            <v>58.8</v>
          </cell>
          <cell r="H2199">
            <v>36.1</v>
          </cell>
          <cell r="I2199">
            <v>21.5</v>
          </cell>
          <cell r="J2199">
            <v>35.4</v>
          </cell>
          <cell r="K2199">
            <v>37.299999999999997</v>
          </cell>
          <cell r="L2199">
            <v>28</v>
          </cell>
          <cell r="M2199">
            <v>58.8</v>
          </cell>
        </row>
        <row r="2200">
          <cell r="C2200" t="str">
            <v>NMĐ MT TTC1 MBA T1 (phía 110kV)</v>
          </cell>
          <cell r="F2200">
            <v>-48.2</v>
          </cell>
          <cell r="H2200">
            <v>-48.1</v>
          </cell>
          <cell r="I2200">
            <v>-30.5</v>
          </cell>
          <cell r="J2200">
            <v>-48.2</v>
          </cell>
          <cell r="K2200">
            <v>-43.7</v>
          </cell>
          <cell r="L2200">
            <v>-37.5</v>
          </cell>
          <cell r="M2200">
            <v>-45.6</v>
          </cell>
        </row>
        <row r="2201">
          <cell r="C2201" t="str">
            <v>NMĐ MT TTC1 MBA T1 (phía 22kV)</v>
          </cell>
          <cell r="F2201">
            <v>48.7</v>
          </cell>
          <cell r="H2201">
            <v>48.5</v>
          </cell>
          <cell r="I2201">
            <v>30.6</v>
          </cell>
          <cell r="J2201">
            <v>48.7</v>
          </cell>
          <cell r="K2201">
            <v>45.4</v>
          </cell>
          <cell r="L2201">
            <v>38</v>
          </cell>
          <cell r="M2201">
            <v>45.8</v>
          </cell>
        </row>
        <row r="2202">
          <cell r="C2202" t="str">
            <v>NMĐ MT TTC2 MBA T2 (phía 110kV)</v>
          </cell>
          <cell r="F2202">
            <v>-37.5</v>
          </cell>
          <cell r="H2202">
            <v>-36.1</v>
          </cell>
          <cell r="I2202">
            <v>-21.5</v>
          </cell>
          <cell r="J2202">
            <v>-35.299999999999997</v>
          </cell>
          <cell r="K2202">
            <v>-37.200000000000003</v>
          </cell>
          <cell r="L2202">
            <v>-28</v>
          </cell>
          <cell r="M2202">
            <v>-37.5</v>
          </cell>
        </row>
        <row r="2203">
          <cell r="C2203" t="str">
            <v>NMĐ MT TTC2 MBA T2 (phía 22kV)</v>
          </cell>
          <cell r="F2203">
            <v>38.200000000000003</v>
          </cell>
          <cell r="H2203">
            <v>36.700000000000003</v>
          </cell>
          <cell r="I2203">
            <v>21.5</v>
          </cell>
          <cell r="J2203">
            <v>35.700000000000003</v>
          </cell>
          <cell r="K2203">
            <v>37.5</v>
          </cell>
          <cell r="L2203">
            <v>28.3</v>
          </cell>
          <cell r="M2203">
            <v>38.200000000000003</v>
          </cell>
        </row>
        <row r="2204">
          <cell r="C2204" t="str">
            <v>110kV 171 NMĐ MT Tuy Phong - 171 NMĐ Gió Phú Lạc</v>
          </cell>
          <cell r="F2204">
            <v>101.7</v>
          </cell>
          <cell r="H2204">
            <v>101.7</v>
          </cell>
          <cell r="I2204">
            <v>84</v>
          </cell>
          <cell r="J2204">
            <v>98.4</v>
          </cell>
          <cell r="K2204">
            <v>96.5</v>
          </cell>
          <cell r="L2204">
            <v>96.9</v>
          </cell>
          <cell r="M2204">
            <v>94.5</v>
          </cell>
        </row>
        <row r="2205">
          <cell r="C2205" t="str">
            <v>110kV 172 NMĐ MT Tuy Phong - 172 NMĐ MT VSP Bình Thuận II</v>
          </cell>
          <cell r="F2205">
            <v>-77.599999999999994</v>
          </cell>
          <cell r="H2205">
            <v>-77.599999999999994</v>
          </cell>
          <cell r="I2205">
            <v>-63.3</v>
          </cell>
          <cell r="J2205">
            <v>-73.7</v>
          </cell>
          <cell r="K2205">
            <v>-75</v>
          </cell>
          <cell r="L2205">
            <v>-71.7</v>
          </cell>
          <cell r="M2205">
            <v>-69.8</v>
          </cell>
        </row>
        <row r="2206">
          <cell r="C2206" t="str">
            <v>NMĐ MT Tuy Phong MBA T1 (phía 110kV)</v>
          </cell>
          <cell r="F2206">
            <v>-28.5</v>
          </cell>
          <cell r="H2206">
            <v>-28.5</v>
          </cell>
          <cell r="I2206">
            <v>-21.2</v>
          </cell>
          <cell r="J2206">
            <v>-26.5</v>
          </cell>
          <cell r="K2206">
            <v>-25.3</v>
          </cell>
          <cell r="L2206">
            <v>-25.5</v>
          </cell>
          <cell r="M2206">
            <v>-25.1</v>
          </cell>
        </row>
        <row r="2207">
          <cell r="C2207" t="str">
            <v>NMĐ MT Tuy Phong MBA T1 (phía 22kV)</v>
          </cell>
          <cell r="F2207">
            <v>28.6</v>
          </cell>
          <cell r="H2207">
            <v>28.6</v>
          </cell>
          <cell r="I2207">
            <v>21.5</v>
          </cell>
          <cell r="J2207">
            <v>26.6</v>
          </cell>
          <cell r="K2207">
            <v>25.5</v>
          </cell>
          <cell r="L2207">
            <v>25.7</v>
          </cell>
          <cell r="M2207">
            <v>25.3</v>
          </cell>
        </row>
        <row r="2208">
          <cell r="C2208" t="str">
            <v>110kV 172 NMĐ MT Văn Giáo 1 - 173 Tịnh Biên</v>
          </cell>
          <cell r="F2208">
            <v>62.3</v>
          </cell>
          <cell r="H2208">
            <v>43</v>
          </cell>
          <cell r="I2208">
            <v>41.1</v>
          </cell>
          <cell r="J2208">
            <v>40.200000000000003</v>
          </cell>
          <cell r="K2208">
            <v>48</v>
          </cell>
          <cell r="L2208">
            <v>41.5</v>
          </cell>
          <cell r="M2208">
            <v>62.3</v>
          </cell>
        </row>
        <row r="2209">
          <cell r="C2209" t="str">
            <v>NMĐ MT Văn Giáo 1 MBA T1 (phía 110kV)</v>
          </cell>
          <cell r="F2209">
            <v>-34.700000000000003</v>
          </cell>
          <cell r="H2209">
            <v>-21.2</v>
          </cell>
          <cell r="I2209">
            <v>-20.2</v>
          </cell>
          <cell r="J2209">
            <v>-21.5</v>
          </cell>
          <cell r="K2209">
            <v>-24.2</v>
          </cell>
          <cell r="L2209">
            <v>-20.8</v>
          </cell>
          <cell r="M2209">
            <v>-34.700000000000003</v>
          </cell>
        </row>
        <row r="2210">
          <cell r="C2210" t="str">
            <v>NMĐ MT Văn Giáo 1 MBA T1 (phía 22kV)</v>
          </cell>
          <cell r="F2210">
            <v>35</v>
          </cell>
          <cell r="H2210">
            <v>21.3</v>
          </cell>
          <cell r="I2210">
            <v>19.899999999999999</v>
          </cell>
          <cell r="J2210">
            <v>21.6</v>
          </cell>
          <cell r="K2210">
            <v>24.3</v>
          </cell>
          <cell r="L2210">
            <v>20.9</v>
          </cell>
          <cell r="M2210">
            <v>35</v>
          </cell>
        </row>
        <row r="2211">
          <cell r="C2211" t="str">
            <v>NMĐ MT Văn Giáo 2 MBA T2 (phía 110kV)</v>
          </cell>
          <cell r="F2211">
            <v>-27.7</v>
          </cell>
          <cell r="H2211">
            <v>-21.7</v>
          </cell>
          <cell r="I2211">
            <v>-24</v>
          </cell>
          <cell r="J2211">
            <v>-19.399999999999999</v>
          </cell>
          <cell r="K2211">
            <v>-24.4</v>
          </cell>
          <cell r="L2211">
            <v>-20.7</v>
          </cell>
          <cell r="M2211">
            <v>-27.7</v>
          </cell>
        </row>
        <row r="2212">
          <cell r="C2212" t="str">
            <v>NMĐ MT Văn Giáo 2 MBA T2 (phía 22kV)</v>
          </cell>
          <cell r="F2212">
            <v>27.9</v>
          </cell>
          <cell r="H2212">
            <v>21.8</v>
          </cell>
          <cell r="I2212">
            <v>23.8</v>
          </cell>
          <cell r="J2212">
            <v>19.399999999999999</v>
          </cell>
          <cell r="K2212">
            <v>24.3</v>
          </cell>
          <cell r="L2212">
            <v>20.8</v>
          </cell>
          <cell r="M2212">
            <v>27.9</v>
          </cell>
        </row>
        <row r="2213">
          <cell r="C2213" t="str">
            <v>110kV 171 NMĐ MT Vĩnh Hảo - 171 NMĐ MT Vĩnh Hảo 4</v>
          </cell>
          <cell r="F2213">
            <v>-33.4</v>
          </cell>
          <cell r="H2213">
            <v>-33.4</v>
          </cell>
          <cell r="I2213">
            <v>-28</v>
          </cell>
          <cell r="J2213">
            <v>-31.5</v>
          </cell>
          <cell r="K2213">
            <v>-32.6</v>
          </cell>
          <cell r="L2213">
            <v>-32.299999999999997</v>
          </cell>
          <cell r="M2213">
            <v>-29.1</v>
          </cell>
        </row>
        <row r="2214">
          <cell r="C2214" t="str">
            <v>110kV 172 NMĐ MT Vĩnh Hảo - 171 NMĐ MT VSP Bình Thuận II</v>
          </cell>
          <cell r="F2214">
            <v>57.8</v>
          </cell>
          <cell r="H2214">
            <v>56.2</v>
          </cell>
          <cell r="I2214">
            <v>45.3</v>
          </cell>
          <cell r="J2214">
            <v>52.6</v>
          </cell>
          <cell r="K2214">
            <v>57.8</v>
          </cell>
          <cell r="L2214">
            <v>54.5</v>
          </cell>
          <cell r="M2214">
            <v>48.7</v>
          </cell>
        </row>
        <row r="2215">
          <cell r="C2215" t="str">
            <v>NMĐ MT Vĩnh Hảo MBA T1 (phía 110kV)</v>
          </cell>
          <cell r="F2215">
            <v>-25.5</v>
          </cell>
          <cell r="H2215">
            <v>-24.1</v>
          </cell>
          <cell r="I2215">
            <v>-18.899999999999999</v>
          </cell>
          <cell r="J2215">
            <v>-22.6</v>
          </cell>
          <cell r="K2215">
            <v>-25.5</v>
          </cell>
          <cell r="L2215">
            <v>-22.3</v>
          </cell>
          <cell r="M2215">
            <v>-21.9</v>
          </cell>
        </row>
        <row r="2216">
          <cell r="C2216" t="str">
            <v>NMĐ MT Vĩnh Hảo MBA T1 (phía 22kV)</v>
          </cell>
          <cell r="F2216">
            <v>25.7</v>
          </cell>
          <cell r="H2216">
            <v>24.2</v>
          </cell>
          <cell r="I2216">
            <v>19</v>
          </cell>
          <cell r="J2216">
            <v>22.8</v>
          </cell>
          <cell r="K2216">
            <v>25.7</v>
          </cell>
          <cell r="L2216">
            <v>22.5</v>
          </cell>
          <cell r="M2216">
            <v>22</v>
          </cell>
        </row>
        <row r="2217">
          <cell r="C2217" t="str">
            <v>110kV 171 NMĐ MT Vĩnh Hảo 4 - 171 NMĐ MT Vĩnh Hảo</v>
          </cell>
          <cell r="F2217">
            <v>33.1</v>
          </cell>
          <cell r="H2217">
            <v>33.1</v>
          </cell>
          <cell r="I2217">
            <v>27.6</v>
          </cell>
          <cell r="J2217">
            <v>31.1</v>
          </cell>
          <cell r="K2217">
            <v>32.6</v>
          </cell>
          <cell r="L2217">
            <v>31.9</v>
          </cell>
          <cell r="M2217">
            <v>28.8</v>
          </cell>
        </row>
        <row r="2218">
          <cell r="C2218" t="str">
            <v>110kV 172 NMĐ MT Vĩnh Hảo 4 - 173 trạm cắt Vĩnh Hải</v>
          </cell>
          <cell r="E2218">
            <v>0</v>
          </cell>
          <cell r="F2218">
            <v>0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</row>
        <row r="2219">
          <cell r="C2219" t="str">
            <v>NMĐ MT Vĩnh Hảo 4 MBA T1 (phía 110kV)</v>
          </cell>
          <cell r="F2219">
            <v>-16.5</v>
          </cell>
          <cell r="H2219">
            <v>-16.399999999999999</v>
          </cell>
          <cell r="I2219">
            <v>-14.1</v>
          </cell>
          <cell r="J2219">
            <v>-15.4</v>
          </cell>
          <cell r="K2219">
            <v>-16.5</v>
          </cell>
          <cell r="L2219">
            <v>-16</v>
          </cell>
          <cell r="M2219">
            <v>-14.2</v>
          </cell>
        </row>
        <row r="2220">
          <cell r="C2220" t="str">
            <v>NMĐ MT Vĩnh Hảo 4 MBA T2 (phía 110kV)</v>
          </cell>
          <cell r="F2220">
            <v>-16.899999999999999</v>
          </cell>
          <cell r="H2220">
            <v>-16.899999999999999</v>
          </cell>
          <cell r="I2220">
            <v>-13.8</v>
          </cell>
          <cell r="J2220">
            <v>-15.9</v>
          </cell>
          <cell r="K2220">
            <v>-16.100000000000001</v>
          </cell>
          <cell r="L2220">
            <v>-16</v>
          </cell>
          <cell r="M2220">
            <v>-14.7</v>
          </cell>
        </row>
        <row r="2221">
          <cell r="C2221" t="str">
            <v>NMĐ MT Vĩnh Hảo 4 MBA T1 (phía 22kV)</v>
          </cell>
          <cell r="F2221">
            <v>16.3</v>
          </cell>
          <cell r="H2221">
            <v>15.8</v>
          </cell>
          <cell r="I2221">
            <v>13.6</v>
          </cell>
          <cell r="J2221">
            <v>14.9</v>
          </cell>
          <cell r="K2221">
            <v>16.3</v>
          </cell>
          <cell r="L2221">
            <v>15.4</v>
          </cell>
          <cell r="M2221">
            <v>13.7</v>
          </cell>
        </row>
        <row r="2222">
          <cell r="C2222" t="str">
            <v>NMĐ MT Vĩnh Hảo 4 MBA T2 (phía 22kV)</v>
          </cell>
          <cell r="F2222">
            <v>10.1</v>
          </cell>
          <cell r="H2222">
            <v>9.3000000000000007</v>
          </cell>
          <cell r="I2222">
            <v>7.3</v>
          </cell>
          <cell r="J2222">
            <v>8.6999999999999993</v>
          </cell>
          <cell r="K2222">
            <v>10.1</v>
          </cell>
          <cell r="L2222">
            <v>8.9</v>
          </cell>
          <cell r="M2222">
            <v>7.9</v>
          </cell>
        </row>
        <row r="2223">
          <cell r="C2223" t="str">
            <v>NMĐ MT Vĩnh Hảo 6 MBA T1 (phía 110kV)</v>
          </cell>
          <cell r="F2223">
            <v>-39.4</v>
          </cell>
          <cell r="H2223">
            <v>-31.9</v>
          </cell>
          <cell r="I2223">
            <v>-23.6</v>
          </cell>
          <cell r="J2223">
            <v>-26.4</v>
          </cell>
          <cell r="K2223">
            <v>-39.4</v>
          </cell>
          <cell r="L2223">
            <v>-24.2</v>
          </cell>
          <cell r="M2223">
            <v>-36.700000000000003</v>
          </cell>
        </row>
        <row r="2224">
          <cell r="C2224" t="str">
            <v>NMĐ MT Vĩnh Hảo 6 MBA T1 (phía 22kV)</v>
          </cell>
          <cell r="F2224">
            <v>39.1</v>
          </cell>
          <cell r="H2224">
            <v>31.9</v>
          </cell>
          <cell r="I2224">
            <v>23.3</v>
          </cell>
          <cell r="J2224">
            <v>25.9</v>
          </cell>
          <cell r="K2224">
            <v>39.1</v>
          </cell>
          <cell r="L2224">
            <v>23.7</v>
          </cell>
          <cell r="M2224">
            <v>36.4</v>
          </cell>
        </row>
        <row r="2225">
          <cell r="C2225" t="str">
            <v>110kV 171 NMĐ MT Vĩnh Tân 2 - 174 trạm cắt Vĩnh Hải</v>
          </cell>
          <cell r="F2225">
            <v>-38.5</v>
          </cell>
          <cell r="H2225">
            <v>-31.3</v>
          </cell>
          <cell r="I2225">
            <v>-23.4</v>
          </cell>
          <cell r="J2225">
            <v>-26.2</v>
          </cell>
          <cell r="K2225">
            <v>-38.5</v>
          </cell>
          <cell r="L2225">
            <v>-24</v>
          </cell>
          <cell r="M2225">
            <v>-36.200000000000003</v>
          </cell>
        </row>
        <row r="2226">
          <cell r="C2226" t="str">
            <v>110kV 172 NMĐ MT Vĩnh Tân 2 - 172 NMĐ MT Bim</v>
          </cell>
          <cell r="F2226">
            <v>61.7</v>
          </cell>
          <cell r="H2226">
            <v>61.7</v>
          </cell>
          <cell r="I2226">
            <v>39.6</v>
          </cell>
          <cell r="J2226">
            <v>49.4</v>
          </cell>
          <cell r="K2226">
            <v>60.1</v>
          </cell>
          <cell r="L2226">
            <v>45.4</v>
          </cell>
          <cell r="M2226">
            <v>58.1</v>
          </cell>
        </row>
        <row r="2227">
          <cell r="C2227" t="str">
            <v>NMĐ MT Vĩnh Tân 2 MBA T1 (phía 110kV)</v>
          </cell>
          <cell r="F2227">
            <v>-30.3</v>
          </cell>
          <cell r="H2227">
            <v>-30.3</v>
          </cell>
          <cell r="I2227">
            <v>-16.100000000000001</v>
          </cell>
          <cell r="J2227">
            <v>-24.3</v>
          </cell>
          <cell r="K2227">
            <v>-25.1</v>
          </cell>
          <cell r="L2227">
            <v>-21.9</v>
          </cell>
          <cell r="M2227">
            <v>-23.3</v>
          </cell>
        </row>
        <row r="2228">
          <cell r="C2228" t="str">
            <v>NMĐ MT Vĩnh Tân 2 MBA T1 (phía 22kV)</v>
          </cell>
          <cell r="F2228">
            <v>30.4</v>
          </cell>
          <cell r="H2228">
            <v>30.4</v>
          </cell>
          <cell r="I2228">
            <v>16.2</v>
          </cell>
          <cell r="J2228">
            <v>24.3</v>
          </cell>
          <cell r="K2228">
            <v>25</v>
          </cell>
          <cell r="L2228">
            <v>22</v>
          </cell>
          <cell r="M2228">
            <v>23.4</v>
          </cell>
        </row>
        <row r="2229">
          <cell r="C2229" t="str">
            <v>110kV 171 NMĐ MT Vneco Vĩnh Long - 171 Vũng Liêm</v>
          </cell>
          <cell r="E2229">
            <v>0</v>
          </cell>
          <cell r="F2229">
            <v>-0.4</v>
          </cell>
          <cell r="H2229">
            <v>0</v>
          </cell>
          <cell r="I2229">
            <v>0</v>
          </cell>
          <cell r="J2229">
            <v>0</v>
          </cell>
          <cell r="K2229">
            <v>-0.4</v>
          </cell>
          <cell r="L2229">
            <v>0</v>
          </cell>
          <cell r="M2229">
            <v>0</v>
          </cell>
        </row>
        <row r="2230">
          <cell r="C2230" t="str">
            <v>110kV 172 NMĐ MT Vneco Vĩnh Long - 172 Long Đức</v>
          </cell>
          <cell r="F2230">
            <v>33.5</v>
          </cell>
          <cell r="H2230">
            <v>33.5</v>
          </cell>
          <cell r="I2230">
            <v>23</v>
          </cell>
          <cell r="J2230">
            <v>29.9</v>
          </cell>
          <cell r="K2230">
            <v>25</v>
          </cell>
          <cell r="L2230">
            <v>20</v>
          </cell>
          <cell r="M2230">
            <v>25.4</v>
          </cell>
        </row>
        <row r="2231">
          <cell r="C2231" t="str">
            <v>NMĐ MT Vneco Vĩnh Long MBA T1 (phía 110kV)</v>
          </cell>
          <cell r="F2231">
            <v>-33.5</v>
          </cell>
          <cell r="H2231">
            <v>-33.5</v>
          </cell>
          <cell r="I2231">
            <v>-22.7</v>
          </cell>
          <cell r="J2231">
            <v>-30.3</v>
          </cell>
          <cell r="K2231">
            <v>-24.4</v>
          </cell>
          <cell r="L2231">
            <v>-19.2</v>
          </cell>
          <cell r="M2231">
            <v>-26</v>
          </cell>
        </row>
        <row r="2232">
          <cell r="C2232" t="str">
            <v>NMĐ MT Vneco Vĩnh Long MBA T1 (phía 22kV)</v>
          </cell>
          <cell r="F2232">
            <v>33</v>
          </cell>
          <cell r="H2232">
            <v>33</v>
          </cell>
          <cell r="I2232">
            <v>23</v>
          </cell>
          <cell r="J2232">
            <v>30.1</v>
          </cell>
          <cell r="K2232">
            <v>25.3</v>
          </cell>
          <cell r="L2232">
            <v>19.3</v>
          </cell>
          <cell r="M2232">
            <v>25.6</v>
          </cell>
        </row>
        <row r="2233">
          <cell r="C2233" t="str">
            <v>110kV 171 NMĐ MT VSP Bình Thuận II - 172 NMĐ MT Vĩnh Hảo</v>
          </cell>
          <cell r="F2233">
            <v>-57.9</v>
          </cell>
          <cell r="H2233">
            <v>-56.6</v>
          </cell>
          <cell r="I2233">
            <v>-45.4</v>
          </cell>
          <cell r="J2233">
            <v>-53</v>
          </cell>
          <cell r="K2233">
            <v>-57.9</v>
          </cell>
          <cell r="L2233">
            <v>-54.7</v>
          </cell>
          <cell r="M2233">
            <v>-52</v>
          </cell>
        </row>
        <row r="2234">
          <cell r="C2234" t="str">
            <v>110kV 172 NMĐ MT VSP Bình Thuận II - 172 NMĐ MT Tuy Phong</v>
          </cell>
          <cell r="F2234">
            <v>78.099999999999994</v>
          </cell>
          <cell r="H2234">
            <v>78.099999999999994</v>
          </cell>
          <cell r="I2234">
            <v>64.400000000000006</v>
          </cell>
          <cell r="J2234">
            <v>73.400000000000006</v>
          </cell>
          <cell r="K2234">
            <v>75.5</v>
          </cell>
          <cell r="L2234">
            <v>72.2</v>
          </cell>
          <cell r="M2234">
            <v>73.8</v>
          </cell>
        </row>
        <row r="2235">
          <cell r="C2235" t="str">
            <v>NMĐ MT VSP Bình Thuận II MBA T1 (phía 110kV)</v>
          </cell>
          <cell r="F2235">
            <v>-24.3</v>
          </cell>
          <cell r="H2235">
            <v>-23.9</v>
          </cell>
          <cell r="I2235">
            <v>-20.100000000000001</v>
          </cell>
          <cell r="J2235">
            <v>-20.9</v>
          </cell>
          <cell r="K2235">
            <v>-24.3</v>
          </cell>
          <cell r="L2235">
            <v>-20.399999999999999</v>
          </cell>
          <cell r="M2235">
            <v>-22</v>
          </cell>
        </row>
        <row r="2236">
          <cell r="C2236" t="str">
            <v>NMĐ MT VSP Bình Thuận II MBA T1 (phía 22kV)</v>
          </cell>
          <cell r="F2236">
            <v>24</v>
          </cell>
          <cell r="H2236">
            <v>24</v>
          </cell>
          <cell r="I2236">
            <v>20.6</v>
          </cell>
          <cell r="J2236">
            <v>20.7</v>
          </cell>
          <cell r="K2236">
            <v>23.7</v>
          </cell>
          <cell r="L2236">
            <v>20.5</v>
          </cell>
          <cell r="M2236">
            <v>22</v>
          </cell>
        </row>
        <row r="2237">
          <cell r="C2237" t="str">
            <v>220kV 273 NMĐ MT Xuân Thiện Thuận Bắc GĐ1 - 271 NMĐ MT Thiên Tân Solar Ninh Thuận</v>
          </cell>
          <cell r="F2237">
            <v>281.39999999999998</v>
          </cell>
          <cell r="H2237">
            <v>207.3</v>
          </cell>
          <cell r="I2237">
            <v>211.5</v>
          </cell>
          <cell r="J2237">
            <v>255.6</v>
          </cell>
          <cell r="K2237">
            <v>202.2</v>
          </cell>
          <cell r="L2237">
            <v>281.39999999999998</v>
          </cell>
          <cell r="M2237">
            <v>208.4</v>
          </cell>
        </row>
        <row r="2238">
          <cell r="C2238" t="str">
            <v>220kV 274 NMĐ MT Xuân Thiện Thuận Bắc GĐ1 - 276 Tháp Chàm 2</v>
          </cell>
          <cell r="F2238">
            <v>-280.8</v>
          </cell>
          <cell r="H2238">
            <v>-207.6</v>
          </cell>
          <cell r="I2238">
            <v>-211.1</v>
          </cell>
          <cell r="J2238">
            <v>-255.7</v>
          </cell>
          <cell r="K2238">
            <v>-203.9</v>
          </cell>
          <cell r="L2238">
            <v>-280.8</v>
          </cell>
          <cell r="M2238">
            <v>-210.3</v>
          </cell>
        </row>
        <row r="2239">
          <cell r="C2239" t="str">
            <v>NMĐ MT Xuân Thiện Thuận Bắc GĐ1 MBA T1 (phía 220kV)</v>
          </cell>
          <cell r="F2239">
            <v>-115.6</v>
          </cell>
          <cell r="H2239">
            <v>-112.4</v>
          </cell>
          <cell r="I2239">
            <v>-97.8</v>
          </cell>
          <cell r="J2239">
            <v>-115.6</v>
          </cell>
          <cell r="K2239">
            <v>-77.400000000000006</v>
          </cell>
          <cell r="L2239">
            <v>-102.1</v>
          </cell>
          <cell r="M2239">
            <v>-98.2</v>
          </cell>
        </row>
        <row r="2240">
          <cell r="C2240" t="str">
            <v>NMĐ MT Xuân Thiện Thuận Bắc GĐ1 MBA T1 (phía 35kV)</v>
          </cell>
          <cell r="F2240">
            <v>115.7</v>
          </cell>
          <cell r="H2240">
            <v>112.8</v>
          </cell>
          <cell r="I2240">
            <v>98.2</v>
          </cell>
          <cell r="J2240">
            <v>115.7</v>
          </cell>
          <cell r="K2240">
            <v>77.599999999999994</v>
          </cell>
          <cell r="L2240">
            <v>102.6</v>
          </cell>
          <cell r="M2240">
            <v>98.6</v>
          </cell>
        </row>
        <row r="2241">
          <cell r="C2241" t="str">
            <v>NMĐ MT Xuân Thiện Thuận Bắc GĐ2 MBA T2 (phía 220kV)</v>
          </cell>
          <cell r="F2241">
            <v>-71.2</v>
          </cell>
          <cell r="H2241">
            <v>-71.2</v>
          </cell>
          <cell r="I2241">
            <v>-62.7</v>
          </cell>
          <cell r="J2241">
            <v>-70.099999999999994</v>
          </cell>
          <cell r="K2241">
            <v>-46.6</v>
          </cell>
          <cell r="L2241">
            <v>-62</v>
          </cell>
          <cell r="M2241">
            <v>-59.2</v>
          </cell>
        </row>
        <row r="2242">
          <cell r="C2242" t="str">
            <v>NMĐ MT Xuân Thiện Thuận Bắc GĐ2 MBA T2 (phía 35kV)</v>
          </cell>
          <cell r="F2242">
            <v>71.3</v>
          </cell>
          <cell r="H2242">
            <v>71.3</v>
          </cell>
          <cell r="I2242">
            <v>62.9</v>
          </cell>
          <cell r="J2242">
            <v>70.7</v>
          </cell>
          <cell r="K2242">
            <v>46.9</v>
          </cell>
          <cell r="L2242">
            <v>62.3</v>
          </cell>
          <cell r="M2242">
            <v>59.3</v>
          </cell>
        </row>
        <row r="2243">
          <cell r="C2243" t="str">
            <v>NMĐ Nhơn Trạch 1 &amp; 2 MBA T1 (phía 220kV)</v>
          </cell>
          <cell r="D2243">
            <v>231</v>
          </cell>
          <cell r="E2243">
            <v>0.5</v>
          </cell>
          <cell r="F2243">
            <v>-151.4</v>
          </cell>
          <cell r="G2243">
            <v>0.5</v>
          </cell>
          <cell r="H2243">
            <v>0.5</v>
          </cell>
          <cell r="I2243">
            <v>-118.2</v>
          </cell>
          <cell r="J2243">
            <v>-151.4</v>
          </cell>
          <cell r="K2243">
            <v>0.6</v>
          </cell>
          <cell r="L2243">
            <v>1.1000000000000001</v>
          </cell>
          <cell r="M2243">
            <v>0.6</v>
          </cell>
        </row>
        <row r="2244">
          <cell r="C2244" t="str">
            <v>NMĐ Nhơn Trạch 1 &amp; 2 MBA T2 (phía 220kV)</v>
          </cell>
          <cell r="D2244">
            <v>232</v>
          </cell>
          <cell r="E2244">
            <v>0</v>
          </cell>
          <cell r="F2244">
            <v>-152.19999999999999</v>
          </cell>
          <cell r="G2244">
            <v>0.5</v>
          </cell>
          <cell r="H2244">
            <v>0.5</v>
          </cell>
          <cell r="I2244">
            <v>2.6</v>
          </cell>
          <cell r="J2244">
            <v>-152.19999999999999</v>
          </cell>
          <cell r="K2244">
            <v>0</v>
          </cell>
          <cell r="L2244">
            <v>2.4</v>
          </cell>
          <cell r="M2244">
            <v>0</v>
          </cell>
        </row>
        <row r="2245">
          <cell r="C2245" t="str">
            <v>NMĐ Nhơn Trạch 1 &amp; 2 MBA T3 (phía 220kV)</v>
          </cell>
          <cell r="D2245">
            <v>233</v>
          </cell>
          <cell r="E2245">
            <v>0</v>
          </cell>
          <cell r="F2245">
            <v>-154.1</v>
          </cell>
          <cell r="G2245">
            <v>0</v>
          </cell>
          <cell r="H2245">
            <v>0</v>
          </cell>
          <cell r="I2245">
            <v>-68</v>
          </cell>
          <cell r="J2245">
            <v>-154.1</v>
          </cell>
          <cell r="K2245">
            <v>0</v>
          </cell>
          <cell r="L2245">
            <v>0</v>
          </cell>
          <cell r="M2245">
            <v>0</v>
          </cell>
        </row>
        <row r="2246">
          <cell r="C2246" t="str">
            <v>NMĐ Nhơn Trạch 1 &amp; 2 MBA T4 (phía 220kV)</v>
          </cell>
          <cell r="D2246">
            <v>234</v>
          </cell>
          <cell r="E2246">
            <v>-82.1</v>
          </cell>
          <cell r="F2246">
            <v>-250.9</v>
          </cell>
          <cell r="G2246">
            <v>-250.9</v>
          </cell>
          <cell r="H2246">
            <v>-250.9</v>
          </cell>
          <cell r="I2246">
            <v>-167.9</v>
          </cell>
          <cell r="J2246">
            <v>-249.2</v>
          </cell>
          <cell r="K2246">
            <v>-250.9</v>
          </cell>
          <cell r="L2246">
            <v>-237</v>
          </cell>
          <cell r="M2246">
            <v>-82.1</v>
          </cell>
        </row>
        <row r="2247">
          <cell r="C2247" t="str">
            <v>NMĐ Nhơn Trạch 1 &amp; 2 MBA T5 (phía 220kV)</v>
          </cell>
          <cell r="D2247">
            <v>235</v>
          </cell>
          <cell r="E2247">
            <v>-116.1</v>
          </cell>
          <cell r="F2247">
            <v>-247.4</v>
          </cell>
          <cell r="G2247">
            <v>-242.1</v>
          </cell>
          <cell r="H2247">
            <v>-243.1</v>
          </cell>
          <cell r="I2247">
            <v>-116.1</v>
          </cell>
          <cell r="J2247">
            <v>-242.5</v>
          </cell>
          <cell r="K2247">
            <v>-247.4</v>
          </cell>
          <cell r="L2247">
            <v>-229.5</v>
          </cell>
          <cell r="M2247">
            <v>-141.1</v>
          </cell>
        </row>
        <row r="2248">
          <cell r="C2248" t="str">
            <v>NMĐ Nhơn Trạch 1 &amp; 2 MBA T6 (phía 220kV)</v>
          </cell>
          <cell r="D2248">
            <v>236</v>
          </cell>
          <cell r="E2248">
            <v>4.5999999999999996</v>
          </cell>
          <cell r="F2248">
            <v>-244.1</v>
          </cell>
          <cell r="G2248">
            <v>-239.9</v>
          </cell>
          <cell r="H2248">
            <v>-241.7</v>
          </cell>
          <cell r="I2248">
            <v>-114.7</v>
          </cell>
          <cell r="J2248">
            <v>-239.6</v>
          </cell>
          <cell r="K2248">
            <v>-244.1</v>
          </cell>
          <cell r="L2248">
            <v>-227.1</v>
          </cell>
          <cell r="M2248">
            <v>4.5999999999999996</v>
          </cell>
        </row>
        <row r="2249">
          <cell r="C2249" t="str">
            <v>220kV 271 NMĐ Nhơn Trạch 1 &amp; 2 - 273 Nhà Bè</v>
          </cell>
          <cell r="D2249">
            <v>271</v>
          </cell>
          <cell r="E2249">
            <v>-40.799999999999997</v>
          </cell>
          <cell r="F2249">
            <v>-176.7</v>
          </cell>
          <cell r="G2249">
            <v>-74.7</v>
          </cell>
          <cell r="H2249">
            <v>-88.2</v>
          </cell>
          <cell r="I2249">
            <v>-40.799999999999997</v>
          </cell>
          <cell r="J2249">
            <v>155.1</v>
          </cell>
          <cell r="K2249">
            <v>-99.4</v>
          </cell>
          <cell r="L2249">
            <v>-100.7</v>
          </cell>
          <cell r="M2249">
            <v>-176.7</v>
          </cell>
        </row>
        <row r="2250">
          <cell r="C2250" t="str">
            <v>220kV 272 NMĐ Nhơn Trạch 1 &amp; 2 - 274 Nhà Bè</v>
          </cell>
          <cell r="D2250">
            <v>272</v>
          </cell>
          <cell r="E2250">
            <v>-36.299999999999997</v>
          </cell>
          <cell r="F2250">
            <v>-174.4</v>
          </cell>
          <cell r="G2250">
            <v>-69.599999999999994</v>
          </cell>
          <cell r="H2250">
            <v>-83.5</v>
          </cell>
          <cell r="I2250">
            <v>-36.299999999999997</v>
          </cell>
          <cell r="J2250">
            <v>158.4</v>
          </cell>
          <cell r="K2250">
            <v>-94.3</v>
          </cell>
          <cell r="L2250">
            <v>-99.5</v>
          </cell>
          <cell r="M2250">
            <v>-174.4</v>
          </cell>
        </row>
        <row r="2251">
          <cell r="C2251" t="str">
            <v>220kV 273 NMĐ Nhơn Trạch 1 &amp; 2 - 273 Cát Lái</v>
          </cell>
          <cell r="D2251">
            <v>273</v>
          </cell>
          <cell r="E2251">
            <v>57.2</v>
          </cell>
          <cell r="F2251">
            <v>258.10000000000002</v>
          </cell>
          <cell r="G2251">
            <v>176.8</v>
          </cell>
          <cell r="H2251">
            <v>169.3</v>
          </cell>
          <cell r="I2251">
            <v>146.5</v>
          </cell>
          <cell r="J2251">
            <v>258.10000000000002</v>
          </cell>
          <cell r="K2251">
            <v>182</v>
          </cell>
          <cell r="L2251">
            <v>151.30000000000001</v>
          </cell>
          <cell r="M2251">
            <v>57.2</v>
          </cell>
        </row>
        <row r="2252">
          <cell r="C2252" t="str">
            <v>220kV 274 NMĐ Nhơn Trạch 1 &amp; 2 - 274 Cát Lái</v>
          </cell>
          <cell r="D2252">
            <v>274</v>
          </cell>
          <cell r="E2252">
            <v>46.5</v>
          </cell>
          <cell r="F2252">
            <v>236.1</v>
          </cell>
          <cell r="G2252">
            <v>160.69999999999999</v>
          </cell>
          <cell r="H2252">
            <v>154.9</v>
          </cell>
          <cell r="I2252">
            <v>132.1</v>
          </cell>
          <cell r="J2252">
            <v>236.1</v>
          </cell>
          <cell r="K2252">
            <v>170.9</v>
          </cell>
          <cell r="L2252">
            <v>141.69999999999999</v>
          </cell>
          <cell r="M2252">
            <v>46.5</v>
          </cell>
        </row>
        <row r="2253">
          <cell r="C2253" t="str">
            <v>220kV 275 NMĐ Nhơn Trạch 1 &amp; 2 - 273 Bàu Sen</v>
          </cell>
          <cell r="D2253">
            <v>275</v>
          </cell>
          <cell r="E2253">
            <v>177.1</v>
          </cell>
          <cell r="F2253">
            <v>321.10000000000002</v>
          </cell>
          <cell r="G2253">
            <v>196.5</v>
          </cell>
          <cell r="H2253">
            <v>201.2</v>
          </cell>
          <cell r="I2253">
            <v>198</v>
          </cell>
          <cell r="J2253">
            <v>204.5</v>
          </cell>
          <cell r="K2253">
            <v>197.4</v>
          </cell>
          <cell r="L2253">
            <v>177.1</v>
          </cell>
          <cell r="M2253">
            <v>321.10000000000002</v>
          </cell>
        </row>
        <row r="2254">
          <cell r="C2254" t="str">
            <v>220kV 276 NMĐ Nhơn Trạch 1 &amp; 2 - 274 Bàu Sen</v>
          </cell>
          <cell r="D2254">
            <v>276</v>
          </cell>
          <cell r="E2254">
            <v>168.7</v>
          </cell>
          <cell r="F2254">
            <v>320.5</v>
          </cell>
          <cell r="G2254">
            <v>195.8</v>
          </cell>
          <cell r="H2254">
            <v>201.3</v>
          </cell>
          <cell r="I2254">
            <v>197.8</v>
          </cell>
          <cell r="J2254">
            <v>203</v>
          </cell>
          <cell r="K2254">
            <v>196.8</v>
          </cell>
          <cell r="L2254">
            <v>320.5</v>
          </cell>
          <cell r="M2254">
            <v>168.7</v>
          </cell>
        </row>
        <row r="2255">
          <cell r="C2255" t="str">
            <v>220kV 271 NMĐ Phú Mỹ 1 - 271 Tân Thành</v>
          </cell>
          <cell r="F2255">
            <v>-163.69999999999999</v>
          </cell>
          <cell r="H2255">
            <v>158.4</v>
          </cell>
          <cell r="I2255">
            <v>-64.400000000000006</v>
          </cell>
          <cell r="J2255">
            <v>-163.69999999999999</v>
          </cell>
          <cell r="K2255">
            <v>129.9</v>
          </cell>
          <cell r="L2255">
            <v>147.5</v>
          </cell>
          <cell r="M2255">
            <v>140.69999999999999</v>
          </cell>
        </row>
        <row r="2256">
          <cell r="C2256" t="str">
            <v>220kV 272 NMĐ Phú Mỹ 1 - 273 Tân Thành</v>
          </cell>
          <cell r="F2256">
            <v>-161.9</v>
          </cell>
          <cell r="H2256">
            <v>156.19999999999999</v>
          </cell>
          <cell r="I2256">
            <v>66.3</v>
          </cell>
          <cell r="J2256">
            <v>-161.9</v>
          </cell>
          <cell r="K2256">
            <v>129</v>
          </cell>
          <cell r="L2256">
            <v>137</v>
          </cell>
          <cell r="M2256">
            <v>137.6</v>
          </cell>
        </row>
        <row r="2257">
          <cell r="C2257" t="str">
            <v>220kV 273 NMĐ Phú Mỹ 1 - 277 Long Thành</v>
          </cell>
          <cell r="F2257">
            <v>282.5</v>
          </cell>
          <cell r="H2257">
            <v>139.19999999999999</v>
          </cell>
          <cell r="I2257">
            <v>180.5</v>
          </cell>
          <cell r="J2257">
            <v>282.5</v>
          </cell>
          <cell r="K2257">
            <v>159.1</v>
          </cell>
          <cell r="L2257">
            <v>115.6</v>
          </cell>
          <cell r="M2257">
            <v>-78.599999999999994</v>
          </cell>
        </row>
        <row r="2258">
          <cell r="C2258" t="str">
            <v>220kV 274 NMĐ Phú Mỹ 1 - 273 Mỹ Xuân 2</v>
          </cell>
          <cell r="F2258">
            <v>339.6</v>
          </cell>
          <cell r="H2258">
            <v>334.4</v>
          </cell>
          <cell r="I2258">
            <v>237.9</v>
          </cell>
          <cell r="J2258">
            <v>319</v>
          </cell>
          <cell r="K2258">
            <v>339.6</v>
          </cell>
          <cell r="L2258">
            <v>338.5</v>
          </cell>
          <cell r="M2258">
            <v>274.89999999999998</v>
          </cell>
        </row>
        <row r="2259">
          <cell r="C2259" t="str">
            <v>220kV 275 NMĐ Phú Mỹ 1 - 274 Mỹ Xuân 2</v>
          </cell>
          <cell r="F2259">
            <v>337.9</v>
          </cell>
          <cell r="H2259">
            <v>330.9</v>
          </cell>
          <cell r="I2259">
            <v>236.1</v>
          </cell>
          <cell r="J2259">
            <v>317.3</v>
          </cell>
          <cell r="K2259">
            <v>337.9</v>
          </cell>
          <cell r="L2259">
            <v>335.9</v>
          </cell>
          <cell r="M2259">
            <v>273.10000000000002</v>
          </cell>
        </row>
        <row r="2260">
          <cell r="C2260" t="str">
            <v>220kV 276 NMĐ Phú Mỹ 1 - 271 Nhà Bè</v>
          </cell>
          <cell r="F2260">
            <v>157.4</v>
          </cell>
          <cell r="H2260">
            <v>126.8</v>
          </cell>
          <cell r="I2260">
            <v>63.8</v>
          </cell>
          <cell r="J2260">
            <v>145.4</v>
          </cell>
          <cell r="K2260">
            <v>112.5</v>
          </cell>
          <cell r="L2260">
            <v>157.4</v>
          </cell>
          <cell r="M2260">
            <v>93</v>
          </cell>
        </row>
        <row r="2261">
          <cell r="C2261" t="str">
            <v>220kV 277 NMĐ Phú Mỹ 1 - 272 Nhà Bè</v>
          </cell>
          <cell r="F2261">
            <v>158.5</v>
          </cell>
          <cell r="H2261">
            <v>128.6</v>
          </cell>
          <cell r="I2261">
            <v>66.5</v>
          </cell>
          <cell r="J2261">
            <v>149.1</v>
          </cell>
          <cell r="K2261">
            <v>114.4</v>
          </cell>
          <cell r="L2261">
            <v>158.5</v>
          </cell>
          <cell r="M2261">
            <v>95.5</v>
          </cell>
        </row>
        <row r="2262">
          <cell r="C2262" t="str">
            <v>220kV 278 NMĐ Phú Mỹ 1 - 276 Mỹ Tho 500kV</v>
          </cell>
          <cell r="F2262">
            <v>-54.7</v>
          </cell>
          <cell r="H2262">
            <v>49.9</v>
          </cell>
          <cell r="I2262">
            <v>-10.5</v>
          </cell>
          <cell r="J2262">
            <v>-54.7</v>
          </cell>
          <cell r="K2262">
            <v>-53.8</v>
          </cell>
          <cell r="L2262">
            <v>37</v>
          </cell>
          <cell r="M2262">
            <v>-43.1</v>
          </cell>
        </row>
        <row r="2263">
          <cell r="C2263" t="str">
            <v>220kV 283 NMĐ Phú Mỹ 1 - 274 Cần Đước 2</v>
          </cell>
          <cell r="F2263">
            <v>144.1</v>
          </cell>
          <cell r="H2263">
            <v>144.1</v>
          </cell>
          <cell r="I2263">
            <v>97.1</v>
          </cell>
          <cell r="J2263">
            <v>130.80000000000001</v>
          </cell>
          <cell r="K2263">
            <v>78</v>
          </cell>
          <cell r="L2263">
            <v>120.1</v>
          </cell>
          <cell r="M2263">
            <v>104.7</v>
          </cell>
        </row>
        <row r="2264">
          <cell r="C2264" t="str">
            <v>220kV 284 NMĐ Phú Mỹ 1 - 278 Long Thành</v>
          </cell>
          <cell r="F2264">
            <v>339.3</v>
          </cell>
          <cell r="H2264">
            <v>184.7</v>
          </cell>
          <cell r="I2264">
            <v>227.1</v>
          </cell>
          <cell r="J2264">
            <v>339.3</v>
          </cell>
          <cell r="K2264">
            <v>202.5</v>
          </cell>
          <cell r="L2264">
            <v>155</v>
          </cell>
          <cell r="M2264">
            <v>62.8</v>
          </cell>
        </row>
        <row r="2265">
          <cell r="C2265" t="str">
            <v>220kV 285 NMĐ Phú Mỹ 1 - 272 NMĐ Phú Mỹ 2-1</v>
          </cell>
          <cell r="F2265">
            <v>-414.1</v>
          </cell>
          <cell r="H2265">
            <v>-217.4</v>
          </cell>
          <cell r="I2265">
            <v>-175.2</v>
          </cell>
          <cell r="J2265">
            <v>-414.1</v>
          </cell>
          <cell r="K2265">
            <v>-95.6</v>
          </cell>
          <cell r="L2265">
            <v>-213.1</v>
          </cell>
          <cell r="M2265">
            <v>-89</v>
          </cell>
        </row>
        <row r="2266">
          <cell r="C2266" t="str">
            <v>220kV 286 NMĐ Phú Mỹ 1 - 271 NMĐ Phú Mỹ 2-1</v>
          </cell>
          <cell r="F2266">
            <v>-436</v>
          </cell>
          <cell r="H2266">
            <v>-231.3</v>
          </cell>
          <cell r="I2266">
            <v>-186</v>
          </cell>
          <cell r="J2266">
            <v>-436</v>
          </cell>
          <cell r="K2266">
            <v>-114.4</v>
          </cell>
          <cell r="L2266">
            <v>-224.1</v>
          </cell>
          <cell r="M2266">
            <v>-108.3</v>
          </cell>
        </row>
        <row r="2267">
          <cell r="C2267" t="str">
            <v>NMĐ Phú Mỹ 1 MBA T5 (phía 220kV)</v>
          </cell>
          <cell r="F2267">
            <v>148.5</v>
          </cell>
          <cell r="H2267">
            <v>148.5</v>
          </cell>
          <cell r="I2267">
            <v>119.7</v>
          </cell>
          <cell r="J2267">
            <v>93.3</v>
          </cell>
          <cell r="K2267">
            <v>144.69999999999999</v>
          </cell>
          <cell r="L2267">
            <v>134.4</v>
          </cell>
          <cell r="M2267">
            <v>143.1</v>
          </cell>
        </row>
        <row r="2268">
          <cell r="C2268" t="str">
            <v>NMĐ Phú Mỹ 1 MBA T6 (phía 220kV)</v>
          </cell>
          <cell r="F2268">
            <v>148</v>
          </cell>
          <cell r="H2268">
            <v>148</v>
          </cell>
          <cell r="I2268">
            <v>122.4</v>
          </cell>
          <cell r="J2268">
            <v>94.3</v>
          </cell>
          <cell r="K2268">
            <v>145.80000000000001</v>
          </cell>
          <cell r="L2268">
            <v>127.3</v>
          </cell>
          <cell r="M2268">
            <v>142.9</v>
          </cell>
        </row>
        <row r="2269">
          <cell r="C2269" t="str">
            <v>110kV 171 NMĐ Phú Mỹ 1 - 171 Pomina 2</v>
          </cell>
          <cell r="F2269">
            <v>-27.5</v>
          </cell>
          <cell r="H2269">
            <v>-21.7</v>
          </cell>
          <cell r="I2269">
            <v>-16.100000000000001</v>
          </cell>
          <cell r="J2269">
            <v>-13.1</v>
          </cell>
          <cell r="K2269">
            <v>-27.5</v>
          </cell>
          <cell r="L2269">
            <v>-19.100000000000001</v>
          </cell>
          <cell r="M2269">
            <v>-18.899999999999999</v>
          </cell>
        </row>
        <row r="2270">
          <cell r="C2270" t="str">
            <v>110kV 172 NMĐ Phú Mỹ 1 - 171 Pos-Vina</v>
          </cell>
          <cell r="F2270">
            <v>64.7</v>
          </cell>
          <cell r="H2270">
            <v>54</v>
          </cell>
          <cell r="I2270">
            <v>64.7</v>
          </cell>
          <cell r="J2270">
            <v>43.9</v>
          </cell>
          <cell r="K2270">
            <v>52.8</v>
          </cell>
          <cell r="L2270">
            <v>63.5</v>
          </cell>
          <cell r="M2270">
            <v>51.1</v>
          </cell>
        </row>
        <row r="2271">
          <cell r="C2271" t="str">
            <v>110kV 173 NMĐ Phú Mỹ 1 - 171 Phú Mỹ</v>
          </cell>
          <cell r="F2271">
            <v>109.8</v>
          </cell>
          <cell r="H2271">
            <v>100.9</v>
          </cell>
          <cell r="I2271">
            <v>40.1</v>
          </cell>
          <cell r="J2271">
            <v>50.4</v>
          </cell>
          <cell r="K2271">
            <v>100.2</v>
          </cell>
          <cell r="L2271">
            <v>94.6</v>
          </cell>
          <cell r="M2271">
            <v>109.8</v>
          </cell>
        </row>
        <row r="2272">
          <cell r="C2272" t="str">
            <v>110kV 174 NMĐ Phú Mỹ 1 - 172 LSP Long Sơn</v>
          </cell>
          <cell r="F2272">
            <v>-37</v>
          </cell>
          <cell r="H2272">
            <v>24.4</v>
          </cell>
          <cell r="I2272">
            <v>-37</v>
          </cell>
          <cell r="J2272">
            <v>-22.4</v>
          </cell>
          <cell r="K2272">
            <v>-26.8</v>
          </cell>
          <cell r="L2272">
            <v>-27.4</v>
          </cell>
          <cell r="M2272">
            <v>21.1</v>
          </cell>
        </row>
        <row r="2273">
          <cell r="C2273" t="str">
            <v>110kV 175 NMĐ Phú Mỹ 1 - 172 Đồng Tiến</v>
          </cell>
          <cell r="E2273">
            <v>0</v>
          </cell>
          <cell r="F2273">
            <v>0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</row>
        <row r="2274">
          <cell r="C2274" t="str">
            <v>110kV 176 NMĐ Phú Mỹ 1 - 171 Mỹ Xuân A</v>
          </cell>
          <cell r="F2274">
            <v>39.200000000000003</v>
          </cell>
          <cell r="H2274">
            <v>36.799999999999997</v>
          </cell>
          <cell r="I2274">
            <v>32.799999999999997</v>
          </cell>
          <cell r="J2274">
            <v>33.5</v>
          </cell>
          <cell r="K2274">
            <v>39.200000000000003</v>
          </cell>
          <cell r="L2274">
            <v>33.4</v>
          </cell>
          <cell r="M2274">
            <v>32.200000000000003</v>
          </cell>
        </row>
        <row r="2275">
          <cell r="C2275" t="str">
            <v>110kV 177 NMĐ Phú Mỹ 1 - 171 Vina Kyoei</v>
          </cell>
          <cell r="F2275">
            <v>99.6</v>
          </cell>
          <cell r="H2275">
            <v>90.5</v>
          </cell>
          <cell r="I2275">
            <v>99.6</v>
          </cell>
          <cell r="J2275">
            <v>74</v>
          </cell>
          <cell r="K2275">
            <v>96.1</v>
          </cell>
          <cell r="L2275">
            <v>96.1</v>
          </cell>
          <cell r="M2275">
            <v>87.6</v>
          </cell>
        </row>
        <row r="2276">
          <cell r="C2276" t="str">
            <v>110kV 178 NMĐ Phú Mỹ 1 - 171 Thép Việt</v>
          </cell>
          <cell r="F2276">
            <v>49.3</v>
          </cell>
          <cell r="H2276">
            <v>42.3</v>
          </cell>
          <cell r="I2276">
            <v>49.3</v>
          </cell>
          <cell r="J2276">
            <v>45.2</v>
          </cell>
          <cell r="K2276">
            <v>34.200000000000003</v>
          </cell>
          <cell r="L2276">
            <v>44.9</v>
          </cell>
          <cell r="M2276">
            <v>45.8</v>
          </cell>
        </row>
        <row r="2277">
          <cell r="C2277" t="str">
            <v>NMĐ Phú Mỹ 1 MBA T5 (phía 110kV)</v>
          </cell>
          <cell r="F2277">
            <v>-145.80000000000001</v>
          </cell>
          <cell r="H2277">
            <v>-145.80000000000001</v>
          </cell>
          <cell r="I2277">
            <v>-123.1</v>
          </cell>
          <cell r="J2277">
            <v>-94.1</v>
          </cell>
          <cell r="K2277">
            <v>-143.80000000000001</v>
          </cell>
          <cell r="L2277">
            <v>-131.80000000000001</v>
          </cell>
          <cell r="M2277">
            <v>-142.4</v>
          </cell>
        </row>
        <row r="2278">
          <cell r="C2278" t="str">
            <v>NMĐ Phú Mỹ 1 MBA T6 (phía 110kV)</v>
          </cell>
          <cell r="F2278">
            <v>-147.30000000000001</v>
          </cell>
          <cell r="H2278">
            <v>-147.30000000000001</v>
          </cell>
          <cell r="I2278">
            <v>-122.5</v>
          </cell>
          <cell r="J2278">
            <v>-95.3</v>
          </cell>
          <cell r="K2278">
            <v>-145</v>
          </cell>
          <cell r="L2278">
            <v>-128.69999999999999</v>
          </cell>
          <cell r="M2278">
            <v>-142.6</v>
          </cell>
        </row>
        <row r="2279">
          <cell r="C2279" t="str">
            <v>220kV 271 NMĐ Phú Mỹ 2.1 - 286 NMĐ Phú Mỹ 1</v>
          </cell>
          <cell r="F2279">
            <v>464.6</v>
          </cell>
          <cell r="H2279">
            <v>246.1</v>
          </cell>
          <cell r="I2279">
            <v>197.7</v>
          </cell>
          <cell r="J2279">
            <v>464.6</v>
          </cell>
          <cell r="K2279">
            <v>122.3</v>
          </cell>
          <cell r="L2279">
            <v>240</v>
          </cell>
          <cell r="M2279">
            <v>114.6</v>
          </cell>
        </row>
        <row r="2280">
          <cell r="C2280" t="str">
            <v>220kV 272 NMĐ Phú Mỹ 2.1 - 285 NMĐ Phú Mỹ 1</v>
          </cell>
          <cell r="F2280">
            <v>418.5</v>
          </cell>
          <cell r="H2280">
            <v>218.5</v>
          </cell>
          <cell r="I2280">
            <v>176.2</v>
          </cell>
          <cell r="J2280">
            <v>418.5</v>
          </cell>
          <cell r="K2280">
            <v>96.2</v>
          </cell>
          <cell r="L2280">
            <v>213.8</v>
          </cell>
          <cell r="M2280">
            <v>87.7</v>
          </cell>
        </row>
        <row r="2281">
          <cell r="C2281" t="str">
            <v>NMĐ Phú Mỹ 2.1 MBA T1 (phía 220kV)</v>
          </cell>
          <cell r="F2281">
            <v>163.69999999999999</v>
          </cell>
          <cell r="H2281">
            <v>163.69999999999999</v>
          </cell>
          <cell r="I2281">
            <v>118.3</v>
          </cell>
          <cell r="J2281">
            <v>160.4</v>
          </cell>
          <cell r="K2281">
            <v>-2.6</v>
          </cell>
          <cell r="L2281">
            <v>160.80000000000001</v>
          </cell>
          <cell r="M2281">
            <v>-2.8</v>
          </cell>
        </row>
        <row r="2282">
          <cell r="C2282" t="str">
            <v>NMĐ Phú Mỹ 2.1 MBA T2 (phía 220kV)</v>
          </cell>
          <cell r="F2282">
            <v>152</v>
          </cell>
          <cell r="H2282">
            <v>151.5</v>
          </cell>
          <cell r="I2282">
            <v>117.2</v>
          </cell>
          <cell r="J2282">
            <v>152</v>
          </cell>
          <cell r="K2282">
            <v>149.80000000000001</v>
          </cell>
          <cell r="L2282">
            <v>148</v>
          </cell>
          <cell r="M2282">
            <v>146.9</v>
          </cell>
        </row>
        <row r="2283">
          <cell r="C2283" t="str">
            <v>NMĐ Phú Mỹ 2.1 MBA T3 (phía 220kV)</v>
          </cell>
          <cell r="F2283">
            <v>139.9</v>
          </cell>
          <cell r="H2283">
            <v>138.6</v>
          </cell>
          <cell r="I2283">
            <v>128.9</v>
          </cell>
          <cell r="J2283">
            <v>139.9</v>
          </cell>
          <cell r="K2283">
            <v>66.099999999999994</v>
          </cell>
          <cell r="L2283">
            <v>138.1</v>
          </cell>
          <cell r="M2283">
            <v>64.3</v>
          </cell>
        </row>
        <row r="2284">
          <cell r="C2284" t="str">
            <v>NMĐ Phú Mỹ 2.1 MBA T4 (phía 220kV)</v>
          </cell>
          <cell r="F2284">
            <v>132.6</v>
          </cell>
          <cell r="H2284">
            <v>-0.7</v>
          </cell>
          <cell r="I2284">
            <v>-0.9</v>
          </cell>
          <cell r="J2284">
            <v>132.6</v>
          </cell>
          <cell r="K2284">
            <v>-0.9</v>
          </cell>
          <cell r="L2284">
            <v>-0.7</v>
          </cell>
          <cell r="M2284">
            <v>-0.7</v>
          </cell>
        </row>
        <row r="2285">
          <cell r="C2285" t="str">
            <v>NMĐ Phú Mỹ 2.1 MBA T5 (phía 220kV)</v>
          </cell>
          <cell r="F2285">
            <v>135.5</v>
          </cell>
          <cell r="H2285">
            <v>0.4</v>
          </cell>
          <cell r="I2285">
            <v>0.6</v>
          </cell>
          <cell r="J2285">
            <v>135.5</v>
          </cell>
          <cell r="K2285">
            <v>0.6</v>
          </cell>
          <cell r="L2285">
            <v>0.6</v>
          </cell>
          <cell r="M2285">
            <v>0.4</v>
          </cell>
        </row>
        <row r="2286">
          <cell r="C2286" t="str">
            <v>NMĐ Phú Mỹ 2.1 MBA T6 (phía 220kV)</v>
          </cell>
          <cell r="F2286">
            <v>139.69999999999999</v>
          </cell>
          <cell r="H2286">
            <v>-0.2</v>
          </cell>
          <cell r="I2286">
            <v>-0.2</v>
          </cell>
          <cell r="J2286">
            <v>139.69999999999999</v>
          </cell>
          <cell r="K2286">
            <v>-0.2</v>
          </cell>
          <cell r="L2286">
            <v>-0.2</v>
          </cell>
          <cell r="M2286">
            <v>-0.2</v>
          </cell>
        </row>
        <row r="2287">
          <cell r="C2287" t="str">
            <v>500kV 572 NMĐ Phú Mỹ 2.2 - 583 Phú Mỹ 500</v>
          </cell>
          <cell r="F2287">
            <v>350.7</v>
          </cell>
          <cell r="H2287">
            <v>347.9</v>
          </cell>
          <cell r="I2287">
            <v>350.7</v>
          </cell>
          <cell r="J2287">
            <v>350.7</v>
          </cell>
          <cell r="K2287">
            <v>173.8</v>
          </cell>
          <cell r="L2287">
            <v>348.8</v>
          </cell>
          <cell r="M2287">
            <v>-3.6</v>
          </cell>
        </row>
        <row r="2288">
          <cell r="C2288" t="str">
            <v>500kV 573 NMĐ Phú Mỹ 2-2 - 584 Phú Mỹ 500</v>
          </cell>
          <cell r="F2288">
            <v>-79.900000000000006</v>
          </cell>
          <cell r="H2288">
            <v>-60.4</v>
          </cell>
          <cell r="I2288">
            <v>-79.900000000000006</v>
          </cell>
          <cell r="J2288">
            <v>-71.099999999999994</v>
          </cell>
          <cell r="K2288">
            <v>-29.3</v>
          </cell>
          <cell r="L2288">
            <v>-22.3</v>
          </cell>
          <cell r="M2288">
            <v>1.1000000000000001</v>
          </cell>
        </row>
        <row r="2289">
          <cell r="C2289" t="str">
            <v>NMĐ Phú Mỹ 3 MBA T1 (phía 500kV)</v>
          </cell>
          <cell r="F2289">
            <v>-236.3</v>
          </cell>
          <cell r="H2289">
            <v>-0.9</v>
          </cell>
          <cell r="I2289">
            <v>-236</v>
          </cell>
          <cell r="J2289">
            <v>-231.4</v>
          </cell>
          <cell r="K2289">
            <v>-236</v>
          </cell>
          <cell r="L2289">
            <v>-236.3</v>
          </cell>
          <cell r="M2289">
            <v>-232.4</v>
          </cell>
        </row>
        <row r="2290">
          <cell r="C2290" t="str">
            <v>NMĐ Phú Mỹ 3 MBA T2 (phía 500kV)</v>
          </cell>
          <cell r="F2290">
            <v>-239.7</v>
          </cell>
          <cell r="H2290">
            <v>-237.5</v>
          </cell>
          <cell r="I2290">
            <v>-0.8</v>
          </cell>
          <cell r="J2290">
            <v>-0.8</v>
          </cell>
          <cell r="K2290">
            <v>-239.7</v>
          </cell>
          <cell r="L2290">
            <v>-239.4</v>
          </cell>
          <cell r="M2290">
            <v>-235.2</v>
          </cell>
        </row>
        <row r="2291">
          <cell r="C2291" t="str">
            <v>NMĐ Phú Mỹ 3 MBA T3 (phía 500kV)</v>
          </cell>
          <cell r="F2291">
            <v>-257.10000000000002</v>
          </cell>
          <cell r="H2291">
            <v>-121.9</v>
          </cell>
          <cell r="I2291">
            <v>-122.5</v>
          </cell>
          <cell r="J2291">
            <v>-121.7</v>
          </cell>
          <cell r="K2291">
            <v>-257.10000000000002</v>
          </cell>
          <cell r="L2291">
            <v>-256.39999999999998</v>
          </cell>
          <cell r="M2291">
            <v>-257.10000000000002</v>
          </cell>
        </row>
        <row r="2292">
          <cell r="C2292" t="str">
            <v>500kv 571 NMĐ Phú Mỹ 4 - 581 Phú Mỹ 500</v>
          </cell>
          <cell r="F2292">
            <v>42.6</v>
          </cell>
          <cell r="H2292">
            <v>42.6</v>
          </cell>
          <cell r="I2292">
            <v>32.6</v>
          </cell>
          <cell r="J2292">
            <v>-39.6</v>
          </cell>
          <cell r="K2292">
            <v>24.5</v>
          </cell>
          <cell r="L2292">
            <v>-33.200000000000003</v>
          </cell>
          <cell r="M2292">
            <v>-29.9</v>
          </cell>
        </row>
        <row r="2293">
          <cell r="C2293" t="str">
            <v>500kv 573 NMĐ Phú Mỹ 4 - 582 Phú Mỹ 500</v>
          </cell>
          <cell r="F2293">
            <v>514.1</v>
          </cell>
          <cell r="H2293">
            <v>507.7</v>
          </cell>
          <cell r="I2293">
            <v>513.70000000000005</v>
          </cell>
          <cell r="J2293">
            <v>509.9</v>
          </cell>
          <cell r="K2293">
            <v>508.9</v>
          </cell>
          <cell r="L2293">
            <v>514.1</v>
          </cell>
          <cell r="M2293">
            <v>512.70000000000005</v>
          </cell>
        </row>
        <row r="2294">
          <cell r="C2294" t="str">
            <v>NMĐ Phú Mỹ 4 MBA T1 (phía 500kV)</v>
          </cell>
          <cell r="F2294">
            <v>514.29999999999995</v>
          </cell>
          <cell r="H2294">
            <v>509.1</v>
          </cell>
          <cell r="I2294">
            <v>514.1</v>
          </cell>
          <cell r="J2294">
            <v>510.9</v>
          </cell>
          <cell r="K2294">
            <v>509.5</v>
          </cell>
          <cell r="L2294">
            <v>514.29999999999995</v>
          </cell>
          <cell r="M2294">
            <v>513.70000000000005</v>
          </cell>
        </row>
        <row r="2295">
          <cell r="C2295" t="str">
            <v>NMĐ Phú Mỹ 4 MBA T2 (phía 500kV)</v>
          </cell>
          <cell r="F2295">
            <v>515.70000000000005</v>
          </cell>
          <cell r="H2295">
            <v>510.7</v>
          </cell>
          <cell r="I2295">
            <v>515.70000000000005</v>
          </cell>
          <cell r="J2295">
            <v>511.9</v>
          </cell>
          <cell r="K2295">
            <v>511.3</v>
          </cell>
          <cell r="L2295">
            <v>515.70000000000005</v>
          </cell>
          <cell r="M2295">
            <v>515.5</v>
          </cell>
        </row>
        <row r="2296">
          <cell r="C2296" t="str">
            <v>NMĐ Phú Mỹ 4 MBA T3 (phía 500kV)</v>
          </cell>
          <cell r="F2296">
            <v>514.1</v>
          </cell>
          <cell r="H2296">
            <v>509.3</v>
          </cell>
          <cell r="I2296">
            <v>514.1</v>
          </cell>
          <cell r="J2296">
            <v>510.9</v>
          </cell>
          <cell r="K2296">
            <v>509.1</v>
          </cell>
          <cell r="L2296">
            <v>513.9</v>
          </cell>
          <cell r="M2296">
            <v>513.9</v>
          </cell>
        </row>
        <row r="2297">
          <cell r="C2297" t="str">
            <v>110kV 171 NMĐ Srok Phu Miêng - 178 Bình Long 2</v>
          </cell>
          <cell r="E2297">
            <v>0</v>
          </cell>
          <cell r="F2297">
            <v>53</v>
          </cell>
          <cell r="H2297">
            <v>52.8</v>
          </cell>
          <cell r="I2297">
            <v>52.9</v>
          </cell>
          <cell r="J2297">
            <v>53</v>
          </cell>
          <cell r="K2297">
            <v>53</v>
          </cell>
          <cell r="L2297">
            <v>0</v>
          </cell>
          <cell r="M2297">
            <v>52.8</v>
          </cell>
        </row>
        <row r="2298">
          <cell r="C2298" t="str">
            <v>NMĐ Srok Phu Miêng MBA T1 (phía 110kV)</v>
          </cell>
          <cell r="E2298">
            <v>0</v>
          </cell>
          <cell r="F2298">
            <v>-27</v>
          </cell>
          <cell r="H2298">
            <v>-26.4</v>
          </cell>
          <cell r="I2298">
            <v>-26.5</v>
          </cell>
          <cell r="J2298">
            <v>-26.7</v>
          </cell>
          <cell r="K2298">
            <v>-27</v>
          </cell>
          <cell r="L2298">
            <v>0</v>
          </cell>
          <cell r="M2298">
            <v>-26.4</v>
          </cell>
        </row>
        <row r="2299">
          <cell r="C2299" t="str">
            <v>NMĐ Srok Phu Miêng MBA T2 (phía 110kV)</v>
          </cell>
          <cell r="E2299">
            <v>0</v>
          </cell>
          <cell r="F2299">
            <v>-27.8</v>
          </cell>
          <cell r="H2299">
            <v>-26.6</v>
          </cell>
          <cell r="I2299">
            <v>-26.5</v>
          </cell>
          <cell r="J2299">
            <v>-27</v>
          </cell>
          <cell r="K2299">
            <v>-26.8</v>
          </cell>
          <cell r="L2299">
            <v>0</v>
          </cell>
          <cell r="M2299">
            <v>-27.8</v>
          </cell>
        </row>
        <row r="2300">
          <cell r="C2300" t="str">
            <v>110kV 171 NMĐ Thác Mơ - 171 Phước Long</v>
          </cell>
          <cell r="F2300">
            <v>152.19999999999999</v>
          </cell>
          <cell r="H2300">
            <v>140.69999999999999</v>
          </cell>
          <cell r="I2300">
            <v>152.19999999999999</v>
          </cell>
          <cell r="J2300">
            <v>142.6</v>
          </cell>
          <cell r="K2300">
            <v>134.1</v>
          </cell>
          <cell r="L2300">
            <v>128.1</v>
          </cell>
          <cell r="M2300">
            <v>115.7</v>
          </cell>
        </row>
        <row r="2301">
          <cell r="C2301" t="str">
            <v>110kV 172 NMĐ Thác Mơ - 171 Bình Long 2</v>
          </cell>
          <cell r="F2301">
            <v>-66.400000000000006</v>
          </cell>
          <cell r="H2301">
            <v>43.2</v>
          </cell>
          <cell r="I2301">
            <v>-54.1</v>
          </cell>
          <cell r="J2301">
            <v>-62</v>
          </cell>
          <cell r="K2301">
            <v>42.7</v>
          </cell>
          <cell r="L2301">
            <v>-66.400000000000006</v>
          </cell>
          <cell r="M2301">
            <v>-47.9</v>
          </cell>
        </row>
        <row r="2302">
          <cell r="C2302" t="str">
            <v>110kV 173 NMĐ Thác Mơ - 171 Lộc Ninh</v>
          </cell>
          <cell r="F2302">
            <v>-62.7</v>
          </cell>
          <cell r="H2302">
            <v>42.7</v>
          </cell>
          <cell r="I2302">
            <v>-51.6</v>
          </cell>
          <cell r="J2302">
            <v>-62.7</v>
          </cell>
          <cell r="K2302">
            <v>41.4</v>
          </cell>
          <cell r="L2302">
            <v>-61.3</v>
          </cell>
          <cell r="M2302">
            <v>-43.7</v>
          </cell>
        </row>
        <row r="2303">
          <cell r="C2303" t="str">
            <v>110kV 174 NMĐ Thác Mơ - 171 Bù Đăng - 171 trạm cắt Đăk Glun</v>
          </cell>
          <cell r="F2303">
            <v>-43.9</v>
          </cell>
          <cell r="H2303">
            <v>-26.8</v>
          </cell>
          <cell r="I2303">
            <v>-43.9</v>
          </cell>
          <cell r="J2303">
            <v>-26.6</v>
          </cell>
          <cell r="K2303">
            <v>-28.1</v>
          </cell>
          <cell r="L2303">
            <v>0.1</v>
          </cell>
          <cell r="M2303">
            <v>-13.2</v>
          </cell>
        </row>
        <row r="2304">
          <cell r="C2304" t="str">
            <v>NMĐ Thủ Đức MBA T1 (phía 110kV)</v>
          </cell>
          <cell r="D2304">
            <v>131</v>
          </cell>
          <cell r="E2304">
            <v>0.1</v>
          </cell>
          <cell r="F2304">
            <v>0.1</v>
          </cell>
          <cell r="G2304">
            <v>0.1</v>
          </cell>
          <cell r="H2304">
            <v>0.1</v>
          </cell>
          <cell r="I2304">
            <v>0.1</v>
          </cell>
          <cell r="J2304">
            <v>0.1</v>
          </cell>
          <cell r="K2304">
            <v>0.1</v>
          </cell>
          <cell r="L2304">
            <v>0.1</v>
          </cell>
          <cell r="M2304">
            <v>0.1</v>
          </cell>
        </row>
        <row r="2305">
          <cell r="C2305" t="str">
            <v>NMĐ Thủ Đức MBA T2 (phía 110kV)</v>
          </cell>
          <cell r="D2305">
            <v>132</v>
          </cell>
          <cell r="E2305">
            <v>0</v>
          </cell>
          <cell r="F2305">
            <v>0</v>
          </cell>
          <cell r="G2305">
            <v>0</v>
          </cell>
          <cell r="H2305">
            <v>0</v>
          </cell>
          <cell r="I2305">
            <v>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</row>
        <row r="2306">
          <cell r="C2306" t="str">
            <v>NMĐ Thủ Đức MBA T3 (phía 110kV)</v>
          </cell>
          <cell r="D2306">
            <v>133</v>
          </cell>
          <cell r="E2306">
            <v>0.4</v>
          </cell>
          <cell r="F2306">
            <v>0.4</v>
          </cell>
          <cell r="G2306">
            <v>0.4</v>
          </cell>
          <cell r="H2306">
            <v>0.4</v>
          </cell>
          <cell r="I2306">
            <v>0.4</v>
          </cell>
          <cell r="J2306">
            <v>0.4</v>
          </cell>
          <cell r="K2306">
            <v>0.4</v>
          </cell>
          <cell r="L2306">
            <v>0.4</v>
          </cell>
          <cell r="M2306">
            <v>0.4</v>
          </cell>
        </row>
        <row r="2307">
          <cell r="C2307" t="str">
            <v>NMĐ Thủ Đức MBA T4 (phía 110kV)</v>
          </cell>
          <cell r="D2307">
            <v>134</v>
          </cell>
          <cell r="E2307">
            <v>0</v>
          </cell>
          <cell r="F2307">
            <v>0</v>
          </cell>
          <cell r="G2307">
            <v>0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</row>
        <row r="2308">
          <cell r="C2308" t="str">
            <v>NMĐ Thủ Đức MBA T5 (phía 110kV)</v>
          </cell>
          <cell r="D2308">
            <v>135</v>
          </cell>
          <cell r="E2308">
            <v>0</v>
          </cell>
          <cell r="F2308">
            <v>0</v>
          </cell>
          <cell r="G2308">
            <v>0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</row>
        <row r="2309">
          <cell r="C2309" t="str">
            <v>110kV 171 NMĐ Thủ Đức - 175 Thủ Đức</v>
          </cell>
          <cell r="D2309">
            <v>171</v>
          </cell>
          <cell r="E2309">
            <v>-1.1000000000000001</v>
          </cell>
          <cell r="F2309">
            <v>3.1</v>
          </cell>
          <cell r="G2309">
            <v>3.1</v>
          </cell>
          <cell r="H2309">
            <v>3</v>
          </cell>
          <cell r="I2309">
            <v>2.1</v>
          </cell>
          <cell r="J2309">
            <v>2.4</v>
          </cell>
          <cell r="K2309">
            <v>2.4</v>
          </cell>
          <cell r="L2309">
            <v>1.4</v>
          </cell>
          <cell r="M2309">
            <v>-1.1000000000000001</v>
          </cell>
        </row>
        <row r="2310">
          <cell r="C2310" t="str">
            <v>110kV 172 NMĐ Thủ Đức - 174 Thủ Đức</v>
          </cell>
          <cell r="D2310">
            <v>172</v>
          </cell>
          <cell r="E2310">
            <v>-1.2</v>
          </cell>
          <cell r="F2310">
            <v>-3.4</v>
          </cell>
          <cell r="G2310">
            <v>-3.4</v>
          </cell>
          <cell r="H2310">
            <v>-3.3</v>
          </cell>
          <cell r="I2310">
            <v>-2.2000000000000002</v>
          </cell>
          <cell r="J2310">
            <v>-2.2000000000000002</v>
          </cell>
          <cell r="K2310">
            <v>-2.5</v>
          </cell>
          <cell r="L2310">
            <v>-1.7</v>
          </cell>
          <cell r="M2310">
            <v>-1.2</v>
          </cell>
        </row>
        <row r="2311">
          <cell r="C2311" t="str">
            <v>220kV 271 NMĐ Trị An - 279 Sông Mây</v>
          </cell>
          <cell r="F2311">
            <v>-233.7</v>
          </cell>
          <cell r="H2311">
            <v>-218.4</v>
          </cell>
          <cell r="I2311">
            <v>-112</v>
          </cell>
          <cell r="J2311">
            <v>-233.7</v>
          </cell>
          <cell r="K2311">
            <v>-219.4</v>
          </cell>
          <cell r="L2311">
            <v>-155.4</v>
          </cell>
          <cell r="M2311">
            <v>-168.7</v>
          </cell>
        </row>
        <row r="2312">
          <cell r="C2312" t="str">
            <v>220kV 272 NMĐ Trị An - 276 Bình Hòa</v>
          </cell>
          <cell r="F2312">
            <v>161.4</v>
          </cell>
          <cell r="H2312">
            <v>161.4</v>
          </cell>
          <cell r="I2312">
            <v>144</v>
          </cell>
          <cell r="J2312">
            <v>151.80000000000001</v>
          </cell>
          <cell r="K2312">
            <v>115.9</v>
          </cell>
          <cell r="L2312">
            <v>120.3</v>
          </cell>
          <cell r="M2312">
            <v>133.80000000000001</v>
          </cell>
        </row>
        <row r="2313">
          <cell r="C2313" t="str">
            <v>220kV 273 NMĐ Trị An - 275 Bình Hòa</v>
          </cell>
          <cell r="F2313">
            <v>160.4</v>
          </cell>
          <cell r="H2313">
            <v>160.4</v>
          </cell>
          <cell r="I2313">
            <v>147.4</v>
          </cell>
          <cell r="J2313">
            <v>153.4</v>
          </cell>
          <cell r="K2313">
            <v>125.2</v>
          </cell>
          <cell r="L2313">
            <v>133.19999999999999</v>
          </cell>
          <cell r="M2313">
            <v>134.1</v>
          </cell>
        </row>
        <row r="2314">
          <cell r="C2314" t="str">
            <v>NMĐ Trị An MBA T1 (phía 220kV)</v>
          </cell>
          <cell r="F2314">
            <v>-100.7</v>
          </cell>
          <cell r="H2314">
            <v>-99.8</v>
          </cell>
          <cell r="I2314">
            <v>-100.3</v>
          </cell>
          <cell r="J2314">
            <v>-99.8</v>
          </cell>
          <cell r="K2314">
            <v>-99.7</v>
          </cell>
          <cell r="L2314">
            <v>-100.7</v>
          </cell>
          <cell r="M2314">
            <v>-96.3</v>
          </cell>
        </row>
        <row r="2315">
          <cell r="C2315" t="str">
            <v>NMĐ Trị An MBA T2 (phía 220kV)</v>
          </cell>
          <cell r="F2315">
            <v>-99.6</v>
          </cell>
          <cell r="H2315">
            <v>-99.6</v>
          </cell>
          <cell r="I2315">
            <v>-94.1</v>
          </cell>
          <cell r="J2315">
            <v>-94.8</v>
          </cell>
          <cell r="K2315">
            <v>-94.7</v>
          </cell>
          <cell r="L2315">
            <v>-94.4</v>
          </cell>
          <cell r="M2315">
            <v>-91.4</v>
          </cell>
        </row>
        <row r="2316">
          <cell r="C2316" t="str">
            <v>NMĐ Trị An MBA T3 (phía 220kV)</v>
          </cell>
          <cell r="F2316">
            <v>-99.9</v>
          </cell>
          <cell r="H2316">
            <v>-99.4</v>
          </cell>
          <cell r="I2316">
            <v>-99.9</v>
          </cell>
          <cell r="J2316">
            <v>-99.3</v>
          </cell>
          <cell r="K2316">
            <v>-99.3</v>
          </cell>
          <cell r="L2316">
            <v>-99.5</v>
          </cell>
          <cell r="M2316">
            <v>-95.4</v>
          </cell>
        </row>
        <row r="2317">
          <cell r="C2317" t="str">
            <v>NMĐ Trị An MBA T4 (phía 220kV)</v>
          </cell>
          <cell r="F2317">
            <v>-99.9</v>
          </cell>
          <cell r="H2317">
            <v>-99.9</v>
          </cell>
          <cell r="I2317">
            <v>-99.4</v>
          </cell>
          <cell r="J2317">
            <v>-99.7</v>
          </cell>
          <cell r="K2317">
            <v>-99.2</v>
          </cell>
          <cell r="L2317">
            <v>-99.8</v>
          </cell>
          <cell r="M2317">
            <v>-96.5</v>
          </cell>
        </row>
        <row r="2318">
          <cell r="C2318" t="str">
            <v>NMĐ Trị An MBA AT8 (phía 220kV)</v>
          </cell>
          <cell r="F2318">
            <v>101.5</v>
          </cell>
          <cell r="H2318">
            <v>101.5</v>
          </cell>
          <cell r="I2318">
            <v>88.6</v>
          </cell>
          <cell r="J2318">
            <v>96.6</v>
          </cell>
          <cell r="K2318">
            <v>90.6</v>
          </cell>
          <cell r="L2318">
            <v>75.099999999999994</v>
          </cell>
          <cell r="M2318">
            <v>67</v>
          </cell>
        </row>
        <row r="2319">
          <cell r="C2319" t="str">
            <v>NMĐ Trị An MBA AT9 (phía 220kV)</v>
          </cell>
          <cell r="F2319">
            <v>103.3</v>
          </cell>
          <cell r="H2319">
            <v>103.3</v>
          </cell>
          <cell r="I2319">
            <v>90.2</v>
          </cell>
          <cell r="J2319">
            <v>102.8</v>
          </cell>
          <cell r="K2319">
            <v>95.2</v>
          </cell>
          <cell r="L2319">
            <v>76.400000000000006</v>
          </cell>
          <cell r="M2319">
            <v>69.599999999999994</v>
          </cell>
        </row>
        <row r="2320">
          <cell r="C2320" t="str">
            <v>110kV 171 NMĐ Trị An - 171 Phú Giáo</v>
          </cell>
          <cell r="F2320">
            <v>58.9</v>
          </cell>
          <cell r="H2320">
            <v>58.7</v>
          </cell>
          <cell r="I2320">
            <v>56.3</v>
          </cell>
          <cell r="J2320">
            <v>58.9</v>
          </cell>
          <cell r="K2320">
            <v>57</v>
          </cell>
          <cell r="L2320">
            <v>51</v>
          </cell>
          <cell r="M2320">
            <v>45.7</v>
          </cell>
        </row>
        <row r="2321">
          <cell r="C2321" t="str">
            <v>110kV 172 NMĐ Trị An - 171 Thạnh Phú</v>
          </cell>
          <cell r="F2321">
            <v>59.5</v>
          </cell>
          <cell r="H2321">
            <v>56.4</v>
          </cell>
          <cell r="I2321">
            <v>54.9</v>
          </cell>
          <cell r="J2321">
            <v>59.5</v>
          </cell>
          <cell r="K2321">
            <v>52.4</v>
          </cell>
          <cell r="L2321">
            <v>25.3</v>
          </cell>
          <cell r="M2321">
            <v>25.4</v>
          </cell>
        </row>
        <row r="2322">
          <cell r="C2322" t="str">
            <v>110kV 173 NMĐ Trị An - 173 Tân Hòa</v>
          </cell>
          <cell r="E2322">
            <v>0</v>
          </cell>
          <cell r="F2322">
            <v>0</v>
          </cell>
          <cell r="H2322">
            <v>0</v>
          </cell>
          <cell r="I2322">
            <v>0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</row>
        <row r="2323">
          <cell r="C2323" t="str">
            <v>110kV 175 NMĐ Trị An - 171 Vĩnh An</v>
          </cell>
          <cell r="E2323">
            <v>0</v>
          </cell>
          <cell r="F2323">
            <v>0</v>
          </cell>
          <cell r="H2323">
            <v>0</v>
          </cell>
          <cell r="I2323">
            <v>0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</row>
        <row r="2324">
          <cell r="C2324" t="str">
            <v>NMĐ Trị An MBA AT8 (phía 110kV)</v>
          </cell>
          <cell r="F2324">
            <v>-100.9</v>
          </cell>
          <cell r="H2324">
            <v>-100.9</v>
          </cell>
          <cell r="I2324">
            <v>-87.8</v>
          </cell>
          <cell r="J2324">
            <v>-96.4</v>
          </cell>
          <cell r="K2324">
            <v>-89.6</v>
          </cell>
          <cell r="L2324">
            <v>-74.900000000000006</v>
          </cell>
          <cell r="M2324">
            <v>-67.099999999999994</v>
          </cell>
        </row>
        <row r="2325">
          <cell r="C2325" t="str">
            <v>NMĐ Trị An MBA AT9 (phía 110kV)</v>
          </cell>
          <cell r="F2325">
            <v>-102.9</v>
          </cell>
          <cell r="H2325">
            <v>-102.3</v>
          </cell>
          <cell r="I2325">
            <v>-89.6</v>
          </cell>
          <cell r="J2325">
            <v>-102.9</v>
          </cell>
          <cell r="K2325">
            <v>-95</v>
          </cell>
          <cell r="L2325">
            <v>-76.8</v>
          </cell>
          <cell r="M2325">
            <v>-70</v>
          </cell>
        </row>
        <row r="2326">
          <cell r="C2326" t="str">
            <v>110kV 176 NMĐ Trị An - 171 Kiệm Tân</v>
          </cell>
          <cell r="F2326">
            <v>68.7</v>
          </cell>
          <cell r="H2326">
            <v>66.099999999999994</v>
          </cell>
          <cell r="I2326">
            <v>65.099999999999994</v>
          </cell>
          <cell r="J2326">
            <v>68.7</v>
          </cell>
          <cell r="K2326">
            <v>64.099999999999994</v>
          </cell>
          <cell r="L2326">
            <v>62.2</v>
          </cell>
          <cell r="M2326">
            <v>63.4</v>
          </cell>
        </row>
        <row r="2327">
          <cell r="C2327" t="str">
            <v>110kV 171 NMĐ Vedan - 183 Long Thành</v>
          </cell>
          <cell r="F2327">
            <v>49.4</v>
          </cell>
          <cell r="H2327">
            <v>42.5</v>
          </cell>
          <cell r="I2327">
            <v>30.5</v>
          </cell>
          <cell r="J2327">
            <v>26.4</v>
          </cell>
          <cell r="K2327">
            <v>49.4</v>
          </cell>
          <cell r="L2327">
            <v>41.7</v>
          </cell>
          <cell r="M2327">
            <v>37.5</v>
          </cell>
        </row>
        <row r="2328">
          <cell r="C2328" t="str">
            <v>110kV 172 NMĐ Vedan - 178 Mỹ Xuân 2</v>
          </cell>
          <cell r="F2328">
            <v>-54.2</v>
          </cell>
          <cell r="H2328">
            <v>-54.1</v>
          </cell>
          <cell r="I2328">
            <v>-37.799999999999997</v>
          </cell>
          <cell r="J2328">
            <v>-32</v>
          </cell>
          <cell r="K2328">
            <v>-54.2</v>
          </cell>
          <cell r="L2328">
            <v>-52.3</v>
          </cell>
          <cell r="M2328">
            <v>-44.9</v>
          </cell>
        </row>
        <row r="2329">
          <cell r="C2329" t="str">
            <v>NMĐ Vedan MBA T1 (phía 110kV)</v>
          </cell>
          <cell r="F2329">
            <v>10.7</v>
          </cell>
          <cell r="H2329">
            <v>10.7</v>
          </cell>
          <cell r="I2329">
            <v>10.4</v>
          </cell>
          <cell r="J2329">
            <v>10.4</v>
          </cell>
          <cell r="K2329">
            <v>9.9</v>
          </cell>
          <cell r="L2329">
            <v>10</v>
          </cell>
          <cell r="M2329">
            <v>9.6999999999999993</v>
          </cell>
        </row>
        <row r="2330">
          <cell r="C2330" t="str">
            <v>NMĐ Vedan MBA T2 (phía 110kV)</v>
          </cell>
          <cell r="F2330">
            <v>10.7</v>
          </cell>
          <cell r="H2330">
            <v>10.7</v>
          </cell>
          <cell r="I2330">
            <v>10.4</v>
          </cell>
          <cell r="J2330">
            <v>10.5</v>
          </cell>
          <cell r="K2330">
            <v>9.9</v>
          </cell>
          <cell r="L2330">
            <v>10</v>
          </cell>
          <cell r="M2330">
            <v>9.6999999999999993</v>
          </cell>
        </row>
        <row r="2331">
          <cell r="C2331" t="str">
            <v>NMĐ Vedan MBA T3 (phía 110kV)</v>
          </cell>
          <cell r="F2331">
            <v>14.4</v>
          </cell>
          <cell r="H2331">
            <v>14.4</v>
          </cell>
          <cell r="I2331">
            <v>13.6</v>
          </cell>
          <cell r="J2331">
            <v>14.2</v>
          </cell>
          <cell r="K2331">
            <v>13.2</v>
          </cell>
          <cell r="L2331">
            <v>14.1</v>
          </cell>
          <cell r="M2331">
            <v>13.6</v>
          </cell>
        </row>
        <row r="2332">
          <cell r="C2332" t="str">
            <v>NMĐ Vedan MBA T4 (phía 110kV)</v>
          </cell>
          <cell r="F2332">
            <v>-53.1</v>
          </cell>
          <cell r="H2332">
            <v>-53</v>
          </cell>
          <cell r="I2332">
            <v>-53.1</v>
          </cell>
          <cell r="J2332">
            <v>-52.7</v>
          </cell>
          <cell r="K2332">
            <v>-53.1</v>
          </cell>
          <cell r="L2332">
            <v>-53.1</v>
          </cell>
          <cell r="M2332">
            <v>-53.1</v>
          </cell>
        </row>
        <row r="2333">
          <cell r="C2333" t="str">
            <v>NMĐ Vedan MBA T5 (phía 110kV)</v>
          </cell>
          <cell r="F2333">
            <v>14.4</v>
          </cell>
          <cell r="H2333">
            <v>14.4</v>
          </cell>
          <cell r="I2333">
            <v>13.6</v>
          </cell>
          <cell r="J2333">
            <v>14.2</v>
          </cell>
          <cell r="K2333">
            <v>13.1</v>
          </cell>
          <cell r="L2333">
            <v>14.1</v>
          </cell>
          <cell r="M2333">
            <v>13.6</v>
          </cell>
        </row>
        <row r="2334">
          <cell r="C2334" t="str">
            <v>NMĐ Vedan MBA T6 (phía 110kV)</v>
          </cell>
          <cell r="F2334">
            <v>16.899999999999999</v>
          </cell>
          <cell r="H2334">
            <v>16.899999999999999</v>
          </cell>
          <cell r="I2334">
            <v>15.9</v>
          </cell>
          <cell r="J2334">
            <v>16.100000000000001</v>
          </cell>
          <cell r="K2334">
            <v>13.8</v>
          </cell>
          <cell r="L2334">
            <v>15.7</v>
          </cell>
          <cell r="M2334">
            <v>15.5</v>
          </cell>
        </row>
        <row r="2335">
          <cell r="C2335" t="str">
            <v>NMĐ Vedan MBA T1 (phía 15kV)</v>
          </cell>
          <cell r="F2335">
            <v>-10.8</v>
          </cell>
          <cell r="H2335">
            <v>-10.8</v>
          </cell>
          <cell r="I2335">
            <v>-10.5</v>
          </cell>
          <cell r="J2335">
            <v>-10.5</v>
          </cell>
          <cell r="K2335">
            <v>-9.9</v>
          </cell>
          <cell r="L2335">
            <v>-10</v>
          </cell>
          <cell r="M2335">
            <v>-9.8000000000000007</v>
          </cell>
        </row>
        <row r="2336">
          <cell r="C2336" t="str">
            <v>NMĐ Vedan MBA T2 (phía 15kV)</v>
          </cell>
          <cell r="F2336">
            <v>-11</v>
          </cell>
          <cell r="H2336">
            <v>-11</v>
          </cell>
          <cell r="I2336">
            <v>-10.7</v>
          </cell>
          <cell r="J2336">
            <v>-10.8</v>
          </cell>
          <cell r="K2336">
            <v>-10.199999999999999</v>
          </cell>
          <cell r="L2336">
            <v>-10.199999999999999</v>
          </cell>
          <cell r="M2336">
            <v>-10</v>
          </cell>
        </row>
        <row r="2337">
          <cell r="C2337" t="str">
            <v>NMĐ Vedan MBA T3 (phía 10kV)</v>
          </cell>
          <cell r="F2337">
            <v>-14.9</v>
          </cell>
          <cell r="H2337">
            <v>-14.9</v>
          </cell>
          <cell r="I2337">
            <v>-13.7</v>
          </cell>
          <cell r="J2337">
            <v>-14.4</v>
          </cell>
          <cell r="K2337">
            <v>-13.4</v>
          </cell>
          <cell r="L2337">
            <v>-14.5</v>
          </cell>
          <cell r="M2337">
            <v>-13.8</v>
          </cell>
        </row>
        <row r="2338">
          <cell r="C2338" t="str">
            <v>NMĐ Vedan MBA T5 (phía 10kV)</v>
          </cell>
          <cell r="F2338">
            <v>-14.8</v>
          </cell>
          <cell r="H2338">
            <v>-14.8</v>
          </cell>
          <cell r="I2338">
            <v>-13.7</v>
          </cell>
          <cell r="J2338">
            <v>-14.5</v>
          </cell>
          <cell r="K2338">
            <v>-13.1</v>
          </cell>
          <cell r="L2338">
            <v>-14.5</v>
          </cell>
          <cell r="M2338">
            <v>-13.8</v>
          </cell>
        </row>
        <row r="2339">
          <cell r="C2339" t="str">
            <v>NMĐ Vedan MBA T6 (phía 10kV)</v>
          </cell>
          <cell r="F2339">
            <v>-16.5</v>
          </cell>
          <cell r="H2339">
            <v>-16.5</v>
          </cell>
          <cell r="I2339">
            <v>-15.6</v>
          </cell>
          <cell r="J2339">
            <v>-15.7</v>
          </cell>
          <cell r="K2339">
            <v>-13.5</v>
          </cell>
          <cell r="L2339">
            <v>-15.4</v>
          </cell>
          <cell r="M2339">
            <v>-15.2</v>
          </cell>
        </row>
        <row r="2340">
          <cell r="C2340" t="str">
            <v>NMĐ Vĩnh Tân 2 MBA T1 (phía 220kV)</v>
          </cell>
          <cell r="F2340">
            <v>571.5</v>
          </cell>
          <cell r="H2340">
            <v>566.5</v>
          </cell>
          <cell r="I2340">
            <v>560.29999999999995</v>
          </cell>
          <cell r="J2340">
            <v>571.5</v>
          </cell>
          <cell r="K2340">
            <v>556</v>
          </cell>
          <cell r="L2340">
            <v>540</v>
          </cell>
          <cell r="M2340">
            <v>441.2</v>
          </cell>
        </row>
        <row r="2341">
          <cell r="C2341" t="str">
            <v>NMĐ Vĩnh Tân 2 MBA T2 (phía 220kV)</v>
          </cell>
          <cell r="F2341">
            <v>578.1</v>
          </cell>
          <cell r="H2341">
            <v>578.1</v>
          </cell>
          <cell r="I2341">
            <v>568.9</v>
          </cell>
          <cell r="J2341">
            <v>567.79999999999995</v>
          </cell>
          <cell r="K2341">
            <v>562.4</v>
          </cell>
          <cell r="L2341">
            <v>542.5</v>
          </cell>
          <cell r="M2341">
            <v>450</v>
          </cell>
        </row>
        <row r="2342">
          <cell r="C2342" t="str">
            <v>110kV 171 NMĐ Yan Tann Sien - 174 Suối Vàng</v>
          </cell>
          <cell r="F2342">
            <v>20</v>
          </cell>
          <cell r="H2342">
            <v>20</v>
          </cell>
          <cell r="I2342">
            <v>20</v>
          </cell>
          <cell r="J2342">
            <v>19.899999999999999</v>
          </cell>
          <cell r="K2342">
            <v>19.899999999999999</v>
          </cell>
          <cell r="L2342">
            <v>17.7</v>
          </cell>
          <cell r="M2342">
            <v>19.2</v>
          </cell>
        </row>
        <row r="2343">
          <cell r="C2343" t="str">
            <v>NMĐ Yan Tann Sien MBA T1 (phía 110kV)</v>
          </cell>
          <cell r="F2343">
            <v>-10</v>
          </cell>
          <cell r="H2343">
            <v>-10</v>
          </cell>
          <cell r="I2343">
            <v>-10</v>
          </cell>
          <cell r="J2343">
            <v>-10</v>
          </cell>
          <cell r="K2343">
            <v>-10</v>
          </cell>
          <cell r="L2343">
            <v>-9.5</v>
          </cell>
          <cell r="M2343">
            <v>-9.6</v>
          </cell>
        </row>
        <row r="2344">
          <cell r="C2344" t="str">
            <v>NMĐ Yan Tann Sien MBA T2 (phía 110kV)</v>
          </cell>
          <cell r="F2344">
            <v>-10</v>
          </cell>
          <cell r="H2344">
            <v>-10</v>
          </cell>
          <cell r="I2344">
            <v>-9.9</v>
          </cell>
          <cell r="J2344">
            <v>-10</v>
          </cell>
          <cell r="K2344">
            <v>-9.9</v>
          </cell>
          <cell r="L2344">
            <v>-8.9</v>
          </cell>
          <cell r="M2344">
            <v>-9.5</v>
          </cell>
        </row>
        <row r="2345">
          <cell r="C2345" t="str">
            <v>NMTĐ Đăk Glun MBA T1 (phía 110kV)</v>
          </cell>
          <cell r="D2345">
            <v>131</v>
          </cell>
          <cell r="E2345">
            <v>0</v>
          </cell>
          <cell r="F2345">
            <v>-9.5</v>
          </cell>
          <cell r="G2345">
            <v>0</v>
          </cell>
          <cell r="H2345">
            <v>-9.1</v>
          </cell>
          <cell r="I2345">
            <v>-9.4</v>
          </cell>
          <cell r="J2345">
            <v>-9.5</v>
          </cell>
          <cell r="K2345">
            <v>0</v>
          </cell>
          <cell r="L2345">
            <v>0</v>
          </cell>
          <cell r="M2345">
            <v>0</v>
          </cell>
        </row>
        <row r="2346">
          <cell r="C2346" t="str">
            <v>NMTĐ Đăk Glun MBA T2 (phía 110kV)</v>
          </cell>
          <cell r="D2346">
            <v>132</v>
          </cell>
          <cell r="E2346">
            <v>0</v>
          </cell>
          <cell r="F2346">
            <v>-9.4</v>
          </cell>
          <cell r="G2346">
            <v>-9.1</v>
          </cell>
          <cell r="H2346">
            <v>-9.1</v>
          </cell>
          <cell r="I2346">
            <v>-9.4</v>
          </cell>
          <cell r="J2346">
            <v>-9.4</v>
          </cell>
          <cell r="K2346">
            <v>0</v>
          </cell>
          <cell r="L2346">
            <v>0</v>
          </cell>
          <cell r="M2346">
            <v>0</v>
          </cell>
        </row>
        <row r="2347">
          <cell r="C2347" t="str">
            <v>110kV 172 NMTĐ Đăk Glun - 171 NMTĐ Đăk Glun 2</v>
          </cell>
          <cell r="D2347">
            <v>172</v>
          </cell>
          <cell r="E2347">
            <v>0</v>
          </cell>
          <cell r="F2347">
            <v>18.8</v>
          </cell>
          <cell r="G2347">
            <v>9</v>
          </cell>
          <cell r="H2347">
            <v>18.100000000000001</v>
          </cell>
          <cell r="I2347">
            <v>18.8</v>
          </cell>
          <cell r="J2347">
            <v>18.8</v>
          </cell>
          <cell r="K2347">
            <v>0</v>
          </cell>
          <cell r="L2347">
            <v>0</v>
          </cell>
          <cell r="M2347">
            <v>0</v>
          </cell>
        </row>
        <row r="2348">
          <cell r="C2348" t="str">
            <v>110kV 171 NMTĐ Đăk Glun 2 - 172 NMTĐ Đăk Glun</v>
          </cell>
          <cell r="E2348">
            <v>0</v>
          </cell>
          <cell r="F2348">
            <v>-18.899999999999999</v>
          </cell>
          <cell r="H2348">
            <v>-18.2</v>
          </cell>
          <cell r="I2348">
            <v>-18.8</v>
          </cell>
          <cell r="J2348">
            <v>-18.8</v>
          </cell>
          <cell r="K2348">
            <v>-18.899999999999999</v>
          </cell>
          <cell r="L2348">
            <v>0</v>
          </cell>
          <cell r="M2348">
            <v>-9</v>
          </cell>
        </row>
        <row r="2349">
          <cell r="C2349" t="str">
            <v>110kV 172 NMTĐ Đăk Glun 2 - 171 trạm cắt 110 kV Đăk Glun</v>
          </cell>
          <cell r="F2349">
            <v>29.7</v>
          </cell>
          <cell r="H2349">
            <v>28.2</v>
          </cell>
          <cell r="I2349">
            <v>29.4</v>
          </cell>
          <cell r="J2349">
            <v>28.7</v>
          </cell>
          <cell r="K2349">
            <v>29.7</v>
          </cell>
          <cell r="L2349">
            <v>-0.1</v>
          </cell>
          <cell r="M2349">
            <v>14.1</v>
          </cell>
        </row>
        <row r="2350">
          <cell r="C2350" t="str">
            <v>NMTĐ Đăk Glun 2 MBA T1 (phía 110kV)</v>
          </cell>
          <cell r="E2350">
            <v>0</v>
          </cell>
          <cell r="F2350">
            <v>10.8</v>
          </cell>
          <cell r="H2350">
            <v>10.199999999999999</v>
          </cell>
          <cell r="I2350">
            <v>10.8</v>
          </cell>
          <cell r="J2350">
            <v>9.9</v>
          </cell>
          <cell r="K2350">
            <v>10.7</v>
          </cell>
          <cell r="L2350">
            <v>0</v>
          </cell>
          <cell r="M2350">
            <v>5.3</v>
          </cell>
        </row>
        <row r="2351">
          <cell r="C2351" t="str">
            <v>Ô Môn 2 MBA AT3 (phía 110kV)</v>
          </cell>
          <cell r="D2351">
            <v>133</v>
          </cell>
          <cell r="E2351">
            <v>-29.1</v>
          </cell>
          <cell r="F2351">
            <v>-55.8</v>
          </cell>
          <cell r="G2351">
            <v>-40.200000000000003</v>
          </cell>
          <cell r="H2351">
            <v>-39.5</v>
          </cell>
          <cell r="I2351">
            <v>-29.9</v>
          </cell>
          <cell r="J2351">
            <v>-36.6</v>
          </cell>
          <cell r="K2351">
            <v>-29.1</v>
          </cell>
          <cell r="L2351">
            <v>-31</v>
          </cell>
          <cell r="M2351">
            <v>-55.8</v>
          </cell>
        </row>
        <row r="2352">
          <cell r="C2352" t="str">
            <v>Ô Môn 2 MBA AT4 (phía 110kV)</v>
          </cell>
          <cell r="D2352">
            <v>134</v>
          </cell>
          <cell r="E2352">
            <v>0</v>
          </cell>
          <cell r="F2352">
            <v>-35.4</v>
          </cell>
          <cell r="G2352">
            <v>0</v>
          </cell>
          <cell r="H2352">
            <v>0</v>
          </cell>
          <cell r="I2352">
            <v>0</v>
          </cell>
          <cell r="J2352">
            <v>-35.4</v>
          </cell>
          <cell r="K2352">
            <v>-27.4</v>
          </cell>
          <cell r="L2352">
            <v>-27.4</v>
          </cell>
          <cell r="M2352">
            <v>-27.4</v>
          </cell>
        </row>
        <row r="2353">
          <cell r="C2353" t="str">
            <v>110kV 172 Ô Môn 2 - 172 Phát Thanh Nam Bộ</v>
          </cell>
          <cell r="D2353">
            <v>172</v>
          </cell>
          <cell r="E2353">
            <v>0.3</v>
          </cell>
          <cell r="F2353">
            <v>0.4</v>
          </cell>
          <cell r="G2353">
            <v>0.3</v>
          </cell>
          <cell r="H2353">
            <v>0.4</v>
          </cell>
          <cell r="I2353">
            <v>0.4</v>
          </cell>
          <cell r="J2353">
            <v>0.4</v>
          </cell>
          <cell r="K2353">
            <v>0.4</v>
          </cell>
          <cell r="L2353">
            <v>0.4</v>
          </cell>
          <cell r="M2353">
            <v>0.4</v>
          </cell>
        </row>
        <row r="2354">
          <cell r="C2354" t="str">
            <v>110kV 174 Ô Môn 2 - 172 Trà Nóc</v>
          </cell>
          <cell r="D2354">
            <v>174</v>
          </cell>
          <cell r="E2354">
            <v>0</v>
          </cell>
          <cell r="F2354">
            <v>0</v>
          </cell>
          <cell r="G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</row>
        <row r="2355">
          <cell r="C2355" t="str">
            <v>110kV 175 Ô Môn 2 - 172 KCN Cần Thơ</v>
          </cell>
          <cell r="D2355">
            <v>175</v>
          </cell>
          <cell r="E2355">
            <v>41.1</v>
          </cell>
          <cell r="F2355">
            <v>56.3</v>
          </cell>
          <cell r="G2355">
            <v>54.7</v>
          </cell>
          <cell r="H2355">
            <v>56.3</v>
          </cell>
          <cell r="I2355">
            <v>46.2</v>
          </cell>
          <cell r="J2355">
            <v>53.3</v>
          </cell>
          <cell r="K2355">
            <v>46.3</v>
          </cell>
          <cell r="L2355">
            <v>44.5</v>
          </cell>
          <cell r="M2355">
            <v>41.1</v>
          </cell>
        </row>
        <row r="2356">
          <cell r="C2356" t="str">
            <v>Ô Môn 2 MBA AT3 (phía 220kV)</v>
          </cell>
          <cell r="D2356">
            <v>233</v>
          </cell>
          <cell r="E2356">
            <v>0</v>
          </cell>
          <cell r="F2356">
            <v>0</v>
          </cell>
          <cell r="G2356">
            <v>0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</row>
        <row r="2357">
          <cell r="C2357" t="str">
            <v>Ô Môn 2 MBA AT4 (phía 220kV)</v>
          </cell>
          <cell r="D2357">
            <v>234</v>
          </cell>
          <cell r="E2357">
            <v>0</v>
          </cell>
          <cell r="F2357">
            <v>0</v>
          </cell>
          <cell r="G2357">
            <v>0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</row>
        <row r="2358">
          <cell r="C2358" t="str">
            <v>220kV 271 Ô Môn 2 - 272 Trà Nóc</v>
          </cell>
          <cell r="D2358">
            <v>271</v>
          </cell>
          <cell r="E2358">
            <v>167.9</v>
          </cell>
          <cell r="F2358">
            <v>214.5</v>
          </cell>
          <cell r="G2358">
            <v>212.5</v>
          </cell>
          <cell r="H2358">
            <v>214.5</v>
          </cell>
          <cell r="I2358">
            <v>184.3</v>
          </cell>
          <cell r="J2358">
            <v>205</v>
          </cell>
          <cell r="K2358">
            <v>185.1</v>
          </cell>
          <cell r="L2358">
            <v>169.1</v>
          </cell>
          <cell r="M2358">
            <v>167.9</v>
          </cell>
        </row>
        <row r="2359">
          <cell r="C2359" t="str">
            <v>220kV 272 Ô Môn 2 - 276 Cần Thơ 2</v>
          </cell>
          <cell r="D2359">
            <v>272</v>
          </cell>
          <cell r="E2359">
            <v>90.5</v>
          </cell>
          <cell r="F2359">
            <v>123.7</v>
          </cell>
          <cell r="G2359">
            <v>123.7</v>
          </cell>
          <cell r="H2359">
            <v>112.8</v>
          </cell>
          <cell r="I2359">
            <v>101.9</v>
          </cell>
          <cell r="J2359">
            <v>114</v>
          </cell>
          <cell r="K2359">
            <v>104.2</v>
          </cell>
          <cell r="L2359">
            <v>91</v>
          </cell>
          <cell r="M2359">
            <v>90.5</v>
          </cell>
        </row>
        <row r="2360">
          <cell r="C2360" t="str">
            <v>220kV 273 Ô Môn 2 - 272 NMĐ Cà Mau</v>
          </cell>
          <cell r="D2360">
            <v>273</v>
          </cell>
          <cell r="E2360">
            <v>41.1</v>
          </cell>
          <cell r="F2360">
            <v>-93.1</v>
          </cell>
          <cell r="G2360">
            <v>-93.1</v>
          </cell>
          <cell r="H2360">
            <v>-47.5</v>
          </cell>
          <cell r="I2360">
            <v>-70.7</v>
          </cell>
          <cell r="J2360">
            <v>-77.8</v>
          </cell>
          <cell r="K2360">
            <v>-64.7</v>
          </cell>
          <cell r="L2360">
            <v>41.1</v>
          </cell>
          <cell r="M2360">
            <v>92.1</v>
          </cell>
        </row>
        <row r="2361">
          <cell r="C2361" t="str">
            <v>220kV 274 Ô Môn 2 - 273 Sóc Trăng 2</v>
          </cell>
          <cell r="D2361">
            <v>274</v>
          </cell>
          <cell r="E2361">
            <v>54.5</v>
          </cell>
          <cell r="F2361">
            <v>152.6</v>
          </cell>
          <cell r="G2361">
            <v>54.5</v>
          </cell>
          <cell r="H2361">
            <v>152.6</v>
          </cell>
          <cell r="I2361">
            <v>93.9</v>
          </cell>
          <cell r="J2361">
            <v>117.8</v>
          </cell>
          <cell r="K2361">
            <v>101.9</v>
          </cell>
          <cell r="L2361">
            <v>99.9</v>
          </cell>
          <cell r="M2361">
            <v>146.9</v>
          </cell>
        </row>
        <row r="2362">
          <cell r="C2362" t="str">
            <v>220kV 275 Ô Môn 2 - 272 Thốt Nốt 2</v>
          </cell>
          <cell r="D2362">
            <v>275</v>
          </cell>
          <cell r="E2362">
            <v>186.1</v>
          </cell>
          <cell r="F2362">
            <v>266.8</v>
          </cell>
          <cell r="G2362">
            <v>266.8</v>
          </cell>
          <cell r="H2362">
            <v>208.8</v>
          </cell>
          <cell r="I2362">
            <v>186.1</v>
          </cell>
          <cell r="J2362">
            <v>219.1</v>
          </cell>
          <cell r="K2362">
            <v>196.8</v>
          </cell>
          <cell r="L2362">
            <v>196.1</v>
          </cell>
          <cell r="M2362">
            <v>188.1</v>
          </cell>
        </row>
        <row r="2363">
          <cell r="C2363" t="str">
            <v>220kV 276 Ô Môn 2 - 271 Thốt Nốt 2</v>
          </cell>
          <cell r="D2363">
            <v>276</v>
          </cell>
          <cell r="E2363">
            <v>188.1</v>
          </cell>
          <cell r="F2363">
            <v>269.10000000000002</v>
          </cell>
          <cell r="G2363">
            <v>269.10000000000002</v>
          </cell>
          <cell r="H2363">
            <v>210.1</v>
          </cell>
          <cell r="I2363">
            <v>188.1</v>
          </cell>
          <cell r="J2363">
            <v>221.4</v>
          </cell>
          <cell r="K2363">
            <v>197.9</v>
          </cell>
          <cell r="L2363">
            <v>198.2</v>
          </cell>
          <cell r="M2363">
            <v>189.1</v>
          </cell>
        </row>
        <row r="2364">
          <cell r="C2364" t="str">
            <v>220kV 278 Ô Môn 2 - 273 Vĩnh Long 2</v>
          </cell>
          <cell r="D2364">
            <v>278</v>
          </cell>
          <cell r="E2364">
            <v>-69.099999999999994</v>
          </cell>
          <cell r="F2364">
            <v>-202.1</v>
          </cell>
          <cell r="G2364">
            <v>-69.099999999999994</v>
          </cell>
          <cell r="H2364">
            <v>-157.19999999999999</v>
          </cell>
          <cell r="I2364">
            <v>-139.5</v>
          </cell>
          <cell r="J2364">
            <v>-157.19999999999999</v>
          </cell>
          <cell r="K2364">
            <v>-124</v>
          </cell>
          <cell r="L2364">
            <v>-140</v>
          </cell>
          <cell r="M2364">
            <v>-202.1</v>
          </cell>
        </row>
        <row r="2365">
          <cell r="C2365" t="str">
            <v>220kV 279 Ô Môn 2 - 272 Rạch Giá 2</v>
          </cell>
          <cell r="D2365">
            <v>279</v>
          </cell>
          <cell r="E2365">
            <v>29.1</v>
          </cell>
          <cell r="F2365">
            <v>198.5</v>
          </cell>
          <cell r="G2365">
            <v>77.7</v>
          </cell>
          <cell r="H2365">
            <v>29.1</v>
          </cell>
          <cell r="I2365">
            <v>29.1</v>
          </cell>
          <cell r="J2365">
            <v>29.1</v>
          </cell>
          <cell r="K2365">
            <v>124.6</v>
          </cell>
          <cell r="L2365">
            <v>29.1</v>
          </cell>
          <cell r="M2365">
            <v>198.5</v>
          </cell>
        </row>
        <row r="2366">
          <cell r="C2366" t="str">
            <v>220kV 283 Ô Môn 2 - 275 NMĐ Cà Mau</v>
          </cell>
          <cell r="D2366">
            <v>283</v>
          </cell>
          <cell r="E2366">
            <v>41.3</v>
          </cell>
          <cell r="F2366">
            <v>-93.9</v>
          </cell>
          <cell r="G2366">
            <v>-93.9</v>
          </cell>
          <cell r="H2366">
            <v>-48</v>
          </cell>
          <cell r="I2366">
            <v>-71.5</v>
          </cell>
          <cell r="J2366">
            <v>-78.7</v>
          </cell>
          <cell r="K2366">
            <v>-65.599999999999994</v>
          </cell>
          <cell r="L2366">
            <v>41.3</v>
          </cell>
          <cell r="M2366">
            <v>92.8</v>
          </cell>
        </row>
        <row r="2367">
          <cell r="C2367" t="str">
            <v>220kV 288 Ô Môn 2 - 272 Sa Đéc 2</v>
          </cell>
          <cell r="D2367">
            <v>288</v>
          </cell>
          <cell r="E2367">
            <v>-69.7</v>
          </cell>
          <cell r="F2367">
            <v>-154.19999999999999</v>
          </cell>
          <cell r="G2367">
            <v>81.7</v>
          </cell>
          <cell r="H2367">
            <v>-99</v>
          </cell>
          <cell r="I2367">
            <v>-69.7</v>
          </cell>
          <cell r="J2367">
            <v>-94.8</v>
          </cell>
          <cell r="K2367">
            <v>-74</v>
          </cell>
          <cell r="L2367">
            <v>-98.4</v>
          </cell>
          <cell r="M2367">
            <v>-154.19999999999999</v>
          </cell>
        </row>
        <row r="2368">
          <cell r="C2368" t="str">
            <v>Ô Môn MBA AT1 (phía 220kV)</v>
          </cell>
          <cell r="D2368">
            <v>231</v>
          </cell>
          <cell r="E2368">
            <v>-336.6</v>
          </cell>
          <cell r="F2368">
            <v>-396.9</v>
          </cell>
          <cell r="G2368">
            <v>-381.7</v>
          </cell>
          <cell r="H2368">
            <v>-362</v>
          </cell>
          <cell r="I2368">
            <v>-336.6</v>
          </cell>
          <cell r="J2368">
            <v>-374</v>
          </cell>
          <cell r="K2368">
            <v>-353.9</v>
          </cell>
          <cell r="L2368">
            <v>-341.7</v>
          </cell>
          <cell r="M2368">
            <v>-396.9</v>
          </cell>
        </row>
        <row r="2369">
          <cell r="C2369" t="str">
            <v>Ô Môn MBA AT2 (phía 220kV)</v>
          </cell>
          <cell r="D2369">
            <v>232</v>
          </cell>
          <cell r="E2369">
            <v>0</v>
          </cell>
          <cell r="F2369">
            <v>0</v>
          </cell>
          <cell r="G2369">
            <v>0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</row>
        <row r="2370">
          <cell r="C2370" t="str">
            <v>Ô Môn MBA AT1 (phía 500kV)</v>
          </cell>
          <cell r="D2370">
            <v>531</v>
          </cell>
          <cell r="E2370">
            <v>337</v>
          </cell>
          <cell r="F2370">
            <v>397</v>
          </cell>
          <cell r="G2370">
            <v>381.9</v>
          </cell>
          <cell r="H2370">
            <v>362.4</v>
          </cell>
          <cell r="I2370">
            <v>337</v>
          </cell>
          <cell r="J2370">
            <v>374.6</v>
          </cell>
          <cell r="K2370">
            <v>354.6</v>
          </cell>
          <cell r="L2370">
            <v>340</v>
          </cell>
          <cell r="M2370">
            <v>397</v>
          </cell>
        </row>
        <row r="2371">
          <cell r="C2371" t="str">
            <v>Ô Môn MBA AT2 (phía 500kV)</v>
          </cell>
          <cell r="D2371">
            <v>532</v>
          </cell>
          <cell r="E2371">
            <v>526.79999999999995</v>
          </cell>
          <cell r="F2371">
            <v>618.5</v>
          </cell>
          <cell r="G2371">
            <v>594.20000000000005</v>
          </cell>
          <cell r="H2371">
            <v>564.29999999999995</v>
          </cell>
          <cell r="I2371">
            <v>526.79999999999995</v>
          </cell>
          <cell r="J2371">
            <v>584.70000000000005</v>
          </cell>
          <cell r="K2371">
            <v>554.1</v>
          </cell>
          <cell r="L2371">
            <v>535.5</v>
          </cell>
          <cell r="M2371">
            <v>618.5</v>
          </cell>
        </row>
        <row r="2372">
          <cell r="C2372" t="str">
            <v>110kV 171 Ông Kèo - 172 Dệt May</v>
          </cell>
          <cell r="F2372">
            <v>81</v>
          </cell>
          <cell r="H2372">
            <v>81</v>
          </cell>
          <cell r="I2372">
            <v>76.7</v>
          </cell>
          <cell r="J2372">
            <v>79.400000000000006</v>
          </cell>
          <cell r="K2372">
            <v>74.8</v>
          </cell>
          <cell r="L2372">
            <v>61.4</v>
          </cell>
          <cell r="M2372">
            <v>62.8</v>
          </cell>
        </row>
        <row r="2373">
          <cell r="C2373" t="str">
            <v>110kV 172 Ông Kèo - 177 Bàu Sen</v>
          </cell>
          <cell r="F2373">
            <v>-101.8</v>
          </cell>
          <cell r="H2373">
            <v>-94.8</v>
          </cell>
          <cell r="I2373">
            <v>-96</v>
          </cell>
          <cell r="J2373">
            <v>-101.8</v>
          </cell>
          <cell r="K2373">
            <v>-96.9</v>
          </cell>
          <cell r="L2373">
            <v>-83</v>
          </cell>
          <cell r="M2373">
            <v>-77.7</v>
          </cell>
        </row>
        <row r="2374">
          <cell r="C2374" t="str">
            <v xml:space="preserve">Ông Kèo MBA T2 (phía 110kV) </v>
          </cell>
          <cell r="F2374">
            <v>17.399999999999999</v>
          </cell>
          <cell r="H2374">
            <v>10</v>
          </cell>
          <cell r="I2374">
            <v>17.3</v>
          </cell>
          <cell r="J2374">
            <v>15.9</v>
          </cell>
          <cell r="K2374">
            <v>17.399999999999999</v>
          </cell>
          <cell r="L2374">
            <v>16.899999999999999</v>
          </cell>
          <cell r="M2374">
            <v>17.100000000000001</v>
          </cell>
        </row>
        <row r="2375">
          <cell r="C2375" t="str">
            <v xml:space="preserve">Ông Kèo MBA T2 (phía 22kV) </v>
          </cell>
          <cell r="F2375">
            <v>-17.5</v>
          </cell>
          <cell r="H2375">
            <v>-11</v>
          </cell>
          <cell r="I2375">
            <v>-17.5</v>
          </cell>
          <cell r="J2375">
            <v>-16.100000000000001</v>
          </cell>
          <cell r="K2375">
            <v>-17.5</v>
          </cell>
          <cell r="L2375">
            <v>-16.899999999999999</v>
          </cell>
          <cell r="M2375">
            <v>-17.3</v>
          </cell>
        </row>
        <row r="2376">
          <cell r="C2376" t="str">
            <v xml:space="preserve">Ông Kèo MBA T1 (phía 110kV) </v>
          </cell>
          <cell r="F2376">
            <v>8</v>
          </cell>
          <cell r="H2376">
            <v>8</v>
          </cell>
          <cell r="I2376">
            <v>6</v>
          </cell>
          <cell r="J2376">
            <v>8</v>
          </cell>
          <cell r="K2376">
            <v>6</v>
          </cell>
          <cell r="L2376">
            <v>7</v>
          </cell>
          <cell r="M2376">
            <v>7</v>
          </cell>
        </row>
        <row r="2377">
          <cell r="C2377" t="str">
            <v xml:space="preserve">Ông Kèo MBA T1 (phía 22kV) </v>
          </cell>
          <cell r="F2377">
            <v>-7</v>
          </cell>
          <cell r="H2377">
            <v>-7</v>
          </cell>
          <cell r="I2377">
            <v>-6</v>
          </cell>
          <cell r="J2377">
            <v>-7</v>
          </cell>
          <cell r="K2377">
            <v>-6</v>
          </cell>
          <cell r="L2377">
            <v>-7</v>
          </cell>
          <cell r="M2377">
            <v>-7</v>
          </cell>
        </row>
        <row r="2378">
          <cell r="C2378" t="str">
            <v>Phan Rí MBA T1 (phía 110kV)</v>
          </cell>
          <cell r="D2378">
            <v>131</v>
          </cell>
          <cell r="E2378">
            <v>11.2</v>
          </cell>
          <cell r="F2378">
            <v>17.2</v>
          </cell>
          <cell r="G2378">
            <v>17.2</v>
          </cell>
          <cell r="H2378">
            <v>14.8</v>
          </cell>
          <cell r="I2378">
            <v>13.7</v>
          </cell>
          <cell r="J2378">
            <v>14.6</v>
          </cell>
          <cell r="K2378">
            <v>11.6</v>
          </cell>
          <cell r="L2378">
            <v>14.3</v>
          </cell>
          <cell r="M2378">
            <v>11.2</v>
          </cell>
        </row>
        <row r="2379">
          <cell r="C2379" t="str">
            <v>Phan Rí MBA T2 (phía 110kV)</v>
          </cell>
          <cell r="D2379">
            <v>132</v>
          </cell>
          <cell r="E2379">
            <v>11.1</v>
          </cell>
          <cell r="F2379">
            <v>17.100000000000001</v>
          </cell>
          <cell r="G2379">
            <v>17.100000000000001</v>
          </cell>
          <cell r="H2379">
            <v>14.8</v>
          </cell>
          <cell r="I2379">
            <v>13.6</v>
          </cell>
          <cell r="J2379">
            <v>14.4</v>
          </cell>
          <cell r="K2379">
            <v>11.5</v>
          </cell>
          <cell r="L2379">
            <v>14.2</v>
          </cell>
          <cell r="M2379">
            <v>11.1</v>
          </cell>
        </row>
        <row r="2380">
          <cell r="C2380" t="str">
            <v>110kV 171 Phan Rí - 179 Phan Rí 2</v>
          </cell>
          <cell r="D2380">
            <v>171</v>
          </cell>
          <cell r="E2380">
            <v>66.3</v>
          </cell>
          <cell r="F2380">
            <v>81.5</v>
          </cell>
          <cell r="G2380">
            <v>76.5</v>
          </cell>
          <cell r="H2380">
            <v>78.900000000000006</v>
          </cell>
          <cell r="I2380">
            <v>66.3</v>
          </cell>
          <cell r="J2380">
            <v>77.3</v>
          </cell>
          <cell r="K2380">
            <v>81.5</v>
          </cell>
          <cell r="L2380">
            <v>71.8</v>
          </cell>
          <cell r="M2380">
            <v>78.400000000000006</v>
          </cell>
        </row>
        <row r="2381">
          <cell r="C2381" t="str">
            <v>110kV 172 Phan Rí - 178 Phan Rí 2</v>
          </cell>
          <cell r="D2381">
            <v>172</v>
          </cell>
          <cell r="E2381">
            <v>0</v>
          </cell>
          <cell r="F2381">
            <v>83.6</v>
          </cell>
          <cell r="G2381">
            <v>0</v>
          </cell>
          <cell r="H2381">
            <v>-13.4</v>
          </cell>
          <cell r="I2381">
            <v>68.099999999999994</v>
          </cell>
          <cell r="J2381">
            <v>79.900000000000006</v>
          </cell>
          <cell r="K2381">
            <v>83.6</v>
          </cell>
          <cell r="L2381">
            <v>73.900000000000006</v>
          </cell>
          <cell r="M2381">
            <v>80.8</v>
          </cell>
        </row>
        <row r="2382">
          <cell r="C2382" t="str">
            <v>110kV 173 Phan Rí - 172 NMĐ MT Phong Phú</v>
          </cell>
          <cell r="D2382">
            <v>173</v>
          </cell>
          <cell r="E2382">
            <v>-22.6</v>
          </cell>
          <cell r="F2382">
            <v>-37.700000000000003</v>
          </cell>
          <cell r="G2382">
            <v>-34.700000000000003</v>
          </cell>
          <cell r="H2382">
            <v>-35.1</v>
          </cell>
          <cell r="I2382">
            <v>-22.6</v>
          </cell>
          <cell r="J2382">
            <v>-34.299999999999997</v>
          </cell>
          <cell r="K2382">
            <v>-37.700000000000003</v>
          </cell>
          <cell r="L2382">
            <v>-26.8</v>
          </cell>
          <cell r="M2382">
            <v>-34.700000000000003</v>
          </cell>
        </row>
        <row r="2383">
          <cell r="C2383" t="str">
            <v>110kV 174 Phan Rí - 171 NMĐ MT Eco Seido Tuy Phong</v>
          </cell>
          <cell r="D2383">
            <v>174</v>
          </cell>
          <cell r="E2383">
            <v>-131.30000000000001</v>
          </cell>
          <cell r="F2383">
            <v>-138.19999999999999</v>
          </cell>
          <cell r="G2383">
            <v>-138.19999999999999</v>
          </cell>
          <cell r="H2383">
            <v>-133.6</v>
          </cell>
          <cell r="I2383">
            <v>-131.30000000000001</v>
          </cell>
          <cell r="J2383">
            <v>-135.1</v>
          </cell>
          <cell r="K2383">
            <v>-135.6</v>
          </cell>
          <cell r="L2383">
            <v>-134.5</v>
          </cell>
          <cell r="M2383">
            <v>-136.19999999999999</v>
          </cell>
        </row>
        <row r="2384">
          <cell r="C2384" t="str">
            <v>Phan Rí MBA T1 (phía 22kV)</v>
          </cell>
          <cell r="D2384">
            <v>431</v>
          </cell>
          <cell r="E2384">
            <v>-11.2</v>
          </cell>
          <cell r="F2384">
            <v>-17.3</v>
          </cell>
          <cell r="G2384">
            <v>-17.3</v>
          </cell>
          <cell r="H2384">
            <v>-14.8</v>
          </cell>
          <cell r="I2384">
            <v>-13.7</v>
          </cell>
          <cell r="J2384">
            <v>-14.6</v>
          </cell>
          <cell r="K2384">
            <v>-11.6</v>
          </cell>
          <cell r="L2384">
            <v>-14.3</v>
          </cell>
          <cell r="M2384">
            <v>-11.2</v>
          </cell>
        </row>
        <row r="2385">
          <cell r="C2385" t="str">
            <v>Phan Rí MBA T2 (phía 22kV)</v>
          </cell>
          <cell r="D2385">
            <v>432</v>
          </cell>
          <cell r="E2385">
            <v>-11.1</v>
          </cell>
          <cell r="F2385">
            <v>-17.100000000000001</v>
          </cell>
          <cell r="G2385">
            <v>-17.100000000000001</v>
          </cell>
          <cell r="H2385">
            <v>-14.7</v>
          </cell>
          <cell r="I2385">
            <v>-13.6</v>
          </cell>
          <cell r="J2385">
            <v>-14.5</v>
          </cell>
          <cell r="K2385">
            <v>-11.5</v>
          </cell>
          <cell r="L2385">
            <v>-14.2</v>
          </cell>
          <cell r="M2385">
            <v>-11.1</v>
          </cell>
        </row>
        <row r="2386">
          <cell r="C2386" t="str">
            <v>Phan Rí 2 MBA AT1 (phía 220kV)</v>
          </cell>
          <cell r="F2386">
            <v>-215</v>
          </cell>
          <cell r="H2386">
            <v>-210.1</v>
          </cell>
          <cell r="I2386">
            <v>-166.3</v>
          </cell>
          <cell r="J2386">
            <v>-202</v>
          </cell>
          <cell r="K2386">
            <v>-215</v>
          </cell>
          <cell r="L2386">
            <v>-183.8</v>
          </cell>
          <cell r="M2386">
            <v>-193.2</v>
          </cell>
        </row>
        <row r="2387">
          <cell r="C2387" t="str">
            <v>Phan Rí 2 MBA AT1 (phía 110kV)</v>
          </cell>
          <cell r="F2387">
            <v>213.7</v>
          </cell>
          <cell r="H2387">
            <v>207.8</v>
          </cell>
          <cell r="I2387">
            <v>170.4</v>
          </cell>
          <cell r="J2387">
            <v>198.4</v>
          </cell>
          <cell r="K2387">
            <v>213.7</v>
          </cell>
          <cell r="L2387">
            <v>182.3</v>
          </cell>
          <cell r="M2387">
            <v>193.6</v>
          </cell>
        </row>
        <row r="2388">
          <cell r="C2388" t="str">
            <v>220kV 271 Phan Rí 2 - 273 NMĐ MT Hồng Phong 1A, 1B</v>
          </cell>
          <cell r="F2388">
            <v>340.2</v>
          </cell>
          <cell r="H2388">
            <v>340.2</v>
          </cell>
          <cell r="I2388">
            <v>290.60000000000002</v>
          </cell>
          <cell r="J2388">
            <v>240</v>
          </cell>
          <cell r="K2388">
            <v>323.2</v>
          </cell>
          <cell r="L2388">
            <v>256.2</v>
          </cell>
          <cell r="M2388">
            <v>289.3</v>
          </cell>
        </row>
        <row r="2389">
          <cell r="C2389" t="str">
            <v>220kV 274 Phan Rí 2 - 274 Vĩnh Tân</v>
          </cell>
          <cell r="F2389">
            <v>-339</v>
          </cell>
          <cell r="H2389">
            <v>-339</v>
          </cell>
          <cell r="I2389">
            <v>-278.5</v>
          </cell>
          <cell r="J2389">
            <v>-247.2</v>
          </cell>
          <cell r="K2389">
            <v>-304.2</v>
          </cell>
          <cell r="L2389">
            <v>-274.10000000000002</v>
          </cell>
          <cell r="M2389">
            <v>-255.8</v>
          </cell>
        </row>
        <row r="2390">
          <cell r="C2390" t="str">
            <v>220kV 272 Phan Rí 2 - 275 Phan Thiết 2</v>
          </cell>
          <cell r="F2390">
            <v>395.8</v>
          </cell>
          <cell r="H2390">
            <v>395.8</v>
          </cell>
          <cell r="I2390">
            <v>323.7</v>
          </cell>
          <cell r="J2390">
            <v>297.10000000000002</v>
          </cell>
          <cell r="K2390">
            <v>341.3</v>
          </cell>
          <cell r="L2390">
            <v>289.10000000000002</v>
          </cell>
          <cell r="M2390">
            <v>304.89999999999998</v>
          </cell>
        </row>
        <row r="2391">
          <cell r="C2391" t="str">
            <v>220kV 273 Phan Rí 2 - 273 Vĩnh Tân</v>
          </cell>
          <cell r="F2391">
            <v>-431.5</v>
          </cell>
          <cell r="H2391">
            <v>-336.3</v>
          </cell>
          <cell r="I2391">
            <v>-268.10000000000002</v>
          </cell>
          <cell r="J2391">
            <v>-241.5</v>
          </cell>
          <cell r="K2391">
            <v>-298.7</v>
          </cell>
          <cell r="L2391">
            <v>-431.5</v>
          </cell>
          <cell r="M2391">
            <v>-252.4</v>
          </cell>
        </row>
        <row r="2392">
          <cell r="C2392" t="str">
            <v>110kV 176 Phan Rí 2 - 171 NMĐ MT Bình An</v>
          </cell>
          <cell r="E2392">
            <v>0</v>
          </cell>
          <cell r="F2392">
            <v>2.2000000000000002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  <cell r="L2392">
            <v>2.2000000000000002</v>
          </cell>
          <cell r="M2392">
            <v>0</v>
          </cell>
        </row>
        <row r="2393">
          <cell r="C2393" t="str">
            <v>110kV 177 Phan Rí 2 - 171 Lương Sơn</v>
          </cell>
          <cell r="F2393">
            <v>-56.5</v>
          </cell>
          <cell r="H2393">
            <v>-48</v>
          </cell>
          <cell r="I2393">
            <v>-35.200000000000003</v>
          </cell>
          <cell r="J2393">
            <v>-44.6</v>
          </cell>
          <cell r="K2393">
            <v>-56.5</v>
          </cell>
          <cell r="L2393">
            <v>-38.9</v>
          </cell>
          <cell r="M2393">
            <v>-35.1</v>
          </cell>
        </row>
        <row r="2394">
          <cell r="C2394" t="str">
            <v>110kV 178 Phan Rí 2 - 172 Phan Rí</v>
          </cell>
          <cell r="F2394">
            <v>-82.2</v>
          </cell>
          <cell r="H2394">
            <v>-82.2</v>
          </cell>
          <cell r="I2394">
            <v>-70</v>
          </cell>
          <cell r="J2394">
            <v>-79.5</v>
          </cell>
          <cell r="K2394">
            <v>-81.599999999999994</v>
          </cell>
          <cell r="L2394">
            <v>-74.400000000000006</v>
          </cell>
          <cell r="M2394">
            <v>-78.8</v>
          </cell>
        </row>
        <row r="2395">
          <cell r="C2395" t="str">
            <v>110kV 179 Phan Rí 2 - 171 Phan Rí</v>
          </cell>
          <cell r="F2395">
            <v>-80.3</v>
          </cell>
          <cell r="H2395">
            <v>-77</v>
          </cell>
          <cell r="I2395">
            <v>-65.099999999999994</v>
          </cell>
          <cell r="J2395">
            <v>-77.7</v>
          </cell>
          <cell r="K2395">
            <v>-80.3</v>
          </cell>
          <cell r="L2395">
            <v>-70.900000000000006</v>
          </cell>
          <cell r="M2395">
            <v>-79.099999999999994</v>
          </cell>
        </row>
        <row r="2396">
          <cell r="C2396" t="str">
            <v>Phan Rí 2 MBA AT2 (phía 220kV)</v>
          </cell>
          <cell r="E2396">
            <v>0</v>
          </cell>
          <cell r="F2396">
            <v>0</v>
          </cell>
          <cell r="H2396">
            <v>0</v>
          </cell>
          <cell r="I2396">
            <v>0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</row>
        <row r="2397">
          <cell r="C2397" t="str">
            <v>Phan Rí 2 MBA AT2 (phía 110kV)</v>
          </cell>
          <cell r="E2397">
            <v>0</v>
          </cell>
          <cell r="F2397">
            <v>0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</row>
        <row r="2398">
          <cell r="C2398" t="str">
            <v>Phan Thiết MBA T1 (phía 110kV)</v>
          </cell>
          <cell r="D2398">
            <v>131</v>
          </cell>
          <cell r="E2398">
            <v>30.5</v>
          </cell>
          <cell r="F2398">
            <v>37.4</v>
          </cell>
          <cell r="G2398">
            <v>37.4</v>
          </cell>
          <cell r="H2398">
            <v>36.9</v>
          </cell>
          <cell r="I2398">
            <v>30.9</v>
          </cell>
          <cell r="J2398">
            <v>33.700000000000003</v>
          </cell>
          <cell r="K2398">
            <v>31.2</v>
          </cell>
          <cell r="L2398">
            <v>30.5</v>
          </cell>
          <cell r="M2398">
            <v>31.1</v>
          </cell>
        </row>
        <row r="2399">
          <cell r="C2399" t="str">
            <v>Phan Thiết MBA T2 (phía 110kV)</v>
          </cell>
          <cell r="D2399">
            <v>132</v>
          </cell>
          <cell r="E2399">
            <v>30.5</v>
          </cell>
          <cell r="F2399">
            <v>37</v>
          </cell>
          <cell r="G2399">
            <v>37</v>
          </cell>
          <cell r="H2399">
            <v>34.9</v>
          </cell>
          <cell r="I2399">
            <v>30.6</v>
          </cell>
          <cell r="J2399">
            <v>34.6</v>
          </cell>
          <cell r="K2399">
            <v>30.5</v>
          </cell>
          <cell r="L2399">
            <v>32</v>
          </cell>
          <cell r="M2399">
            <v>30.5</v>
          </cell>
        </row>
        <row r="2400">
          <cell r="C2400" t="str">
            <v>110kV 172 Phan Thiết - 172 Phan Thiết 2</v>
          </cell>
          <cell r="D2400">
            <v>172</v>
          </cell>
          <cell r="E2400">
            <v>-42.5</v>
          </cell>
          <cell r="F2400">
            <v>-59.2</v>
          </cell>
          <cell r="G2400">
            <v>-59.2</v>
          </cell>
          <cell r="H2400">
            <v>-51.1</v>
          </cell>
          <cell r="I2400">
            <v>-43.9</v>
          </cell>
          <cell r="J2400">
            <v>-48.8</v>
          </cell>
          <cell r="K2400">
            <v>48.5</v>
          </cell>
          <cell r="L2400">
            <v>-42.5</v>
          </cell>
          <cell r="M2400">
            <v>-45.1</v>
          </cell>
        </row>
        <row r="2401">
          <cell r="C2401" t="str">
            <v>110kV 173 Phan Thiết - 173 Phan Thiết 2</v>
          </cell>
          <cell r="D2401">
            <v>173</v>
          </cell>
          <cell r="E2401">
            <v>-42.8</v>
          </cell>
          <cell r="F2401">
            <v>-60.4</v>
          </cell>
          <cell r="G2401">
            <v>-60.4</v>
          </cell>
          <cell r="H2401">
            <v>-52.1</v>
          </cell>
          <cell r="I2401">
            <v>-44.9</v>
          </cell>
          <cell r="J2401">
            <v>-49.8</v>
          </cell>
          <cell r="K2401">
            <v>49.2</v>
          </cell>
          <cell r="L2401">
            <v>-42.8</v>
          </cell>
          <cell r="M2401">
            <v>-45.3</v>
          </cell>
        </row>
        <row r="2402">
          <cell r="C2402" t="str">
            <v>110kV 174 Phan Thiết - 172 trạm cắt Hồng Sơn</v>
          </cell>
          <cell r="D2402">
            <v>174</v>
          </cell>
          <cell r="E2402">
            <v>-45.1</v>
          </cell>
          <cell r="F2402">
            <v>-80</v>
          </cell>
          <cell r="G2402">
            <v>-80</v>
          </cell>
          <cell r="H2402">
            <v>-71.5</v>
          </cell>
          <cell r="I2402">
            <v>-59.9</v>
          </cell>
          <cell r="J2402">
            <v>-68.5</v>
          </cell>
          <cell r="K2402">
            <v>-78.400000000000006</v>
          </cell>
          <cell r="L2402">
            <v>-63.5</v>
          </cell>
          <cell r="M2402">
            <v>-45.1</v>
          </cell>
        </row>
        <row r="2403">
          <cell r="C2403" t="str">
            <v>110kV 175 Phan Thiết - 171 Hàm Kiệm</v>
          </cell>
          <cell r="D2403">
            <v>175</v>
          </cell>
          <cell r="E2403">
            <v>30</v>
          </cell>
          <cell r="F2403">
            <v>-75.900000000000006</v>
          </cell>
          <cell r="G2403">
            <v>-75.900000000000006</v>
          </cell>
          <cell r="H2403">
            <v>-69.3</v>
          </cell>
          <cell r="I2403">
            <v>30</v>
          </cell>
          <cell r="J2403">
            <v>-60.8</v>
          </cell>
          <cell r="K2403">
            <v>-58.3</v>
          </cell>
          <cell r="L2403">
            <v>-33.200000000000003</v>
          </cell>
          <cell r="M2403">
            <v>-46.8</v>
          </cell>
        </row>
        <row r="2404">
          <cell r="C2404" t="str">
            <v>Phan Thiết MBA T1 (phía 22kV)</v>
          </cell>
          <cell r="D2404">
            <v>431</v>
          </cell>
          <cell r="E2404">
            <v>-30.4</v>
          </cell>
          <cell r="F2404">
            <v>-37</v>
          </cell>
          <cell r="G2404">
            <v>-37</v>
          </cell>
          <cell r="H2404">
            <v>-36.6</v>
          </cell>
          <cell r="I2404">
            <v>-30.8</v>
          </cell>
          <cell r="J2404">
            <v>-33.6</v>
          </cell>
          <cell r="K2404">
            <v>-30.9</v>
          </cell>
          <cell r="L2404">
            <v>-30.4</v>
          </cell>
          <cell r="M2404">
            <v>-30.9</v>
          </cell>
        </row>
        <row r="2405">
          <cell r="C2405" t="str">
            <v>Phan Thiết MBA T2 (phía 22kV)</v>
          </cell>
          <cell r="D2405">
            <v>432</v>
          </cell>
          <cell r="E2405">
            <v>-23.9</v>
          </cell>
          <cell r="F2405">
            <v>-37.299999999999997</v>
          </cell>
          <cell r="G2405">
            <v>-37.299999999999997</v>
          </cell>
          <cell r="H2405">
            <v>-35</v>
          </cell>
          <cell r="I2405">
            <v>-30.8</v>
          </cell>
          <cell r="J2405">
            <v>-34.700000000000003</v>
          </cell>
          <cell r="K2405">
            <v>-30.6</v>
          </cell>
          <cell r="L2405">
            <v>-32.200000000000003</v>
          </cell>
          <cell r="M2405">
            <v>-23.9</v>
          </cell>
        </row>
        <row r="2406">
          <cell r="C2406" t="str">
            <v>220kV 271 Phan Thiết 2 - 276 Hàm Tân 2</v>
          </cell>
          <cell r="F2406">
            <v>267.3</v>
          </cell>
          <cell r="H2406">
            <v>259.5</v>
          </cell>
          <cell r="I2406">
            <v>212.5</v>
          </cell>
          <cell r="J2406">
            <v>214.4</v>
          </cell>
          <cell r="K2406">
            <v>267.3</v>
          </cell>
          <cell r="L2406">
            <v>243</v>
          </cell>
          <cell r="M2406">
            <v>216.4</v>
          </cell>
        </row>
        <row r="2407">
          <cell r="C2407" t="str">
            <v>220kV 272 Phan Thiết 2 - 273 NMĐ Hàm Thuận</v>
          </cell>
          <cell r="F2407">
            <v>299</v>
          </cell>
          <cell r="H2407">
            <v>297.89999999999998</v>
          </cell>
          <cell r="I2407">
            <v>204.6</v>
          </cell>
          <cell r="J2407">
            <v>276.60000000000002</v>
          </cell>
          <cell r="K2407">
            <v>299</v>
          </cell>
          <cell r="L2407">
            <v>235.7</v>
          </cell>
          <cell r="M2407">
            <v>241.1</v>
          </cell>
        </row>
        <row r="2408">
          <cell r="C2408" t="str">
            <v>220kV 273 Phan Thiết 2 - 275 Hàm Tân 2</v>
          </cell>
          <cell r="F2408">
            <v>269.39999999999998</v>
          </cell>
          <cell r="H2408">
            <v>260.60000000000002</v>
          </cell>
          <cell r="I2408">
            <v>213.5</v>
          </cell>
          <cell r="J2408">
            <v>216.9</v>
          </cell>
          <cell r="K2408">
            <v>269.39999999999998</v>
          </cell>
          <cell r="L2408">
            <v>239.6</v>
          </cell>
          <cell r="M2408">
            <v>219.4</v>
          </cell>
        </row>
        <row r="2409">
          <cell r="C2409" t="str">
            <v>Phan Thiết 2 MBA AT1 (phía 220kV)</v>
          </cell>
          <cell r="F2409">
            <v>-121</v>
          </cell>
          <cell r="H2409">
            <v>-121</v>
          </cell>
          <cell r="I2409">
            <v>51.4</v>
          </cell>
          <cell r="J2409">
            <v>-103.7</v>
          </cell>
          <cell r="K2409">
            <v>-104.9</v>
          </cell>
          <cell r="L2409">
            <v>-77.8</v>
          </cell>
          <cell r="M2409">
            <v>-81.900000000000006</v>
          </cell>
        </row>
        <row r="2410">
          <cell r="C2410" t="str">
            <v>220kV 274 Phan Thiết 2 - 273 Bảo Lộc</v>
          </cell>
          <cell r="F2410">
            <v>211.2</v>
          </cell>
          <cell r="H2410">
            <v>194.7</v>
          </cell>
          <cell r="I2410">
            <v>119</v>
          </cell>
          <cell r="J2410">
            <v>192.8</v>
          </cell>
          <cell r="K2410">
            <v>211.2</v>
          </cell>
          <cell r="L2410">
            <v>171.1</v>
          </cell>
          <cell r="M2410">
            <v>177.8</v>
          </cell>
        </row>
        <row r="2411">
          <cell r="C2411" t="str">
            <v>Phan Thiết 2 MBA AT2 (phía 220kV)</v>
          </cell>
          <cell r="F2411">
            <v>-119.8</v>
          </cell>
          <cell r="H2411">
            <v>-119.8</v>
          </cell>
          <cell r="I2411">
            <v>54</v>
          </cell>
          <cell r="J2411">
            <v>-102.4</v>
          </cell>
          <cell r="K2411">
            <v>-103.5</v>
          </cell>
          <cell r="L2411">
            <v>-76.2</v>
          </cell>
          <cell r="M2411">
            <v>-80.3</v>
          </cell>
        </row>
        <row r="2412">
          <cell r="C2412" t="str">
            <v>110kV 172 Phan Thiết 2 - 172 Phan Thiết</v>
          </cell>
          <cell r="F2412">
            <v>50.2</v>
          </cell>
          <cell r="H2412">
            <v>50.2</v>
          </cell>
          <cell r="I2412">
            <v>43.5</v>
          </cell>
          <cell r="J2412">
            <v>48.3</v>
          </cell>
          <cell r="K2412">
            <v>-47.7</v>
          </cell>
          <cell r="L2412">
            <v>42</v>
          </cell>
          <cell r="M2412">
            <v>44.6</v>
          </cell>
        </row>
        <row r="2413">
          <cell r="C2413" t="str">
            <v>110kV 173 Phan Thiết 2 - 173 Phan Thiết</v>
          </cell>
          <cell r="F2413">
            <v>51.7</v>
          </cell>
          <cell r="H2413">
            <v>51.7</v>
          </cell>
          <cell r="I2413">
            <v>44.5</v>
          </cell>
          <cell r="J2413">
            <v>49.1</v>
          </cell>
          <cell r="K2413">
            <v>-48.4</v>
          </cell>
          <cell r="L2413">
            <v>42.2</v>
          </cell>
          <cell r="M2413">
            <v>44.9</v>
          </cell>
        </row>
        <row r="2414">
          <cell r="C2414" t="str">
            <v>110kV 174 Phan Thiết 2 - 171 Mũi Né</v>
          </cell>
          <cell r="F2414">
            <v>-75.900000000000006</v>
          </cell>
          <cell r="H2414">
            <v>-59.8</v>
          </cell>
          <cell r="I2414">
            <v>-53.2</v>
          </cell>
          <cell r="J2414">
            <v>-75.900000000000006</v>
          </cell>
          <cell r="K2414">
            <v>-66.2</v>
          </cell>
          <cell r="L2414">
            <v>-66.599999999999994</v>
          </cell>
          <cell r="M2414">
            <v>-60.1</v>
          </cell>
        </row>
        <row r="2415">
          <cell r="C2415" t="str">
            <v>Phan Thiết 2 MBA AT1 (phía 110kV)</v>
          </cell>
          <cell r="F2415">
            <v>120.9</v>
          </cell>
          <cell r="H2415">
            <v>120.9</v>
          </cell>
          <cell r="I2415">
            <v>-51.2</v>
          </cell>
          <cell r="J2415">
            <v>104.1</v>
          </cell>
          <cell r="K2415">
            <v>106.3</v>
          </cell>
          <cell r="L2415">
            <v>77.7</v>
          </cell>
          <cell r="M2415">
            <v>81.400000000000006</v>
          </cell>
        </row>
        <row r="2416">
          <cell r="C2416" t="str">
            <v>110kV 175 Phan Thiết 2 - 171 Ma Lâm</v>
          </cell>
          <cell r="F2416">
            <v>-81.599999999999994</v>
          </cell>
          <cell r="H2416">
            <v>-80</v>
          </cell>
          <cell r="I2416">
            <v>-37.9</v>
          </cell>
          <cell r="J2416">
            <v>-67.2</v>
          </cell>
          <cell r="K2416">
            <v>-81.599999999999994</v>
          </cell>
          <cell r="L2416">
            <v>-55.4</v>
          </cell>
          <cell r="M2416">
            <v>-48.1</v>
          </cell>
        </row>
        <row r="2417">
          <cell r="C2417" t="str">
            <v>110kV 176 Phan Thiết 2 - 172 NMĐ Hàm Thuận</v>
          </cell>
          <cell r="E2417">
            <v>0</v>
          </cell>
          <cell r="F2417">
            <v>0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</row>
        <row r="2418">
          <cell r="C2418" t="str">
            <v>Phan Thiết 2 MBA AT2 (phía 110kV)</v>
          </cell>
          <cell r="F2418">
            <v>120</v>
          </cell>
          <cell r="H2418">
            <v>120</v>
          </cell>
          <cell r="I2418">
            <v>-53.9</v>
          </cell>
          <cell r="J2418">
            <v>102.7</v>
          </cell>
          <cell r="K2418">
            <v>103.6</v>
          </cell>
          <cell r="L2418">
            <v>76.3</v>
          </cell>
          <cell r="M2418">
            <v>80.400000000000006</v>
          </cell>
        </row>
        <row r="2419">
          <cell r="C2419" t="str">
            <v>220kV 275 Phan Thiết 2 - 272 Phan Rí 2</v>
          </cell>
          <cell r="F2419">
            <v>-381.7</v>
          </cell>
          <cell r="H2419">
            <v>-381.7</v>
          </cell>
          <cell r="I2419">
            <v>-309</v>
          </cell>
          <cell r="J2419">
            <v>-286.39999999999998</v>
          </cell>
          <cell r="K2419">
            <v>-336.8</v>
          </cell>
          <cell r="L2419">
            <v>-295.5</v>
          </cell>
          <cell r="M2419">
            <v>-297.60000000000002</v>
          </cell>
        </row>
        <row r="2420">
          <cell r="C2420" t="str">
            <v>220kV 276 Phan Thiết 2 - 272 NMĐ MT Hồng Phong 1A, 1B</v>
          </cell>
          <cell r="F2420">
            <v>-474.8</v>
          </cell>
          <cell r="H2420">
            <v>-474.8</v>
          </cell>
          <cell r="I2420">
            <v>-362</v>
          </cell>
          <cell r="J2420">
            <v>-406.1</v>
          </cell>
          <cell r="K2420">
            <v>-440.8</v>
          </cell>
          <cell r="L2420">
            <v>-400.2</v>
          </cell>
          <cell r="M2420">
            <v>-426.3</v>
          </cell>
        </row>
        <row r="2421">
          <cell r="C2421" t="str">
            <v>110kV 171 Phát Thanh Nam Bộ - 171 Thốt Nốt 2</v>
          </cell>
          <cell r="E2421">
            <v>0</v>
          </cell>
          <cell r="F2421">
            <v>0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</row>
        <row r="2422">
          <cell r="C2422" t="str">
            <v>Phát Thanh Nam Bộ MBA T1 (phía 110kV)</v>
          </cell>
          <cell r="F2422">
            <v>0.4</v>
          </cell>
          <cell r="H2422">
            <v>0.3</v>
          </cell>
          <cell r="I2422">
            <v>0.3</v>
          </cell>
          <cell r="J2422">
            <v>0.4</v>
          </cell>
          <cell r="K2422">
            <v>0.3</v>
          </cell>
          <cell r="L2422">
            <v>0.3</v>
          </cell>
          <cell r="M2422">
            <v>0.4</v>
          </cell>
        </row>
        <row r="2423">
          <cell r="C2423" t="str">
            <v>Phát Thanh Nam Bộ MBA T1 (phía 10kV)</v>
          </cell>
          <cell r="F2423">
            <v>-0.4</v>
          </cell>
          <cell r="H2423">
            <v>-0.4</v>
          </cell>
          <cell r="I2423">
            <v>-0.4</v>
          </cell>
          <cell r="J2423">
            <v>-0.4</v>
          </cell>
          <cell r="K2423">
            <v>-0.4</v>
          </cell>
          <cell r="L2423">
            <v>-0.4</v>
          </cell>
          <cell r="M2423">
            <v>-0.4</v>
          </cell>
        </row>
        <row r="2424">
          <cell r="C2424" t="str">
            <v>110kV 172 Phát Thanh Nam Bộ - 172 NMĐ Ô Môn</v>
          </cell>
          <cell r="F2424">
            <v>-0.4</v>
          </cell>
          <cell r="H2424">
            <v>-0.4</v>
          </cell>
          <cell r="I2424">
            <v>-0.4</v>
          </cell>
          <cell r="J2424">
            <v>-0.4</v>
          </cell>
          <cell r="K2424">
            <v>-0.4</v>
          </cell>
          <cell r="L2424">
            <v>-0.4</v>
          </cell>
          <cell r="M2424">
            <v>-0.4</v>
          </cell>
        </row>
        <row r="2425">
          <cell r="C2425" t="str">
            <v>Phát Thanh Nam Bộ MBA T2 (phía 110kV)</v>
          </cell>
          <cell r="E2425">
            <v>0</v>
          </cell>
          <cell r="F2425">
            <v>0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</row>
        <row r="2426">
          <cell r="C2426" t="str">
            <v>Phát Thanh Nam Bộ MBA T2 (phía 10kV)</v>
          </cell>
          <cell r="E2426">
            <v>0</v>
          </cell>
          <cell r="F2426">
            <v>0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</row>
        <row r="2427">
          <cell r="C2427" t="str">
            <v>Phú Châu MBA T2 (phía 110kV)</v>
          </cell>
          <cell r="E2427">
            <v>0</v>
          </cell>
          <cell r="F2427">
            <v>0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</row>
        <row r="2428">
          <cell r="C2428" t="str">
            <v>Phú Châu MBA T2 (phía 22kV)</v>
          </cell>
          <cell r="E2428">
            <v>0</v>
          </cell>
          <cell r="F2428">
            <v>0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</row>
        <row r="2429">
          <cell r="C2429" t="str">
            <v>110kV 171 Phú Châu - 172 Hồng Ngự</v>
          </cell>
          <cell r="E2429">
            <v>0</v>
          </cell>
          <cell r="F2429">
            <v>-23.8</v>
          </cell>
          <cell r="H2429">
            <v>0</v>
          </cell>
          <cell r="I2429">
            <v>0</v>
          </cell>
          <cell r="J2429">
            <v>-23.8</v>
          </cell>
          <cell r="K2429">
            <v>0</v>
          </cell>
          <cell r="L2429">
            <v>0</v>
          </cell>
          <cell r="M2429">
            <v>0</v>
          </cell>
        </row>
        <row r="2430">
          <cell r="C2430" t="str">
            <v>110kV 172 Phú Châu - 173 Châu Đốc 2</v>
          </cell>
          <cell r="F2430">
            <v>-30.8</v>
          </cell>
          <cell r="H2430">
            <v>-24</v>
          </cell>
          <cell r="I2430">
            <v>-23.3</v>
          </cell>
          <cell r="J2430">
            <v>-30.8</v>
          </cell>
          <cell r="K2430">
            <v>-24.2</v>
          </cell>
          <cell r="L2430">
            <v>-26.1</v>
          </cell>
          <cell r="M2430">
            <v>-23.6</v>
          </cell>
        </row>
        <row r="2431">
          <cell r="C2431" t="str">
            <v>Phú Châu MBA T1 (phía 110kV)</v>
          </cell>
          <cell r="F2431">
            <v>30.8</v>
          </cell>
          <cell r="H2431">
            <v>24</v>
          </cell>
          <cell r="I2431">
            <v>23.3</v>
          </cell>
          <cell r="J2431">
            <v>30.8</v>
          </cell>
          <cell r="K2431">
            <v>24.1</v>
          </cell>
          <cell r="L2431">
            <v>26.1</v>
          </cell>
          <cell r="M2431">
            <v>23.6</v>
          </cell>
        </row>
        <row r="2432">
          <cell r="C2432" t="str">
            <v>Phú Châu MBA T1 (phía 22kV)</v>
          </cell>
          <cell r="F2432">
            <v>-30.8</v>
          </cell>
          <cell r="H2432">
            <v>-24</v>
          </cell>
          <cell r="I2432">
            <v>-23.3</v>
          </cell>
          <cell r="J2432">
            <v>-30.8</v>
          </cell>
          <cell r="K2432">
            <v>-24.1</v>
          </cell>
          <cell r="L2432">
            <v>-26.2</v>
          </cell>
          <cell r="M2432">
            <v>-23.6</v>
          </cell>
        </row>
        <row r="2433">
          <cell r="C2433" t="str">
            <v>Phú Định MBA T1 (phía 110kV)</v>
          </cell>
          <cell r="D2433">
            <v>131</v>
          </cell>
          <cell r="E2433">
            <v>5.7</v>
          </cell>
          <cell r="F2433">
            <v>27.2</v>
          </cell>
          <cell r="G2433">
            <v>5.7</v>
          </cell>
          <cell r="H2433">
            <v>21.5</v>
          </cell>
          <cell r="I2433">
            <v>22.2</v>
          </cell>
          <cell r="J2433">
            <v>27.2</v>
          </cell>
          <cell r="K2433">
            <v>24</v>
          </cell>
          <cell r="L2433">
            <v>22.2</v>
          </cell>
          <cell r="M2433">
            <v>22.7</v>
          </cell>
        </row>
        <row r="2434">
          <cell r="C2434" t="str">
            <v>Phú Định MBA T2 (phía 110kV)</v>
          </cell>
          <cell r="D2434">
            <v>132</v>
          </cell>
          <cell r="E2434">
            <v>20.3</v>
          </cell>
          <cell r="F2434">
            <v>33.700000000000003</v>
          </cell>
          <cell r="G2434">
            <v>33.700000000000003</v>
          </cell>
          <cell r="H2434">
            <v>25.4</v>
          </cell>
          <cell r="I2434">
            <v>20.3</v>
          </cell>
          <cell r="J2434">
            <v>23.5</v>
          </cell>
          <cell r="K2434">
            <v>21.6</v>
          </cell>
          <cell r="L2434">
            <v>22.7</v>
          </cell>
          <cell r="M2434">
            <v>21.2</v>
          </cell>
        </row>
        <row r="2435">
          <cell r="C2435" t="str">
            <v>110kV 171 Phú Định - 175 Phú Lâm</v>
          </cell>
          <cell r="D2435">
            <v>171</v>
          </cell>
          <cell r="E2435">
            <v>2.2999999999999998</v>
          </cell>
          <cell r="F2435">
            <v>52.9</v>
          </cell>
          <cell r="G2435">
            <v>52.9</v>
          </cell>
          <cell r="H2435">
            <v>47.6</v>
          </cell>
          <cell r="I2435">
            <v>38.4</v>
          </cell>
          <cell r="J2435">
            <v>47.2</v>
          </cell>
          <cell r="K2435">
            <v>41.5</v>
          </cell>
          <cell r="L2435">
            <v>37.799999999999997</v>
          </cell>
          <cell r="M2435">
            <v>2.2999999999999998</v>
          </cell>
        </row>
        <row r="2436">
          <cell r="C2436" t="str">
            <v>110kV 172 Phú Định - 171 Bình Phú</v>
          </cell>
          <cell r="D2436">
            <v>172</v>
          </cell>
          <cell r="E2436">
            <v>37.9</v>
          </cell>
          <cell r="F2436">
            <v>70</v>
          </cell>
          <cell r="G2436">
            <v>52.4</v>
          </cell>
          <cell r="H2436">
            <v>47.5</v>
          </cell>
          <cell r="I2436">
            <v>38.4</v>
          </cell>
          <cell r="J2436">
            <v>47</v>
          </cell>
          <cell r="K2436">
            <v>41.2</v>
          </cell>
          <cell r="L2436">
            <v>37.9</v>
          </cell>
          <cell r="M2436">
            <v>70</v>
          </cell>
        </row>
        <row r="2437">
          <cell r="C2437" t="str">
            <v>110kV 173 Phú Định - 172 Hùng Vương</v>
          </cell>
          <cell r="D2437">
            <v>173</v>
          </cell>
          <cell r="E2437">
            <v>15.3</v>
          </cell>
          <cell r="F2437">
            <v>21.9</v>
          </cell>
          <cell r="G2437">
            <v>21.6</v>
          </cell>
          <cell r="H2437">
            <v>21.9</v>
          </cell>
          <cell r="I2437">
            <v>15.5</v>
          </cell>
          <cell r="J2437">
            <v>17.399999999999999</v>
          </cell>
          <cell r="K2437">
            <v>18.7</v>
          </cell>
          <cell r="L2437">
            <v>15.3</v>
          </cell>
          <cell r="M2437">
            <v>17.7</v>
          </cell>
        </row>
        <row r="2438">
          <cell r="C2438" t="str">
            <v>110kV 174 Phú Định - 171 Quận 8</v>
          </cell>
          <cell r="D2438">
            <v>174</v>
          </cell>
          <cell r="E2438">
            <v>6.9</v>
          </cell>
          <cell r="F2438">
            <v>21.1</v>
          </cell>
          <cell r="G2438">
            <v>6.9</v>
          </cell>
          <cell r="H2438">
            <v>14.9</v>
          </cell>
          <cell r="I2438">
            <v>-7.3</v>
          </cell>
          <cell r="J2438">
            <v>8.6</v>
          </cell>
          <cell r="K2438">
            <v>-7.3</v>
          </cell>
          <cell r="L2438">
            <v>12.6</v>
          </cell>
          <cell r="M2438">
            <v>21.1</v>
          </cell>
        </row>
        <row r="2439">
          <cell r="C2439" t="str">
            <v>110kV 175 Phú Định - 175 Bình Chánh</v>
          </cell>
          <cell r="D2439">
            <v>175</v>
          </cell>
          <cell r="E2439">
            <v>-65.599999999999994</v>
          </cell>
          <cell r="F2439">
            <v>-81.2</v>
          </cell>
          <cell r="G2439">
            <v>-70.7</v>
          </cell>
          <cell r="H2439">
            <v>-81.2</v>
          </cell>
          <cell r="I2439">
            <v>-66.3</v>
          </cell>
          <cell r="J2439">
            <v>-77.900000000000006</v>
          </cell>
          <cell r="K2439">
            <v>-69</v>
          </cell>
          <cell r="L2439">
            <v>-69.3</v>
          </cell>
          <cell r="M2439">
            <v>-65.599999999999994</v>
          </cell>
        </row>
        <row r="2440">
          <cell r="C2440" t="str">
            <v>110kV 176 Phú Định - 176 Bình Chánh</v>
          </cell>
          <cell r="D2440">
            <v>176</v>
          </cell>
          <cell r="E2440">
            <v>-67</v>
          </cell>
          <cell r="F2440">
            <v>-82.3</v>
          </cell>
          <cell r="G2440">
            <v>-71.7</v>
          </cell>
          <cell r="H2440">
            <v>-82.3</v>
          </cell>
          <cell r="I2440">
            <v>-67</v>
          </cell>
          <cell r="J2440">
            <v>-78.900000000000006</v>
          </cell>
          <cell r="K2440">
            <v>-69.900000000000006</v>
          </cell>
          <cell r="L2440">
            <v>-69.900000000000006</v>
          </cell>
          <cell r="M2440">
            <v>-67</v>
          </cell>
        </row>
        <row r="2441">
          <cell r="C2441" t="str">
            <v>Phú Định MBA T1 (phía 22kV)</v>
          </cell>
          <cell r="D2441">
            <v>431</v>
          </cell>
          <cell r="E2441">
            <v>-5.7</v>
          </cell>
          <cell r="F2441">
            <v>-27.4</v>
          </cell>
          <cell r="G2441">
            <v>-5.7</v>
          </cell>
          <cell r="H2441">
            <v>-21.7</v>
          </cell>
          <cell r="I2441">
            <v>-22.4</v>
          </cell>
          <cell r="J2441">
            <v>-27.4</v>
          </cell>
          <cell r="K2441">
            <v>-24</v>
          </cell>
          <cell r="L2441">
            <v>-22.4</v>
          </cell>
          <cell r="M2441">
            <v>-22.9</v>
          </cell>
        </row>
        <row r="2442">
          <cell r="C2442" t="str">
            <v>Phú Định MBA T2 (phía 22kV)</v>
          </cell>
          <cell r="D2442">
            <v>432</v>
          </cell>
          <cell r="E2442">
            <v>-20.6</v>
          </cell>
          <cell r="F2442">
            <v>-34.200000000000003</v>
          </cell>
          <cell r="G2442">
            <v>-34.200000000000003</v>
          </cell>
          <cell r="H2442">
            <v>-25.9</v>
          </cell>
          <cell r="I2442">
            <v>-20.6</v>
          </cell>
          <cell r="J2442">
            <v>-23.9</v>
          </cell>
          <cell r="K2442">
            <v>-22</v>
          </cell>
          <cell r="L2442">
            <v>-23</v>
          </cell>
          <cell r="M2442">
            <v>-21.6</v>
          </cell>
        </row>
        <row r="2443">
          <cell r="C2443" t="str">
            <v>110kV 171 Phú Giáo - 171 NMĐ Trị An</v>
          </cell>
          <cell r="F2443">
            <v>-57.8</v>
          </cell>
          <cell r="H2443">
            <v>-57.2</v>
          </cell>
          <cell r="I2443">
            <v>-54.4</v>
          </cell>
          <cell r="J2443">
            <v>-57.8</v>
          </cell>
          <cell r="K2443">
            <v>-57.3</v>
          </cell>
          <cell r="L2443">
            <v>-49.4</v>
          </cell>
          <cell r="M2443">
            <v>-44.4</v>
          </cell>
        </row>
        <row r="2444">
          <cell r="C2444" t="str">
            <v>110kV 172 Phú Giáo - 171 Đồng Phú</v>
          </cell>
          <cell r="E2444">
            <v>0</v>
          </cell>
          <cell r="F2444">
            <v>0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</row>
        <row r="2445">
          <cell r="C2445" t="str">
            <v>Phú Giáo MBA T1 (phía 110kV)</v>
          </cell>
          <cell r="F2445">
            <v>29.7</v>
          </cell>
          <cell r="H2445">
            <v>29.7</v>
          </cell>
          <cell r="I2445">
            <v>27.8</v>
          </cell>
          <cell r="J2445">
            <v>28.1</v>
          </cell>
          <cell r="K2445">
            <v>27.9</v>
          </cell>
          <cell r="L2445">
            <v>22.8</v>
          </cell>
          <cell r="M2445">
            <v>20.5</v>
          </cell>
        </row>
        <row r="2446">
          <cell r="C2446" t="str">
            <v>Phú Giáo MBA T2 (phía 110kV)</v>
          </cell>
          <cell r="F2446">
            <v>30.9</v>
          </cell>
          <cell r="H2446">
            <v>28.9</v>
          </cell>
          <cell r="I2446">
            <v>28</v>
          </cell>
          <cell r="J2446">
            <v>30.9</v>
          </cell>
          <cell r="K2446">
            <v>29.5</v>
          </cell>
          <cell r="L2446">
            <v>27.5</v>
          </cell>
          <cell r="M2446">
            <v>23.7</v>
          </cell>
        </row>
        <row r="2447">
          <cell r="C2447" t="str">
            <v>Phú Giáo MBA T1 (phía 22kV)</v>
          </cell>
          <cell r="F2447">
            <v>-29.5</v>
          </cell>
          <cell r="H2447">
            <v>-29.5</v>
          </cell>
          <cell r="I2447">
            <v>-27.8</v>
          </cell>
          <cell r="J2447">
            <v>-28.4</v>
          </cell>
          <cell r="K2447">
            <v>-28.3</v>
          </cell>
          <cell r="L2447">
            <v>-23.2</v>
          </cell>
          <cell r="M2447">
            <v>-20.6</v>
          </cell>
        </row>
        <row r="2448">
          <cell r="C2448" t="str">
            <v>Phú Giáo MBA T2 (phía 22kV)</v>
          </cell>
          <cell r="F2448">
            <v>-31</v>
          </cell>
          <cell r="H2448">
            <v>-29.3</v>
          </cell>
          <cell r="I2448">
            <v>-28.2</v>
          </cell>
          <cell r="J2448">
            <v>-31</v>
          </cell>
          <cell r="K2448">
            <v>-29.7</v>
          </cell>
          <cell r="L2448">
            <v>-27.6</v>
          </cell>
          <cell r="M2448">
            <v>-23.9</v>
          </cell>
        </row>
        <row r="2449">
          <cell r="C2449" t="str">
            <v>110kV 171 Phú Hòa Đông - 180 Củ Chi 2</v>
          </cell>
          <cell r="F2449">
            <v>-50</v>
          </cell>
          <cell r="H2449">
            <v>-50</v>
          </cell>
          <cell r="I2449">
            <v>-50</v>
          </cell>
          <cell r="J2449">
            <v>-50</v>
          </cell>
          <cell r="K2449">
            <v>-50</v>
          </cell>
          <cell r="L2449">
            <v>-50</v>
          </cell>
          <cell r="M2449">
            <v>-39.4</v>
          </cell>
        </row>
        <row r="2450">
          <cell r="C2450" t="str">
            <v>110kV 172 Phú Hòa Đông - 172 Tân Quy</v>
          </cell>
          <cell r="F2450">
            <v>50</v>
          </cell>
          <cell r="H2450">
            <v>50</v>
          </cell>
          <cell r="I2450">
            <v>50</v>
          </cell>
          <cell r="J2450">
            <v>50</v>
          </cell>
          <cell r="K2450">
            <v>50</v>
          </cell>
          <cell r="L2450">
            <v>46</v>
          </cell>
          <cell r="M2450">
            <v>30.8</v>
          </cell>
        </row>
        <row r="2451">
          <cell r="C2451" t="str">
            <v>Phú Hòa Đông MBA T1 (phía 110kV)</v>
          </cell>
          <cell r="F2451">
            <v>12.1</v>
          </cell>
          <cell r="H2451">
            <v>11.9</v>
          </cell>
          <cell r="I2451">
            <v>10.199999999999999</v>
          </cell>
          <cell r="J2451">
            <v>12.1</v>
          </cell>
          <cell r="K2451">
            <v>11.3</v>
          </cell>
          <cell r="L2451">
            <v>8.4</v>
          </cell>
          <cell r="M2451">
            <v>7.3</v>
          </cell>
        </row>
        <row r="2452">
          <cell r="C2452" t="str">
            <v>Phú Hòa Đông MBA T1 (phía 22kV)</v>
          </cell>
          <cell r="F2452">
            <v>-11.6</v>
          </cell>
          <cell r="H2452">
            <v>-11.5</v>
          </cell>
          <cell r="I2452">
            <v>-9.9</v>
          </cell>
          <cell r="J2452">
            <v>-11.6</v>
          </cell>
          <cell r="K2452">
            <v>-10.7</v>
          </cell>
          <cell r="L2452">
            <v>-8.1</v>
          </cell>
          <cell r="M2452">
            <v>-7</v>
          </cell>
        </row>
        <row r="2453">
          <cell r="C2453" t="str">
            <v>Phú Hòa Đông MBA T2 (phía 110kV)</v>
          </cell>
          <cell r="F2453">
            <v>4.7</v>
          </cell>
          <cell r="H2453">
            <v>4.2</v>
          </cell>
          <cell r="I2453">
            <v>4.2</v>
          </cell>
          <cell r="J2453">
            <v>4.7</v>
          </cell>
          <cell r="K2453">
            <v>4.0999999999999996</v>
          </cell>
          <cell r="L2453">
            <v>3</v>
          </cell>
          <cell r="M2453">
            <v>2.9</v>
          </cell>
        </row>
        <row r="2454">
          <cell r="C2454" t="str">
            <v>Phú Hòa Đông MBA T2 (phía 22kV)</v>
          </cell>
          <cell r="F2454">
            <v>-4.7</v>
          </cell>
          <cell r="H2454">
            <v>-3.9</v>
          </cell>
          <cell r="I2454">
            <v>-4.2</v>
          </cell>
          <cell r="J2454">
            <v>-4.7</v>
          </cell>
          <cell r="K2454">
            <v>-4.0999999999999996</v>
          </cell>
          <cell r="L2454">
            <v>-3.2</v>
          </cell>
          <cell r="M2454">
            <v>-2.6</v>
          </cell>
        </row>
        <row r="2455">
          <cell r="C2455" t="str">
            <v>Phú Lâm MBA AT3 (phía 110kV)</v>
          </cell>
          <cell r="D2455">
            <v>133</v>
          </cell>
          <cell r="E2455">
            <v>-126</v>
          </cell>
          <cell r="F2455">
            <v>-225</v>
          </cell>
          <cell r="G2455">
            <v>-225</v>
          </cell>
          <cell r="H2455">
            <v>-203.4</v>
          </cell>
          <cell r="I2455">
            <v>-205.1</v>
          </cell>
          <cell r="J2455">
            <v>-218.4</v>
          </cell>
          <cell r="K2455">
            <v>-206.6</v>
          </cell>
          <cell r="L2455">
            <v>-141.5</v>
          </cell>
          <cell r="M2455">
            <v>-126</v>
          </cell>
        </row>
        <row r="2456">
          <cell r="C2456" t="str">
            <v>Phú Lâm MBA AT4 (phía 110kV)</v>
          </cell>
          <cell r="D2456">
            <v>134</v>
          </cell>
          <cell r="E2456">
            <v>-126.1</v>
          </cell>
          <cell r="F2456">
            <v>-223.9</v>
          </cell>
          <cell r="G2456">
            <v>-223.9</v>
          </cell>
          <cell r="H2456">
            <v>-203</v>
          </cell>
          <cell r="I2456">
            <v>-204.3</v>
          </cell>
          <cell r="J2456">
            <v>-217.6</v>
          </cell>
          <cell r="K2456">
            <v>-205.7</v>
          </cell>
          <cell r="L2456">
            <v>-141.5</v>
          </cell>
          <cell r="M2456">
            <v>-126.1</v>
          </cell>
        </row>
        <row r="2457">
          <cell r="C2457" t="str">
            <v>Phú Lâm MBA T5 (phía 110kV)</v>
          </cell>
          <cell r="D2457">
            <v>135</v>
          </cell>
          <cell r="E2457">
            <v>26.3</v>
          </cell>
          <cell r="F2457">
            <v>50.3</v>
          </cell>
          <cell r="G2457">
            <v>49.4</v>
          </cell>
          <cell r="H2457">
            <v>50.3</v>
          </cell>
          <cell r="I2457">
            <v>45.5</v>
          </cell>
          <cell r="J2457">
            <v>47.8</v>
          </cell>
          <cell r="K2457">
            <v>45.1</v>
          </cell>
          <cell r="L2457">
            <v>29.2</v>
          </cell>
          <cell r="M2457">
            <v>26.3</v>
          </cell>
        </row>
        <row r="2458">
          <cell r="C2458" t="str">
            <v>Phú Lâm MBA T6 (phía 110kV)</v>
          </cell>
          <cell r="D2458">
            <v>136</v>
          </cell>
          <cell r="E2458">
            <v>27.1</v>
          </cell>
          <cell r="F2458">
            <v>39.6</v>
          </cell>
          <cell r="G2458">
            <v>37.200000000000003</v>
          </cell>
          <cell r="H2458">
            <v>37.4</v>
          </cell>
          <cell r="I2458">
            <v>31.2</v>
          </cell>
          <cell r="J2458">
            <v>35.6</v>
          </cell>
          <cell r="K2458">
            <v>31.3</v>
          </cell>
          <cell r="L2458">
            <v>27.1</v>
          </cell>
          <cell r="M2458">
            <v>39.6</v>
          </cell>
        </row>
        <row r="2459">
          <cell r="C2459" t="str">
            <v>Phú Lâm MBA AT7 (phía 110kV)</v>
          </cell>
          <cell r="D2459">
            <v>137</v>
          </cell>
          <cell r="E2459">
            <v>-133.1</v>
          </cell>
          <cell r="F2459">
            <v>-185.5</v>
          </cell>
          <cell r="G2459">
            <v>-185.5</v>
          </cell>
          <cell r="H2459">
            <v>-163</v>
          </cell>
          <cell r="I2459">
            <v>-163.1</v>
          </cell>
          <cell r="J2459">
            <v>-177.3</v>
          </cell>
          <cell r="K2459">
            <v>-184.1</v>
          </cell>
          <cell r="L2459">
            <v>-153.4</v>
          </cell>
          <cell r="M2459">
            <v>-133.1</v>
          </cell>
        </row>
        <row r="2460">
          <cell r="C2460" t="str">
            <v>110kV 171 Phú Lâm - 172 Tân Bình 2 - 171 Pou Yuen</v>
          </cell>
          <cell r="D2460">
            <v>171</v>
          </cell>
          <cell r="E2460">
            <v>31</v>
          </cell>
          <cell r="F2460">
            <v>128.80000000000001</v>
          </cell>
          <cell r="G2460">
            <v>128.80000000000001</v>
          </cell>
          <cell r="H2460">
            <v>31</v>
          </cell>
          <cell r="I2460">
            <v>103.5</v>
          </cell>
          <cell r="J2460">
            <v>116.8</v>
          </cell>
          <cell r="K2460">
            <v>112.9</v>
          </cell>
          <cell r="L2460">
            <v>86.7</v>
          </cell>
          <cell r="M2460">
            <v>65.900000000000006</v>
          </cell>
        </row>
        <row r="2461">
          <cell r="C2461" t="str">
            <v>110kV 172 Phú Lâm - 172 Chợ Lớn</v>
          </cell>
          <cell r="D2461">
            <v>172</v>
          </cell>
          <cell r="E2461">
            <v>32</v>
          </cell>
          <cell r="F2461">
            <v>81.599999999999994</v>
          </cell>
          <cell r="G2461">
            <v>43.2</v>
          </cell>
          <cell r="H2461">
            <v>81.599999999999994</v>
          </cell>
          <cell r="I2461">
            <v>32.200000000000003</v>
          </cell>
          <cell r="J2461">
            <v>40.1</v>
          </cell>
          <cell r="K2461">
            <v>69.599999999999994</v>
          </cell>
          <cell r="L2461">
            <v>62.5</v>
          </cell>
          <cell r="M2461">
            <v>32</v>
          </cell>
        </row>
        <row r="2462">
          <cell r="C2462" t="str">
            <v>110kV 173 Phú Lâm - 173 Chợ Lớn</v>
          </cell>
          <cell r="D2462">
            <v>173</v>
          </cell>
          <cell r="E2462">
            <v>31.9</v>
          </cell>
          <cell r="F2462">
            <v>81.8</v>
          </cell>
          <cell r="G2462">
            <v>43.1</v>
          </cell>
          <cell r="H2462">
            <v>81.8</v>
          </cell>
          <cell r="I2462">
            <v>32.200000000000003</v>
          </cell>
          <cell r="J2462">
            <v>39.9</v>
          </cell>
          <cell r="K2462">
            <v>69.7</v>
          </cell>
          <cell r="L2462">
            <v>62.6</v>
          </cell>
          <cell r="M2462">
            <v>31.9</v>
          </cell>
        </row>
        <row r="2463">
          <cell r="C2463" t="str">
            <v>110kV 174 Phú Lâm - 172 Bình Phú</v>
          </cell>
          <cell r="D2463">
            <v>174</v>
          </cell>
          <cell r="E2463">
            <v>0</v>
          </cell>
          <cell r="F2463">
            <v>28.2</v>
          </cell>
          <cell r="G2463">
            <v>0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>
            <v>0</v>
          </cell>
          <cell r="M2463">
            <v>28.2</v>
          </cell>
        </row>
        <row r="2464">
          <cell r="C2464" t="str">
            <v>110kV 175 Phú Lâm - 171 Phú Định</v>
          </cell>
          <cell r="D2464">
            <v>175</v>
          </cell>
          <cell r="E2464">
            <v>0</v>
          </cell>
          <cell r="F2464">
            <v>-1.8</v>
          </cell>
          <cell r="G2464">
            <v>0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>
            <v>0</v>
          </cell>
          <cell r="M2464">
            <v>-1.8</v>
          </cell>
        </row>
        <row r="2465">
          <cell r="C2465" t="str">
            <v>110kV 176 Phú Lâm - 172 KCN Vĩnh Lộc 2</v>
          </cell>
          <cell r="D2465">
            <v>176</v>
          </cell>
          <cell r="E2465">
            <v>46.7</v>
          </cell>
          <cell r="F2465">
            <v>89.6</v>
          </cell>
          <cell r="G2465">
            <v>81.8</v>
          </cell>
          <cell r="H2465">
            <v>89.6</v>
          </cell>
          <cell r="I2465">
            <v>74.599999999999994</v>
          </cell>
          <cell r="J2465">
            <v>78.3</v>
          </cell>
          <cell r="K2465">
            <v>72.400000000000006</v>
          </cell>
          <cell r="L2465">
            <v>48.3</v>
          </cell>
          <cell r="M2465">
            <v>46.7</v>
          </cell>
        </row>
        <row r="2466">
          <cell r="C2466" t="str">
            <v>110kV 177 Phú Lâm - 171 Bình Trị Đông - 172 Pou Yuen</v>
          </cell>
          <cell r="D2466">
            <v>177</v>
          </cell>
          <cell r="E2466">
            <v>9.9</v>
          </cell>
          <cell r="F2466">
            <v>28.3</v>
          </cell>
          <cell r="G2466">
            <v>27</v>
          </cell>
          <cell r="H2466">
            <v>28.3</v>
          </cell>
          <cell r="I2466">
            <v>27.7</v>
          </cell>
          <cell r="J2466">
            <v>27.8</v>
          </cell>
          <cell r="K2466">
            <v>28.1</v>
          </cell>
          <cell r="L2466">
            <v>10.199999999999999</v>
          </cell>
          <cell r="M2466">
            <v>9.9</v>
          </cell>
        </row>
        <row r="2467">
          <cell r="C2467" t="str">
            <v>110kV 178 Phú Lâm - 172 Tân Tạo</v>
          </cell>
          <cell r="D2467">
            <v>178</v>
          </cell>
          <cell r="E2467">
            <v>49</v>
          </cell>
          <cell r="F2467">
            <v>84.6</v>
          </cell>
          <cell r="G2467">
            <v>81.8</v>
          </cell>
          <cell r="H2467">
            <v>77.8</v>
          </cell>
          <cell r="I2467">
            <v>81.3</v>
          </cell>
          <cell r="J2467">
            <v>84.6</v>
          </cell>
          <cell r="K2467">
            <v>79.099999999999994</v>
          </cell>
          <cell r="L2467">
            <v>51</v>
          </cell>
          <cell r="M2467">
            <v>49</v>
          </cell>
        </row>
        <row r="2468">
          <cell r="C2468" t="str">
            <v>110kV 179 Phú Lâm - 172 Đức Hòa</v>
          </cell>
          <cell r="D2468">
            <v>179</v>
          </cell>
          <cell r="E2468">
            <v>-0.1</v>
          </cell>
          <cell r="F2468">
            <v>54.2</v>
          </cell>
          <cell r="G2468">
            <v>52</v>
          </cell>
          <cell r="H2468">
            <v>-0.1</v>
          </cell>
          <cell r="I2468">
            <v>54.2</v>
          </cell>
          <cell r="J2468">
            <v>53.4</v>
          </cell>
          <cell r="K2468">
            <v>-0.1</v>
          </cell>
          <cell r="L2468">
            <v>-0.1</v>
          </cell>
          <cell r="M2468">
            <v>34.700000000000003</v>
          </cell>
        </row>
        <row r="2469">
          <cell r="C2469" t="str">
            <v>110kV 180 Phú Lâm - 171 Lê Minh Xuân</v>
          </cell>
          <cell r="D2469">
            <v>180</v>
          </cell>
          <cell r="E2469">
            <v>61.3</v>
          </cell>
          <cell r="F2469">
            <v>100.5</v>
          </cell>
          <cell r="G2469">
            <v>96.5</v>
          </cell>
          <cell r="H2469">
            <v>99.8</v>
          </cell>
          <cell r="I2469">
            <v>94</v>
          </cell>
          <cell r="J2469">
            <v>100.5</v>
          </cell>
          <cell r="K2469">
            <v>94.5</v>
          </cell>
          <cell r="L2469">
            <v>61.3</v>
          </cell>
          <cell r="M2469">
            <v>61.6</v>
          </cell>
        </row>
        <row r="2470">
          <cell r="C2470" t="str">
            <v>Phú Lâm MBA AT1 (phía 220kV)</v>
          </cell>
          <cell r="D2470">
            <v>231</v>
          </cell>
          <cell r="E2470">
            <v>-453.3</v>
          </cell>
          <cell r="F2470">
            <v>-643.79999999999995</v>
          </cell>
          <cell r="G2470">
            <v>-643.79999999999995</v>
          </cell>
          <cell r="H2470">
            <v>-609.1</v>
          </cell>
          <cell r="I2470">
            <v>-563.29999999999995</v>
          </cell>
          <cell r="J2470">
            <v>-602.1</v>
          </cell>
          <cell r="K2470">
            <v>-582.4</v>
          </cell>
          <cell r="L2470">
            <v>-453.3</v>
          </cell>
          <cell r="M2470">
            <v>-471.1</v>
          </cell>
        </row>
        <row r="2471">
          <cell r="C2471" t="str">
            <v>Phú Lâm MBA AT2 (phía 220kV)</v>
          </cell>
          <cell r="D2471">
            <v>232</v>
          </cell>
          <cell r="E2471">
            <v>-422</v>
          </cell>
          <cell r="F2471">
            <v>-593.5</v>
          </cell>
          <cell r="G2471">
            <v>-593.5</v>
          </cell>
          <cell r="H2471">
            <v>-558.4</v>
          </cell>
          <cell r="I2471">
            <v>-539.9</v>
          </cell>
          <cell r="J2471">
            <v>-554.9</v>
          </cell>
          <cell r="K2471">
            <v>-556.20000000000005</v>
          </cell>
          <cell r="L2471">
            <v>-422</v>
          </cell>
          <cell r="M2471">
            <v>-443.6</v>
          </cell>
        </row>
        <row r="2472">
          <cell r="C2472" t="str">
            <v>Phú Lâm MBA AT3 (phía 220kV)</v>
          </cell>
          <cell r="D2472">
            <v>233</v>
          </cell>
          <cell r="E2472">
            <v>126.6</v>
          </cell>
          <cell r="F2472">
            <v>226.6</v>
          </cell>
          <cell r="G2472">
            <v>226.6</v>
          </cell>
          <cell r="H2472">
            <v>204.2</v>
          </cell>
          <cell r="I2472">
            <v>206.4</v>
          </cell>
          <cell r="J2472">
            <v>219.3</v>
          </cell>
          <cell r="K2472">
            <v>207.2</v>
          </cell>
          <cell r="L2472">
            <v>142.6</v>
          </cell>
          <cell r="M2472">
            <v>126.6</v>
          </cell>
        </row>
        <row r="2473">
          <cell r="C2473" t="str">
            <v>Phú Lâm MBA AT4 (phía 220kV)</v>
          </cell>
          <cell r="D2473">
            <v>234</v>
          </cell>
          <cell r="E2473">
            <v>126.8</v>
          </cell>
          <cell r="F2473">
            <v>225</v>
          </cell>
          <cell r="G2473">
            <v>225</v>
          </cell>
          <cell r="H2473">
            <v>203.6</v>
          </cell>
          <cell r="I2473">
            <v>204.6</v>
          </cell>
          <cell r="J2473">
            <v>217.8</v>
          </cell>
          <cell r="K2473">
            <v>207.2</v>
          </cell>
          <cell r="L2473">
            <v>142.5</v>
          </cell>
          <cell r="M2473">
            <v>126.8</v>
          </cell>
        </row>
        <row r="2474">
          <cell r="C2474" t="str">
            <v>Phú Lâm MBA AT7 (phía 220kV)</v>
          </cell>
          <cell r="D2474">
            <v>237</v>
          </cell>
          <cell r="E2474">
            <v>132.80000000000001</v>
          </cell>
          <cell r="F2474">
            <v>185.6</v>
          </cell>
          <cell r="G2474">
            <v>185.6</v>
          </cell>
          <cell r="H2474">
            <v>163</v>
          </cell>
          <cell r="I2474">
            <v>162.6</v>
          </cell>
          <cell r="J2474">
            <v>177.1</v>
          </cell>
          <cell r="K2474">
            <v>184.1</v>
          </cell>
          <cell r="L2474">
            <v>153.4</v>
          </cell>
          <cell r="M2474">
            <v>132.80000000000001</v>
          </cell>
        </row>
        <row r="2475">
          <cell r="C2475" t="str">
            <v>220kV 271 Phú Lâm - 276 Bình Tân</v>
          </cell>
          <cell r="D2475">
            <v>271</v>
          </cell>
          <cell r="E2475">
            <v>143.19999999999999</v>
          </cell>
          <cell r="F2475">
            <v>265.2</v>
          </cell>
          <cell r="G2475">
            <v>223.4</v>
          </cell>
          <cell r="H2475">
            <v>209</v>
          </cell>
          <cell r="I2475">
            <v>207.6</v>
          </cell>
          <cell r="J2475">
            <v>265.2</v>
          </cell>
          <cell r="K2475">
            <v>225.1</v>
          </cell>
          <cell r="L2475">
            <v>260.8</v>
          </cell>
          <cell r="M2475">
            <v>143.19999999999999</v>
          </cell>
        </row>
        <row r="2476">
          <cell r="C2476" t="str">
            <v>220kV 272 Phú Lâm - 275 Bình Tân</v>
          </cell>
          <cell r="D2476">
            <v>272</v>
          </cell>
          <cell r="E2476">
            <v>81.900000000000006</v>
          </cell>
          <cell r="F2476">
            <v>174.5</v>
          </cell>
          <cell r="G2476">
            <v>137.5</v>
          </cell>
          <cell r="H2476">
            <v>140.4</v>
          </cell>
          <cell r="I2476">
            <v>120.6</v>
          </cell>
          <cell r="J2476">
            <v>174.5</v>
          </cell>
          <cell r="K2476">
            <v>162.9</v>
          </cell>
          <cell r="L2476">
            <v>166.1</v>
          </cell>
          <cell r="M2476">
            <v>81.900000000000006</v>
          </cell>
        </row>
        <row r="2477">
          <cell r="C2477" t="str">
            <v>220kV 273 Phú Lâm - 273 Long An 2</v>
          </cell>
          <cell r="D2477">
            <v>273</v>
          </cell>
          <cell r="E2477">
            <v>56.8</v>
          </cell>
          <cell r="F2477">
            <v>131.69999999999999</v>
          </cell>
          <cell r="G2477">
            <v>131.69999999999999</v>
          </cell>
          <cell r="H2477">
            <v>98.5</v>
          </cell>
          <cell r="I2477">
            <v>56.8</v>
          </cell>
          <cell r="J2477">
            <v>-99.1</v>
          </cell>
          <cell r="K2477">
            <v>-116.9</v>
          </cell>
          <cell r="L2477">
            <v>-66.3</v>
          </cell>
          <cell r="M2477">
            <v>-85.5</v>
          </cell>
        </row>
        <row r="2478">
          <cell r="C2478" t="str">
            <v>220kV 274 Phú Lâm - 274 Long An 2</v>
          </cell>
          <cell r="D2478">
            <v>274</v>
          </cell>
          <cell r="E2478">
            <v>39.4</v>
          </cell>
          <cell r="F2478">
            <v>-134.6</v>
          </cell>
          <cell r="G2478">
            <v>109.5</v>
          </cell>
          <cell r="H2478">
            <v>64.2</v>
          </cell>
          <cell r="I2478">
            <v>39.4</v>
          </cell>
          <cell r="J2478">
            <v>-120.8</v>
          </cell>
          <cell r="K2478">
            <v>-134.6</v>
          </cell>
          <cell r="L2478">
            <v>-74.599999999999994</v>
          </cell>
          <cell r="M2478">
            <v>-95.6</v>
          </cell>
        </row>
        <row r="2479">
          <cell r="C2479" t="str">
            <v>220kV 275 Phú Lâm - 274 Bình Chánh</v>
          </cell>
          <cell r="D2479">
            <v>275</v>
          </cell>
          <cell r="E2479">
            <v>154.6</v>
          </cell>
          <cell r="F2479">
            <v>259.8</v>
          </cell>
          <cell r="G2479">
            <v>253.4</v>
          </cell>
          <cell r="H2479">
            <v>252.9</v>
          </cell>
          <cell r="I2479">
            <v>154.6</v>
          </cell>
          <cell r="J2479">
            <v>203.6</v>
          </cell>
          <cell r="K2479">
            <v>189.1</v>
          </cell>
          <cell r="L2479">
            <v>190.3</v>
          </cell>
          <cell r="M2479">
            <v>259.8</v>
          </cell>
        </row>
        <row r="2480">
          <cell r="C2480" t="str">
            <v>220kV 276 Phú Lâm - 275 Bình Chánh</v>
          </cell>
          <cell r="D2480">
            <v>276</v>
          </cell>
          <cell r="E2480">
            <v>94.4</v>
          </cell>
          <cell r="F2480">
            <v>224.3</v>
          </cell>
          <cell r="G2480">
            <v>184.5</v>
          </cell>
          <cell r="H2480">
            <v>173.1</v>
          </cell>
          <cell r="I2480">
            <v>94.4</v>
          </cell>
          <cell r="J2480">
            <v>139.4</v>
          </cell>
          <cell r="K2480">
            <v>129.6</v>
          </cell>
          <cell r="L2480">
            <v>167.9</v>
          </cell>
          <cell r="M2480">
            <v>224.3</v>
          </cell>
        </row>
        <row r="2481">
          <cell r="C2481" t="str">
            <v>Phú Lâm MBA T5 (phía 22kV)</v>
          </cell>
          <cell r="D2481">
            <v>435</v>
          </cell>
          <cell r="E2481">
            <v>26.2</v>
          </cell>
          <cell r="F2481">
            <v>49.9</v>
          </cell>
          <cell r="G2481">
            <v>49.9</v>
          </cell>
          <cell r="H2481">
            <v>49.6</v>
          </cell>
          <cell r="I2481">
            <v>45.4</v>
          </cell>
          <cell r="J2481">
            <v>47.1</v>
          </cell>
          <cell r="K2481">
            <v>44.9</v>
          </cell>
          <cell r="L2481">
            <v>28.9</v>
          </cell>
          <cell r="M2481">
            <v>26.2</v>
          </cell>
        </row>
        <row r="2482">
          <cell r="C2482" t="str">
            <v>Phú Lâm MBA T6 (phía 22kV)</v>
          </cell>
          <cell r="D2482">
            <v>436</v>
          </cell>
          <cell r="E2482">
            <v>27.2</v>
          </cell>
          <cell r="F2482">
            <v>39.5</v>
          </cell>
          <cell r="G2482">
            <v>37.4</v>
          </cell>
          <cell r="H2482">
            <v>37.1</v>
          </cell>
          <cell r="I2482">
            <v>31.3</v>
          </cell>
          <cell r="J2482">
            <v>35.700000000000003</v>
          </cell>
          <cell r="K2482">
            <v>31.3</v>
          </cell>
          <cell r="L2482">
            <v>27.2</v>
          </cell>
          <cell r="M2482">
            <v>39.5</v>
          </cell>
        </row>
        <row r="2483">
          <cell r="C2483" t="str">
            <v>Phú Lâm MBA AT1 (phía 500kV)</v>
          </cell>
          <cell r="D2483">
            <v>531</v>
          </cell>
          <cell r="E2483">
            <v>453.3</v>
          </cell>
          <cell r="F2483">
            <v>644.9</v>
          </cell>
          <cell r="G2483">
            <v>644.9</v>
          </cell>
          <cell r="H2483">
            <v>609.79999999999995</v>
          </cell>
          <cell r="I2483">
            <v>565.1</v>
          </cell>
          <cell r="J2483">
            <v>603.1</v>
          </cell>
          <cell r="K2483">
            <v>583.29999999999995</v>
          </cell>
          <cell r="L2483">
            <v>453.3</v>
          </cell>
          <cell r="M2483">
            <v>471.8</v>
          </cell>
        </row>
        <row r="2484">
          <cell r="C2484" t="str">
            <v>Phú Lâm MBA AT2 (phía 500kV)</v>
          </cell>
          <cell r="D2484">
            <v>532</v>
          </cell>
          <cell r="E2484">
            <v>422.5</v>
          </cell>
          <cell r="F2484">
            <v>594.79999999999995</v>
          </cell>
          <cell r="G2484">
            <v>594.79999999999995</v>
          </cell>
          <cell r="H2484">
            <v>560.4</v>
          </cell>
          <cell r="I2484">
            <v>542.1</v>
          </cell>
          <cell r="J2484">
            <v>557.1</v>
          </cell>
          <cell r="K2484">
            <v>558</v>
          </cell>
          <cell r="L2484">
            <v>422.5</v>
          </cell>
          <cell r="M2484">
            <v>443.9</v>
          </cell>
        </row>
        <row r="2485">
          <cell r="C2485" t="str">
            <v>Phú Mỹ MBA T1 (phía 110kV)</v>
          </cell>
          <cell r="F2485">
            <v>54.2</v>
          </cell>
          <cell r="H2485">
            <v>33</v>
          </cell>
          <cell r="I2485">
            <v>29.8</v>
          </cell>
          <cell r="J2485">
            <v>29.4</v>
          </cell>
          <cell r="K2485">
            <v>37.4</v>
          </cell>
          <cell r="L2485">
            <v>37</v>
          </cell>
          <cell r="M2485">
            <v>54.2</v>
          </cell>
        </row>
        <row r="2486">
          <cell r="C2486" t="str">
            <v>Phú Mỹ MBA T1 (phía 22kV)</v>
          </cell>
          <cell r="F2486">
            <v>-54</v>
          </cell>
          <cell r="H2486">
            <v>-33.4</v>
          </cell>
          <cell r="I2486">
            <v>-29.6</v>
          </cell>
          <cell r="J2486">
            <v>-29.3</v>
          </cell>
          <cell r="K2486">
            <v>-37.6</v>
          </cell>
          <cell r="L2486">
            <v>-37.5</v>
          </cell>
          <cell r="M2486">
            <v>-54</v>
          </cell>
        </row>
        <row r="2487">
          <cell r="C2487" t="str">
            <v>110kV 171 Phú Mỹ - 173 NMĐ Phú Mỹ 1</v>
          </cell>
          <cell r="F2487">
            <v>-119.3</v>
          </cell>
          <cell r="H2487">
            <v>-104.8</v>
          </cell>
          <cell r="I2487">
            <v>-40.200000000000003</v>
          </cell>
          <cell r="J2487">
            <v>-53.8</v>
          </cell>
          <cell r="K2487">
            <v>-102.8</v>
          </cell>
          <cell r="L2487">
            <v>-97.8</v>
          </cell>
          <cell r="M2487">
            <v>-119.3</v>
          </cell>
        </row>
        <row r="2488">
          <cell r="C2488" t="str">
            <v>110kV 172 Phú Mỹ - 174 NMĐ Bà Rịa</v>
          </cell>
          <cell r="F2488">
            <v>-59.9</v>
          </cell>
          <cell r="H2488">
            <v>39</v>
          </cell>
          <cell r="I2488">
            <v>-59.9</v>
          </cell>
          <cell r="J2488">
            <v>-35.1</v>
          </cell>
          <cell r="K2488">
            <v>-43.5</v>
          </cell>
          <cell r="L2488">
            <v>-44.4</v>
          </cell>
          <cell r="M2488">
            <v>31.7</v>
          </cell>
        </row>
        <row r="2489">
          <cell r="C2489" t="str">
            <v>Phú Mỹ MBA T2 (phía 110kV)</v>
          </cell>
          <cell r="F2489">
            <v>41.9</v>
          </cell>
          <cell r="H2489">
            <v>36.299999999999997</v>
          </cell>
          <cell r="I2489">
            <v>37.799999999999997</v>
          </cell>
          <cell r="J2489">
            <v>28.7</v>
          </cell>
          <cell r="K2489">
            <v>41.9</v>
          </cell>
          <cell r="L2489">
            <v>38.6</v>
          </cell>
          <cell r="M2489">
            <v>36.6</v>
          </cell>
        </row>
        <row r="2490">
          <cell r="C2490" t="str">
            <v>Phú Mỹ MBA T2 (phía 22kV)</v>
          </cell>
          <cell r="F2490">
            <v>-42</v>
          </cell>
          <cell r="H2490">
            <v>-36.4</v>
          </cell>
          <cell r="I2490">
            <v>-38</v>
          </cell>
          <cell r="J2490">
            <v>-28.8</v>
          </cell>
          <cell r="K2490">
            <v>-42</v>
          </cell>
          <cell r="L2490">
            <v>-38.700000000000003</v>
          </cell>
          <cell r="M2490">
            <v>-36.6</v>
          </cell>
        </row>
        <row r="2491">
          <cell r="C2491" t="str">
            <v>500kv 582 Phú Mỹ 500 - 573 NMĐ Phú Mỹ 4</v>
          </cell>
          <cell r="F2491">
            <v>-226.7</v>
          </cell>
          <cell r="H2491">
            <v>-114.8</v>
          </cell>
          <cell r="I2491">
            <v>-112.6</v>
          </cell>
          <cell r="J2491">
            <v>-226.7</v>
          </cell>
          <cell r="K2491">
            <v>-109.4</v>
          </cell>
          <cell r="L2491">
            <v>-114.6</v>
          </cell>
          <cell r="M2491">
            <v>-115.7</v>
          </cell>
        </row>
        <row r="2492">
          <cell r="C2492" t="str">
            <v>Phú Mỹ 500kV MBA AT2 (phía 500kV)</v>
          </cell>
          <cell r="F2492">
            <v>323.10000000000002</v>
          </cell>
          <cell r="H2492">
            <v>302.7</v>
          </cell>
          <cell r="I2492">
            <v>180.4</v>
          </cell>
          <cell r="J2492">
            <v>100.1</v>
          </cell>
          <cell r="K2492">
            <v>323.10000000000002</v>
          </cell>
          <cell r="L2492">
            <v>206.5</v>
          </cell>
          <cell r="M2492">
            <v>285.2</v>
          </cell>
        </row>
        <row r="2493">
          <cell r="C2493" t="str">
            <v>500kv 581 Phú Mỹ 500 - 571 NMĐ Phú Mỹ 4</v>
          </cell>
          <cell r="F2493">
            <v>-232.1</v>
          </cell>
          <cell r="H2493">
            <v>-112.6</v>
          </cell>
          <cell r="I2493">
            <v>-112.6</v>
          </cell>
          <cell r="J2493">
            <v>-232.1</v>
          </cell>
          <cell r="K2493">
            <v>-105.7</v>
          </cell>
          <cell r="L2493">
            <v>-112.6</v>
          </cell>
          <cell r="M2493">
            <v>-110.8</v>
          </cell>
        </row>
        <row r="2494">
          <cell r="C2494" t="str">
            <v xml:space="preserve">500kV 583 Phú Mỹ 500 - 572 NMĐ Phú Mỹ 2-2 </v>
          </cell>
          <cell r="E2494">
            <v>0</v>
          </cell>
          <cell r="F2494">
            <v>-353.3</v>
          </cell>
          <cell r="H2494">
            <v>-348.1</v>
          </cell>
          <cell r="I2494">
            <v>-353.3</v>
          </cell>
          <cell r="J2494">
            <v>-349.9</v>
          </cell>
          <cell r="K2494">
            <v>-171.5</v>
          </cell>
          <cell r="L2494">
            <v>-351.6</v>
          </cell>
          <cell r="M2494">
            <v>0</v>
          </cell>
        </row>
        <row r="2495">
          <cell r="C2495" t="str">
            <v xml:space="preserve">500kV 584 Phú Mỹ 500 - 573 NMĐ Phú Mỹ 2-2 </v>
          </cell>
          <cell r="F2495">
            <v>-351.6</v>
          </cell>
          <cell r="H2495">
            <v>-348.1</v>
          </cell>
          <cell r="I2495">
            <v>-351.6</v>
          </cell>
          <cell r="J2495">
            <v>-351.6</v>
          </cell>
          <cell r="K2495">
            <v>-173.2</v>
          </cell>
          <cell r="L2495">
            <v>-348.1</v>
          </cell>
          <cell r="M2495">
            <v>3.5</v>
          </cell>
        </row>
        <row r="2496">
          <cell r="C2496" t="str">
            <v>110kV 171 Phú Mỹ Hưng - 172 Tân Thuận</v>
          </cell>
          <cell r="E2496">
            <v>0</v>
          </cell>
          <cell r="F2496">
            <v>-70.5</v>
          </cell>
          <cell r="H2496">
            <v>-70.5</v>
          </cell>
          <cell r="I2496">
            <v>0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</row>
        <row r="2497">
          <cell r="C2497" t="str">
            <v>110kV 172 Phú Mỹ Hưng - 172 NMĐ Hiệp Phước</v>
          </cell>
          <cell r="F2497">
            <v>-117.6</v>
          </cell>
          <cell r="H2497">
            <v>-117.6</v>
          </cell>
          <cell r="I2497">
            <v>-87</v>
          </cell>
          <cell r="J2497">
            <v>-99.3</v>
          </cell>
          <cell r="K2497">
            <v>-87.8</v>
          </cell>
          <cell r="L2497">
            <v>-80.400000000000006</v>
          </cell>
          <cell r="M2497">
            <v>-77.5</v>
          </cell>
        </row>
        <row r="2498">
          <cell r="C2498" t="str">
            <v>Phú Mỹ Hưng MBA T1 (phía 110kV)</v>
          </cell>
          <cell r="F2498">
            <v>16.600000000000001</v>
          </cell>
          <cell r="H2498">
            <v>16.600000000000001</v>
          </cell>
          <cell r="I2498">
            <v>12.8</v>
          </cell>
          <cell r="J2498">
            <v>15.7</v>
          </cell>
          <cell r="K2498">
            <v>13.7</v>
          </cell>
          <cell r="L2498">
            <v>13.8</v>
          </cell>
          <cell r="M2498">
            <v>13.3</v>
          </cell>
        </row>
        <row r="2499">
          <cell r="C2499" t="str">
            <v>Phú Mỹ Hưng MBA T1 (phía 22kV)</v>
          </cell>
          <cell r="F2499">
            <v>-15.5</v>
          </cell>
          <cell r="H2499">
            <v>-15.5</v>
          </cell>
          <cell r="I2499">
            <v>-12.9</v>
          </cell>
          <cell r="J2499">
            <v>-14.6</v>
          </cell>
          <cell r="K2499">
            <v>-12.5</v>
          </cell>
          <cell r="L2499">
            <v>-12.7</v>
          </cell>
          <cell r="M2499">
            <v>-12.1</v>
          </cell>
        </row>
        <row r="2500">
          <cell r="C2500" t="str">
            <v>Phú Mỹ Hưng MBA T2 (phía 110kV)</v>
          </cell>
          <cell r="F2500">
            <v>26.9</v>
          </cell>
          <cell r="H2500">
            <v>26.9</v>
          </cell>
          <cell r="I2500">
            <v>19.600000000000001</v>
          </cell>
          <cell r="J2500">
            <v>23.3</v>
          </cell>
          <cell r="K2500">
            <v>20.399999999999999</v>
          </cell>
          <cell r="L2500">
            <v>18.2</v>
          </cell>
          <cell r="M2500">
            <v>16.899999999999999</v>
          </cell>
        </row>
        <row r="2501">
          <cell r="C2501" t="str">
            <v>Phú Mỹ Hưng MBA T2 (phía 22kV)</v>
          </cell>
          <cell r="F2501">
            <v>-27.1</v>
          </cell>
          <cell r="H2501">
            <v>-27.1</v>
          </cell>
          <cell r="I2501">
            <v>-19.7</v>
          </cell>
          <cell r="J2501">
            <v>-23.5</v>
          </cell>
          <cell r="K2501">
            <v>-20.6</v>
          </cell>
          <cell r="L2501">
            <v>-18.3</v>
          </cell>
          <cell r="M2501">
            <v>-17.100000000000001</v>
          </cell>
        </row>
        <row r="2502">
          <cell r="C2502" t="str">
            <v>110kV 173 Phú Mỹ Hưng - 172 Nam Sài Gòn 3</v>
          </cell>
          <cell r="F2502">
            <v>37.5</v>
          </cell>
          <cell r="H2502">
            <v>37.5</v>
          </cell>
          <cell r="I2502">
            <v>27.8</v>
          </cell>
          <cell r="J2502">
            <v>30.6</v>
          </cell>
          <cell r="K2502">
            <v>27.5</v>
          </cell>
          <cell r="L2502">
            <v>24.7</v>
          </cell>
          <cell r="M2502">
            <v>24.5</v>
          </cell>
        </row>
        <row r="2503">
          <cell r="C2503" t="str">
            <v>110kV 174 Phú Mỹ Hưng - 171 Nam Sài Gòn 3</v>
          </cell>
          <cell r="F2503">
            <v>38</v>
          </cell>
          <cell r="H2503">
            <v>38</v>
          </cell>
          <cell r="I2503">
            <v>28.2</v>
          </cell>
          <cell r="J2503">
            <v>31.2</v>
          </cell>
          <cell r="K2503">
            <v>28</v>
          </cell>
          <cell r="L2503">
            <v>25.4</v>
          </cell>
          <cell r="M2503">
            <v>25</v>
          </cell>
        </row>
        <row r="2504">
          <cell r="C2504" t="str">
            <v>110kV 172 Phú Quốc - 173 Hà Tiên</v>
          </cell>
          <cell r="F2504">
            <v>-65.099999999999994</v>
          </cell>
          <cell r="H2504">
            <v>-57.3</v>
          </cell>
          <cell r="I2504">
            <v>-55.3</v>
          </cell>
          <cell r="J2504">
            <v>-65.099999999999994</v>
          </cell>
          <cell r="K2504">
            <v>-54</v>
          </cell>
          <cell r="L2504">
            <v>-60.4</v>
          </cell>
          <cell r="M2504">
            <v>-54.7</v>
          </cell>
        </row>
        <row r="2505">
          <cell r="C2505" t="str">
            <v>Phú Quốc MBA T2 (phía 110kV)</v>
          </cell>
          <cell r="F2505">
            <v>36</v>
          </cell>
          <cell r="H2505">
            <v>30.8</v>
          </cell>
          <cell r="I2505">
            <v>29.3</v>
          </cell>
          <cell r="J2505">
            <v>36</v>
          </cell>
          <cell r="K2505">
            <v>28.8</v>
          </cell>
          <cell r="L2505">
            <v>32.700000000000003</v>
          </cell>
          <cell r="M2505">
            <v>29.5</v>
          </cell>
        </row>
        <row r="2506">
          <cell r="C2506" t="str">
            <v>Phú Quốc MBA T2 (phía 22kV)</v>
          </cell>
          <cell r="F2506">
            <v>-35.9</v>
          </cell>
          <cell r="H2506">
            <v>-30.8</v>
          </cell>
          <cell r="I2506">
            <v>-29.2</v>
          </cell>
          <cell r="J2506">
            <v>-35.9</v>
          </cell>
          <cell r="K2506">
            <v>-28.7</v>
          </cell>
          <cell r="L2506">
            <v>-32.700000000000003</v>
          </cell>
          <cell r="M2506">
            <v>-29.4</v>
          </cell>
        </row>
        <row r="2507">
          <cell r="C2507" t="str">
            <v>Phú Quốc MBA T1 (phía 110kV)</v>
          </cell>
          <cell r="F2507">
            <v>29.2</v>
          </cell>
          <cell r="H2507">
            <v>26.5</v>
          </cell>
          <cell r="I2507">
            <v>26.1</v>
          </cell>
          <cell r="J2507">
            <v>29.2</v>
          </cell>
          <cell r="K2507">
            <v>25.3</v>
          </cell>
          <cell r="L2507">
            <v>27.8</v>
          </cell>
          <cell r="M2507">
            <v>25.3</v>
          </cell>
        </row>
        <row r="2508">
          <cell r="C2508" t="str">
            <v>Phú Quốc MBA T1 (phía 22kV)</v>
          </cell>
          <cell r="F2508">
            <v>-29.2</v>
          </cell>
          <cell r="H2508">
            <v>-26.5</v>
          </cell>
          <cell r="I2508">
            <v>-26.1</v>
          </cell>
          <cell r="J2508">
            <v>-29.2</v>
          </cell>
          <cell r="K2508">
            <v>-25.1</v>
          </cell>
          <cell r="L2508">
            <v>-27.7</v>
          </cell>
          <cell r="M2508">
            <v>-25.2</v>
          </cell>
        </row>
        <row r="2509">
          <cell r="C2509" t="str">
            <v>110kV 171 Phú Tân - 172 Cái Dầu</v>
          </cell>
          <cell r="E2509">
            <v>0</v>
          </cell>
          <cell r="F2509">
            <v>-52.9</v>
          </cell>
          <cell r="H2509">
            <v>-52.9</v>
          </cell>
          <cell r="I2509">
            <v>0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</row>
        <row r="2510">
          <cell r="C2510" t="str">
            <v>Phú Tân MBA T1 (phía 110kV)</v>
          </cell>
          <cell r="F2510">
            <v>20.3</v>
          </cell>
          <cell r="H2510">
            <v>16.899999999999999</v>
          </cell>
          <cell r="I2510">
            <v>20.3</v>
          </cell>
          <cell r="J2510">
            <v>19.100000000000001</v>
          </cell>
          <cell r="K2510">
            <v>18</v>
          </cell>
          <cell r="L2510">
            <v>19.899999999999999</v>
          </cell>
          <cell r="M2510">
            <v>18.7</v>
          </cell>
        </row>
        <row r="2511">
          <cell r="C2511" t="str">
            <v>Phú Tân MBA T1 (phía 22kV)</v>
          </cell>
          <cell r="F2511">
            <v>-20.3</v>
          </cell>
          <cell r="H2511">
            <v>-16.899999999999999</v>
          </cell>
          <cell r="I2511">
            <v>-20.3</v>
          </cell>
          <cell r="J2511">
            <v>-19.100000000000001</v>
          </cell>
          <cell r="K2511">
            <v>-18</v>
          </cell>
          <cell r="L2511">
            <v>-19.899999999999999</v>
          </cell>
          <cell r="M2511">
            <v>-18.7</v>
          </cell>
        </row>
        <row r="2512">
          <cell r="C2512" t="str">
            <v>110kV 172 Phú Tân - 172 Chợ Mới</v>
          </cell>
          <cell r="F2512">
            <v>-37.4</v>
          </cell>
          <cell r="H2512">
            <v>21.7</v>
          </cell>
          <cell r="I2512">
            <v>-33.200000000000003</v>
          </cell>
          <cell r="J2512">
            <v>-34.700000000000003</v>
          </cell>
          <cell r="K2512">
            <v>-30.3</v>
          </cell>
          <cell r="L2512">
            <v>-37.4</v>
          </cell>
          <cell r="M2512">
            <v>-32.700000000000003</v>
          </cell>
        </row>
        <row r="2513">
          <cell r="C2513" t="str">
            <v>Phú Tân MBA T2 (phía 110kV)</v>
          </cell>
          <cell r="F2513">
            <v>17.7</v>
          </cell>
          <cell r="H2513">
            <v>17.100000000000001</v>
          </cell>
          <cell r="I2513">
            <v>14.7</v>
          </cell>
          <cell r="J2513">
            <v>16.899999999999999</v>
          </cell>
          <cell r="K2513">
            <v>14.3</v>
          </cell>
          <cell r="L2513">
            <v>17.7</v>
          </cell>
          <cell r="M2513">
            <v>14.2</v>
          </cell>
        </row>
        <row r="2514">
          <cell r="C2514" t="str">
            <v>Phú Tân MBA T2 (phía 22kV)</v>
          </cell>
          <cell r="F2514">
            <v>-17.7</v>
          </cell>
          <cell r="H2514">
            <v>-17.100000000000001</v>
          </cell>
          <cell r="I2514">
            <v>-14.8</v>
          </cell>
          <cell r="J2514">
            <v>-16.899999999999999</v>
          </cell>
          <cell r="K2514">
            <v>-14.4</v>
          </cell>
          <cell r="L2514">
            <v>-17.7</v>
          </cell>
          <cell r="M2514">
            <v>-14.2</v>
          </cell>
        </row>
        <row r="2515">
          <cell r="C2515" t="str">
            <v>110kV 171 Phú Thạnh - 180 Bàu Sen</v>
          </cell>
          <cell r="F2515">
            <v>-109.2</v>
          </cell>
          <cell r="H2515">
            <v>-108.8</v>
          </cell>
          <cell r="I2515">
            <v>-103.6</v>
          </cell>
          <cell r="J2515">
            <v>-109.2</v>
          </cell>
          <cell r="K2515">
            <v>-103.3</v>
          </cell>
          <cell r="L2515">
            <v>-92.5</v>
          </cell>
          <cell r="M2515">
            <v>-89.1</v>
          </cell>
        </row>
        <row r="2516">
          <cell r="C2516" t="str">
            <v>110kV 172 Phú Thạnh - 174 Long Thành</v>
          </cell>
          <cell r="F2516">
            <v>91.8</v>
          </cell>
          <cell r="H2516">
            <v>91.8</v>
          </cell>
          <cell r="I2516">
            <v>90.3</v>
          </cell>
          <cell r="J2516">
            <v>91.6</v>
          </cell>
          <cell r="K2516">
            <v>90.9</v>
          </cell>
          <cell r="L2516">
            <v>77.3</v>
          </cell>
          <cell r="M2516">
            <v>76.400000000000006</v>
          </cell>
        </row>
        <row r="2517">
          <cell r="C2517" t="str">
            <v>Phú Thạnh MBA T1 (phía 110kV)</v>
          </cell>
          <cell r="F2517">
            <v>19.2</v>
          </cell>
          <cell r="H2517">
            <v>19.2</v>
          </cell>
          <cell r="I2517">
            <v>17.2</v>
          </cell>
          <cell r="J2517">
            <v>18.3</v>
          </cell>
          <cell r="K2517">
            <v>17.399999999999999</v>
          </cell>
          <cell r="L2517">
            <v>17</v>
          </cell>
          <cell r="M2517">
            <v>18</v>
          </cell>
        </row>
        <row r="2518">
          <cell r="C2518" t="str">
            <v>Phú Thạnh MBA T1 (phía 22kV)</v>
          </cell>
          <cell r="F2518">
            <v>-19.3</v>
          </cell>
          <cell r="H2518">
            <v>-19.3</v>
          </cell>
          <cell r="I2518">
            <v>-17.3</v>
          </cell>
          <cell r="J2518">
            <v>-18.3</v>
          </cell>
          <cell r="K2518">
            <v>-17.3</v>
          </cell>
          <cell r="L2518">
            <v>-17.100000000000001</v>
          </cell>
          <cell r="M2518">
            <v>-18.100000000000001</v>
          </cell>
        </row>
        <row r="2519">
          <cell r="C2519" t="str">
            <v>110kV 171 Phú Xuân - 176 Cần Thơ 2</v>
          </cell>
          <cell r="F2519">
            <v>-26.3</v>
          </cell>
          <cell r="H2519">
            <v>-25</v>
          </cell>
          <cell r="I2519">
            <v>-23.5</v>
          </cell>
          <cell r="J2519">
            <v>-26.3</v>
          </cell>
          <cell r="K2519">
            <v>-25.5</v>
          </cell>
          <cell r="L2519">
            <v>-21.4</v>
          </cell>
          <cell r="M2519">
            <v>-22.3</v>
          </cell>
        </row>
        <row r="2520">
          <cell r="C2520" t="str">
            <v>110kV 172 Phú Xuân - 171 Hưng Phú</v>
          </cell>
          <cell r="F2520">
            <v>-4.8</v>
          </cell>
          <cell r="H2520">
            <v>3.1</v>
          </cell>
          <cell r="I2520">
            <v>1.9</v>
          </cell>
          <cell r="J2520">
            <v>2.1</v>
          </cell>
          <cell r="K2520">
            <v>2.5</v>
          </cell>
          <cell r="L2520">
            <v>-4.2</v>
          </cell>
          <cell r="M2520">
            <v>-4.8</v>
          </cell>
        </row>
        <row r="2521">
          <cell r="C2521" t="str">
            <v>Phú Xuân MBA T1 (phía 110kV)</v>
          </cell>
          <cell r="F2521">
            <v>26.7</v>
          </cell>
          <cell r="H2521">
            <v>25.1</v>
          </cell>
          <cell r="I2521">
            <v>25.2</v>
          </cell>
          <cell r="J2521">
            <v>26.6</v>
          </cell>
          <cell r="K2521">
            <v>26.6</v>
          </cell>
          <cell r="L2521">
            <v>24</v>
          </cell>
          <cell r="M2521">
            <v>26.7</v>
          </cell>
        </row>
        <row r="2522">
          <cell r="C2522" t="str">
            <v>Phú Xuân MBA T1 (phía 22kV)</v>
          </cell>
          <cell r="F2522">
            <v>-26.8</v>
          </cell>
          <cell r="H2522">
            <v>-25</v>
          </cell>
          <cell r="I2522">
            <v>-25.1</v>
          </cell>
          <cell r="J2522">
            <v>-26.6</v>
          </cell>
          <cell r="K2522">
            <v>-26.6</v>
          </cell>
          <cell r="L2522">
            <v>-24.2</v>
          </cell>
          <cell r="M2522">
            <v>-26.8</v>
          </cell>
        </row>
        <row r="2523">
          <cell r="C2523" t="str">
            <v>Phú Xuân MBA T2 (phía 110kV)</v>
          </cell>
          <cell r="E2523">
            <v>0</v>
          </cell>
          <cell r="F2523">
            <v>0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</row>
        <row r="2524">
          <cell r="C2524" t="str">
            <v>Phú Xuân MBA T2 (phía 22kV)</v>
          </cell>
          <cell r="E2524">
            <v>0</v>
          </cell>
          <cell r="F2524">
            <v>0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</row>
        <row r="2525">
          <cell r="C2525" t="str">
            <v>Phụng Hiệp MBA T2 (phía 110kV)</v>
          </cell>
          <cell r="F2525">
            <v>19.7</v>
          </cell>
          <cell r="H2525">
            <v>18.100000000000001</v>
          </cell>
          <cell r="I2525">
            <v>16.7</v>
          </cell>
          <cell r="J2525">
            <v>19.7</v>
          </cell>
          <cell r="K2525">
            <v>17.600000000000001</v>
          </cell>
          <cell r="L2525">
            <v>17</v>
          </cell>
          <cell r="M2525">
            <v>17.8</v>
          </cell>
        </row>
        <row r="2526">
          <cell r="C2526" t="str">
            <v>Phụng Hiệp MBA T2 (phía 22kV)</v>
          </cell>
          <cell r="F2526">
            <v>-19.7</v>
          </cell>
          <cell r="H2526">
            <v>-18.100000000000001</v>
          </cell>
          <cell r="I2526">
            <v>-16.7</v>
          </cell>
          <cell r="J2526">
            <v>-19.7</v>
          </cell>
          <cell r="K2526">
            <v>-17.600000000000001</v>
          </cell>
          <cell r="L2526">
            <v>-17</v>
          </cell>
          <cell r="M2526">
            <v>-17.8</v>
          </cell>
        </row>
        <row r="2527">
          <cell r="C2527" t="str">
            <v>110kV 171 Phụng Hiệp - 172 Châu Thành</v>
          </cell>
          <cell r="F2527">
            <v>-53.5</v>
          </cell>
          <cell r="H2527">
            <v>-35</v>
          </cell>
          <cell r="I2527">
            <v>-32.299999999999997</v>
          </cell>
          <cell r="J2527">
            <v>-38.299999999999997</v>
          </cell>
          <cell r="K2527">
            <v>-34.200000000000003</v>
          </cell>
          <cell r="L2527">
            <v>-53.5</v>
          </cell>
          <cell r="M2527">
            <v>-34.5</v>
          </cell>
        </row>
        <row r="2528">
          <cell r="C2528" t="str">
            <v>110kV 172 Phụng Hiệp - 171 Sóc Trăng</v>
          </cell>
          <cell r="E2528">
            <v>0</v>
          </cell>
          <cell r="F2528">
            <v>35.299999999999997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35.299999999999997</v>
          </cell>
          <cell r="M2528">
            <v>0</v>
          </cell>
        </row>
        <row r="2529">
          <cell r="C2529" t="str">
            <v>Phụng Hiệp MBA T1 (phía 110kV)</v>
          </cell>
          <cell r="F2529">
            <v>22.1</v>
          </cell>
          <cell r="H2529">
            <v>17.100000000000001</v>
          </cell>
          <cell r="I2529">
            <v>15.7</v>
          </cell>
          <cell r="J2529">
            <v>18.600000000000001</v>
          </cell>
          <cell r="K2529">
            <v>16.600000000000001</v>
          </cell>
          <cell r="L2529">
            <v>22.1</v>
          </cell>
          <cell r="M2529">
            <v>16.7</v>
          </cell>
        </row>
        <row r="2530">
          <cell r="C2530" t="str">
            <v>Phụng Hiệp MBA T1 (phía 22kV)</v>
          </cell>
          <cell r="F2530">
            <v>-22.1</v>
          </cell>
          <cell r="H2530">
            <v>-17.100000000000001</v>
          </cell>
          <cell r="I2530">
            <v>-15.7</v>
          </cell>
          <cell r="J2530">
            <v>-18.600000000000001</v>
          </cell>
          <cell r="K2530">
            <v>-16.600000000000001</v>
          </cell>
          <cell r="L2530">
            <v>-22.1</v>
          </cell>
          <cell r="M2530">
            <v>-16.8</v>
          </cell>
        </row>
        <row r="2531">
          <cell r="C2531" t="str">
            <v>Phước Đông MBA T1 (phía 110kV)</v>
          </cell>
          <cell r="F2531">
            <v>55.9</v>
          </cell>
          <cell r="H2531">
            <v>55.9</v>
          </cell>
          <cell r="I2531">
            <v>55</v>
          </cell>
          <cell r="J2531">
            <v>55</v>
          </cell>
          <cell r="K2531">
            <v>54.8</v>
          </cell>
          <cell r="L2531">
            <v>53.3</v>
          </cell>
          <cell r="M2531">
            <v>52.3</v>
          </cell>
        </row>
        <row r="2532">
          <cell r="C2532" t="str">
            <v>Phước Đông MBA T1 (phía 22kV)</v>
          </cell>
          <cell r="F2532">
            <v>-55.8</v>
          </cell>
          <cell r="H2532">
            <v>-55.8</v>
          </cell>
          <cell r="I2532">
            <v>-54.6</v>
          </cell>
          <cell r="J2532">
            <v>-55.5</v>
          </cell>
          <cell r="K2532">
            <v>-54.5</v>
          </cell>
          <cell r="L2532">
            <v>-53.8</v>
          </cell>
          <cell r="M2532">
            <v>-51.3</v>
          </cell>
        </row>
        <row r="2533">
          <cell r="C2533" t="str">
            <v>110kV 171 Phước Đông - 171 Gia Lộc</v>
          </cell>
          <cell r="F2533">
            <v>86.7</v>
          </cell>
          <cell r="H2533">
            <v>84.3</v>
          </cell>
          <cell r="I2533">
            <v>83.4</v>
          </cell>
          <cell r="J2533">
            <v>84.5</v>
          </cell>
          <cell r="K2533">
            <v>86.3</v>
          </cell>
          <cell r="L2533">
            <v>86.7</v>
          </cell>
          <cell r="M2533">
            <v>86</v>
          </cell>
        </row>
        <row r="2534">
          <cell r="C2534" t="str">
            <v>110kV 172 Phước Đông - 179 Trảng Bàng 2</v>
          </cell>
          <cell r="F2534">
            <v>-189.3</v>
          </cell>
          <cell r="H2534">
            <v>-187.6</v>
          </cell>
          <cell r="I2534">
            <v>-186.6</v>
          </cell>
          <cell r="J2534">
            <v>-186.6</v>
          </cell>
          <cell r="K2534">
            <v>-189.3</v>
          </cell>
          <cell r="L2534">
            <v>-185.1</v>
          </cell>
          <cell r="M2534">
            <v>-182.2</v>
          </cell>
        </row>
        <row r="2535">
          <cell r="C2535" t="str">
            <v>Phước Đông MBA T2 (phía 110kV)</v>
          </cell>
          <cell r="F2535">
            <v>50.7</v>
          </cell>
          <cell r="H2535">
            <v>50.3</v>
          </cell>
          <cell r="I2535">
            <v>49.1</v>
          </cell>
          <cell r="J2535">
            <v>49.1</v>
          </cell>
          <cell r="K2535">
            <v>50.7</v>
          </cell>
          <cell r="L2535">
            <v>50.5</v>
          </cell>
          <cell r="M2535">
            <v>50.5</v>
          </cell>
        </row>
        <row r="2536">
          <cell r="C2536" t="str">
            <v>Phước Đông MBA T2 (phía 22kV)</v>
          </cell>
          <cell r="F2536">
            <v>-50.6</v>
          </cell>
          <cell r="H2536">
            <v>-50.2</v>
          </cell>
          <cell r="I2536">
            <v>-49.1</v>
          </cell>
          <cell r="J2536">
            <v>-49.1</v>
          </cell>
          <cell r="K2536">
            <v>-50.6</v>
          </cell>
          <cell r="L2536">
            <v>-50.4</v>
          </cell>
          <cell r="M2536">
            <v>-50.5</v>
          </cell>
        </row>
        <row r="2537">
          <cell r="C2537" t="str">
            <v>Phước Đức MBA T1 (phía 110kV)</v>
          </cell>
          <cell r="F2537">
            <v>52.4</v>
          </cell>
          <cell r="H2537">
            <v>52.3</v>
          </cell>
          <cell r="I2537">
            <v>52.4</v>
          </cell>
          <cell r="J2537">
            <v>48.9</v>
          </cell>
          <cell r="K2537">
            <v>52.2</v>
          </cell>
          <cell r="L2537">
            <v>46.5</v>
          </cell>
          <cell r="M2537">
            <v>47.6</v>
          </cell>
        </row>
        <row r="2538">
          <cell r="C2538" t="str">
            <v>Phước Đức MBA T1 (phía 22kV)</v>
          </cell>
          <cell r="F2538">
            <v>-52.2</v>
          </cell>
          <cell r="H2538">
            <v>-51.4</v>
          </cell>
          <cell r="I2538">
            <v>-52.2</v>
          </cell>
          <cell r="J2538">
            <v>-47.9</v>
          </cell>
          <cell r="K2538">
            <v>-50.4</v>
          </cell>
          <cell r="L2538">
            <v>-46.6</v>
          </cell>
          <cell r="M2538">
            <v>-46.3</v>
          </cell>
        </row>
        <row r="2539">
          <cell r="C2539" t="str">
            <v>110kV 171 Phước Đức - 171 Hòa Thành</v>
          </cell>
          <cell r="F2539">
            <v>-104</v>
          </cell>
          <cell r="H2539">
            <v>-102</v>
          </cell>
          <cell r="I2539">
            <v>-104</v>
          </cell>
          <cell r="J2539">
            <v>-99.7</v>
          </cell>
          <cell r="K2539">
            <v>-102.8</v>
          </cell>
          <cell r="L2539">
            <v>-97.4</v>
          </cell>
          <cell r="M2539">
            <v>-98.9</v>
          </cell>
        </row>
        <row r="2540">
          <cell r="C2540" t="str">
            <v>110kV 172 Phước Đức - 172 Gia Lộc</v>
          </cell>
          <cell r="E2540">
            <v>0</v>
          </cell>
          <cell r="F2540">
            <v>0</v>
          </cell>
          <cell r="H2540">
            <v>0</v>
          </cell>
          <cell r="I2540">
            <v>0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</row>
        <row r="2541">
          <cell r="C2541" t="str">
            <v>Phước Đức MBA T2 (phía 110kV)</v>
          </cell>
          <cell r="F2541">
            <v>54</v>
          </cell>
          <cell r="H2541">
            <v>52.1</v>
          </cell>
          <cell r="I2541">
            <v>54</v>
          </cell>
          <cell r="J2541">
            <v>52.7</v>
          </cell>
          <cell r="K2541">
            <v>53.6</v>
          </cell>
          <cell r="L2541">
            <v>51.7</v>
          </cell>
          <cell r="M2541">
            <v>52.8</v>
          </cell>
        </row>
        <row r="2542">
          <cell r="C2542" t="str">
            <v>Phước Đức MBA T2 (phía 22kV)</v>
          </cell>
          <cell r="F2542">
            <v>-54</v>
          </cell>
          <cell r="H2542">
            <v>-53.2</v>
          </cell>
          <cell r="I2542">
            <v>-54</v>
          </cell>
          <cell r="J2542">
            <v>-53.1</v>
          </cell>
          <cell r="K2542">
            <v>-53.2</v>
          </cell>
          <cell r="L2542">
            <v>-51.5</v>
          </cell>
          <cell r="M2542">
            <v>-52.9</v>
          </cell>
        </row>
        <row r="2543">
          <cell r="C2543" t="str">
            <v>Phước Hòa MBA T1 (phía 110kV)</v>
          </cell>
          <cell r="F2543">
            <v>23.5</v>
          </cell>
          <cell r="H2543">
            <v>23.5</v>
          </cell>
          <cell r="I2543">
            <v>21.8</v>
          </cell>
          <cell r="J2543">
            <v>22.9</v>
          </cell>
          <cell r="K2543">
            <v>22.6</v>
          </cell>
          <cell r="L2543">
            <v>14.1</v>
          </cell>
          <cell r="M2543">
            <v>14.1</v>
          </cell>
        </row>
        <row r="2544">
          <cell r="C2544" t="str">
            <v>Phước Hòa MBA T1 (phía 22kV)</v>
          </cell>
          <cell r="F2544">
            <v>-23.5</v>
          </cell>
          <cell r="H2544">
            <v>-23.5</v>
          </cell>
          <cell r="I2544">
            <v>-21.7</v>
          </cell>
          <cell r="J2544">
            <v>-23.1</v>
          </cell>
          <cell r="K2544">
            <v>-22.9</v>
          </cell>
          <cell r="L2544">
            <v>-14.1</v>
          </cell>
          <cell r="M2544">
            <v>-14.1</v>
          </cell>
        </row>
        <row r="2545">
          <cell r="C2545" t="str">
            <v>Phước Hòa MBA T2 (phía 110kV)</v>
          </cell>
          <cell r="F2545">
            <v>17.899999999999999</v>
          </cell>
          <cell r="H2545">
            <v>16.2</v>
          </cell>
          <cell r="I2545">
            <v>17.2</v>
          </cell>
          <cell r="J2545">
            <v>17.899999999999999</v>
          </cell>
          <cell r="K2545">
            <v>16.8</v>
          </cell>
          <cell r="L2545">
            <v>5.8</v>
          </cell>
          <cell r="M2545">
            <v>4.8</v>
          </cell>
        </row>
        <row r="2546">
          <cell r="C2546" t="str">
            <v>Phước Hòa MBA T2 (phía 22kV)</v>
          </cell>
          <cell r="F2546">
            <v>-17.899999999999999</v>
          </cell>
          <cell r="H2546">
            <v>-16.3</v>
          </cell>
          <cell r="I2546">
            <v>-17.100000000000001</v>
          </cell>
          <cell r="J2546">
            <v>-17.899999999999999</v>
          </cell>
          <cell r="K2546">
            <v>-16.8</v>
          </cell>
          <cell r="L2546">
            <v>-5.8</v>
          </cell>
          <cell r="M2546">
            <v>-4.9000000000000004</v>
          </cell>
        </row>
        <row r="2547">
          <cell r="C2547" t="str">
            <v>110kV 171 Phước Long - 171 NMĐ Thác Mơ</v>
          </cell>
          <cell r="F2547">
            <v>-150</v>
          </cell>
          <cell r="H2547">
            <v>-139.6</v>
          </cell>
          <cell r="I2547">
            <v>-150</v>
          </cell>
          <cell r="J2547">
            <v>-141.30000000000001</v>
          </cell>
          <cell r="K2547">
            <v>-132.4</v>
          </cell>
          <cell r="L2547">
            <v>-128.1</v>
          </cell>
          <cell r="M2547">
            <v>-115.6</v>
          </cell>
        </row>
        <row r="2548">
          <cell r="C2548" t="str">
            <v>Phước Long MBA T1 (phía 110kV)</v>
          </cell>
          <cell r="F2548">
            <v>31.6</v>
          </cell>
          <cell r="H2548">
            <v>29.1</v>
          </cell>
          <cell r="I2548">
            <v>30.8</v>
          </cell>
          <cell r="J2548">
            <v>31.6</v>
          </cell>
          <cell r="K2548">
            <v>28.1</v>
          </cell>
          <cell r="L2548">
            <v>27.5</v>
          </cell>
          <cell r="M2548">
            <v>26.4</v>
          </cell>
        </row>
        <row r="2549">
          <cell r="C2549" t="str">
            <v>Phước Long MBA T1 (phía 22kV)</v>
          </cell>
          <cell r="F2549">
            <v>-31.6</v>
          </cell>
          <cell r="H2549">
            <v>-29.2</v>
          </cell>
          <cell r="I2549">
            <v>-30.9</v>
          </cell>
          <cell r="J2549">
            <v>-31.6</v>
          </cell>
          <cell r="K2549">
            <v>-28.2</v>
          </cell>
          <cell r="L2549">
            <v>-27.5</v>
          </cell>
          <cell r="M2549">
            <v>-26.5</v>
          </cell>
        </row>
        <row r="2550">
          <cell r="C2550" t="str">
            <v>110kV 172 Phước Long - 171 Vedan 2</v>
          </cell>
          <cell r="F2550">
            <v>97.9</v>
          </cell>
          <cell r="H2550">
            <v>95.8</v>
          </cell>
          <cell r="I2550">
            <v>94.8</v>
          </cell>
          <cell r="J2550">
            <v>97.9</v>
          </cell>
          <cell r="K2550">
            <v>95.6</v>
          </cell>
          <cell r="L2550">
            <v>80.3</v>
          </cell>
          <cell r="M2550">
            <v>74.400000000000006</v>
          </cell>
        </row>
        <row r="2551">
          <cell r="C2551" t="str">
            <v>Phước Long MBA T2 (phía 110kV)</v>
          </cell>
          <cell r="F2551">
            <v>27.2</v>
          </cell>
          <cell r="H2551">
            <v>27.2</v>
          </cell>
          <cell r="I2551">
            <v>26.9</v>
          </cell>
          <cell r="J2551">
            <v>26.2</v>
          </cell>
          <cell r="K2551">
            <v>15.5</v>
          </cell>
          <cell r="L2551">
            <v>25.2</v>
          </cell>
          <cell r="M2551">
            <v>21.2</v>
          </cell>
        </row>
        <row r="2552">
          <cell r="C2552" t="str">
            <v>Phước Long MBA T2 (phía 22kV)</v>
          </cell>
          <cell r="F2552">
            <v>-27.3</v>
          </cell>
          <cell r="H2552">
            <v>-27.3</v>
          </cell>
          <cell r="I2552">
            <v>-26.9</v>
          </cell>
          <cell r="J2552">
            <v>-26.2</v>
          </cell>
          <cell r="K2552">
            <v>-15.6</v>
          </cell>
          <cell r="L2552">
            <v>-25.2</v>
          </cell>
          <cell r="M2552">
            <v>-21.3</v>
          </cell>
        </row>
        <row r="2553">
          <cell r="C2553" t="str">
            <v>110kV 171 Pomina - 172 Thép Miền Nam</v>
          </cell>
          <cell r="F2553">
            <v>50.7</v>
          </cell>
          <cell r="H2553">
            <v>48.6</v>
          </cell>
          <cell r="I2553">
            <v>46.5</v>
          </cell>
          <cell r="J2553">
            <v>-21.3</v>
          </cell>
          <cell r="K2553">
            <v>45.9</v>
          </cell>
          <cell r="L2553">
            <v>45.1</v>
          </cell>
          <cell r="M2553">
            <v>50.7</v>
          </cell>
        </row>
        <row r="2554">
          <cell r="C2554" t="str">
            <v>Pomina MBA T1 (phía 110kV)</v>
          </cell>
          <cell r="F2554">
            <v>31.1</v>
          </cell>
          <cell r="H2554">
            <v>26.4</v>
          </cell>
          <cell r="I2554">
            <v>29.2</v>
          </cell>
          <cell r="J2554">
            <v>25.9</v>
          </cell>
          <cell r="K2554">
            <v>29.4</v>
          </cell>
          <cell r="L2554">
            <v>26.6</v>
          </cell>
          <cell r="M2554">
            <v>31.1</v>
          </cell>
        </row>
        <row r="2555">
          <cell r="C2555" t="str">
            <v>Pomina MBA T1 (phía 22kV)</v>
          </cell>
          <cell r="F2555">
            <v>-31</v>
          </cell>
          <cell r="H2555">
            <v>-26.5</v>
          </cell>
          <cell r="I2555">
            <v>-29.3</v>
          </cell>
          <cell r="J2555">
            <v>-26</v>
          </cell>
          <cell r="K2555">
            <v>-29.4</v>
          </cell>
          <cell r="L2555">
            <v>-26.7</v>
          </cell>
          <cell r="M2555">
            <v>-31</v>
          </cell>
        </row>
        <row r="2556">
          <cell r="C2556" t="str">
            <v>110kV 172 Pomina - 177 Tân Thành</v>
          </cell>
          <cell r="F2556">
            <v>-105.9</v>
          </cell>
          <cell r="H2556">
            <v>-99.1</v>
          </cell>
          <cell r="I2556">
            <v>-93.7</v>
          </cell>
          <cell r="J2556">
            <v>-54.3</v>
          </cell>
          <cell r="K2556">
            <v>-105.9</v>
          </cell>
          <cell r="L2556">
            <v>-80.7</v>
          </cell>
          <cell r="M2556">
            <v>-89.9</v>
          </cell>
        </row>
        <row r="2557">
          <cell r="C2557" t="str">
            <v>Pomina MBA T2 (phía 110kV)</v>
          </cell>
          <cell r="F2557">
            <v>63.4</v>
          </cell>
          <cell r="H2557">
            <v>49.9</v>
          </cell>
          <cell r="I2557">
            <v>63.4</v>
          </cell>
          <cell r="J2557">
            <v>49.1</v>
          </cell>
          <cell r="K2557">
            <v>47.8</v>
          </cell>
          <cell r="L2557">
            <v>20.2</v>
          </cell>
          <cell r="M2557">
            <v>22.9</v>
          </cell>
        </row>
        <row r="2558">
          <cell r="C2558" t="str">
            <v>Pomina MBA T2 (phía 35kV)</v>
          </cell>
          <cell r="F2558">
            <v>-62.1</v>
          </cell>
          <cell r="H2558">
            <v>-52.4</v>
          </cell>
          <cell r="I2558">
            <v>-62.1</v>
          </cell>
          <cell r="J2558">
            <v>-50.2</v>
          </cell>
          <cell r="K2558">
            <v>-50.8</v>
          </cell>
          <cell r="L2558">
            <v>-20.3</v>
          </cell>
          <cell r="M2558">
            <v>-22.7</v>
          </cell>
        </row>
        <row r="2559">
          <cell r="C2559" t="str">
            <v>110kV 171 Pomina 2 - 171 Phú Mỹ</v>
          </cell>
          <cell r="F2559">
            <v>26.6</v>
          </cell>
          <cell r="H2559">
            <v>21.5</v>
          </cell>
          <cell r="I2559">
            <v>17.100000000000001</v>
          </cell>
          <cell r="J2559">
            <v>12.4</v>
          </cell>
          <cell r="K2559">
            <v>26.6</v>
          </cell>
          <cell r="L2559">
            <v>20.399999999999999</v>
          </cell>
          <cell r="M2559">
            <v>25.1</v>
          </cell>
        </row>
        <row r="2560">
          <cell r="C2560" t="str">
            <v>110kV 172 Pomina 2 - 176 Tân Thành</v>
          </cell>
          <cell r="F2560">
            <v>-31.8</v>
          </cell>
          <cell r="H2560">
            <v>-25.3</v>
          </cell>
          <cell r="I2560">
            <v>-18.2</v>
          </cell>
          <cell r="J2560">
            <v>-15.2</v>
          </cell>
          <cell r="K2560">
            <v>-31.8</v>
          </cell>
          <cell r="L2560">
            <v>-22.6</v>
          </cell>
          <cell r="M2560">
            <v>-31.2</v>
          </cell>
        </row>
        <row r="2561">
          <cell r="C2561" t="str">
            <v>Pomina 2 MBA T1 (phía 110kV)</v>
          </cell>
          <cell r="F2561">
            <v>9.8000000000000007</v>
          </cell>
          <cell r="H2561">
            <v>4</v>
          </cell>
          <cell r="I2561">
            <v>2.2000000000000002</v>
          </cell>
          <cell r="J2561">
            <v>3.9</v>
          </cell>
          <cell r="K2561">
            <v>8</v>
          </cell>
          <cell r="L2561">
            <v>6.3</v>
          </cell>
          <cell r="M2561">
            <v>9.8000000000000007</v>
          </cell>
        </row>
        <row r="2562">
          <cell r="C2562" t="str">
            <v>Pomina 2 MBA T1 (phía 22kV)</v>
          </cell>
          <cell r="F2562">
            <v>-9.4</v>
          </cell>
          <cell r="H2562">
            <v>-3.4</v>
          </cell>
          <cell r="I2562">
            <v>-1.6</v>
          </cell>
          <cell r="J2562">
            <v>-3.8</v>
          </cell>
          <cell r="K2562">
            <v>-8.4</v>
          </cell>
          <cell r="L2562">
            <v>-5.2</v>
          </cell>
          <cell r="M2562">
            <v>-9.4</v>
          </cell>
        </row>
        <row r="2563">
          <cell r="C2563" t="str">
            <v>110kV 171 Posco - 172 Tân Thành</v>
          </cell>
          <cell r="F2563">
            <v>-41.9</v>
          </cell>
          <cell r="H2563">
            <v>-39.6</v>
          </cell>
          <cell r="I2563">
            <v>-41.9</v>
          </cell>
          <cell r="J2563">
            <v>-26.8</v>
          </cell>
          <cell r="K2563">
            <v>-36.6</v>
          </cell>
          <cell r="L2563">
            <v>-34.799999999999997</v>
          </cell>
          <cell r="M2563">
            <v>-36.4</v>
          </cell>
        </row>
        <row r="2564">
          <cell r="C2564" t="str">
            <v>110kV 172 Posco - 173 Fuco</v>
          </cell>
          <cell r="F2564">
            <v>21.6</v>
          </cell>
          <cell r="H2564">
            <v>21</v>
          </cell>
          <cell r="I2564">
            <v>18.399999999999999</v>
          </cell>
          <cell r="J2564">
            <v>21.6</v>
          </cell>
          <cell r="K2564">
            <v>19.600000000000001</v>
          </cell>
          <cell r="L2564">
            <v>20.7</v>
          </cell>
          <cell r="M2564">
            <v>20.399999999999999</v>
          </cell>
        </row>
        <row r="2565">
          <cell r="C2565" t="str">
            <v>Posco MBA T1 (phía 110kV)</v>
          </cell>
          <cell r="F2565">
            <v>33.700000000000003</v>
          </cell>
          <cell r="H2565">
            <v>32.799999999999997</v>
          </cell>
          <cell r="I2565">
            <v>33.700000000000003</v>
          </cell>
          <cell r="J2565">
            <v>7.3</v>
          </cell>
          <cell r="K2565">
            <v>31.8</v>
          </cell>
          <cell r="L2565">
            <v>28.4</v>
          </cell>
          <cell r="M2565">
            <v>33.1</v>
          </cell>
        </row>
        <row r="2566">
          <cell r="C2566" t="str">
            <v>Posco MBA T1 (phía 22kV)</v>
          </cell>
          <cell r="F2566">
            <v>-34.1</v>
          </cell>
          <cell r="H2566">
            <v>-33</v>
          </cell>
          <cell r="I2566">
            <v>-34.1</v>
          </cell>
          <cell r="J2566">
            <v>-7.5</v>
          </cell>
          <cell r="K2566">
            <v>-32.200000000000003</v>
          </cell>
          <cell r="L2566">
            <v>-28.5</v>
          </cell>
          <cell r="M2566">
            <v>-33.5</v>
          </cell>
        </row>
        <row r="2567">
          <cell r="C2567" t="str">
            <v>110kV 171 Pos-Vina - 172 NMĐ Phú Mỹ 1</v>
          </cell>
          <cell r="F2567">
            <v>-65.599999999999994</v>
          </cell>
          <cell r="H2567">
            <v>-58.7</v>
          </cell>
          <cell r="I2567">
            <v>-65.599999999999994</v>
          </cell>
          <cell r="J2567">
            <v>-44.3</v>
          </cell>
          <cell r="K2567">
            <v>-55</v>
          </cell>
          <cell r="L2567">
            <v>-60.1</v>
          </cell>
          <cell r="M2567">
            <v>-57.9</v>
          </cell>
        </row>
        <row r="2568">
          <cell r="C2568" t="str">
            <v>110kV 172 Pos-Vina - 171 Linde Gas</v>
          </cell>
          <cell r="F2568">
            <v>-77.599999999999994</v>
          </cell>
          <cell r="H2568">
            <v>-77.599999999999994</v>
          </cell>
          <cell r="I2568">
            <v>-71.900000000000006</v>
          </cell>
          <cell r="J2568">
            <v>-52.2</v>
          </cell>
          <cell r="K2568">
            <v>-71.599999999999994</v>
          </cell>
          <cell r="L2568">
            <v>-66</v>
          </cell>
          <cell r="M2568">
            <v>-75</v>
          </cell>
        </row>
        <row r="2569">
          <cell r="C2569" t="str">
            <v>Pos-Vina MBA T1 (phía 110kV)</v>
          </cell>
          <cell r="F2569">
            <v>116.8</v>
          </cell>
          <cell r="H2569">
            <v>116.8</v>
          </cell>
          <cell r="I2569">
            <v>112.4</v>
          </cell>
          <cell r="J2569">
            <v>83.6</v>
          </cell>
          <cell r="K2569">
            <v>107.7</v>
          </cell>
          <cell r="L2569">
            <v>111.7</v>
          </cell>
          <cell r="M2569">
            <v>108.5</v>
          </cell>
        </row>
        <row r="2570">
          <cell r="C2570" t="str">
            <v>Pos-Vina MBA T2 (phía 110kV)</v>
          </cell>
          <cell r="F2570">
            <v>34.4</v>
          </cell>
          <cell r="H2570">
            <v>19.399999999999999</v>
          </cell>
          <cell r="I2570">
            <v>25.3</v>
          </cell>
          <cell r="J2570">
            <v>21.1</v>
          </cell>
          <cell r="K2570">
            <v>34.4</v>
          </cell>
          <cell r="L2570">
            <v>26.3</v>
          </cell>
          <cell r="M2570">
            <v>26.5</v>
          </cell>
        </row>
        <row r="2571">
          <cell r="C2571" t="str">
            <v>Pos-Vina MBA T1 (phía 35kV)</v>
          </cell>
          <cell r="F2571">
            <v>-94.5</v>
          </cell>
          <cell r="H2571">
            <v>-93.4</v>
          </cell>
          <cell r="I2571">
            <v>-94.5</v>
          </cell>
          <cell r="J2571">
            <v>-74.2</v>
          </cell>
          <cell r="K2571">
            <v>-86.3</v>
          </cell>
          <cell r="L2571">
            <v>-92.2</v>
          </cell>
          <cell r="M2571">
            <v>-89.6</v>
          </cell>
        </row>
        <row r="2572">
          <cell r="C2572" t="str">
            <v>Pos-Vina MBA T2 (phía 22kV)</v>
          </cell>
          <cell r="F2572">
            <v>-34.799999999999997</v>
          </cell>
          <cell r="H2572">
            <v>-19.5</v>
          </cell>
          <cell r="I2572">
            <v>-25.2</v>
          </cell>
          <cell r="J2572">
            <v>-24.4</v>
          </cell>
          <cell r="K2572">
            <v>-34.799999999999997</v>
          </cell>
          <cell r="L2572">
            <v>-25.8</v>
          </cell>
          <cell r="M2572">
            <v>-24.9</v>
          </cell>
        </row>
        <row r="2573">
          <cell r="C2573" t="str">
            <v>Pou Yuen MBA T1 (phía 110kV)</v>
          </cell>
          <cell r="F2573">
            <v>30.9</v>
          </cell>
          <cell r="H2573">
            <v>30.9</v>
          </cell>
          <cell r="I2573">
            <v>30.9</v>
          </cell>
          <cell r="J2573">
            <v>30.9</v>
          </cell>
          <cell r="K2573">
            <v>30.5</v>
          </cell>
          <cell r="L2573">
            <v>8.4</v>
          </cell>
          <cell r="M2573">
            <v>7.9</v>
          </cell>
        </row>
        <row r="2574">
          <cell r="C2574" t="str">
            <v>Pou Yuen MBA T2 (phía 110kV)</v>
          </cell>
          <cell r="F2574">
            <v>28.2</v>
          </cell>
          <cell r="H2574">
            <v>28.2</v>
          </cell>
          <cell r="I2574">
            <v>27.8</v>
          </cell>
          <cell r="J2574">
            <v>27.7</v>
          </cell>
          <cell r="K2574">
            <v>28</v>
          </cell>
          <cell r="L2574">
            <v>10.199999999999999</v>
          </cell>
          <cell r="M2574">
            <v>10</v>
          </cell>
        </row>
        <row r="2575">
          <cell r="C2575" t="str">
            <v>110kV 172 Pou Yuen - 177 Phú Lâm - 171 Bình Trị Đông</v>
          </cell>
          <cell r="F2575">
            <v>-28.1</v>
          </cell>
          <cell r="H2575">
            <v>-28.1</v>
          </cell>
          <cell r="I2575">
            <v>-27.9</v>
          </cell>
          <cell r="J2575">
            <v>-27.7</v>
          </cell>
          <cell r="K2575">
            <v>-28</v>
          </cell>
          <cell r="L2575">
            <v>-10.199999999999999</v>
          </cell>
          <cell r="M2575">
            <v>-10</v>
          </cell>
        </row>
        <row r="2576">
          <cell r="C2576" t="str">
            <v>Pou Yuen MBA T2 (phía 15kV)</v>
          </cell>
          <cell r="F2576">
            <v>-28.3</v>
          </cell>
          <cell r="H2576">
            <v>-28.2</v>
          </cell>
          <cell r="I2576">
            <v>-27.9</v>
          </cell>
          <cell r="J2576">
            <v>-27.9</v>
          </cell>
          <cell r="K2576">
            <v>-28.3</v>
          </cell>
          <cell r="L2576">
            <v>-10.199999999999999</v>
          </cell>
          <cell r="M2576">
            <v>-10.199999999999999</v>
          </cell>
        </row>
        <row r="2577">
          <cell r="C2577" t="str">
            <v>110kV 171 Pou Yuen - 171 Phú Lâm - 172 Tân Bình 2</v>
          </cell>
          <cell r="F2577">
            <v>-30.9</v>
          </cell>
          <cell r="H2577">
            <v>-30.9</v>
          </cell>
          <cell r="I2577">
            <v>-30.9</v>
          </cell>
          <cell r="J2577">
            <v>-30.8</v>
          </cell>
          <cell r="K2577">
            <v>-30.4</v>
          </cell>
          <cell r="L2577">
            <v>-8.1999999999999993</v>
          </cell>
          <cell r="M2577">
            <v>-8.1</v>
          </cell>
        </row>
        <row r="2578">
          <cell r="C2578" t="str">
            <v>Pou Yuen MBA T1 (phía 15kV)</v>
          </cell>
          <cell r="F2578">
            <v>-31.3</v>
          </cell>
          <cell r="H2578">
            <v>-31.3</v>
          </cell>
          <cell r="I2578">
            <v>-31.3</v>
          </cell>
          <cell r="J2578">
            <v>-31.2</v>
          </cell>
          <cell r="K2578">
            <v>-31.2</v>
          </cell>
          <cell r="L2578">
            <v>-8.5</v>
          </cell>
          <cell r="M2578">
            <v>-8</v>
          </cell>
        </row>
        <row r="2579">
          <cell r="C2579" t="str">
            <v>Quận 8 MBA AT1 (phía 220kV)</v>
          </cell>
          <cell r="F2579">
            <v>153.6</v>
          </cell>
          <cell r="H2579">
            <v>153.6</v>
          </cell>
          <cell r="I2579">
            <v>116.9</v>
          </cell>
          <cell r="J2579">
            <v>137.9</v>
          </cell>
          <cell r="K2579">
            <v>121.6</v>
          </cell>
          <cell r="L2579">
            <v>108.9</v>
          </cell>
          <cell r="M2579">
            <v>110.1</v>
          </cell>
        </row>
        <row r="2580">
          <cell r="C2580" t="str">
            <v>220kV 271 Quận 8 - 276 Bình Chánh</v>
          </cell>
          <cell r="F2580">
            <v>-155.5</v>
          </cell>
          <cell r="H2580">
            <v>-155.5</v>
          </cell>
          <cell r="I2580">
            <v>-118.3</v>
          </cell>
          <cell r="J2580">
            <v>-139.30000000000001</v>
          </cell>
          <cell r="K2580">
            <v>-122.8</v>
          </cell>
          <cell r="L2580">
            <v>-110.1</v>
          </cell>
          <cell r="M2580">
            <v>-111.2</v>
          </cell>
        </row>
        <row r="2581">
          <cell r="C2581" t="str">
            <v>220kV 272 Quận 8 - 277 Bình Chánh</v>
          </cell>
          <cell r="F2581">
            <v>-152.1</v>
          </cell>
          <cell r="H2581">
            <v>-152.1</v>
          </cell>
          <cell r="I2581">
            <v>-115.7</v>
          </cell>
          <cell r="J2581">
            <v>-136.80000000000001</v>
          </cell>
          <cell r="K2581">
            <v>-120.5</v>
          </cell>
          <cell r="L2581">
            <v>-108</v>
          </cell>
          <cell r="M2581">
            <v>-109.2</v>
          </cell>
        </row>
        <row r="2582">
          <cell r="C2582" t="str">
            <v>Quận 8 MBA AT2 (phía 220kV)</v>
          </cell>
          <cell r="F2582">
            <v>154.19999999999999</v>
          </cell>
          <cell r="H2582">
            <v>154.19999999999999</v>
          </cell>
          <cell r="I2582">
            <v>117.2</v>
          </cell>
          <cell r="J2582">
            <v>138.5</v>
          </cell>
          <cell r="K2582">
            <v>122.1</v>
          </cell>
          <cell r="L2582">
            <v>109.6</v>
          </cell>
          <cell r="M2582">
            <v>110.6</v>
          </cell>
        </row>
        <row r="2583">
          <cell r="C2583" t="str">
            <v>Quận 8 MBA AT1 (phía 110kV)</v>
          </cell>
          <cell r="F2583">
            <v>-152.69999999999999</v>
          </cell>
          <cell r="H2583">
            <v>-152.69999999999999</v>
          </cell>
          <cell r="I2583">
            <v>-116.2</v>
          </cell>
          <cell r="J2583">
            <v>-137.19999999999999</v>
          </cell>
          <cell r="K2583">
            <v>-120.8</v>
          </cell>
          <cell r="L2583">
            <v>-108.3</v>
          </cell>
          <cell r="M2583">
            <v>-109.5</v>
          </cell>
        </row>
        <row r="2584">
          <cell r="C2584" t="str">
            <v>110kV 171 Quận 8 - 174 Phú Định</v>
          </cell>
          <cell r="F2584">
            <v>-21.3</v>
          </cell>
          <cell r="H2584">
            <v>-15.1</v>
          </cell>
          <cell r="I2584">
            <v>7.1</v>
          </cell>
          <cell r="J2584">
            <v>-8.9</v>
          </cell>
          <cell r="K2584">
            <v>7</v>
          </cell>
          <cell r="L2584">
            <v>-12.5</v>
          </cell>
          <cell r="M2584">
            <v>-21.3</v>
          </cell>
        </row>
        <row r="2585">
          <cell r="C2585" t="str">
            <v>110kV 172 Quận 8 - 171 Chợ Quán</v>
          </cell>
          <cell r="F2585">
            <v>28</v>
          </cell>
          <cell r="H2585">
            <v>25</v>
          </cell>
          <cell r="I2585">
            <v>19.2</v>
          </cell>
          <cell r="J2585">
            <v>21.2</v>
          </cell>
          <cell r="K2585">
            <v>19</v>
          </cell>
          <cell r="L2585">
            <v>28</v>
          </cell>
          <cell r="M2585">
            <v>16.3</v>
          </cell>
        </row>
        <row r="2586">
          <cell r="C2586" t="str">
            <v>110kV 173 Quận 8 - 171 Hùng Vương</v>
          </cell>
          <cell r="F2586">
            <v>65.900000000000006</v>
          </cell>
          <cell r="H2586">
            <v>65.900000000000006</v>
          </cell>
          <cell r="I2586">
            <v>53.4</v>
          </cell>
          <cell r="J2586">
            <v>57.1</v>
          </cell>
          <cell r="K2586">
            <v>54.1</v>
          </cell>
          <cell r="L2586">
            <v>43.5</v>
          </cell>
          <cell r="M2586">
            <v>41.4</v>
          </cell>
        </row>
        <row r="2587">
          <cell r="C2587" t="str">
            <v>Quận 8 MBA T4 (phía 110kV)</v>
          </cell>
          <cell r="F2587">
            <v>29.8</v>
          </cell>
          <cell r="H2587">
            <v>29.8</v>
          </cell>
          <cell r="I2587">
            <v>28.6</v>
          </cell>
          <cell r="J2587">
            <v>27.4</v>
          </cell>
          <cell r="K2587">
            <v>25.2</v>
          </cell>
          <cell r="L2587">
            <v>26.3</v>
          </cell>
          <cell r="M2587">
            <v>23.1</v>
          </cell>
        </row>
        <row r="2588">
          <cell r="C2588" t="str">
            <v>110kV 174 Quận 8 - 174 Bến Thành</v>
          </cell>
          <cell r="F2588">
            <v>46.9</v>
          </cell>
          <cell r="H2588">
            <v>46.9</v>
          </cell>
          <cell r="I2588">
            <v>37.5</v>
          </cell>
          <cell r="J2588">
            <v>35.4</v>
          </cell>
          <cell r="K2588">
            <v>32.700000000000003</v>
          </cell>
          <cell r="L2588">
            <v>23.5</v>
          </cell>
          <cell r="M2588">
            <v>22.9</v>
          </cell>
        </row>
        <row r="2589">
          <cell r="C2589" t="str">
            <v>110kV 175 Quận 8 - 172 Chợ Quán</v>
          </cell>
          <cell r="F2589">
            <v>20.8</v>
          </cell>
          <cell r="H2589">
            <v>20.8</v>
          </cell>
          <cell r="I2589">
            <v>15.5</v>
          </cell>
          <cell r="J2589">
            <v>17.8</v>
          </cell>
          <cell r="K2589">
            <v>16</v>
          </cell>
          <cell r="L2589">
            <v>13.7</v>
          </cell>
          <cell r="M2589">
            <v>14.1</v>
          </cell>
        </row>
        <row r="2590">
          <cell r="C2590" t="str">
            <v>Quận 8 MBA AT2 (phía 110kV)</v>
          </cell>
          <cell r="F2590">
            <v>-153.30000000000001</v>
          </cell>
          <cell r="H2590">
            <v>-153.30000000000001</v>
          </cell>
          <cell r="I2590">
            <v>-116.8</v>
          </cell>
          <cell r="J2590">
            <v>-137.69999999999999</v>
          </cell>
          <cell r="K2590">
            <v>-121.3</v>
          </cell>
          <cell r="L2590">
            <v>-109</v>
          </cell>
          <cell r="M2590">
            <v>-110.1</v>
          </cell>
        </row>
        <row r="2591">
          <cell r="C2591" t="str">
            <v>Quận 8 MBA T5 (phía 110kV)</v>
          </cell>
          <cell r="F2591">
            <v>25.3</v>
          </cell>
          <cell r="H2591">
            <v>24.2</v>
          </cell>
          <cell r="I2591">
            <v>25.3</v>
          </cell>
          <cell r="J2591">
            <v>22.3</v>
          </cell>
          <cell r="K2591">
            <v>20.5</v>
          </cell>
          <cell r="L2591">
            <v>19.7</v>
          </cell>
          <cell r="M2591">
            <v>25.2</v>
          </cell>
        </row>
        <row r="2592">
          <cell r="C2592" t="str">
            <v>110kV 176 Quận 8 - 172 Chánh Hưng</v>
          </cell>
          <cell r="F2592">
            <v>100.8</v>
          </cell>
          <cell r="H2592">
            <v>100.8</v>
          </cell>
          <cell r="I2592">
            <v>67.7</v>
          </cell>
          <cell r="J2592">
            <v>88.6</v>
          </cell>
          <cell r="K2592">
            <v>82.6</v>
          </cell>
          <cell r="L2592">
            <v>77.900000000000006</v>
          </cell>
          <cell r="M2592">
            <v>88.8</v>
          </cell>
        </row>
        <row r="2593">
          <cell r="C2593" t="str">
            <v>Quận 8 MBA T4 (phía 22kV)</v>
          </cell>
          <cell r="F2593">
            <v>-29.7</v>
          </cell>
          <cell r="H2593">
            <v>-29.7</v>
          </cell>
          <cell r="I2593">
            <v>-28.5</v>
          </cell>
          <cell r="J2593">
            <v>-27.3</v>
          </cell>
          <cell r="K2593">
            <v>-25</v>
          </cell>
          <cell r="L2593">
            <v>-26.2</v>
          </cell>
          <cell r="M2593">
            <v>-22.9</v>
          </cell>
        </row>
        <row r="2594">
          <cell r="C2594" t="str">
            <v>Quận 8 MBA T5 (phía 22kV)</v>
          </cell>
          <cell r="F2594">
            <v>-25.1</v>
          </cell>
          <cell r="H2594">
            <v>-24.2</v>
          </cell>
          <cell r="I2594">
            <v>-25.1</v>
          </cell>
          <cell r="J2594">
            <v>-22.2</v>
          </cell>
          <cell r="K2594">
            <v>-20.399999999999999</v>
          </cell>
          <cell r="L2594">
            <v>-19.7</v>
          </cell>
          <cell r="M2594">
            <v>-25</v>
          </cell>
        </row>
        <row r="2595">
          <cell r="C2595" t="str">
            <v>220kV 272 Quán Thẻ - 231 NMĐ MT Bim 3</v>
          </cell>
          <cell r="F2595">
            <v>-40.6</v>
          </cell>
          <cell r="H2595">
            <v>-38.799999999999997</v>
          </cell>
          <cell r="I2595">
            <v>-19.8</v>
          </cell>
          <cell r="J2595">
            <v>-37</v>
          </cell>
          <cell r="K2595">
            <v>-39.700000000000003</v>
          </cell>
          <cell r="L2595">
            <v>-31</v>
          </cell>
          <cell r="M2595">
            <v>-40.6</v>
          </cell>
        </row>
        <row r="2596">
          <cell r="C2596" t="str">
            <v>220kV 275 Quán Thẻ - 271 NMĐ MT Bim 2</v>
          </cell>
          <cell r="F2596">
            <v>-236.6</v>
          </cell>
          <cell r="H2596">
            <v>-236.6</v>
          </cell>
          <cell r="I2596">
            <v>-160.6</v>
          </cell>
          <cell r="J2596">
            <v>-232.8</v>
          </cell>
          <cell r="K2596">
            <v>-225.9</v>
          </cell>
          <cell r="L2596">
            <v>-201.7</v>
          </cell>
          <cell r="M2596">
            <v>-189.2</v>
          </cell>
        </row>
        <row r="2597">
          <cell r="C2597" t="str">
            <v>220kV 273 Quán Thẻ - 271 Vĩnh Tân</v>
          </cell>
          <cell r="F2597">
            <v>308.89999999999998</v>
          </cell>
          <cell r="H2597">
            <v>308.89999999999998</v>
          </cell>
          <cell r="I2597">
            <v>222.6</v>
          </cell>
          <cell r="J2597">
            <v>307</v>
          </cell>
          <cell r="K2597">
            <v>276.10000000000002</v>
          </cell>
          <cell r="L2597">
            <v>272.10000000000002</v>
          </cell>
          <cell r="M2597">
            <v>271.2</v>
          </cell>
        </row>
        <row r="2598">
          <cell r="C2598" t="str">
            <v>220kV 274 Quán Thẻ - 274 Thuận Nam 500</v>
          </cell>
          <cell r="F2598">
            <v>179.7</v>
          </cell>
          <cell r="H2598">
            <v>142</v>
          </cell>
          <cell r="I2598">
            <v>136.80000000000001</v>
          </cell>
          <cell r="J2598">
            <v>174.8</v>
          </cell>
          <cell r="K2598">
            <v>179.7</v>
          </cell>
          <cell r="L2598">
            <v>173.6</v>
          </cell>
          <cell r="M2598">
            <v>113.9</v>
          </cell>
        </row>
        <row r="2599">
          <cell r="C2599" t="str">
            <v>Rạch Chanh MBA T1 (phía 110kV)</v>
          </cell>
          <cell r="F2599">
            <v>39.200000000000003</v>
          </cell>
          <cell r="H2599">
            <v>36.9</v>
          </cell>
          <cell r="I2599">
            <v>36.5</v>
          </cell>
          <cell r="J2599">
            <v>39.200000000000003</v>
          </cell>
          <cell r="K2599">
            <v>38</v>
          </cell>
          <cell r="L2599">
            <v>28.3</v>
          </cell>
          <cell r="M2599">
            <v>23.6</v>
          </cell>
        </row>
        <row r="2600">
          <cell r="C2600" t="str">
            <v>Rạch Chanh MBA T2 (phía 110kV)</v>
          </cell>
          <cell r="F2600">
            <v>46.5</v>
          </cell>
          <cell r="H2600">
            <v>46.5</v>
          </cell>
          <cell r="I2600">
            <v>45.3</v>
          </cell>
          <cell r="J2600">
            <v>46.3</v>
          </cell>
          <cell r="K2600">
            <v>43.9</v>
          </cell>
          <cell r="L2600">
            <v>42.1</v>
          </cell>
          <cell r="M2600">
            <v>41</v>
          </cell>
        </row>
        <row r="2601">
          <cell r="C2601" t="str">
            <v>Rạch Chanh MBA T1 (phía 22kV)</v>
          </cell>
          <cell r="F2601">
            <v>-39.1</v>
          </cell>
          <cell r="H2601">
            <v>-36.6</v>
          </cell>
          <cell r="I2601">
            <v>-36.6</v>
          </cell>
          <cell r="J2601">
            <v>-39.1</v>
          </cell>
          <cell r="K2601">
            <v>-37.9</v>
          </cell>
          <cell r="L2601">
            <v>-28.4</v>
          </cell>
          <cell r="M2601">
            <v>-23.6</v>
          </cell>
        </row>
        <row r="2602">
          <cell r="C2602" t="str">
            <v>Rạch Chanh MBA T2 (phía 22kV)</v>
          </cell>
          <cell r="F2602">
            <v>-46.4</v>
          </cell>
          <cell r="H2602">
            <v>-46.4</v>
          </cell>
          <cell r="I2602">
            <v>-45.1</v>
          </cell>
          <cell r="J2602">
            <v>-46.2</v>
          </cell>
          <cell r="K2602">
            <v>-43.7</v>
          </cell>
          <cell r="L2602">
            <v>-42.1</v>
          </cell>
          <cell r="M2602">
            <v>-40.9</v>
          </cell>
        </row>
        <row r="2603">
          <cell r="C2603" t="str">
            <v>110kV 171 Rạch Chanh - 175 Long An 2</v>
          </cell>
          <cell r="F2603">
            <v>-87.5</v>
          </cell>
          <cell r="H2603">
            <v>-87.5</v>
          </cell>
          <cell r="I2603">
            <v>-84.7</v>
          </cell>
          <cell r="J2603">
            <v>-85.6</v>
          </cell>
          <cell r="K2603">
            <v>-82</v>
          </cell>
          <cell r="L2603">
            <v>-74.599999999999994</v>
          </cell>
          <cell r="M2603">
            <v>-68.599999999999994</v>
          </cell>
        </row>
        <row r="2604">
          <cell r="C2604" t="str">
            <v>110kV 172 Rạch Chanh - 172 Bến Lức - 171 Ching Luh - 173 KCN Vĩnh Lộc 2</v>
          </cell>
          <cell r="E2604">
            <v>0</v>
          </cell>
          <cell r="F2604">
            <v>0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</row>
        <row r="2605">
          <cell r="C2605" t="str">
            <v>110kV 173 Rạch Chanh - 131 XM Long An</v>
          </cell>
          <cell r="E2605">
            <v>0</v>
          </cell>
          <cell r="F2605">
            <v>5.0999999999999996</v>
          </cell>
          <cell r="H2605">
            <v>5</v>
          </cell>
          <cell r="I2605">
            <v>5.0999999999999996</v>
          </cell>
          <cell r="J2605">
            <v>5</v>
          </cell>
          <cell r="K2605">
            <v>0</v>
          </cell>
          <cell r="L2605">
            <v>5.0999999999999996</v>
          </cell>
          <cell r="M2605">
            <v>5</v>
          </cell>
        </row>
        <row r="2606">
          <cell r="C2606" t="str">
            <v>110kV 171 Rạch Giá - 171 Hòn Đất</v>
          </cell>
          <cell r="F2606">
            <v>19</v>
          </cell>
          <cell r="H2606">
            <v>16.3</v>
          </cell>
          <cell r="I2606">
            <v>15.1</v>
          </cell>
          <cell r="J2606">
            <v>19</v>
          </cell>
          <cell r="K2606">
            <v>-16.5</v>
          </cell>
          <cell r="L2606">
            <v>16.899999999999999</v>
          </cell>
          <cell r="M2606">
            <v>14.9</v>
          </cell>
        </row>
        <row r="2607">
          <cell r="C2607" t="str">
            <v>110kV 172 Rạch Giá - 172 Rạch Giá 2</v>
          </cell>
          <cell r="F2607">
            <v>-83.4</v>
          </cell>
          <cell r="H2607">
            <v>-71.8</v>
          </cell>
          <cell r="I2607">
            <v>-62.7</v>
          </cell>
          <cell r="J2607">
            <v>-83.4</v>
          </cell>
          <cell r="K2607">
            <v>-61.6</v>
          </cell>
          <cell r="L2607">
            <v>-75.5</v>
          </cell>
          <cell r="M2607">
            <v>-64.5</v>
          </cell>
        </row>
        <row r="2608">
          <cell r="C2608" t="str">
            <v>Rạch Giá MBA T1 (phía 110kV)</v>
          </cell>
          <cell r="F2608">
            <v>33.200000000000003</v>
          </cell>
          <cell r="H2608">
            <v>29.4</v>
          </cell>
          <cell r="I2608">
            <v>25</v>
          </cell>
          <cell r="J2608">
            <v>33.200000000000003</v>
          </cell>
          <cell r="K2608">
            <v>24.7</v>
          </cell>
          <cell r="L2608">
            <v>30.4</v>
          </cell>
          <cell r="M2608">
            <v>25.7</v>
          </cell>
        </row>
        <row r="2609">
          <cell r="C2609" t="str">
            <v>Rạch Giá MBA T2 (phía 110kV)</v>
          </cell>
          <cell r="E2609">
            <v>0</v>
          </cell>
          <cell r="F2609">
            <v>0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</row>
        <row r="2610">
          <cell r="C2610" t="str">
            <v>Rạch Giá MBA T1 (phía 22kV)</v>
          </cell>
          <cell r="F2610">
            <v>-33.200000000000003</v>
          </cell>
          <cell r="H2610">
            <v>-29.5</v>
          </cell>
          <cell r="I2610">
            <v>-25.2</v>
          </cell>
          <cell r="J2610">
            <v>-33.200000000000003</v>
          </cell>
          <cell r="K2610">
            <v>-24.8</v>
          </cell>
          <cell r="L2610">
            <v>-30.5</v>
          </cell>
          <cell r="M2610">
            <v>-25.8</v>
          </cell>
        </row>
        <row r="2611">
          <cell r="C2611" t="str">
            <v>Rạch Giá MBA T2 (phía 22kV)</v>
          </cell>
          <cell r="F2611">
            <v>-31.3</v>
          </cell>
          <cell r="H2611">
            <v>-26.5</v>
          </cell>
          <cell r="I2611">
            <v>-23.1</v>
          </cell>
          <cell r="J2611">
            <v>-31.3</v>
          </cell>
          <cell r="K2611">
            <v>-22.6</v>
          </cell>
          <cell r="L2611">
            <v>-28.6</v>
          </cell>
          <cell r="M2611">
            <v>-24.4</v>
          </cell>
        </row>
        <row r="2612">
          <cell r="C2612" t="str">
            <v>220kV 271 Rạch Giá 2 - 273 Thốt Nốt 2</v>
          </cell>
          <cell r="F2612">
            <v>-163.30000000000001</v>
          </cell>
          <cell r="H2612">
            <v>-60</v>
          </cell>
          <cell r="I2612">
            <v>-80</v>
          </cell>
          <cell r="J2612">
            <v>-79.5</v>
          </cell>
          <cell r="K2612">
            <v>-82.4</v>
          </cell>
          <cell r="L2612">
            <v>-101.1</v>
          </cell>
          <cell r="M2612">
            <v>-163.30000000000001</v>
          </cell>
        </row>
        <row r="2613">
          <cell r="C2613" t="str">
            <v>220kV 272 Rạch Giá 2 - 279 NMĐ Ô Môn</v>
          </cell>
          <cell r="F2613">
            <v>-195</v>
          </cell>
          <cell r="H2613">
            <v>-104.5</v>
          </cell>
          <cell r="I2613">
            <v>-119.8</v>
          </cell>
          <cell r="J2613">
            <v>-128.69999999999999</v>
          </cell>
          <cell r="K2613">
            <v>-123.7</v>
          </cell>
          <cell r="L2613">
            <v>-135.69999999999999</v>
          </cell>
          <cell r="M2613">
            <v>-195</v>
          </cell>
        </row>
        <row r="2614">
          <cell r="C2614" t="str">
            <v>220kV 273 Rạch Giá 2 - 273 NMĐ Cà Mau</v>
          </cell>
          <cell r="F2614">
            <v>-93.5</v>
          </cell>
          <cell r="H2614">
            <v>-89.3</v>
          </cell>
          <cell r="I2614">
            <v>-92</v>
          </cell>
          <cell r="J2614">
            <v>-78</v>
          </cell>
          <cell r="K2614">
            <v>-93.5</v>
          </cell>
          <cell r="L2614">
            <v>-62.4</v>
          </cell>
          <cell r="M2614">
            <v>-39.9</v>
          </cell>
        </row>
        <row r="2615">
          <cell r="C2615" t="str">
            <v>Rạch Giá 2 MBA AT1 (phía 220kV)</v>
          </cell>
          <cell r="F2615">
            <v>157.6</v>
          </cell>
          <cell r="H2615">
            <v>141</v>
          </cell>
          <cell r="I2615">
            <v>124.2</v>
          </cell>
          <cell r="J2615">
            <v>157.6</v>
          </cell>
          <cell r="K2615">
            <v>127.7</v>
          </cell>
          <cell r="L2615">
            <v>144.4</v>
          </cell>
          <cell r="M2615">
            <v>138.5</v>
          </cell>
        </row>
        <row r="2616">
          <cell r="C2616" t="str">
            <v>110kV 172 Rạch Giá 2 - 172 Rạch Giá</v>
          </cell>
          <cell r="F2616">
            <v>84</v>
          </cell>
          <cell r="H2616">
            <v>72.599999999999994</v>
          </cell>
          <cell r="I2616">
            <v>62.9</v>
          </cell>
          <cell r="J2616">
            <v>84</v>
          </cell>
          <cell r="K2616">
            <v>61.5</v>
          </cell>
          <cell r="L2616">
            <v>76.3</v>
          </cell>
          <cell r="M2616">
            <v>64.5</v>
          </cell>
        </row>
        <row r="2617">
          <cell r="C2617" t="str">
            <v>110kV 173 Rạch Giá 2 - 172 Minh Phong</v>
          </cell>
          <cell r="F2617">
            <v>90</v>
          </cell>
          <cell r="H2617">
            <v>85.4</v>
          </cell>
          <cell r="I2617">
            <v>71.8</v>
          </cell>
          <cell r="J2617">
            <v>90</v>
          </cell>
          <cell r="K2617">
            <v>76.599999999999994</v>
          </cell>
          <cell r="L2617">
            <v>82.5</v>
          </cell>
          <cell r="M2617">
            <v>82.8</v>
          </cell>
        </row>
        <row r="2618">
          <cell r="C2618" t="str">
            <v>110kV 174 Rạch Giá 2 - 171 Giồng Riềng</v>
          </cell>
          <cell r="F2618">
            <v>60.9</v>
          </cell>
          <cell r="H2618">
            <v>55.9</v>
          </cell>
          <cell r="I2618">
            <v>50.1</v>
          </cell>
          <cell r="J2618">
            <v>60.9</v>
          </cell>
          <cell r="K2618">
            <v>51.2</v>
          </cell>
          <cell r="L2618">
            <v>55.9</v>
          </cell>
          <cell r="M2618">
            <v>52.7</v>
          </cell>
        </row>
        <row r="2619">
          <cell r="C2619" t="str">
            <v>110kV 175 Rạch Giá 2 - 172 Thạnh Đông</v>
          </cell>
          <cell r="F2619">
            <v>34</v>
          </cell>
          <cell r="H2619">
            <v>30.4</v>
          </cell>
          <cell r="I2619">
            <v>27</v>
          </cell>
          <cell r="J2619">
            <v>34</v>
          </cell>
          <cell r="K2619">
            <v>26.2</v>
          </cell>
          <cell r="L2619">
            <v>29.9</v>
          </cell>
          <cell r="M2619">
            <v>30.6</v>
          </cell>
        </row>
        <row r="2620">
          <cell r="C2620" t="str">
            <v>110kV 176 Rạch Giá 2 - 173 Thạnh Đông</v>
          </cell>
          <cell r="F2620">
            <v>34.5</v>
          </cell>
          <cell r="H2620">
            <v>31.2</v>
          </cell>
          <cell r="I2620">
            <v>27.7</v>
          </cell>
          <cell r="J2620">
            <v>34.5</v>
          </cell>
          <cell r="K2620">
            <v>26.8</v>
          </cell>
          <cell r="L2620">
            <v>30.7</v>
          </cell>
          <cell r="M2620">
            <v>31.3</v>
          </cell>
        </row>
        <row r="2621">
          <cell r="C2621" t="str">
            <v>Rạch Giá 2 MBA AT2 (phía 220kV)</v>
          </cell>
          <cell r="F2621">
            <v>164.6</v>
          </cell>
          <cell r="H2621">
            <v>140.4</v>
          </cell>
          <cell r="I2621">
            <v>124.4</v>
          </cell>
          <cell r="J2621">
            <v>164.6</v>
          </cell>
          <cell r="K2621">
            <v>123.7</v>
          </cell>
          <cell r="L2621">
            <v>144.19999999999999</v>
          </cell>
          <cell r="M2621">
            <v>141.30000000000001</v>
          </cell>
        </row>
        <row r="2622">
          <cell r="C2622" t="str">
            <v>Rạch Giá 2 MBA AT2 (phía 110kV)</v>
          </cell>
          <cell r="F2622">
            <v>-163.6</v>
          </cell>
          <cell r="H2622">
            <v>-141</v>
          </cell>
          <cell r="I2622">
            <v>-124.6</v>
          </cell>
          <cell r="J2622">
            <v>-163.6</v>
          </cell>
          <cell r="K2622">
            <v>-123.3</v>
          </cell>
          <cell r="L2622">
            <v>-144.19999999999999</v>
          </cell>
          <cell r="M2622">
            <v>-141.1</v>
          </cell>
        </row>
        <row r="2623">
          <cell r="C2623" t="str">
            <v>220kV 274 Rạch Giá 2 - 273 Kiên Bình</v>
          </cell>
          <cell r="F2623">
            <v>193.4</v>
          </cell>
          <cell r="H2623">
            <v>155.4</v>
          </cell>
          <cell r="I2623">
            <v>165.1</v>
          </cell>
          <cell r="J2623">
            <v>193.4</v>
          </cell>
          <cell r="K2623">
            <v>176.1</v>
          </cell>
          <cell r="L2623">
            <v>167.8</v>
          </cell>
          <cell r="M2623">
            <v>122.7</v>
          </cell>
        </row>
        <row r="2624">
          <cell r="C2624" t="str">
            <v>220kV 276 Rạch Giá 2 - 286 NMĐ Cà Mau</v>
          </cell>
          <cell r="F2624">
            <v>-156.30000000000001</v>
          </cell>
          <cell r="H2624">
            <v>-150.30000000000001</v>
          </cell>
          <cell r="I2624">
            <v>-153.4</v>
          </cell>
          <cell r="J2624">
            <v>-128.1</v>
          </cell>
          <cell r="K2624">
            <v>-156.30000000000001</v>
          </cell>
          <cell r="L2624">
            <v>-102.9</v>
          </cell>
          <cell r="M2624">
            <v>-65.599999999999994</v>
          </cell>
        </row>
        <row r="2625">
          <cell r="C2625" t="str">
            <v>220kV 277 Rạch Giá 2 - 276 NMĐ Cà Mau</v>
          </cell>
          <cell r="F2625">
            <v>-156.19999999999999</v>
          </cell>
          <cell r="H2625">
            <v>-151.5</v>
          </cell>
          <cell r="I2625">
            <v>-153.5</v>
          </cell>
          <cell r="J2625">
            <v>-128.4</v>
          </cell>
          <cell r="K2625">
            <v>-156.19999999999999</v>
          </cell>
          <cell r="L2625">
            <v>-103.2</v>
          </cell>
          <cell r="M2625">
            <v>-65.900000000000006</v>
          </cell>
        </row>
        <row r="2626">
          <cell r="C2626" t="str">
            <v>110kV 171 Rạch Giá 2 - 171 Chung Sư</v>
          </cell>
          <cell r="F2626">
            <v>22.3</v>
          </cell>
          <cell r="H2626">
            <v>21.6</v>
          </cell>
          <cell r="I2626">
            <v>22.3</v>
          </cell>
          <cell r="J2626">
            <v>20.3</v>
          </cell>
          <cell r="K2626">
            <v>19.2</v>
          </cell>
          <cell r="L2626">
            <v>17.600000000000001</v>
          </cell>
          <cell r="M2626">
            <v>18.3</v>
          </cell>
        </row>
        <row r="2627">
          <cell r="C2627" t="str">
            <v>Rạch Giá 2 MBA AT1 (phía 110kV)</v>
          </cell>
          <cell r="F2627">
            <v>-156.9</v>
          </cell>
          <cell r="H2627">
            <v>-139.4</v>
          </cell>
          <cell r="I2627">
            <v>-124.4</v>
          </cell>
          <cell r="J2627">
            <v>-156.9</v>
          </cell>
          <cell r="K2627">
            <v>-127.2</v>
          </cell>
          <cell r="L2627">
            <v>-143.80000000000001</v>
          </cell>
          <cell r="M2627">
            <v>-138</v>
          </cell>
        </row>
        <row r="2628">
          <cell r="C2628" t="str">
            <v>110kV 171 Sa Đéc - 171 Sa Đéc 2</v>
          </cell>
          <cell r="F2628">
            <v>-17.899999999999999</v>
          </cell>
          <cell r="H2628">
            <v>-15.7</v>
          </cell>
          <cell r="I2628">
            <v>-12.8</v>
          </cell>
          <cell r="J2628">
            <v>-17.899999999999999</v>
          </cell>
          <cell r="K2628">
            <v>-15.3</v>
          </cell>
          <cell r="L2628">
            <v>-13.4</v>
          </cell>
          <cell r="M2628">
            <v>-14.5</v>
          </cell>
        </row>
        <row r="2629">
          <cell r="C2629" t="str">
            <v>Sa Đéc MBA T1 (phía 110kV)</v>
          </cell>
          <cell r="F2629">
            <v>16.600000000000001</v>
          </cell>
          <cell r="H2629">
            <v>14.6</v>
          </cell>
          <cell r="I2629">
            <v>11.8</v>
          </cell>
          <cell r="J2629">
            <v>16.600000000000001</v>
          </cell>
          <cell r="K2629">
            <v>14.9</v>
          </cell>
          <cell r="L2629">
            <v>13.1</v>
          </cell>
          <cell r="M2629">
            <v>13.8</v>
          </cell>
        </row>
        <row r="2630">
          <cell r="C2630" t="str">
            <v>Sa Đéc MBA T1 (phía 22kV)</v>
          </cell>
          <cell r="F2630">
            <v>-16.600000000000001</v>
          </cell>
          <cell r="H2630">
            <v>-14.6</v>
          </cell>
          <cell r="I2630">
            <v>-11.8</v>
          </cell>
          <cell r="J2630">
            <v>-16.600000000000001</v>
          </cell>
          <cell r="K2630">
            <v>-14.9</v>
          </cell>
          <cell r="L2630">
            <v>-13.2</v>
          </cell>
          <cell r="M2630">
            <v>-13.7</v>
          </cell>
        </row>
        <row r="2631">
          <cell r="C2631" t="str">
            <v>110kV 172 Sa Đéc - 171 Nha Mân</v>
          </cell>
          <cell r="E2631">
            <v>0</v>
          </cell>
          <cell r="F2631">
            <v>0</v>
          </cell>
          <cell r="H2631">
            <v>0</v>
          </cell>
          <cell r="I2631">
            <v>0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</row>
        <row r="2632">
          <cell r="C2632" t="str">
            <v>Sa Đéc MBA T2 (phía 110kV)</v>
          </cell>
          <cell r="F2632">
            <v>17.600000000000001</v>
          </cell>
          <cell r="H2632">
            <v>14.4</v>
          </cell>
          <cell r="I2632">
            <v>12.6</v>
          </cell>
          <cell r="J2632">
            <v>17.600000000000001</v>
          </cell>
          <cell r="K2632">
            <v>14.2</v>
          </cell>
          <cell r="L2632">
            <v>14</v>
          </cell>
          <cell r="M2632">
            <v>14.1</v>
          </cell>
        </row>
        <row r="2633">
          <cell r="C2633" t="str">
            <v>Sa Đéc MBA T2 (phía 22kV)</v>
          </cell>
          <cell r="F2633">
            <v>-17.5</v>
          </cell>
          <cell r="H2633">
            <v>-14.3</v>
          </cell>
          <cell r="I2633">
            <v>-12.5</v>
          </cell>
          <cell r="J2633">
            <v>-17.5</v>
          </cell>
          <cell r="K2633">
            <v>-14.2</v>
          </cell>
          <cell r="L2633">
            <v>-14</v>
          </cell>
          <cell r="M2633">
            <v>-14.1</v>
          </cell>
        </row>
        <row r="2634">
          <cell r="C2634" t="str">
            <v>110kV 173 Sa Đéc - 172 Sa Đéc 2</v>
          </cell>
          <cell r="F2634">
            <v>-16.2</v>
          </cell>
          <cell r="H2634">
            <v>-13.2</v>
          </cell>
          <cell r="I2634">
            <v>-10.5</v>
          </cell>
          <cell r="J2634">
            <v>-16.2</v>
          </cell>
          <cell r="K2634">
            <v>-13.8</v>
          </cell>
          <cell r="L2634">
            <v>-12.2</v>
          </cell>
          <cell r="M2634">
            <v>-13.4</v>
          </cell>
        </row>
        <row r="2635">
          <cell r="C2635" t="str">
            <v>220kV 271 Sa Đéc 2 - 274 Vĩnh Long 2</v>
          </cell>
          <cell r="F2635">
            <v>-254.4</v>
          </cell>
          <cell r="H2635">
            <v>-223.8</v>
          </cell>
          <cell r="I2635">
            <v>-217.6</v>
          </cell>
          <cell r="J2635">
            <v>-229.2</v>
          </cell>
          <cell r="K2635">
            <v>-182.8</v>
          </cell>
          <cell r="L2635">
            <v>-188.8</v>
          </cell>
          <cell r="M2635">
            <v>-254.4</v>
          </cell>
        </row>
        <row r="2636">
          <cell r="C2636" t="str">
            <v>220kV 272 Sa Đéc 2 - 288 NMĐ Ô Môn</v>
          </cell>
          <cell r="F2636">
            <v>153.5</v>
          </cell>
          <cell r="H2636">
            <v>98.3</v>
          </cell>
          <cell r="I2636">
            <v>69.7</v>
          </cell>
          <cell r="J2636">
            <v>94.2</v>
          </cell>
          <cell r="K2636">
            <v>72.900000000000006</v>
          </cell>
          <cell r="L2636">
            <v>97.5</v>
          </cell>
          <cell r="M2636">
            <v>153.5</v>
          </cell>
        </row>
        <row r="2637">
          <cell r="C2637" t="str">
            <v>Sa Đéc 2 MBA AT1 (phía 220kV)</v>
          </cell>
          <cell r="F2637">
            <v>156.80000000000001</v>
          </cell>
          <cell r="H2637">
            <v>146.9</v>
          </cell>
          <cell r="I2637">
            <v>156.80000000000001</v>
          </cell>
          <cell r="J2637">
            <v>155.69999999999999</v>
          </cell>
          <cell r="K2637">
            <v>130.4</v>
          </cell>
          <cell r="L2637">
            <v>107.9</v>
          </cell>
          <cell r="M2637">
            <v>107.2</v>
          </cell>
        </row>
        <row r="2638">
          <cell r="C2638" t="str">
            <v>110kV 171 Sa Đéc 2 - 171 Sa Đéc</v>
          </cell>
          <cell r="F2638">
            <v>17.8</v>
          </cell>
          <cell r="H2638">
            <v>15.6</v>
          </cell>
          <cell r="I2638">
            <v>12.7</v>
          </cell>
          <cell r="J2638">
            <v>17.8</v>
          </cell>
          <cell r="K2638">
            <v>15.2</v>
          </cell>
          <cell r="L2638">
            <v>13.4</v>
          </cell>
          <cell r="M2638">
            <v>14.4</v>
          </cell>
        </row>
        <row r="2639">
          <cell r="C2639" t="str">
            <v>110kV 172 Sa Đéc 2 - 173 Sa Đéc</v>
          </cell>
          <cell r="F2639">
            <v>16.100000000000001</v>
          </cell>
          <cell r="H2639">
            <v>13.1</v>
          </cell>
          <cell r="I2639">
            <v>10.199999999999999</v>
          </cell>
          <cell r="J2639">
            <v>16.100000000000001</v>
          </cell>
          <cell r="K2639">
            <v>13.6</v>
          </cell>
          <cell r="L2639">
            <v>12.1</v>
          </cell>
          <cell r="M2639">
            <v>13.2</v>
          </cell>
        </row>
        <row r="2640">
          <cell r="C2640" t="str">
            <v>110kV 173 Sa Đéc 2 - 171 An Hòa</v>
          </cell>
          <cell r="F2640">
            <v>92.1</v>
          </cell>
          <cell r="H2640">
            <v>53.3</v>
          </cell>
          <cell r="I2640">
            <v>74.2</v>
          </cell>
          <cell r="J2640">
            <v>92.1</v>
          </cell>
          <cell r="K2640">
            <v>77.900000000000006</v>
          </cell>
          <cell r="L2640">
            <v>62.6</v>
          </cell>
          <cell r="M2640">
            <v>58.2</v>
          </cell>
        </row>
        <row r="2641">
          <cell r="C2641" t="str">
            <v>110kV 174 Sa Đéc 2 - 171 Sông Hậu</v>
          </cell>
          <cell r="F2641">
            <v>67.2</v>
          </cell>
          <cell r="H2641">
            <v>67.2</v>
          </cell>
          <cell r="I2641">
            <v>62.2</v>
          </cell>
          <cell r="J2641">
            <v>57</v>
          </cell>
          <cell r="K2641">
            <v>24.2</v>
          </cell>
          <cell r="L2641">
            <v>22.7</v>
          </cell>
          <cell r="M2641">
            <v>22</v>
          </cell>
        </row>
        <row r="2642">
          <cell r="C2642" t="str">
            <v>Sa Đéc 2 MBA AT1 (phía 110kV)</v>
          </cell>
          <cell r="F2642">
            <v>-156.6</v>
          </cell>
          <cell r="H2642">
            <v>-147</v>
          </cell>
          <cell r="I2642">
            <v>-156.6</v>
          </cell>
          <cell r="J2642">
            <v>-155.6</v>
          </cell>
          <cell r="K2642">
            <v>-130.19999999999999</v>
          </cell>
          <cell r="L2642">
            <v>-107.8</v>
          </cell>
          <cell r="M2642">
            <v>-107.1</v>
          </cell>
        </row>
        <row r="2643">
          <cell r="C2643" t="str">
            <v>110kV 171 Sóc Trăng - 172 Phụng Hiệp</v>
          </cell>
          <cell r="E2643">
            <v>0</v>
          </cell>
          <cell r="F2643">
            <v>-35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>
            <v>-35</v>
          </cell>
          <cell r="M2643">
            <v>0</v>
          </cell>
        </row>
        <row r="2644">
          <cell r="C2644" t="str">
            <v>110kV 172 Sóc Trăng - 175 Sóc Trăng 2</v>
          </cell>
          <cell r="F2644">
            <v>-90.6</v>
          </cell>
          <cell r="H2644">
            <v>-90.6</v>
          </cell>
          <cell r="I2644">
            <v>-78.2</v>
          </cell>
          <cell r="J2644">
            <v>-85.7</v>
          </cell>
          <cell r="K2644">
            <v>-84.3</v>
          </cell>
          <cell r="L2644">
            <v>-75.400000000000006</v>
          </cell>
          <cell r="M2644">
            <v>-78</v>
          </cell>
        </row>
        <row r="2645">
          <cell r="C2645" t="str">
            <v>Sóc Trăng MBA T1 (phía 110kV)</v>
          </cell>
          <cell r="F2645">
            <v>51.3</v>
          </cell>
          <cell r="H2645">
            <v>51.3</v>
          </cell>
          <cell r="I2645">
            <v>47</v>
          </cell>
          <cell r="J2645">
            <v>46.8</v>
          </cell>
          <cell r="K2645">
            <v>49.7</v>
          </cell>
          <cell r="L2645">
            <v>38.200000000000003</v>
          </cell>
          <cell r="M2645">
            <v>41.4</v>
          </cell>
        </row>
        <row r="2646">
          <cell r="C2646" t="str">
            <v>Sóc Trăng MBA T2 (phía 110kV)</v>
          </cell>
          <cell r="F2646">
            <v>41.5</v>
          </cell>
          <cell r="H2646">
            <v>38.9</v>
          </cell>
          <cell r="I2646">
            <v>35.700000000000003</v>
          </cell>
          <cell r="J2646">
            <v>41.5</v>
          </cell>
          <cell r="K2646">
            <v>36.6</v>
          </cell>
          <cell r="L2646">
            <v>38.200000000000003</v>
          </cell>
          <cell r="M2646">
            <v>36.6</v>
          </cell>
        </row>
        <row r="2647">
          <cell r="C2647" t="str">
            <v>Sóc Trăng MBA T1 (phía 22kV)</v>
          </cell>
          <cell r="F2647">
            <v>-51.3</v>
          </cell>
          <cell r="H2647">
            <v>-51.3</v>
          </cell>
          <cell r="I2647">
            <v>-47</v>
          </cell>
          <cell r="J2647">
            <v>-46.8</v>
          </cell>
          <cell r="K2647">
            <v>-49.7</v>
          </cell>
          <cell r="L2647">
            <v>-38.4</v>
          </cell>
          <cell r="M2647">
            <v>-41.6</v>
          </cell>
        </row>
        <row r="2648">
          <cell r="C2648" t="str">
            <v>Sóc Trăng MBA T2 (phía 22kV)</v>
          </cell>
          <cell r="F2648">
            <v>-41.1</v>
          </cell>
          <cell r="H2648">
            <v>-39.200000000000003</v>
          </cell>
          <cell r="I2648">
            <v>-35.4</v>
          </cell>
          <cell r="J2648">
            <v>-41.1</v>
          </cell>
          <cell r="K2648">
            <v>-36.700000000000003</v>
          </cell>
          <cell r="L2648">
            <v>-38.299999999999997</v>
          </cell>
          <cell r="M2648">
            <v>-36.6</v>
          </cell>
        </row>
        <row r="2649">
          <cell r="C2649" t="str">
            <v>220kV 271 Sóc Trăng 2 - 273 Bạc Liêu 2</v>
          </cell>
          <cell r="F2649">
            <v>125.4</v>
          </cell>
          <cell r="H2649">
            <v>125.4</v>
          </cell>
          <cell r="I2649">
            <v>-75.900000000000006</v>
          </cell>
          <cell r="J2649">
            <v>-43.5</v>
          </cell>
          <cell r="K2649">
            <v>-70.900000000000006</v>
          </cell>
          <cell r="L2649">
            <v>30.5</v>
          </cell>
          <cell r="M2649">
            <v>60.4</v>
          </cell>
        </row>
        <row r="2650">
          <cell r="C2650" t="str">
            <v>220kV 272 Sóc Trăng 2 - 271 NMĐ Cà Mau</v>
          </cell>
          <cell r="F2650">
            <v>-107.1</v>
          </cell>
          <cell r="H2650">
            <v>-107.1</v>
          </cell>
          <cell r="I2650">
            <v>-65.2</v>
          </cell>
          <cell r="J2650">
            <v>-42.2</v>
          </cell>
          <cell r="K2650">
            <v>-67.599999999999994</v>
          </cell>
          <cell r="L2650">
            <v>-35.1</v>
          </cell>
          <cell r="M2650">
            <v>-22.2</v>
          </cell>
        </row>
        <row r="2651">
          <cell r="C2651" t="str">
            <v>Sóc Trăng 2 MBA AT1 (phía 220kV)</v>
          </cell>
          <cell r="F2651">
            <v>163.4</v>
          </cell>
          <cell r="H2651">
            <v>163.4</v>
          </cell>
          <cell r="I2651">
            <v>137.5</v>
          </cell>
          <cell r="J2651">
            <v>158.6</v>
          </cell>
          <cell r="K2651">
            <v>146.1</v>
          </cell>
          <cell r="L2651">
            <v>140.69999999999999</v>
          </cell>
          <cell r="M2651">
            <v>149.19999999999999</v>
          </cell>
        </row>
        <row r="2652">
          <cell r="C2652" t="str">
            <v>220kV 273 Sóc Trăng 2 - 274 NMĐ Ô Môn</v>
          </cell>
          <cell r="F2652">
            <v>-150.69999999999999</v>
          </cell>
          <cell r="H2652">
            <v>-150.69999999999999</v>
          </cell>
          <cell r="I2652">
            <v>-93.6</v>
          </cell>
          <cell r="J2652">
            <v>-117</v>
          </cell>
          <cell r="K2652">
            <v>-100.8</v>
          </cell>
          <cell r="L2652">
            <v>-99.6</v>
          </cell>
          <cell r="M2652">
            <v>-144.80000000000001</v>
          </cell>
        </row>
        <row r="2653">
          <cell r="C2653" t="str">
            <v>Sóc Trăng 2 MBA AT2 (phía 220kV)</v>
          </cell>
          <cell r="F2653">
            <v>123.5</v>
          </cell>
          <cell r="H2653">
            <v>78.3</v>
          </cell>
          <cell r="I2653">
            <v>68.7</v>
          </cell>
          <cell r="J2653">
            <v>73</v>
          </cell>
          <cell r="K2653">
            <v>73</v>
          </cell>
          <cell r="L2653">
            <v>123.5</v>
          </cell>
          <cell r="M2653">
            <v>71.8</v>
          </cell>
        </row>
        <row r="2654">
          <cell r="C2654" t="str">
            <v>220kV 275 Sóc Trăng 2 - 283 Long Phú</v>
          </cell>
          <cell r="E2654">
            <v>0</v>
          </cell>
          <cell r="F2654">
            <v>0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</row>
        <row r="2655">
          <cell r="C2655" t="str">
            <v>220kV 276 Sóc Trăng 2 - 284 Long Phú</v>
          </cell>
          <cell r="E2655">
            <v>0</v>
          </cell>
          <cell r="F2655">
            <v>0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</row>
        <row r="2656">
          <cell r="C2656" t="str">
            <v>110kV 172 Sóc Trăng 2 - 171 Thạnh Trị</v>
          </cell>
          <cell r="F2656">
            <v>-29.2</v>
          </cell>
          <cell r="H2656">
            <v>28</v>
          </cell>
          <cell r="I2656">
            <v>-15.6</v>
          </cell>
          <cell r="J2656">
            <v>-29.2</v>
          </cell>
          <cell r="K2656">
            <v>13.9</v>
          </cell>
          <cell r="L2656">
            <v>-17.399999999999999</v>
          </cell>
          <cell r="M2656">
            <v>16.5</v>
          </cell>
        </row>
        <row r="2657">
          <cell r="C2657" t="str">
            <v>110kV 173 Sóc Trăng 2 - 171 Mỹ Xuyên</v>
          </cell>
          <cell r="F2657">
            <v>61.4</v>
          </cell>
          <cell r="H2657">
            <v>59</v>
          </cell>
          <cell r="I2657">
            <v>56.9</v>
          </cell>
          <cell r="J2657">
            <v>61.4</v>
          </cell>
          <cell r="K2657">
            <v>58.4</v>
          </cell>
          <cell r="L2657">
            <v>57.5</v>
          </cell>
          <cell r="M2657">
            <v>58.1</v>
          </cell>
        </row>
        <row r="2658">
          <cell r="C2658" t="str">
            <v>110kV 175 Sóc Trăng 2 - 172 Sóc Trăng</v>
          </cell>
          <cell r="F2658">
            <v>90.8</v>
          </cell>
          <cell r="H2658">
            <v>90.8</v>
          </cell>
          <cell r="I2658">
            <v>78.2</v>
          </cell>
          <cell r="J2658">
            <v>86.1</v>
          </cell>
          <cell r="K2658">
            <v>83.6</v>
          </cell>
          <cell r="L2658">
            <v>75.7</v>
          </cell>
          <cell r="M2658">
            <v>78</v>
          </cell>
        </row>
        <row r="2659">
          <cell r="C2659" t="str">
            <v>110kV 176 Sóc Trăng 2 - 171 Đại Ngãi</v>
          </cell>
          <cell r="F2659">
            <v>60.5</v>
          </cell>
          <cell r="H2659">
            <v>60.5</v>
          </cell>
          <cell r="I2659">
            <v>52.8</v>
          </cell>
          <cell r="J2659">
            <v>60.3</v>
          </cell>
          <cell r="K2659">
            <v>53</v>
          </cell>
          <cell r="L2659">
            <v>58.7</v>
          </cell>
          <cell r="M2659">
            <v>54.1</v>
          </cell>
        </row>
        <row r="2660">
          <cell r="C2660" t="str">
            <v>Sóc Trăng 2 MBA AT1 (phía 110kV)</v>
          </cell>
          <cell r="F2660">
            <v>-163.4</v>
          </cell>
          <cell r="H2660">
            <v>-163.4</v>
          </cell>
          <cell r="I2660">
            <v>-137.5</v>
          </cell>
          <cell r="J2660">
            <v>-158</v>
          </cell>
          <cell r="K2660">
            <v>-146.1</v>
          </cell>
          <cell r="L2660">
            <v>-140.69999999999999</v>
          </cell>
          <cell r="M2660">
            <v>-148.9</v>
          </cell>
        </row>
        <row r="2661">
          <cell r="C2661" t="str">
            <v>110kV 177 Sóc Trăng 2 - 171 Mỹ Tú</v>
          </cell>
          <cell r="F2661">
            <v>15.2</v>
          </cell>
          <cell r="H2661">
            <v>15.2</v>
          </cell>
          <cell r="I2661">
            <v>13.9</v>
          </cell>
        </row>
        <row r="2662">
          <cell r="C2662" t="str">
            <v>Sóc Trăng 2 MBA AT2 (phía 110kV)</v>
          </cell>
          <cell r="F2662">
            <v>-123.5</v>
          </cell>
          <cell r="H2662">
            <v>-78.099999999999994</v>
          </cell>
          <cell r="I2662">
            <v>-68.5</v>
          </cell>
          <cell r="J2662">
            <v>-72.900000000000006</v>
          </cell>
          <cell r="K2662">
            <v>-73</v>
          </cell>
          <cell r="L2662">
            <v>-123.5</v>
          </cell>
          <cell r="M2662">
            <v>-71.7</v>
          </cell>
        </row>
        <row r="2663">
          <cell r="C2663" t="str">
            <v>110kV 177 Sóc Trăng 2 - 172 Mỹ Tú</v>
          </cell>
          <cell r="F2663">
            <v>16.399999999999999</v>
          </cell>
          <cell r="J2663">
            <v>16.399999999999999</v>
          </cell>
          <cell r="K2663">
            <v>14.7</v>
          </cell>
          <cell r="L2663">
            <v>15.2</v>
          </cell>
          <cell r="M2663">
            <v>15.3</v>
          </cell>
        </row>
        <row r="2664">
          <cell r="C2664" t="str">
            <v>110kV 171 Sông Bình - 172 NMĐ MT Phan Lâm</v>
          </cell>
          <cell r="F2664">
            <v>48.8</v>
          </cell>
          <cell r="H2664">
            <v>47.8</v>
          </cell>
          <cell r="I2664">
            <v>42.2</v>
          </cell>
          <cell r="J2664">
            <v>43.4</v>
          </cell>
          <cell r="K2664">
            <v>48.8</v>
          </cell>
          <cell r="L2664">
            <v>36.799999999999997</v>
          </cell>
          <cell r="M2664">
            <v>37.9</v>
          </cell>
        </row>
        <row r="2665">
          <cell r="C2665" t="str">
            <v>110kV 172 Sông Bình - 172 NMĐ MT Bình An</v>
          </cell>
          <cell r="F2665">
            <v>-39</v>
          </cell>
          <cell r="H2665">
            <v>-36.700000000000003</v>
          </cell>
          <cell r="I2665">
            <v>-35.6</v>
          </cell>
          <cell r="J2665">
            <v>-33.1</v>
          </cell>
          <cell r="K2665">
            <v>-39</v>
          </cell>
          <cell r="L2665">
            <v>-29.6</v>
          </cell>
          <cell r="M2665">
            <v>-32.1</v>
          </cell>
        </row>
        <row r="2666">
          <cell r="C2666" t="str">
            <v>Sông Bình MBA T1 (phía 110kV)</v>
          </cell>
          <cell r="F2666">
            <v>-11.2</v>
          </cell>
          <cell r="H2666">
            <v>-11</v>
          </cell>
          <cell r="I2666">
            <v>-7.2</v>
          </cell>
          <cell r="J2666">
            <v>-10.4</v>
          </cell>
          <cell r="K2666">
            <v>-11.2</v>
          </cell>
          <cell r="L2666">
            <v>-10.7</v>
          </cell>
          <cell r="M2666">
            <v>-5.9</v>
          </cell>
        </row>
        <row r="2667">
          <cell r="C2667" t="str">
            <v>Sông Bình MBA T1 (phía 22kV)</v>
          </cell>
          <cell r="F2667">
            <v>11.3</v>
          </cell>
          <cell r="H2667">
            <v>11.1</v>
          </cell>
          <cell r="I2667">
            <v>7.2</v>
          </cell>
          <cell r="J2667">
            <v>10.4</v>
          </cell>
          <cell r="K2667">
            <v>11.3</v>
          </cell>
          <cell r="L2667">
            <v>10.7</v>
          </cell>
          <cell r="M2667">
            <v>6</v>
          </cell>
        </row>
        <row r="2668">
          <cell r="C2668" t="str">
            <v>110kV 171 Sông Đốc - 172 Trần Văn Thời</v>
          </cell>
          <cell r="F2668">
            <v>-34.5</v>
          </cell>
          <cell r="H2668">
            <v>-32.6</v>
          </cell>
          <cell r="I2668">
            <v>-34.5</v>
          </cell>
          <cell r="J2668">
            <v>-34.299999999999997</v>
          </cell>
          <cell r="K2668">
            <v>-31.7</v>
          </cell>
          <cell r="L2668">
            <v>-33.6</v>
          </cell>
          <cell r="M2668">
            <v>-31.9</v>
          </cell>
        </row>
        <row r="2669">
          <cell r="C2669" t="str">
            <v>110kV 172 Sông Đốc - 131 Tân Hưng Tây</v>
          </cell>
          <cell r="F2669">
            <v>16.5</v>
          </cell>
          <cell r="H2669">
            <v>15.7</v>
          </cell>
          <cell r="I2669">
            <v>15.3</v>
          </cell>
          <cell r="J2669">
            <v>16.5</v>
          </cell>
          <cell r="K2669">
            <v>15.2</v>
          </cell>
          <cell r="L2669">
            <v>15.9</v>
          </cell>
          <cell r="M2669">
            <v>15.2</v>
          </cell>
        </row>
        <row r="2670">
          <cell r="C2670" t="str">
            <v>Sông Đốc MBA T1 (phía 110kV)</v>
          </cell>
          <cell r="F2670">
            <v>19.2</v>
          </cell>
          <cell r="H2670">
            <v>17.3</v>
          </cell>
          <cell r="I2670">
            <v>19.2</v>
          </cell>
          <cell r="J2670">
            <v>17.600000000000001</v>
          </cell>
          <cell r="K2670">
            <v>17.3</v>
          </cell>
          <cell r="L2670">
            <v>17.8</v>
          </cell>
          <cell r="M2670">
            <v>16.899999999999999</v>
          </cell>
        </row>
        <row r="2671">
          <cell r="C2671" t="str">
            <v>Sông Đốc MBA T1 (phía 22kV)</v>
          </cell>
          <cell r="F2671">
            <v>-19.3</v>
          </cell>
          <cell r="H2671">
            <v>-17.3</v>
          </cell>
          <cell r="I2671">
            <v>-19.3</v>
          </cell>
          <cell r="J2671">
            <v>-17.600000000000001</v>
          </cell>
          <cell r="K2671">
            <v>-17.399999999999999</v>
          </cell>
          <cell r="L2671">
            <v>-17.899999999999999</v>
          </cell>
          <cell r="M2671">
            <v>-17</v>
          </cell>
        </row>
        <row r="2672">
          <cell r="C2672" t="str">
            <v>110kV 173 Sông Hậu - 171 Ô Môn 2</v>
          </cell>
          <cell r="E2672">
            <v>0</v>
          </cell>
          <cell r="F2672">
            <v>0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</row>
        <row r="2673">
          <cell r="C2673" t="str">
            <v>110kV 171 Sông Hậu - 174 Sa Đéc</v>
          </cell>
          <cell r="E2673">
            <v>0</v>
          </cell>
          <cell r="F2673">
            <v>-67.599999999999994</v>
          </cell>
          <cell r="H2673">
            <v>-67.599999999999994</v>
          </cell>
          <cell r="I2673">
            <v>-62.2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</row>
        <row r="2674">
          <cell r="C2674" t="str">
            <v>110kV 174 Sông Hậu - 171 Bình Minh</v>
          </cell>
          <cell r="F2674">
            <v>43.5</v>
          </cell>
          <cell r="H2674">
            <v>43.5</v>
          </cell>
          <cell r="I2674">
            <v>40.1</v>
          </cell>
          <cell r="J2674">
            <v>-25.4</v>
          </cell>
          <cell r="K2674">
            <v>-24.5</v>
          </cell>
          <cell r="L2674">
            <v>-22.8</v>
          </cell>
          <cell r="M2674">
            <v>-22.1</v>
          </cell>
        </row>
        <row r="2675">
          <cell r="C2675" t="str">
            <v>Sông Hậu MBA T2 (phía 110kV)</v>
          </cell>
          <cell r="F2675">
            <v>25.4</v>
          </cell>
          <cell r="H2675">
            <v>24.6</v>
          </cell>
          <cell r="I2675">
            <v>22.5</v>
          </cell>
          <cell r="J2675">
            <v>25.4</v>
          </cell>
          <cell r="K2675">
            <v>24.5</v>
          </cell>
          <cell r="L2675">
            <v>22.8</v>
          </cell>
          <cell r="M2675">
            <v>22.2</v>
          </cell>
        </row>
        <row r="2676">
          <cell r="C2676" t="str">
            <v>Sông Hậu MBA T2 (phía 22kV)</v>
          </cell>
          <cell r="F2676">
            <v>-25.3</v>
          </cell>
          <cell r="H2676">
            <v>-24.6</v>
          </cell>
          <cell r="I2676">
            <v>-22.6</v>
          </cell>
          <cell r="J2676">
            <v>-25.3</v>
          </cell>
          <cell r="K2676">
            <v>-24.3</v>
          </cell>
          <cell r="L2676">
            <v>-22.7</v>
          </cell>
          <cell r="M2676">
            <v>-22.1</v>
          </cell>
        </row>
        <row r="2677">
          <cell r="C2677" t="str">
            <v>500kV 571 Sông Hậu - MBA T1 NMĐ Sông Hậu 1</v>
          </cell>
          <cell r="F2677">
            <v>5.3</v>
          </cell>
          <cell r="H2677">
            <v>4.5</v>
          </cell>
          <cell r="I2677">
            <v>4.5999999999999996</v>
          </cell>
          <cell r="J2677">
            <v>4.2</v>
          </cell>
          <cell r="K2677">
            <v>5.0999999999999996</v>
          </cell>
          <cell r="L2677">
            <v>5.3</v>
          </cell>
          <cell r="M2677">
            <v>4.0999999999999996</v>
          </cell>
        </row>
        <row r="2678">
          <cell r="C2678" t="str">
            <v>500kV 581 Sông Hậu - MBA T2 NMĐ Sông Hậu 1</v>
          </cell>
          <cell r="F2678">
            <v>-563.79999999999995</v>
          </cell>
          <cell r="H2678">
            <v>9</v>
          </cell>
          <cell r="I2678">
            <v>-254.9</v>
          </cell>
          <cell r="J2678">
            <v>11.2</v>
          </cell>
          <cell r="K2678">
            <v>-563.79999999999995</v>
          </cell>
          <cell r="L2678">
            <v>-471.2</v>
          </cell>
          <cell r="M2678">
            <v>7.3</v>
          </cell>
        </row>
        <row r="2679">
          <cell r="C2679" t="str">
            <v>500kV 572 Sông Hậu - 576 Ô Môn 500</v>
          </cell>
          <cell r="F2679">
            <v>516.20000000000005</v>
          </cell>
          <cell r="H2679">
            <v>322</v>
          </cell>
          <cell r="I2679">
            <v>320</v>
          </cell>
          <cell r="J2679">
            <v>333.8</v>
          </cell>
          <cell r="K2679">
            <v>516.20000000000005</v>
          </cell>
          <cell r="L2679">
            <v>468.8</v>
          </cell>
          <cell r="M2679">
            <v>351.6</v>
          </cell>
        </row>
        <row r="2680">
          <cell r="C2680" t="str">
            <v>500kV 573 Sông Hậu - 585 Mỹ Tho 500</v>
          </cell>
          <cell r="F2680">
            <v>-362.4</v>
          </cell>
          <cell r="H2680">
            <v>-328.9</v>
          </cell>
          <cell r="I2680">
            <v>-312.89999999999998</v>
          </cell>
          <cell r="J2680">
            <v>-341.7</v>
          </cell>
          <cell r="K2680">
            <v>-237.4</v>
          </cell>
          <cell r="L2680">
            <v>-297.60000000000002</v>
          </cell>
          <cell r="M2680">
            <v>-362.4</v>
          </cell>
        </row>
        <row r="2681">
          <cell r="C2681" t="str">
            <v>500kV 572 Sông Mây</v>
          </cell>
          <cell r="F2681">
            <v>325.10000000000002</v>
          </cell>
          <cell r="H2681">
            <v>216.2</v>
          </cell>
          <cell r="I2681">
            <v>185.9</v>
          </cell>
          <cell r="J2681">
            <v>-196.2</v>
          </cell>
          <cell r="K2681">
            <v>160.19999999999999</v>
          </cell>
          <cell r="L2681">
            <v>-221.4</v>
          </cell>
          <cell r="M2681">
            <v>325.10000000000002</v>
          </cell>
        </row>
        <row r="2682">
          <cell r="C2682" t="str">
            <v>Sông Mây MBA AT2 (phía 500kV)</v>
          </cell>
          <cell r="F2682">
            <v>485</v>
          </cell>
          <cell r="H2682">
            <v>485</v>
          </cell>
          <cell r="I2682">
            <v>424.3</v>
          </cell>
          <cell r="J2682">
            <v>440.6</v>
          </cell>
          <cell r="K2682">
            <v>434.9</v>
          </cell>
          <cell r="L2682">
            <v>348.4</v>
          </cell>
          <cell r="M2682">
            <v>330.8</v>
          </cell>
        </row>
        <row r="2683">
          <cell r="C2683" t="str">
            <v>Sông Mây MBA AT2 (phía 220kV)</v>
          </cell>
          <cell r="F2683">
            <v>-481.5</v>
          </cell>
          <cell r="H2683">
            <v>-481.5</v>
          </cell>
          <cell r="I2683">
            <v>-421.8</v>
          </cell>
          <cell r="J2683">
            <v>-438.1</v>
          </cell>
          <cell r="K2683">
            <v>-432.6</v>
          </cell>
          <cell r="L2683">
            <v>-347.1</v>
          </cell>
          <cell r="M2683">
            <v>-329.3</v>
          </cell>
        </row>
        <row r="2684">
          <cell r="C2684" t="str">
            <v>220kV 273 Sông Mây - 273 Long Bình</v>
          </cell>
          <cell r="F2684">
            <v>134</v>
          </cell>
          <cell r="H2684">
            <v>124.3</v>
          </cell>
          <cell r="I2684">
            <v>94.6</v>
          </cell>
          <cell r="J2684">
            <v>87.5</v>
          </cell>
          <cell r="K2684">
            <v>122.5</v>
          </cell>
          <cell r="L2684">
            <v>99.9</v>
          </cell>
          <cell r="M2684">
            <v>134</v>
          </cell>
        </row>
        <row r="2685">
          <cell r="C2685" t="str">
            <v>220kV 274 Sông Mây - 274 Bảo Lộc</v>
          </cell>
          <cell r="F2685">
            <v>-167.9</v>
          </cell>
          <cell r="H2685">
            <v>-152.30000000000001</v>
          </cell>
          <cell r="I2685">
            <v>-165.6</v>
          </cell>
          <cell r="J2685">
            <v>-167.9</v>
          </cell>
          <cell r="K2685">
            <v>-158.69999999999999</v>
          </cell>
          <cell r="L2685">
            <v>-113.2</v>
          </cell>
          <cell r="M2685">
            <v>-121.1</v>
          </cell>
        </row>
        <row r="2686">
          <cell r="C2686" t="str">
            <v>Sông Mây MBA AT3 (phía 220kV)</v>
          </cell>
          <cell r="F2686">
            <v>206.6</v>
          </cell>
          <cell r="H2686">
            <v>206.6</v>
          </cell>
          <cell r="I2686">
            <v>198</v>
          </cell>
          <cell r="J2686">
            <v>205.6</v>
          </cell>
          <cell r="K2686">
            <v>203.1</v>
          </cell>
          <cell r="L2686">
            <v>130.6</v>
          </cell>
          <cell r="M2686">
            <v>115.9</v>
          </cell>
        </row>
        <row r="2687">
          <cell r="C2687" t="str">
            <v>220kV 275 Sông Mây - 276 Long Bình</v>
          </cell>
          <cell r="F2687">
            <v>112.5</v>
          </cell>
          <cell r="H2687">
            <v>111.4</v>
          </cell>
          <cell r="I2687">
            <v>48.6</v>
          </cell>
          <cell r="J2687">
            <v>-85</v>
          </cell>
          <cell r="K2687">
            <v>76.8</v>
          </cell>
          <cell r="L2687">
            <v>69</v>
          </cell>
          <cell r="M2687">
            <v>112.5</v>
          </cell>
        </row>
        <row r="2688">
          <cell r="C2688" t="str">
            <v>110kV 171 Sông Mây - 172 Bắc Sơn</v>
          </cell>
          <cell r="F2688">
            <v>80.5</v>
          </cell>
          <cell r="H2688">
            <v>78.8</v>
          </cell>
          <cell r="I2688">
            <v>73.099999999999994</v>
          </cell>
          <cell r="J2688">
            <v>80.5</v>
          </cell>
          <cell r="K2688">
            <v>78.2</v>
          </cell>
          <cell r="L2688">
            <v>51.3</v>
          </cell>
          <cell r="M2688">
            <v>45.5</v>
          </cell>
        </row>
        <row r="2689">
          <cell r="C2689" t="str">
            <v>110kV 172 Sông Mây - 171 Hố Nai</v>
          </cell>
          <cell r="F2689">
            <v>81.099999999999994</v>
          </cell>
          <cell r="H2689">
            <v>81.099999999999994</v>
          </cell>
          <cell r="I2689">
            <v>78.7</v>
          </cell>
          <cell r="J2689">
            <v>80.900000000000006</v>
          </cell>
          <cell r="K2689">
            <v>77.7</v>
          </cell>
          <cell r="L2689">
            <v>40.4</v>
          </cell>
          <cell r="M2689">
            <v>41.5</v>
          </cell>
        </row>
        <row r="2690">
          <cell r="C2690" t="str">
            <v>110kV 175 Sông Mây - 176 Sông Mây - 171 Bàu Xéo</v>
          </cell>
          <cell r="E2690">
            <v>0</v>
          </cell>
          <cell r="F2690">
            <v>0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</row>
        <row r="2691">
          <cell r="C2691" t="str">
            <v>110kV 176 Sông Mây - 175 Sông Mây - 171 Bàu Xéo</v>
          </cell>
          <cell r="F2691">
            <v>37.4</v>
          </cell>
          <cell r="H2691">
            <v>33.9</v>
          </cell>
          <cell r="I2691">
            <v>34.700000000000003</v>
          </cell>
          <cell r="J2691">
            <v>37.4</v>
          </cell>
          <cell r="K2691">
            <v>33.1</v>
          </cell>
          <cell r="L2691">
            <v>17.3</v>
          </cell>
          <cell r="M2691">
            <v>16</v>
          </cell>
        </row>
        <row r="2692">
          <cell r="C2692" t="str">
            <v>Sông Mây MBA AT3 (phía 110kV)</v>
          </cell>
          <cell r="F2692">
            <v>-204.8</v>
          </cell>
          <cell r="H2692">
            <v>-204.8</v>
          </cell>
          <cell r="I2692">
            <v>-196.1</v>
          </cell>
          <cell r="J2692">
            <v>-204.2</v>
          </cell>
          <cell r="K2692">
            <v>-201.3</v>
          </cell>
          <cell r="L2692">
            <v>-129.4</v>
          </cell>
          <cell r="M2692">
            <v>-115.3</v>
          </cell>
        </row>
        <row r="2693">
          <cell r="C2693" t="str">
            <v>500kV 571 Sông Mây - 574 Phú Mỹ 500</v>
          </cell>
          <cell r="F2693">
            <v>319.89999999999998</v>
          </cell>
          <cell r="H2693">
            <v>213</v>
          </cell>
          <cell r="I2693">
            <v>184</v>
          </cell>
          <cell r="J2693">
            <v>-194.9</v>
          </cell>
          <cell r="K2693">
            <v>155.9</v>
          </cell>
          <cell r="L2693">
            <v>-218.4</v>
          </cell>
          <cell r="M2693">
            <v>319.89999999999998</v>
          </cell>
        </row>
        <row r="2694">
          <cell r="C2694" t="str">
            <v>Sông Mây MBA AT1 (phía 500kV)</v>
          </cell>
          <cell r="F2694">
            <v>508.3</v>
          </cell>
          <cell r="H2694">
            <v>508.3</v>
          </cell>
          <cell r="I2694">
            <v>438</v>
          </cell>
          <cell r="J2694">
            <v>472.6</v>
          </cell>
          <cell r="K2694">
            <v>467</v>
          </cell>
          <cell r="L2694">
            <v>352.5</v>
          </cell>
          <cell r="M2694">
            <v>335.1</v>
          </cell>
        </row>
        <row r="2695">
          <cell r="C2695" t="str">
            <v>500kV 573 Sông Mây</v>
          </cell>
          <cell r="F2695">
            <v>-1134.4000000000001</v>
          </cell>
          <cell r="H2695">
            <v>-1134.4000000000001</v>
          </cell>
          <cell r="I2695">
            <v>-960.7</v>
          </cell>
          <cell r="J2695">
            <v>-1047.5</v>
          </cell>
          <cell r="K2695">
            <v>-1045.4000000000001</v>
          </cell>
          <cell r="L2695">
            <v>-847.7</v>
          </cell>
          <cell r="M2695">
            <v>-920.7</v>
          </cell>
        </row>
        <row r="2696">
          <cell r="C2696" t="str">
            <v>500kV 574 Sông Mây</v>
          </cell>
          <cell r="F2696">
            <v>-1131.5999999999999</v>
          </cell>
          <cell r="H2696">
            <v>-1131.5999999999999</v>
          </cell>
          <cell r="I2696">
            <v>-957.9</v>
          </cell>
          <cell r="J2696">
            <v>-1042.7</v>
          </cell>
          <cell r="K2696">
            <v>-1041.9000000000001</v>
          </cell>
          <cell r="L2696">
            <v>-844.2</v>
          </cell>
          <cell r="M2696">
            <v>-918.5</v>
          </cell>
        </row>
        <row r="2697">
          <cell r="C2697" t="str">
            <v>500kV 585 Sông Mây - 576 Tân Định</v>
          </cell>
          <cell r="F2697">
            <v>928.7</v>
          </cell>
          <cell r="H2697">
            <v>909.9</v>
          </cell>
          <cell r="I2697">
            <v>755.1</v>
          </cell>
          <cell r="J2697">
            <v>869.9</v>
          </cell>
          <cell r="K2697">
            <v>928.7</v>
          </cell>
          <cell r="L2697">
            <v>794.2</v>
          </cell>
          <cell r="M2697">
            <v>760.4</v>
          </cell>
        </row>
        <row r="2698">
          <cell r="C2698" t="str">
            <v>220kV 277 Sông Mây - 275 Uyên Hưng</v>
          </cell>
          <cell r="F2698">
            <v>245.2</v>
          </cell>
          <cell r="H2698">
            <v>245.2</v>
          </cell>
          <cell r="I2698">
            <v>225</v>
          </cell>
          <cell r="J2698">
            <v>226.4</v>
          </cell>
          <cell r="K2698">
            <v>200.2</v>
          </cell>
          <cell r="L2698">
            <v>221.1</v>
          </cell>
          <cell r="M2698">
            <v>178.5</v>
          </cell>
        </row>
        <row r="2699">
          <cell r="C2699" t="str">
            <v>220kV 278 Sông Mây - 274 Uyên Hưng</v>
          </cell>
          <cell r="F2699">
            <v>275</v>
          </cell>
          <cell r="H2699">
            <v>256.5</v>
          </cell>
          <cell r="I2699">
            <v>256.10000000000002</v>
          </cell>
          <cell r="J2699">
            <v>275</v>
          </cell>
          <cell r="K2699">
            <v>235</v>
          </cell>
          <cell r="L2699">
            <v>233</v>
          </cell>
          <cell r="M2699">
            <v>195.6</v>
          </cell>
        </row>
        <row r="2700">
          <cell r="C2700" t="str">
            <v>220kV 279 Sông Mây - 271 NMĐ Trị An</v>
          </cell>
          <cell r="F2700">
            <v>232</v>
          </cell>
          <cell r="H2700">
            <v>217.3</v>
          </cell>
          <cell r="I2700">
            <v>111.2</v>
          </cell>
          <cell r="J2700">
            <v>232</v>
          </cell>
          <cell r="K2700">
            <v>216.5</v>
          </cell>
          <cell r="L2700">
            <v>154.80000000000001</v>
          </cell>
          <cell r="M2700">
            <v>168</v>
          </cell>
        </row>
        <row r="2701">
          <cell r="C2701" t="str">
            <v>Sông Mây MBA AT4 (phía 220kV)</v>
          </cell>
          <cell r="F2701">
            <v>226.9</v>
          </cell>
          <cell r="H2701">
            <v>226.9</v>
          </cell>
          <cell r="I2701">
            <v>208.6</v>
          </cell>
          <cell r="J2701">
            <v>225.7</v>
          </cell>
          <cell r="K2701">
            <v>219.5</v>
          </cell>
          <cell r="L2701">
            <v>137.6</v>
          </cell>
          <cell r="M2701">
            <v>122.9</v>
          </cell>
        </row>
        <row r="2702">
          <cell r="C2702" t="str">
            <v>Sông Mây MBA AT1 (phía 220kV)</v>
          </cell>
          <cell r="F2702">
            <v>-509.2</v>
          </cell>
          <cell r="H2702">
            <v>-509.2</v>
          </cell>
          <cell r="I2702">
            <v>-439.7</v>
          </cell>
          <cell r="J2702">
            <v>-474.6</v>
          </cell>
          <cell r="K2702">
            <v>-468.6</v>
          </cell>
          <cell r="L2702">
            <v>-354.4</v>
          </cell>
          <cell r="M2702">
            <v>-336.1</v>
          </cell>
        </row>
        <row r="2703">
          <cell r="C2703" t="str">
            <v>110kV 173 Sông Mây - 174 Bắc Sơn</v>
          </cell>
          <cell r="F2703">
            <v>139.5</v>
          </cell>
          <cell r="H2703">
            <v>139.5</v>
          </cell>
          <cell r="I2703">
            <v>114.6</v>
          </cell>
          <cell r="J2703">
            <v>124.9</v>
          </cell>
          <cell r="K2703">
            <v>122.3</v>
          </cell>
          <cell r="L2703">
            <v>79.2</v>
          </cell>
          <cell r="M2703">
            <v>73.099999999999994</v>
          </cell>
        </row>
        <row r="2704">
          <cell r="C2704" t="str">
            <v>110kV 177 Sông Mây - 172 Thống Nhất</v>
          </cell>
          <cell r="F2704">
            <v>121</v>
          </cell>
          <cell r="H2704">
            <v>115.4</v>
          </cell>
          <cell r="I2704">
            <v>112</v>
          </cell>
          <cell r="J2704">
            <v>121</v>
          </cell>
          <cell r="K2704">
            <v>114.3</v>
          </cell>
          <cell r="L2704">
            <v>79.400000000000006</v>
          </cell>
          <cell r="M2704">
            <v>74.099999999999994</v>
          </cell>
        </row>
        <row r="2705">
          <cell r="C2705" t="str">
            <v>Sông Mây MBA AT4 (phía 110kV)</v>
          </cell>
          <cell r="F2705">
            <v>-226.4</v>
          </cell>
          <cell r="H2705">
            <v>-226.4</v>
          </cell>
          <cell r="I2705">
            <v>-207.9</v>
          </cell>
          <cell r="J2705">
            <v>-225.3</v>
          </cell>
          <cell r="K2705">
            <v>-219.2</v>
          </cell>
          <cell r="L2705">
            <v>-137.5</v>
          </cell>
          <cell r="M2705">
            <v>-123</v>
          </cell>
        </row>
        <row r="2706">
          <cell r="C2706" t="str">
            <v>110kV 171 Sóng Thần - 172 Đồng An</v>
          </cell>
          <cell r="F2706">
            <v>-41.9</v>
          </cell>
          <cell r="H2706">
            <v>-39.299999999999997</v>
          </cell>
          <cell r="I2706">
            <v>-37.799999999999997</v>
          </cell>
          <cell r="J2706">
            <v>-41.9</v>
          </cell>
          <cell r="K2706">
            <v>-34</v>
          </cell>
          <cell r="L2706">
            <v>-22.9</v>
          </cell>
          <cell r="M2706">
            <v>-21.2</v>
          </cell>
        </row>
        <row r="2707">
          <cell r="C2707" t="str">
            <v>Sóng Thần MBA T1 (phía 110kV)</v>
          </cell>
          <cell r="F2707">
            <v>51.1</v>
          </cell>
          <cell r="H2707">
            <v>51.1</v>
          </cell>
          <cell r="I2707">
            <v>49.3</v>
          </cell>
          <cell r="J2707">
            <v>51.1</v>
          </cell>
          <cell r="K2707">
            <v>49.8</v>
          </cell>
          <cell r="L2707">
            <v>28.1</v>
          </cell>
          <cell r="M2707">
            <v>27</v>
          </cell>
        </row>
        <row r="2708">
          <cell r="C2708" t="str">
            <v>Sóng Thần MBA T1 (phía 22kV)</v>
          </cell>
          <cell r="F2708">
            <v>-51.4</v>
          </cell>
          <cell r="H2708">
            <v>-51.1</v>
          </cell>
          <cell r="I2708">
            <v>-49.6</v>
          </cell>
          <cell r="J2708">
            <v>-51.4</v>
          </cell>
          <cell r="K2708">
            <v>-49.8</v>
          </cell>
          <cell r="L2708">
            <v>-28.4</v>
          </cell>
          <cell r="M2708">
            <v>-27.1</v>
          </cell>
        </row>
        <row r="2709">
          <cell r="C2709" t="str">
            <v>110kV 172 Sóng Thần - 178 Thuận An</v>
          </cell>
          <cell r="F2709">
            <v>-70</v>
          </cell>
          <cell r="H2709">
            <v>-70</v>
          </cell>
          <cell r="I2709">
            <v>-67.400000000000006</v>
          </cell>
          <cell r="J2709">
            <v>-67.900000000000006</v>
          </cell>
          <cell r="K2709">
            <v>-63.9</v>
          </cell>
          <cell r="L2709">
            <v>-40.1</v>
          </cell>
          <cell r="M2709">
            <v>-37</v>
          </cell>
        </row>
        <row r="2710">
          <cell r="C2710" t="str">
            <v>Sóng Thần MBA T2 (phía 110kV)</v>
          </cell>
          <cell r="F2710">
            <v>59</v>
          </cell>
          <cell r="H2710">
            <v>59</v>
          </cell>
          <cell r="I2710">
            <v>56</v>
          </cell>
          <cell r="J2710">
            <v>55.7</v>
          </cell>
          <cell r="K2710">
            <v>51.4</v>
          </cell>
          <cell r="L2710">
            <v>35.5</v>
          </cell>
          <cell r="M2710">
            <v>31.3</v>
          </cell>
        </row>
        <row r="2711">
          <cell r="C2711" t="str">
            <v>Sóng Thần MBA T2 (phía 22kV)</v>
          </cell>
          <cell r="F2711">
            <v>-58.5</v>
          </cell>
          <cell r="H2711">
            <v>-58.5</v>
          </cell>
          <cell r="I2711">
            <v>-55.2</v>
          </cell>
          <cell r="J2711">
            <v>-55.2</v>
          </cell>
          <cell r="K2711">
            <v>-51.1</v>
          </cell>
          <cell r="L2711">
            <v>-35.200000000000003</v>
          </cell>
          <cell r="M2711">
            <v>-31.2</v>
          </cell>
        </row>
        <row r="2712">
          <cell r="C2712" t="str">
            <v>Sun Steel MBA T1 (phía 110kV)</v>
          </cell>
          <cell r="F2712">
            <v>14.8</v>
          </cell>
          <cell r="H2712">
            <v>14.8</v>
          </cell>
          <cell r="I2712">
            <v>13.2</v>
          </cell>
          <cell r="J2712">
            <v>12.4</v>
          </cell>
          <cell r="K2712">
            <v>12.8</v>
          </cell>
          <cell r="L2712">
            <v>10</v>
          </cell>
          <cell r="M2712">
            <v>13.2</v>
          </cell>
        </row>
        <row r="2713">
          <cell r="C2713" t="str">
            <v>Sun Steel MBA T1 (phía 22kV)</v>
          </cell>
          <cell r="F2713">
            <v>-14.8</v>
          </cell>
          <cell r="H2713">
            <v>-14.8</v>
          </cell>
          <cell r="I2713">
            <v>-13.2</v>
          </cell>
          <cell r="J2713">
            <v>-12.6</v>
          </cell>
          <cell r="K2713">
            <v>-12.9</v>
          </cell>
          <cell r="L2713">
            <v>-10</v>
          </cell>
          <cell r="M2713">
            <v>-13.2</v>
          </cell>
        </row>
        <row r="2714">
          <cell r="C2714" t="str">
            <v>Suối Dộp MBA T2 (phía 110kV)</v>
          </cell>
          <cell r="F2714">
            <v>21.4</v>
          </cell>
          <cell r="H2714">
            <v>19.399999999999999</v>
          </cell>
          <cell r="I2714">
            <v>17.399999999999999</v>
          </cell>
          <cell r="J2714">
            <v>21.4</v>
          </cell>
          <cell r="K2714">
            <v>20.7</v>
          </cell>
          <cell r="L2714">
            <v>20.3</v>
          </cell>
          <cell r="M2714">
            <v>19.399999999999999</v>
          </cell>
        </row>
        <row r="2715">
          <cell r="C2715" t="str">
            <v>Suối Dộp MBA T2 (phía 22kV)</v>
          </cell>
          <cell r="F2715">
            <v>-21.3</v>
          </cell>
          <cell r="H2715">
            <v>-19.5</v>
          </cell>
          <cell r="I2715">
            <v>-17.3</v>
          </cell>
          <cell r="J2715">
            <v>-21.3</v>
          </cell>
          <cell r="K2715">
            <v>-20.5</v>
          </cell>
          <cell r="L2715">
            <v>-20.2</v>
          </cell>
          <cell r="M2715">
            <v>-19.3</v>
          </cell>
        </row>
        <row r="2716">
          <cell r="C2716" t="str">
            <v>Suối Dộp MBA T1 (phía 110kV)</v>
          </cell>
          <cell r="F2716">
            <v>15.9</v>
          </cell>
          <cell r="H2716">
            <v>12.9</v>
          </cell>
          <cell r="I2716">
            <v>11.2</v>
          </cell>
          <cell r="J2716">
            <v>14.3</v>
          </cell>
          <cell r="K2716">
            <v>15.9</v>
          </cell>
          <cell r="L2716">
            <v>15.5</v>
          </cell>
          <cell r="M2716">
            <v>12.3</v>
          </cell>
        </row>
        <row r="2717">
          <cell r="C2717" t="str">
            <v>Suối Dộp MBA T1 (phía 22kV)</v>
          </cell>
          <cell r="F2717">
            <v>-15.9</v>
          </cell>
          <cell r="H2717">
            <v>-12.9</v>
          </cell>
          <cell r="I2717">
            <v>-11.2</v>
          </cell>
          <cell r="J2717">
            <v>-14.3</v>
          </cell>
          <cell r="K2717">
            <v>-15.9</v>
          </cell>
          <cell r="L2717">
            <v>-15.6</v>
          </cell>
          <cell r="M2717">
            <v>-12.3</v>
          </cell>
        </row>
        <row r="2718">
          <cell r="C2718" t="str">
            <v>110kV 172 Suối Dộp - 173 Tây Ninh</v>
          </cell>
          <cell r="F2718">
            <v>-36.1</v>
          </cell>
          <cell r="H2718">
            <v>-32</v>
          </cell>
          <cell r="I2718">
            <v>-28.4</v>
          </cell>
          <cell r="J2718">
            <v>-35.6</v>
          </cell>
          <cell r="K2718">
            <v>-36.1</v>
          </cell>
          <cell r="L2718">
            <v>-33.799999999999997</v>
          </cell>
          <cell r="M2718">
            <v>-31.5</v>
          </cell>
        </row>
        <row r="2719">
          <cell r="C2719" t="str">
            <v>Suối Vàng MBA T2 (phía 110kV)</v>
          </cell>
          <cell r="F2719">
            <v>-11.3</v>
          </cell>
          <cell r="H2719">
            <v>-11.2</v>
          </cell>
          <cell r="I2719">
            <v>-11.3</v>
          </cell>
          <cell r="J2719">
            <v>-7.1</v>
          </cell>
          <cell r="K2719">
            <v>-6.9</v>
          </cell>
          <cell r="L2719">
            <v>5.3</v>
          </cell>
          <cell r="M2719">
            <v>-4.3</v>
          </cell>
        </row>
        <row r="2720">
          <cell r="C2720" t="str">
            <v>Suối Vàng MBA T2 (phía 22kV)</v>
          </cell>
          <cell r="F2720">
            <v>11.3</v>
          </cell>
          <cell r="H2720">
            <v>11.2</v>
          </cell>
          <cell r="I2720">
            <v>11.3</v>
          </cell>
          <cell r="J2720">
            <v>7.1</v>
          </cell>
          <cell r="K2720">
            <v>6.9</v>
          </cell>
          <cell r="L2720">
            <v>-5.3</v>
          </cell>
          <cell r="M2720">
            <v>4.3</v>
          </cell>
        </row>
        <row r="2721">
          <cell r="C2721" t="str">
            <v>110kV 171 Suối Vàng - 171 NMĐ Đa Nhim</v>
          </cell>
          <cell r="F2721">
            <v>71.2</v>
          </cell>
          <cell r="H2721">
            <v>-39.9</v>
          </cell>
          <cell r="I2721">
            <v>-28.1</v>
          </cell>
          <cell r="J2721">
            <v>-33.6</v>
          </cell>
          <cell r="K2721">
            <v>71.2</v>
          </cell>
          <cell r="L2721">
            <v>-38.6</v>
          </cell>
          <cell r="M2721">
            <v>-26.7</v>
          </cell>
        </row>
        <row r="2722">
          <cell r="C2722" t="str">
            <v>110kV 172 Suối Vàng - 171 Đà Lạt 2</v>
          </cell>
          <cell r="F2722">
            <v>65.599999999999994</v>
          </cell>
          <cell r="H2722">
            <v>65.599999999999994</v>
          </cell>
          <cell r="I2722">
            <v>64.7</v>
          </cell>
          <cell r="J2722">
            <v>60</v>
          </cell>
          <cell r="K2722">
            <v>55.2</v>
          </cell>
          <cell r="L2722">
            <v>43.6</v>
          </cell>
          <cell r="M2722">
            <v>57.7</v>
          </cell>
        </row>
        <row r="2723">
          <cell r="C2723" t="str">
            <v>110kV 174 Suối Vàng - 171 NMĐ Yan Tann Sien</v>
          </cell>
          <cell r="F2723">
            <v>-19.899999999999999</v>
          </cell>
          <cell r="H2723">
            <v>-19.899999999999999</v>
          </cell>
          <cell r="I2723">
            <v>-19.899999999999999</v>
          </cell>
          <cell r="J2723">
            <v>-19.8</v>
          </cell>
          <cell r="K2723">
            <v>-19.8</v>
          </cell>
          <cell r="L2723">
            <v>-17.600000000000001</v>
          </cell>
          <cell r="M2723">
            <v>-19</v>
          </cell>
        </row>
        <row r="2724">
          <cell r="C2724" t="str">
            <v>110kV 176 Suối Vàng - 171 NMĐ Krông Nô 2</v>
          </cell>
          <cell r="F2724">
            <v>-47.1</v>
          </cell>
          <cell r="H2724">
            <v>-45.2</v>
          </cell>
          <cell r="I2724">
            <v>-47.1</v>
          </cell>
          <cell r="J2724">
            <v>-46.7</v>
          </cell>
          <cell r="K2724">
            <v>-47</v>
          </cell>
          <cell r="L2724">
            <v>-29.3</v>
          </cell>
          <cell r="M2724">
            <v>-47</v>
          </cell>
        </row>
        <row r="2725">
          <cell r="C2725" t="str">
            <v>Tam An MBA T2 (phía 110kV)</v>
          </cell>
          <cell r="F2725">
            <v>52.9</v>
          </cell>
          <cell r="H2725">
            <v>52.9</v>
          </cell>
          <cell r="I2725">
            <v>51.1</v>
          </cell>
          <cell r="J2725">
            <v>51.9</v>
          </cell>
          <cell r="K2725">
            <v>51.5</v>
          </cell>
          <cell r="L2725">
            <v>36.5</v>
          </cell>
          <cell r="M2725">
            <v>38.1</v>
          </cell>
        </row>
        <row r="2726">
          <cell r="C2726" t="str">
            <v>Tam An MBA T2 (phía 22kV)</v>
          </cell>
          <cell r="F2726">
            <v>-52.8</v>
          </cell>
          <cell r="H2726">
            <v>-52.8</v>
          </cell>
          <cell r="I2726">
            <v>-51.1</v>
          </cell>
          <cell r="J2726">
            <v>-51.2</v>
          </cell>
          <cell r="K2726">
            <v>-51.5</v>
          </cell>
          <cell r="L2726">
            <v>-36.5</v>
          </cell>
          <cell r="M2726">
            <v>-38</v>
          </cell>
        </row>
        <row r="2727">
          <cell r="C2727" t="str">
            <v>110kV 171 Tam An - 180 Long Thành</v>
          </cell>
          <cell r="F2727">
            <v>-97.3</v>
          </cell>
          <cell r="H2727">
            <v>-95.7</v>
          </cell>
          <cell r="I2727">
            <v>-93.7</v>
          </cell>
          <cell r="J2727">
            <v>-97.3</v>
          </cell>
          <cell r="K2727">
            <v>-96.4</v>
          </cell>
          <cell r="L2727">
            <v>-75.900000000000006</v>
          </cell>
          <cell r="M2727">
            <v>-75.3</v>
          </cell>
        </row>
        <row r="2728">
          <cell r="C2728" t="str">
            <v>110kV 172 Tam An - 179 Long Bình</v>
          </cell>
          <cell r="F2728">
            <v>0.3</v>
          </cell>
          <cell r="H2728">
            <v>0.3</v>
          </cell>
          <cell r="I2728">
            <v>-0.2</v>
          </cell>
          <cell r="J2728">
            <v>0.2</v>
          </cell>
          <cell r="K2728">
            <v>-0.2</v>
          </cell>
          <cell r="L2728">
            <v>-0.2</v>
          </cell>
          <cell r="M2728">
            <v>0.2</v>
          </cell>
        </row>
        <row r="2729">
          <cell r="C2729" t="str">
            <v>Tam An MBA T1 (phía 110kV)</v>
          </cell>
          <cell r="F2729">
            <v>47.2</v>
          </cell>
          <cell r="H2729">
            <v>47</v>
          </cell>
          <cell r="I2729">
            <v>44.1</v>
          </cell>
          <cell r="J2729">
            <v>47.2</v>
          </cell>
          <cell r="K2729">
            <v>46.2</v>
          </cell>
          <cell r="L2729">
            <v>38.4</v>
          </cell>
          <cell r="M2729">
            <v>37</v>
          </cell>
        </row>
        <row r="2730">
          <cell r="C2730" t="str">
            <v>Tam An MBA T1 (phía 22kV)</v>
          </cell>
          <cell r="F2730">
            <v>-47.4</v>
          </cell>
          <cell r="H2730">
            <v>-46.3</v>
          </cell>
          <cell r="I2730">
            <v>-43.1</v>
          </cell>
          <cell r="J2730">
            <v>-47.4</v>
          </cell>
          <cell r="K2730">
            <v>-46.4</v>
          </cell>
          <cell r="L2730">
            <v>-39.4</v>
          </cell>
          <cell r="M2730">
            <v>-37.5</v>
          </cell>
        </row>
        <row r="2731">
          <cell r="C2731" t="str">
            <v>Tam Nông MBA T1 (phía 110kV)</v>
          </cell>
          <cell r="F2731">
            <v>24.7</v>
          </cell>
          <cell r="H2731">
            <v>21.8</v>
          </cell>
          <cell r="I2731">
            <v>20.3</v>
          </cell>
          <cell r="J2731">
            <v>24.7</v>
          </cell>
          <cell r="K2731">
            <v>19.899999999999999</v>
          </cell>
          <cell r="L2731">
            <v>18.899999999999999</v>
          </cell>
          <cell r="M2731">
            <v>18.8</v>
          </cell>
        </row>
        <row r="2732">
          <cell r="C2732" t="str">
            <v>Tam Nông MBA T1 (phía 22kV)</v>
          </cell>
          <cell r="F2732">
            <v>-24.7</v>
          </cell>
          <cell r="H2732">
            <v>-21.7</v>
          </cell>
          <cell r="I2732">
            <v>-20.3</v>
          </cell>
          <cell r="J2732">
            <v>-24.7</v>
          </cell>
          <cell r="K2732">
            <v>-19.899999999999999</v>
          </cell>
          <cell r="L2732">
            <v>-18.899999999999999</v>
          </cell>
          <cell r="M2732">
            <v>-18.7</v>
          </cell>
        </row>
        <row r="2733">
          <cell r="C2733" t="str">
            <v>Tam Phước MBA T2 (phía 110kV)</v>
          </cell>
          <cell r="F2733">
            <v>45.5</v>
          </cell>
          <cell r="H2733">
            <v>41.3</v>
          </cell>
          <cell r="I2733">
            <v>45.5</v>
          </cell>
          <cell r="J2733">
            <v>44.8</v>
          </cell>
          <cell r="K2733">
            <v>35.700000000000003</v>
          </cell>
          <cell r="L2733">
            <v>23.1</v>
          </cell>
          <cell r="M2733">
            <v>21.2</v>
          </cell>
        </row>
        <row r="2734">
          <cell r="C2734" t="str">
            <v>110kV 172 Tam Phước - 175 Long Bình</v>
          </cell>
          <cell r="F2734">
            <v>-45.4</v>
          </cell>
          <cell r="H2734">
            <v>-41.5</v>
          </cell>
          <cell r="I2734">
            <v>-45.3</v>
          </cell>
          <cell r="J2734">
            <v>-45.4</v>
          </cell>
          <cell r="K2734">
            <v>-35.200000000000003</v>
          </cell>
          <cell r="L2734">
            <v>-23.4</v>
          </cell>
          <cell r="M2734">
            <v>-21.2</v>
          </cell>
        </row>
        <row r="2735">
          <cell r="C2735" t="str">
            <v>Tam Phước MBA T2 (phía 22kV)</v>
          </cell>
          <cell r="F2735">
            <v>-45.3</v>
          </cell>
          <cell r="H2735">
            <v>-41.1</v>
          </cell>
          <cell r="I2735">
            <v>-45.3</v>
          </cell>
          <cell r="J2735">
            <v>-44.5</v>
          </cell>
          <cell r="K2735">
            <v>-35.4</v>
          </cell>
          <cell r="L2735">
            <v>-22.9</v>
          </cell>
          <cell r="M2735">
            <v>-21</v>
          </cell>
        </row>
        <row r="2736">
          <cell r="C2736" t="str">
            <v>110kV 171 Tam Phước - 172 An Phước</v>
          </cell>
          <cell r="F2736">
            <v>-45.8</v>
          </cell>
          <cell r="H2736">
            <v>-44.3</v>
          </cell>
          <cell r="I2736">
            <v>-44.1</v>
          </cell>
          <cell r="J2736">
            <v>-45.8</v>
          </cell>
          <cell r="K2736">
            <v>-43.7</v>
          </cell>
          <cell r="L2736">
            <v>-20.3</v>
          </cell>
          <cell r="M2736">
            <v>-18</v>
          </cell>
        </row>
        <row r="2737">
          <cell r="C2737" t="str">
            <v>Tam Phước MBA T1 (phía 110kV)</v>
          </cell>
          <cell r="F2737">
            <v>46.3</v>
          </cell>
          <cell r="H2737">
            <v>44.5</v>
          </cell>
          <cell r="I2737">
            <v>44</v>
          </cell>
          <cell r="J2737">
            <v>46.3</v>
          </cell>
          <cell r="K2737">
            <v>43.7</v>
          </cell>
          <cell r="L2737">
            <v>20.399999999999999</v>
          </cell>
          <cell r="M2737">
            <v>18.3</v>
          </cell>
        </row>
        <row r="2738">
          <cell r="C2738" t="str">
            <v>Tam Phước MBA T1 (phía 22kV)</v>
          </cell>
          <cell r="F2738">
            <v>-45.3</v>
          </cell>
          <cell r="H2738">
            <v>-43.2</v>
          </cell>
          <cell r="I2738">
            <v>-44.2</v>
          </cell>
          <cell r="J2738">
            <v>-45.3</v>
          </cell>
          <cell r="K2738">
            <v>-43.5</v>
          </cell>
          <cell r="L2738">
            <v>-20.5</v>
          </cell>
          <cell r="M2738">
            <v>-17.899999999999999</v>
          </cell>
        </row>
        <row r="2739">
          <cell r="C2739" t="str">
            <v>110kV 171 Tầm Vu - 172 Mỹ Tho 2</v>
          </cell>
          <cell r="E2739">
            <v>0</v>
          </cell>
          <cell r="F2739">
            <v>0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</row>
        <row r="2740">
          <cell r="C2740" t="str">
            <v>110kV 172 Tầm Vu - 173 Long An 2</v>
          </cell>
          <cell r="F2740">
            <v>-24.7</v>
          </cell>
          <cell r="H2740">
            <v>-20.6</v>
          </cell>
          <cell r="I2740">
            <v>-18.5</v>
          </cell>
          <cell r="J2740">
            <v>-18.2</v>
          </cell>
          <cell r="K2740">
            <v>-23.5</v>
          </cell>
          <cell r="L2740">
            <v>-18.100000000000001</v>
          </cell>
          <cell r="M2740">
            <v>-24.7</v>
          </cell>
        </row>
        <row r="2741">
          <cell r="C2741" t="str">
            <v>Tầm Vu MBA T2 (phía 110kV)</v>
          </cell>
          <cell r="F2741">
            <v>24.7</v>
          </cell>
          <cell r="H2741">
            <v>20.6</v>
          </cell>
          <cell r="I2741">
            <v>18.600000000000001</v>
          </cell>
          <cell r="J2741">
            <v>18.2</v>
          </cell>
          <cell r="K2741">
            <v>23.5</v>
          </cell>
          <cell r="L2741">
            <v>18.100000000000001</v>
          </cell>
          <cell r="M2741">
            <v>24.7</v>
          </cell>
        </row>
        <row r="2742">
          <cell r="C2742" t="str">
            <v>Tầm Vu MBA T2 (phía 22kV)</v>
          </cell>
          <cell r="F2742">
            <v>-24.9</v>
          </cell>
          <cell r="H2742">
            <v>-20.7</v>
          </cell>
          <cell r="I2742">
            <v>-18.600000000000001</v>
          </cell>
          <cell r="J2742">
            <v>-18.3</v>
          </cell>
          <cell r="K2742">
            <v>-23.6</v>
          </cell>
          <cell r="L2742">
            <v>-18.2</v>
          </cell>
          <cell r="M2742">
            <v>-24.9</v>
          </cell>
        </row>
        <row r="2743">
          <cell r="C2743" t="str">
            <v>Tầm Vu MBA T1 (phía 110kV)</v>
          </cell>
          <cell r="E2743">
            <v>0</v>
          </cell>
          <cell r="F2743">
            <v>0</v>
          </cell>
          <cell r="H2743">
            <v>0</v>
          </cell>
          <cell r="I2743">
            <v>0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</row>
        <row r="2744">
          <cell r="C2744" t="str">
            <v>Tầm Vu MBA T1 (phía 22kV)</v>
          </cell>
          <cell r="E2744">
            <v>0</v>
          </cell>
          <cell r="F2744">
            <v>0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</row>
        <row r="2745">
          <cell r="C2745" t="str">
            <v>110kV 171 Tân An - 174 Long An 2</v>
          </cell>
          <cell r="F2745">
            <v>-27.5</v>
          </cell>
          <cell r="H2745">
            <v>-24</v>
          </cell>
          <cell r="I2745">
            <v>-20.7</v>
          </cell>
          <cell r="J2745">
            <v>-27.5</v>
          </cell>
          <cell r="K2745">
            <v>-22</v>
          </cell>
          <cell r="L2745">
            <v>-21.5</v>
          </cell>
          <cell r="M2745">
            <v>-25.1</v>
          </cell>
        </row>
        <row r="2746">
          <cell r="C2746" t="str">
            <v>110kV 172 Tân An - 171 Long Giang</v>
          </cell>
          <cell r="F2746">
            <v>-13.5</v>
          </cell>
          <cell r="H2746">
            <v>-12.9</v>
          </cell>
          <cell r="I2746">
            <v>-11</v>
          </cell>
          <cell r="J2746">
            <v>-13.5</v>
          </cell>
          <cell r="K2746">
            <v>-11.3</v>
          </cell>
          <cell r="L2746">
            <v>-11</v>
          </cell>
          <cell r="M2746">
            <v>-9.6999999999999993</v>
          </cell>
        </row>
        <row r="2747">
          <cell r="C2747" t="str">
            <v>Tân An MBA T1 (phía 110kV)</v>
          </cell>
          <cell r="F2747">
            <v>25.5</v>
          </cell>
          <cell r="H2747">
            <v>24</v>
          </cell>
          <cell r="I2747">
            <v>20.7</v>
          </cell>
          <cell r="J2747">
            <v>25.5</v>
          </cell>
          <cell r="K2747">
            <v>22</v>
          </cell>
          <cell r="L2747">
            <v>21.4</v>
          </cell>
          <cell r="M2747">
            <v>25</v>
          </cell>
        </row>
        <row r="2748">
          <cell r="C2748" t="str">
            <v>Tân An MBA T1 (phía 22kV)</v>
          </cell>
          <cell r="F2748">
            <v>-25.8</v>
          </cell>
          <cell r="H2748">
            <v>-24.1</v>
          </cell>
          <cell r="I2748">
            <v>-20.8</v>
          </cell>
          <cell r="J2748">
            <v>-25.8</v>
          </cell>
          <cell r="K2748">
            <v>-22.2</v>
          </cell>
          <cell r="L2748">
            <v>-21.7</v>
          </cell>
          <cell r="M2748">
            <v>-25.3</v>
          </cell>
        </row>
        <row r="2749">
          <cell r="C2749" t="str">
            <v>Tân An MBA T2 (phía 110kV)</v>
          </cell>
          <cell r="F2749">
            <v>13.3</v>
          </cell>
          <cell r="H2749">
            <v>12.8</v>
          </cell>
          <cell r="I2749">
            <v>11.1</v>
          </cell>
          <cell r="J2749">
            <v>13.3</v>
          </cell>
          <cell r="K2749">
            <v>11.2</v>
          </cell>
          <cell r="L2749">
            <v>10.9</v>
          </cell>
          <cell r="M2749">
            <v>9.5</v>
          </cell>
        </row>
        <row r="2750">
          <cell r="C2750" t="str">
            <v>Tân An MBA T2 (phía 22kV)</v>
          </cell>
          <cell r="F2750">
            <v>-13.4</v>
          </cell>
          <cell r="H2750">
            <v>-12.8</v>
          </cell>
          <cell r="I2750">
            <v>-11</v>
          </cell>
          <cell r="J2750">
            <v>-13.4</v>
          </cell>
          <cell r="K2750">
            <v>-11.3</v>
          </cell>
          <cell r="L2750">
            <v>-10.9</v>
          </cell>
          <cell r="M2750">
            <v>-9.6</v>
          </cell>
        </row>
        <row r="2751">
          <cell r="C2751" t="str">
            <v>Tân Biên MBA T2 (phía 110kV)</v>
          </cell>
          <cell r="F2751">
            <v>25.7</v>
          </cell>
          <cell r="H2751">
            <v>20.399999999999999</v>
          </cell>
          <cell r="I2751">
            <v>19.3</v>
          </cell>
          <cell r="J2751">
            <v>23.2</v>
          </cell>
          <cell r="K2751">
            <v>23.5</v>
          </cell>
          <cell r="L2751">
            <v>25.7</v>
          </cell>
          <cell r="M2751">
            <v>24.8</v>
          </cell>
        </row>
        <row r="2752">
          <cell r="C2752" t="str">
            <v>Tân Biên MBA T2 (phía 22kV)</v>
          </cell>
          <cell r="F2752">
            <v>-25.8</v>
          </cell>
          <cell r="H2752">
            <v>-20.399999999999999</v>
          </cell>
          <cell r="I2752">
            <v>-19.399999999999999</v>
          </cell>
          <cell r="J2752">
            <v>-23.2</v>
          </cell>
          <cell r="K2752">
            <v>-23.6</v>
          </cell>
          <cell r="L2752">
            <v>-25.8</v>
          </cell>
          <cell r="M2752">
            <v>-24.9</v>
          </cell>
        </row>
        <row r="2753">
          <cell r="C2753" t="str">
            <v>Tân Biên MBA T1 (phía 110kV)</v>
          </cell>
          <cell r="F2753">
            <v>24.5</v>
          </cell>
          <cell r="H2753">
            <v>19.8</v>
          </cell>
          <cell r="I2753">
            <v>15.2</v>
          </cell>
          <cell r="J2753">
            <v>22.3</v>
          </cell>
          <cell r="K2753">
            <v>21.2</v>
          </cell>
          <cell r="L2753">
            <v>20.7</v>
          </cell>
          <cell r="M2753">
            <v>24.5</v>
          </cell>
        </row>
        <row r="2754">
          <cell r="C2754" t="str">
            <v>Tân Biên MBA T1 (phía 22kV)</v>
          </cell>
          <cell r="F2754">
            <v>-24.6</v>
          </cell>
          <cell r="H2754">
            <v>-19.7</v>
          </cell>
          <cell r="I2754">
            <v>-15.4</v>
          </cell>
          <cell r="J2754">
            <v>-22.3</v>
          </cell>
          <cell r="K2754">
            <v>-21</v>
          </cell>
          <cell r="L2754">
            <v>-20.5</v>
          </cell>
          <cell r="M2754">
            <v>-24.6</v>
          </cell>
        </row>
        <row r="2755">
          <cell r="C2755" t="str">
            <v>110kV 171 Tân Biên - 172 Tân Hưng</v>
          </cell>
          <cell r="F2755">
            <v>-49.4</v>
          </cell>
          <cell r="H2755">
            <v>-39.299999999999997</v>
          </cell>
          <cell r="I2755">
            <v>-33</v>
          </cell>
          <cell r="J2755">
            <v>-45.6</v>
          </cell>
          <cell r="K2755">
            <v>-43.6</v>
          </cell>
          <cell r="L2755">
            <v>-44.8</v>
          </cell>
          <cell r="M2755">
            <v>-49.4</v>
          </cell>
        </row>
        <row r="2756">
          <cell r="C2756" t="str">
            <v>110kV 171 Tân Bình 1 - 171 Tân Bình 3</v>
          </cell>
          <cell r="E2756">
            <v>0</v>
          </cell>
          <cell r="F2756">
            <v>-77.5</v>
          </cell>
          <cell r="H2756">
            <v>-0.1</v>
          </cell>
          <cell r="I2756">
            <v>0.1</v>
          </cell>
          <cell r="J2756">
            <v>0</v>
          </cell>
          <cell r="K2756">
            <v>-77.5</v>
          </cell>
          <cell r="L2756">
            <v>-50.6</v>
          </cell>
          <cell r="M2756">
            <v>0.2</v>
          </cell>
        </row>
        <row r="2757">
          <cell r="C2757" t="str">
            <v>110kV 172 Tân Bình 1 - 173 Hóc Môn - 131 Lưu Động Bà Điểm</v>
          </cell>
          <cell r="E2757">
            <v>0</v>
          </cell>
          <cell r="F2757">
            <v>-88</v>
          </cell>
          <cell r="H2757">
            <v>-84</v>
          </cell>
          <cell r="I2757">
            <v>-72.900000000000006</v>
          </cell>
          <cell r="J2757">
            <v>-88</v>
          </cell>
          <cell r="K2757">
            <v>0</v>
          </cell>
          <cell r="L2757">
            <v>0</v>
          </cell>
          <cell r="M2757">
            <v>-53.1</v>
          </cell>
        </row>
        <row r="2758">
          <cell r="C2758" t="str">
            <v>Tân Bình 1 MBA T1 (phía 110kV)</v>
          </cell>
          <cell r="F2758">
            <v>40.9</v>
          </cell>
          <cell r="H2758">
            <v>39.5</v>
          </cell>
          <cell r="I2758">
            <v>33.9</v>
          </cell>
          <cell r="J2758">
            <v>40.9</v>
          </cell>
          <cell r="K2758">
            <v>34.5</v>
          </cell>
          <cell r="L2758">
            <v>23.7</v>
          </cell>
          <cell r="M2758">
            <v>23.6</v>
          </cell>
        </row>
        <row r="2759">
          <cell r="C2759" t="str">
            <v>Tân Bình 1 MBA T1 (phía 22kV)</v>
          </cell>
          <cell r="F2759">
            <v>-22.3</v>
          </cell>
          <cell r="H2759">
            <v>-19.399999999999999</v>
          </cell>
          <cell r="I2759">
            <v>-18</v>
          </cell>
          <cell r="J2759">
            <v>-22.3</v>
          </cell>
          <cell r="K2759">
            <v>-17.600000000000001</v>
          </cell>
          <cell r="L2759">
            <v>14.2</v>
          </cell>
          <cell r="M2759">
            <v>-13</v>
          </cell>
        </row>
        <row r="2760">
          <cell r="C2760" t="str">
            <v>Tân Bình 1 MBA T2 (phía 110kV)</v>
          </cell>
          <cell r="F2760">
            <v>46.8</v>
          </cell>
          <cell r="H2760">
            <v>44.3</v>
          </cell>
          <cell r="I2760">
            <v>42.9</v>
          </cell>
          <cell r="J2760">
            <v>46.8</v>
          </cell>
          <cell r="K2760">
            <v>43.9</v>
          </cell>
          <cell r="L2760">
            <v>27.3</v>
          </cell>
          <cell r="M2760">
            <v>31.6</v>
          </cell>
        </row>
        <row r="2761">
          <cell r="C2761" t="str">
            <v>Tân Bình 1 MBA T2 (phía 22kV)</v>
          </cell>
          <cell r="F2761">
            <v>-23.2</v>
          </cell>
          <cell r="H2761">
            <v>-22.1</v>
          </cell>
          <cell r="I2761">
            <v>-18.3</v>
          </cell>
          <cell r="J2761">
            <v>-23.2</v>
          </cell>
          <cell r="K2761">
            <v>-21.8</v>
          </cell>
          <cell r="L2761">
            <v>-15</v>
          </cell>
          <cell r="M2761">
            <v>-15.7</v>
          </cell>
        </row>
        <row r="2762">
          <cell r="C2762" t="str">
            <v>110kV 171 Tân Bình 2 - 171 Bà Quẹo</v>
          </cell>
          <cell r="E2762">
            <v>0</v>
          </cell>
          <cell r="F2762">
            <v>-32.9</v>
          </cell>
          <cell r="H2762">
            <v>-32.9</v>
          </cell>
          <cell r="I2762">
            <v>0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</row>
        <row r="2763">
          <cell r="C2763" t="str">
            <v>110kV 172 Tân Bình 2 - 171 Pou Yuen - 171 Phú Lâm</v>
          </cell>
          <cell r="F2763">
            <v>-99.5</v>
          </cell>
          <cell r="H2763">
            <v>-99.5</v>
          </cell>
          <cell r="I2763">
            <v>-75.8</v>
          </cell>
          <cell r="J2763">
            <v>-92</v>
          </cell>
          <cell r="K2763">
            <v>-84.9</v>
          </cell>
          <cell r="L2763">
            <v>-77.900000000000006</v>
          </cell>
          <cell r="M2763">
            <v>-64.599999999999994</v>
          </cell>
        </row>
        <row r="2764">
          <cell r="C2764" t="str">
            <v>Tân Bình 2 MBA T1 (phía 110kV)</v>
          </cell>
          <cell r="F2764">
            <v>42.9</v>
          </cell>
          <cell r="H2764">
            <v>38.9</v>
          </cell>
          <cell r="I2764">
            <v>34</v>
          </cell>
          <cell r="J2764">
            <v>42.9</v>
          </cell>
          <cell r="K2764">
            <v>35.9</v>
          </cell>
          <cell r="L2764">
            <v>32.200000000000003</v>
          </cell>
          <cell r="M2764">
            <v>30.2</v>
          </cell>
        </row>
        <row r="2765">
          <cell r="C2765" t="str">
            <v>Tân Bình 2 MBA T2 (phía 110kV)</v>
          </cell>
          <cell r="F2765">
            <v>49.2</v>
          </cell>
          <cell r="H2765">
            <v>48.7</v>
          </cell>
          <cell r="I2765">
            <v>42.3</v>
          </cell>
          <cell r="J2765">
            <v>49.2</v>
          </cell>
          <cell r="K2765">
            <v>49.1</v>
          </cell>
          <cell r="L2765">
            <v>45.9</v>
          </cell>
          <cell r="M2765">
            <v>34.700000000000003</v>
          </cell>
        </row>
        <row r="2766">
          <cell r="C2766" t="str">
            <v>Tân Bình 2 MBA T2 (phía 22kV)</v>
          </cell>
          <cell r="F2766">
            <v>-49</v>
          </cell>
          <cell r="H2766">
            <v>-48.7</v>
          </cell>
          <cell r="I2766">
            <v>-42.1</v>
          </cell>
          <cell r="J2766">
            <v>-49</v>
          </cell>
          <cell r="K2766">
            <v>-49</v>
          </cell>
          <cell r="L2766">
            <v>-45.8</v>
          </cell>
          <cell r="M2766">
            <v>-34.6</v>
          </cell>
        </row>
        <row r="2767">
          <cell r="C2767" t="str">
            <v>Tân Bình 2 MBA T1 (phía 22kV)</v>
          </cell>
          <cell r="F2767">
            <v>-42.8</v>
          </cell>
          <cell r="H2767">
            <v>-39.299999999999997</v>
          </cell>
          <cell r="I2767">
            <v>-34</v>
          </cell>
          <cell r="J2767">
            <v>-42.8</v>
          </cell>
          <cell r="K2767">
            <v>-35.700000000000003</v>
          </cell>
          <cell r="L2767">
            <v>-32.200000000000003</v>
          </cell>
          <cell r="M2767">
            <v>-30.1</v>
          </cell>
        </row>
        <row r="2768">
          <cell r="C2768" t="str">
            <v>110kV 171 Tân Bình 3 - 171 Tân Bình 1</v>
          </cell>
          <cell r="E2768">
            <v>0</v>
          </cell>
          <cell r="F2768">
            <v>78.099999999999994</v>
          </cell>
          <cell r="H2768">
            <v>0</v>
          </cell>
          <cell r="I2768">
            <v>0</v>
          </cell>
          <cell r="J2768">
            <v>0</v>
          </cell>
          <cell r="K2768">
            <v>78.099999999999994</v>
          </cell>
          <cell r="L2768">
            <v>49.9</v>
          </cell>
          <cell r="M2768">
            <v>0</v>
          </cell>
        </row>
        <row r="2769">
          <cell r="C2769" t="str">
            <v>110kV 172 Tân Bình 3 - 176 Bình Tân</v>
          </cell>
          <cell r="F2769">
            <v>-128.9</v>
          </cell>
          <cell r="H2769">
            <v>-63</v>
          </cell>
          <cell r="I2769">
            <v>-52.1</v>
          </cell>
          <cell r="J2769">
            <v>-60.5</v>
          </cell>
          <cell r="K2769">
            <v>-128.9</v>
          </cell>
          <cell r="L2769">
            <v>-104.9</v>
          </cell>
          <cell r="M2769">
            <v>-46.6</v>
          </cell>
        </row>
        <row r="2770">
          <cell r="C2770" t="str">
            <v>Tân Bình 3 MBA T1 (phía 110kV)</v>
          </cell>
          <cell r="F2770">
            <v>29.3</v>
          </cell>
          <cell r="H2770">
            <v>28.8</v>
          </cell>
          <cell r="I2770">
            <v>21.3</v>
          </cell>
          <cell r="J2770">
            <v>25.7</v>
          </cell>
          <cell r="K2770">
            <v>21.9</v>
          </cell>
          <cell r="L2770">
            <v>29.3</v>
          </cell>
          <cell r="M2770">
            <v>18.100000000000001</v>
          </cell>
        </row>
        <row r="2771">
          <cell r="C2771" t="str">
            <v>Tân Bình 3 MBA T2 (phía 110kV)</v>
          </cell>
          <cell r="F2771">
            <v>40</v>
          </cell>
          <cell r="H2771">
            <v>34.9</v>
          </cell>
          <cell r="I2771">
            <v>28.3</v>
          </cell>
          <cell r="J2771">
            <v>31.9</v>
          </cell>
          <cell r="K2771">
            <v>28.3</v>
          </cell>
          <cell r="L2771">
            <v>40</v>
          </cell>
          <cell r="M2771">
            <v>25.4</v>
          </cell>
        </row>
        <row r="2772">
          <cell r="C2772" t="str">
            <v>Tân Bình 3 MBA T1 (phía 22kV)</v>
          </cell>
          <cell r="F2772">
            <v>-26.6</v>
          </cell>
          <cell r="H2772">
            <v>-25.3</v>
          </cell>
          <cell r="I2772">
            <v>-21.8</v>
          </cell>
          <cell r="J2772">
            <v>-24.4</v>
          </cell>
          <cell r="K2772">
            <v>-21.5</v>
          </cell>
          <cell r="L2772">
            <v>-26.6</v>
          </cell>
          <cell r="M2772">
            <v>-18.100000000000001</v>
          </cell>
        </row>
        <row r="2773">
          <cell r="C2773" t="str">
            <v>Tân Bình 3 MBA T2 (phía 22kV)</v>
          </cell>
          <cell r="F2773">
            <v>-35.200000000000003</v>
          </cell>
          <cell r="H2773">
            <v>-35.200000000000003</v>
          </cell>
          <cell r="I2773">
            <v>-28</v>
          </cell>
          <cell r="J2773">
            <v>-32</v>
          </cell>
          <cell r="K2773">
            <v>-28.3</v>
          </cell>
          <cell r="L2773">
            <v>-34.299999999999997</v>
          </cell>
          <cell r="M2773">
            <v>-25.7</v>
          </cell>
        </row>
        <row r="2774">
          <cell r="C2774" t="str">
            <v>500kV 572 Tân Định - 575 Cầu Bông</v>
          </cell>
          <cell r="F2774">
            <v>881</v>
          </cell>
          <cell r="H2774">
            <v>881</v>
          </cell>
          <cell r="I2774">
            <v>621.70000000000005</v>
          </cell>
          <cell r="J2774">
            <v>766</v>
          </cell>
          <cell r="K2774">
            <v>723.4</v>
          </cell>
          <cell r="L2774">
            <v>807.7</v>
          </cell>
          <cell r="M2774">
            <v>814.3</v>
          </cell>
        </row>
        <row r="2775">
          <cell r="C2775" t="str">
            <v>500kV 574 Tân Định - 573-7 Di Linh</v>
          </cell>
          <cell r="F2775">
            <v>-598.5</v>
          </cell>
          <cell r="H2775">
            <v>-481.3</v>
          </cell>
          <cell r="I2775">
            <v>-493.5</v>
          </cell>
          <cell r="J2775">
            <v>-239</v>
          </cell>
          <cell r="K2775">
            <v>-563.4</v>
          </cell>
          <cell r="L2775">
            <v>-255.5</v>
          </cell>
          <cell r="M2775">
            <v>-598.5</v>
          </cell>
        </row>
        <row r="2776">
          <cell r="C2776" t="str">
            <v>500kV 575 Tân Định - 575 Sông Mây</v>
          </cell>
          <cell r="F2776">
            <v>-929.7</v>
          </cell>
          <cell r="H2776">
            <v>-907.9</v>
          </cell>
          <cell r="I2776">
            <v>-755.6</v>
          </cell>
          <cell r="J2776">
            <v>-869.1</v>
          </cell>
          <cell r="K2776">
            <v>-929.7</v>
          </cell>
          <cell r="L2776">
            <v>-793.3</v>
          </cell>
          <cell r="M2776">
            <v>-759.5</v>
          </cell>
        </row>
        <row r="2777">
          <cell r="C2777" t="str">
            <v>500kV 576 Tân Định - 585 Sông Mây</v>
          </cell>
          <cell r="F2777">
            <v>-921</v>
          </cell>
          <cell r="H2777">
            <v>-902.1</v>
          </cell>
          <cell r="I2777">
            <v>-748.8</v>
          </cell>
          <cell r="J2777">
            <v>-859.7</v>
          </cell>
          <cell r="K2777">
            <v>-921</v>
          </cell>
          <cell r="L2777">
            <v>-786</v>
          </cell>
          <cell r="M2777">
            <v>-753.2</v>
          </cell>
        </row>
        <row r="2778">
          <cell r="C2778" t="str">
            <v>Tân Định MBA AT1 (phía 500kV)</v>
          </cell>
          <cell r="F2778">
            <v>628.20000000000005</v>
          </cell>
          <cell r="H2778">
            <v>626.20000000000005</v>
          </cell>
          <cell r="I2778">
            <v>628.20000000000005</v>
          </cell>
          <cell r="J2778">
            <v>596</v>
          </cell>
          <cell r="K2778">
            <v>598.5</v>
          </cell>
          <cell r="L2778">
            <v>487.4</v>
          </cell>
          <cell r="M2778">
            <v>498.2</v>
          </cell>
        </row>
        <row r="2779">
          <cell r="C2779" t="str">
            <v>Tân Định MBA AT2 (phía 500kV)</v>
          </cell>
          <cell r="F2779">
            <v>628.79999999999995</v>
          </cell>
          <cell r="H2779">
            <v>628.4</v>
          </cell>
          <cell r="I2779">
            <v>600.9</v>
          </cell>
          <cell r="J2779">
            <v>597.4</v>
          </cell>
          <cell r="K2779">
            <v>628.79999999999995</v>
          </cell>
          <cell r="L2779">
            <v>444.1</v>
          </cell>
          <cell r="M2779">
            <v>477.9</v>
          </cell>
        </row>
        <row r="2780">
          <cell r="C2780" t="str">
            <v>220kV 271 Tân Định - 275 Củ Chi 2</v>
          </cell>
          <cell r="F2780">
            <v>131.1</v>
          </cell>
          <cell r="H2780">
            <v>130.69999999999999</v>
          </cell>
          <cell r="I2780">
            <v>119</v>
          </cell>
          <cell r="J2780">
            <v>128.1</v>
          </cell>
          <cell r="K2780">
            <v>114</v>
          </cell>
          <cell r="L2780">
            <v>131.1</v>
          </cell>
          <cell r="M2780">
            <v>113.4</v>
          </cell>
        </row>
        <row r="2781">
          <cell r="C2781" t="str">
            <v>220kV 273 Tân Định - 273 Bình Hòa</v>
          </cell>
          <cell r="F2781">
            <v>422.7</v>
          </cell>
          <cell r="H2781">
            <v>422.7</v>
          </cell>
          <cell r="I2781">
            <v>301.39999999999998</v>
          </cell>
          <cell r="J2781">
            <v>345.5</v>
          </cell>
          <cell r="K2781">
            <v>391.9</v>
          </cell>
          <cell r="L2781">
            <v>279.39999999999998</v>
          </cell>
          <cell r="M2781">
            <v>309.10000000000002</v>
          </cell>
        </row>
        <row r="2782">
          <cell r="C2782" t="str">
            <v>220kV 274 Tân Định - 274 Bình Hòa</v>
          </cell>
          <cell r="F2782">
            <v>253.5</v>
          </cell>
          <cell r="H2782">
            <v>253.5</v>
          </cell>
          <cell r="I2782">
            <v>184.7</v>
          </cell>
          <cell r="J2782">
            <v>203.5</v>
          </cell>
          <cell r="K2782">
            <v>200.6</v>
          </cell>
          <cell r="L2782">
            <v>191.1</v>
          </cell>
          <cell r="M2782">
            <v>173.8</v>
          </cell>
        </row>
        <row r="2783">
          <cell r="C2783" t="str">
            <v>Tân Định MBA AT1 (phía 220kV)</v>
          </cell>
          <cell r="F2783">
            <v>-628.1</v>
          </cell>
          <cell r="H2783">
            <v>-624.79999999999995</v>
          </cell>
          <cell r="I2783">
            <v>-628.1</v>
          </cell>
          <cell r="J2783">
            <v>-595</v>
          </cell>
          <cell r="K2783">
            <v>-598.4</v>
          </cell>
          <cell r="L2783">
            <v>-486.7</v>
          </cell>
          <cell r="M2783">
            <v>-498.8</v>
          </cell>
        </row>
        <row r="2784">
          <cell r="C2784" t="str">
            <v>Tân Định MBA AT2 (phía 220kV)</v>
          </cell>
          <cell r="F2784">
            <v>-627.1</v>
          </cell>
          <cell r="H2784">
            <v>-627</v>
          </cell>
          <cell r="I2784">
            <v>-599</v>
          </cell>
          <cell r="J2784">
            <v>-595.6</v>
          </cell>
          <cell r="K2784">
            <v>-627.1</v>
          </cell>
          <cell r="L2784">
            <v>-442.4</v>
          </cell>
          <cell r="M2784">
            <v>-476.8</v>
          </cell>
        </row>
        <row r="2785">
          <cell r="C2785" t="str">
            <v>Tân Định MBA AT3 (phía 220kV)</v>
          </cell>
          <cell r="F2785">
            <v>232</v>
          </cell>
          <cell r="H2785">
            <v>218.5</v>
          </cell>
          <cell r="I2785">
            <v>232</v>
          </cell>
          <cell r="J2785">
            <v>215.8</v>
          </cell>
          <cell r="K2785">
            <v>229.8</v>
          </cell>
          <cell r="L2785">
            <v>153.19999999999999</v>
          </cell>
          <cell r="M2785">
            <v>168.6</v>
          </cell>
        </row>
        <row r="2786">
          <cell r="C2786" t="str">
            <v>Tân Định MBA AT4 (phía 220kV)</v>
          </cell>
          <cell r="F2786">
            <v>231</v>
          </cell>
          <cell r="H2786">
            <v>218.4</v>
          </cell>
          <cell r="I2786">
            <v>231</v>
          </cell>
          <cell r="J2786">
            <v>215.1</v>
          </cell>
          <cell r="K2786">
            <v>229.8</v>
          </cell>
          <cell r="L2786">
            <v>154.4</v>
          </cell>
          <cell r="M2786">
            <v>170</v>
          </cell>
        </row>
        <row r="2787">
          <cell r="C2787" t="str">
            <v>110kV 173 Tân Định - 172 Vĩnh Trường</v>
          </cell>
          <cell r="F2787">
            <v>58.7</v>
          </cell>
          <cell r="H2787">
            <v>55.1</v>
          </cell>
          <cell r="I2787">
            <v>56.6</v>
          </cell>
          <cell r="J2787">
            <v>58.7</v>
          </cell>
          <cell r="K2787">
            <v>57.1</v>
          </cell>
          <cell r="L2787">
            <v>45</v>
          </cell>
          <cell r="M2787">
            <v>30.8</v>
          </cell>
        </row>
        <row r="2788">
          <cell r="C2788" t="str">
            <v>110kV 174 Tân Định - 171 Bàu Bèo</v>
          </cell>
          <cell r="F2788">
            <v>151.1</v>
          </cell>
          <cell r="H2788">
            <v>151.1</v>
          </cell>
          <cell r="I2788">
            <v>138.69999999999999</v>
          </cell>
          <cell r="J2788">
            <v>136.19999999999999</v>
          </cell>
          <cell r="K2788">
            <v>140.80000000000001</v>
          </cell>
          <cell r="L2788">
            <v>89.4</v>
          </cell>
          <cell r="M2788">
            <v>73.2</v>
          </cell>
        </row>
        <row r="2789">
          <cell r="C2789" t="str">
            <v>110kV 179 Tân Định - 172 Bến Cát</v>
          </cell>
          <cell r="E2789">
            <v>0</v>
          </cell>
          <cell r="F2789">
            <v>59.8</v>
          </cell>
          <cell r="H2789">
            <v>0</v>
          </cell>
          <cell r="I2789">
            <v>57.4</v>
          </cell>
          <cell r="J2789">
            <v>0</v>
          </cell>
          <cell r="K2789">
            <v>59.8</v>
          </cell>
          <cell r="L2789">
            <v>0</v>
          </cell>
          <cell r="M2789">
            <v>46.9</v>
          </cell>
        </row>
        <row r="2790">
          <cell r="C2790" t="str">
            <v>110kV 180 Tân Định - T55</v>
          </cell>
          <cell r="F2790">
            <v>-58.4</v>
          </cell>
          <cell r="H2790">
            <v>-55.4</v>
          </cell>
          <cell r="I2790">
            <v>-56.5</v>
          </cell>
          <cell r="J2790">
            <v>-58.4</v>
          </cell>
          <cell r="K2790">
            <v>-57.4</v>
          </cell>
          <cell r="L2790">
            <v>-45.3</v>
          </cell>
          <cell r="M2790">
            <v>-31.1</v>
          </cell>
        </row>
        <row r="2791">
          <cell r="C2791" t="str">
            <v>110kV 181 Tân Định - 172 Hòa Lợi</v>
          </cell>
          <cell r="F2791">
            <v>142.1</v>
          </cell>
          <cell r="H2791">
            <v>133.9</v>
          </cell>
          <cell r="I2791">
            <v>136.1</v>
          </cell>
          <cell r="J2791">
            <v>142.1</v>
          </cell>
          <cell r="K2791">
            <v>132.1</v>
          </cell>
          <cell r="L2791">
            <v>115.9</v>
          </cell>
          <cell r="M2791">
            <v>118.3</v>
          </cell>
        </row>
        <row r="2792">
          <cell r="C2792" t="str">
            <v>110kV 182 Tân Định - 171 Hòa Phú</v>
          </cell>
          <cell r="F2792">
            <v>151.80000000000001</v>
          </cell>
          <cell r="H2792">
            <v>151.80000000000001</v>
          </cell>
          <cell r="I2792">
            <v>140.30000000000001</v>
          </cell>
          <cell r="J2792">
            <v>151.4</v>
          </cell>
          <cell r="K2792">
            <v>144.80000000000001</v>
          </cell>
          <cell r="L2792">
            <v>112.5</v>
          </cell>
          <cell r="M2792">
            <v>105.1</v>
          </cell>
        </row>
        <row r="2793">
          <cell r="C2793" t="str">
            <v>Tân Định MBA AT3 (phía 110kV)</v>
          </cell>
          <cell r="F2793">
            <v>-231.9</v>
          </cell>
          <cell r="H2793">
            <v>-219.3</v>
          </cell>
          <cell r="I2793">
            <v>-231.9</v>
          </cell>
          <cell r="J2793">
            <v>-215.9</v>
          </cell>
          <cell r="K2793">
            <v>-230.2</v>
          </cell>
          <cell r="L2793">
            <v>-153.69999999999999</v>
          </cell>
          <cell r="M2793">
            <v>-168.5</v>
          </cell>
        </row>
        <row r="2794">
          <cell r="C2794" t="str">
            <v>Tân Định MBA AT4 (phía 110kV)</v>
          </cell>
          <cell r="F2794">
            <v>-230.8</v>
          </cell>
          <cell r="H2794">
            <v>-218.5</v>
          </cell>
          <cell r="I2794">
            <v>-230.8</v>
          </cell>
          <cell r="J2794">
            <v>-214.2</v>
          </cell>
          <cell r="K2794">
            <v>-229.2</v>
          </cell>
          <cell r="L2794">
            <v>-154.69999999999999</v>
          </cell>
          <cell r="M2794">
            <v>-169.7</v>
          </cell>
        </row>
        <row r="2795">
          <cell r="C2795" t="str">
            <v>220kV 279 Tân Định - 274 Mỹ Phước</v>
          </cell>
          <cell r="F2795">
            <v>309.10000000000002</v>
          </cell>
          <cell r="H2795">
            <v>287.10000000000002</v>
          </cell>
          <cell r="I2795">
            <v>288.3</v>
          </cell>
          <cell r="J2795">
            <v>306.2</v>
          </cell>
          <cell r="K2795">
            <v>272.10000000000002</v>
          </cell>
          <cell r="L2795">
            <v>309.10000000000002</v>
          </cell>
          <cell r="M2795">
            <v>242.2</v>
          </cell>
        </row>
        <row r="2796">
          <cell r="C2796" t="str">
            <v>110kV 171 Tân Đông Hiệp - 178 Bình Hòa</v>
          </cell>
          <cell r="F2796">
            <v>-92</v>
          </cell>
          <cell r="H2796">
            <v>-92</v>
          </cell>
          <cell r="I2796">
            <v>-70.5</v>
          </cell>
          <cell r="J2796">
            <v>-89.1</v>
          </cell>
          <cell r="K2796">
            <v>-91.8</v>
          </cell>
          <cell r="L2796">
            <v>-74.900000000000006</v>
          </cell>
          <cell r="M2796">
            <v>-65.099999999999994</v>
          </cell>
        </row>
        <row r="2797">
          <cell r="C2797" t="str">
            <v>110kV 172 Tân Đông Hiệp - 131 Sun Steel</v>
          </cell>
          <cell r="E2797">
            <v>0</v>
          </cell>
          <cell r="F2797">
            <v>0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</row>
        <row r="2798">
          <cell r="C2798" t="str">
            <v>110kV 173 Tân Đông Hiệp - 171 Thuận Giao</v>
          </cell>
          <cell r="E2798">
            <v>0</v>
          </cell>
          <cell r="F2798">
            <v>0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</row>
        <row r="2799">
          <cell r="C2799" t="str">
            <v>Tân Đông Hiệp MBA T1 (phía 110kV)</v>
          </cell>
          <cell r="F2799">
            <v>48.4</v>
          </cell>
          <cell r="H2799">
            <v>45.8</v>
          </cell>
          <cell r="I2799">
            <v>41.6</v>
          </cell>
          <cell r="J2799">
            <v>48.4</v>
          </cell>
          <cell r="K2799">
            <v>42.1</v>
          </cell>
          <cell r="L2799">
            <v>32.799999999999997</v>
          </cell>
          <cell r="M2799">
            <v>28.1</v>
          </cell>
        </row>
        <row r="2800">
          <cell r="C2800" t="str">
            <v>Tân Đông Hiệp MBA T1 (phía 22kV)</v>
          </cell>
          <cell r="F2800">
            <v>-48.1</v>
          </cell>
          <cell r="H2800">
            <v>-45.7</v>
          </cell>
          <cell r="I2800">
            <v>-41.5</v>
          </cell>
          <cell r="J2800">
            <v>-48.1</v>
          </cell>
          <cell r="K2800">
            <v>-42.3</v>
          </cell>
          <cell r="L2800">
            <v>-32.799999999999997</v>
          </cell>
          <cell r="M2800">
            <v>-28</v>
          </cell>
        </row>
        <row r="2801">
          <cell r="C2801" t="str">
            <v>Tân Đông Hiệp MBA T2 (phía 110kV)</v>
          </cell>
          <cell r="F2801">
            <v>52.4</v>
          </cell>
          <cell r="H2801">
            <v>51.6</v>
          </cell>
          <cell r="I2801">
            <v>29.2</v>
          </cell>
          <cell r="J2801">
            <v>48.3</v>
          </cell>
          <cell r="K2801">
            <v>52.4</v>
          </cell>
          <cell r="L2801">
            <v>45</v>
          </cell>
          <cell r="M2801">
            <v>40</v>
          </cell>
        </row>
        <row r="2802">
          <cell r="C2802" t="str">
            <v>Tân Đông Hiệp MBA T2 (phía 22kV)</v>
          </cell>
          <cell r="F2802">
            <v>-52.6</v>
          </cell>
          <cell r="H2802">
            <v>-51.7</v>
          </cell>
          <cell r="I2802">
            <v>-29.3</v>
          </cell>
          <cell r="J2802">
            <v>-48.3</v>
          </cell>
          <cell r="K2802">
            <v>-52.6</v>
          </cell>
          <cell r="L2802">
            <v>-45.1</v>
          </cell>
          <cell r="M2802">
            <v>-39.700000000000003</v>
          </cell>
        </row>
        <row r="2803">
          <cell r="C2803" t="str">
            <v>110kV 171 Tân Hiệp - 177 Cầu Bông</v>
          </cell>
          <cell r="F2803">
            <v>-69.099999999999994</v>
          </cell>
          <cell r="H2803">
            <v>-63.3</v>
          </cell>
          <cell r="I2803">
            <v>-58.4</v>
          </cell>
          <cell r="J2803">
            <v>-69.099999999999994</v>
          </cell>
          <cell r="K2803">
            <v>-63.1</v>
          </cell>
          <cell r="L2803">
            <v>-59</v>
          </cell>
          <cell r="M2803">
            <v>-44.4</v>
          </cell>
        </row>
        <row r="2804">
          <cell r="C2804" t="str">
            <v>110kV 172 Tân Hiệp - 171 Đông Thạnh</v>
          </cell>
          <cell r="E2804">
            <v>0</v>
          </cell>
          <cell r="F2804">
            <v>0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</row>
        <row r="2805">
          <cell r="C2805" t="str">
            <v>Tân Hiệp MBA T1 (phía 110kV)</v>
          </cell>
          <cell r="F2805">
            <v>33</v>
          </cell>
          <cell r="H2805">
            <v>30.3</v>
          </cell>
          <cell r="I2805">
            <v>28.7</v>
          </cell>
          <cell r="J2805">
            <v>33</v>
          </cell>
          <cell r="K2805">
            <v>30.1</v>
          </cell>
          <cell r="L2805">
            <v>28.9</v>
          </cell>
          <cell r="M2805">
            <v>19.100000000000001</v>
          </cell>
        </row>
        <row r="2806">
          <cell r="C2806" t="str">
            <v>Tân Hiệp MBA T2 (phía 110kV)</v>
          </cell>
          <cell r="F2806">
            <v>36.700000000000003</v>
          </cell>
          <cell r="H2806">
            <v>34.200000000000003</v>
          </cell>
          <cell r="I2806">
            <v>30</v>
          </cell>
          <cell r="J2806">
            <v>36.700000000000003</v>
          </cell>
          <cell r="K2806">
            <v>33.299999999999997</v>
          </cell>
          <cell r="L2806">
            <v>30.8</v>
          </cell>
          <cell r="M2806">
            <v>25.7</v>
          </cell>
        </row>
        <row r="2807">
          <cell r="C2807" t="str">
            <v>Tân Hiệp MBA T1 (phía 22kV)</v>
          </cell>
          <cell r="F2807">
            <v>-32.700000000000003</v>
          </cell>
          <cell r="H2807">
            <v>-30.1</v>
          </cell>
          <cell r="I2807">
            <v>-28.4</v>
          </cell>
          <cell r="J2807">
            <v>-32.700000000000003</v>
          </cell>
          <cell r="K2807">
            <v>-30.4</v>
          </cell>
          <cell r="L2807">
            <v>-28.8</v>
          </cell>
          <cell r="M2807">
            <v>-19.399999999999999</v>
          </cell>
        </row>
        <row r="2808">
          <cell r="C2808" t="str">
            <v>Tân Hiệp MBA T2 (phía 22kV)</v>
          </cell>
          <cell r="F2808">
            <v>-36.4</v>
          </cell>
          <cell r="H2808">
            <v>-34.1</v>
          </cell>
          <cell r="I2808">
            <v>-29.8</v>
          </cell>
          <cell r="J2808">
            <v>-36.4</v>
          </cell>
          <cell r="K2808">
            <v>-32.9</v>
          </cell>
          <cell r="L2808">
            <v>-30.3</v>
          </cell>
          <cell r="M2808">
            <v>-25.4</v>
          </cell>
        </row>
        <row r="2809">
          <cell r="C2809" t="str">
            <v>110kV 171 Tân Hòa - 172 Thạnh Phú</v>
          </cell>
          <cell r="F2809">
            <v>52.7</v>
          </cell>
          <cell r="H2809">
            <v>47.4</v>
          </cell>
          <cell r="I2809">
            <v>49.2</v>
          </cell>
          <cell r="J2809">
            <v>52.7</v>
          </cell>
          <cell r="K2809">
            <v>49.7</v>
          </cell>
          <cell r="L2809">
            <v>37</v>
          </cell>
          <cell r="M2809">
            <v>32.9</v>
          </cell>
        </row>
        <row r="2810">
          <cell r="C2810" t="str">
            <v>110kV 172 Tân Hòa - 171 Bắc Sơn</v>
          </cell>
          <cell r="F2810">
            <v>-129.80000000000001</v>
          </cell>
          <cell r="H2810">
            <v>-121.7</v>
          </cell>
          <cell r="I2810">
            <v>-118</v>
          </cell>
          <cell r="J2810">
            <v>-129.80000000000001</v>
          </cell>
          <cell r="K2810">
            <v>-124.6</v>
          </cell>
          <cell r="L2810">
            <v>-84.1</v>
          </cell>
          <cell r="M2810">
            <v>-72.599999999999994</v>
          </cell>
        </row>
        <row r="2811">
          <cell r="C2811" t="str">
            <v>110kV 173 Tân Hòa - 173 NMĐ Trị An</v>
          </cell>
          <cell r="E2811">
            <v>0</v>
          </cell>
          <cell r="F2811">
            <v>0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</row>
        <row r="2812">
          <cell r="C2812" t="str">
            <v>Tân Hòa MBA T1 (phía 110kV)</v>
          </cell>
          <cell r="F2812">
            <v>30.6</v>
          </cell>
          <cell r="H2812">
            <v>28.4</v>
          </cell>
          <cell r="I2812">
            <v>28.6</v>
          </cell>
          <cell r="J2812">
            <v>30.6</v>
          </cell>
          <cell r="K2812">
            <v>29</v>
          </cell>
          <cell r="L2812">
            <v>24.5</v>
          </cell>
          <cell r="M2812">
            <v>17.600000000000001</v>
          </cell>
        </row>
        <row r="2813">
          <cell r="C2813" t="str">
            <v>Tân Hòa MBA T1 (phía 22kV)</v>
          </cell>
          <cell r="F2813">
            <v>-29.9</v>
          </cell>
          <cell r="H2813">
            <v>-27.9</v>
          </cell>
          <cell r="I2813">
            <v>-28.5</v>
          </cell>
          <cell r="J2813">
            <v>-29.9</v>
          </cell>
          <cell r="K2813">
            <v>-28.8</v>
          </cell>
          <cell r="L2813">
            <v>-24.3</v>
          </cell>
          <cell r="M2813">
            <v>-16.899999999999999</v>
          </cell>
        </row>
        <row r="2814">
          <cell r="C2814" t="str">
            <v>Tân Hòa MBA T2 (phía 110kV)</v>
          </cell>
          <cell r="F2814">
            <v>48.8</v>
          </cell>
          <cell r="H2814">
            <v>46.1</v>
          </cell>
          <cell r="I2814">
            <v>41</v>
          </cell>
          <cell r="J2814">
            <v>48.8</v>
          </cell>
          <cell r="K2814">
            <v>43.6</v>
          </cell>
          <cell r="L2814">
            <v>27.9</v>
          </cell>
          <cell r="M2814">
            <v>25.4</v>
          </cell>
        </row>
        <row r="2815">
          <cell r="C2815" t="str">
            <v>Tân Hòa MBA T2 (phía 22kV)</v>
          </cell>
          <cell r="F2815">
            <v>-48.5</v>
          </cell>
          <cell r="H2815">
            <v>-45.5</v>
          </cell>
          <cell r="I2815">
            <v>-41.4</v>
          </cell>
          <cell r="J2815">
            <v>-48.5</v>
          </cell>
          <cell r="K2815">
            <v>-43</v>
          </cell>
          <cell r="L2815">
            <v>-27.9</v>
          </cell>
          <cell r="M2815">
            <v>-25.5</v>
          </cell>
        </row>
        <row r="2816">
          <cell r="C2816" t="str">
            <v>110kV 171 Tân Hưng - 171 trạm cắt Tây Ninh 1</v>
          </cell>
          <cell r="F2816">
            <v>-109.6</v>
          </cell>
          <cell r="H2816">
            <v>-89.4</v>
          </cell>
          <cell r="I2816">
            <v>-79.3</v>
          </cell>
          <cell r="J2816">
            <v>-107.3</v>
          </cell>
          <cell r="K2816">
            <v>-103.3</v>
          </cell>
          <cell r="L2816">
            <v>-104.3</v>
          </cell>
          <cell r="M2816">
            <v>-109.6</v>
          </cell>
        </row>
        <row r="2817">
          <cell r="C2817" t="str">
            <v>110kV 172 Tân Hưng - 171 Tân Biên</v>
          </cell>
          <cell r="F2817">
            <v>50.4</v>
          </cell>
          <cell r="H2817">
            <v>39.9</v>
          </cell>
          <cell r="I2817">
            <v>33.5</v>
          </cell>
          <cell r="J2817">
            <v>46.2</v>
          </cell>
          <cell r="K2817">
            <v>43.9</v>
          </cell>
          <cell r="L2817">
            <v>45.6</v>
          </cell>
          <cell r="M2817">
            <v>50.4</v>
          </cell>
        </row>
        <row r="2818">
          <cell r="C2818" t="str">
            <v>Tân Hưng MBA T1 (phía 110kV)</v>
          </cell>
          <cell r="F2818">
            <v>28.9</v>
          </cell>
          <cell r="H2818">
            <v>18.3</v>
          </cell>
          <cell r="I2818">
            <v>18.3</v>
          </cell>
          <cell r="J2818">
            <v>26.9</v>
          </cell>
          <cell r="K2818">
            <v>24.7</v>
          </cell>
          <cell r="L2818">
            <v>28.9</v>
          </cell>
          <cell r="M2818">
            <v>25.7</v>
          </cell>
        </row>
        <row r="2819">
          <cell r="C2819" t="str">
            <v>Tân Hưng MBA T1 (phía 22kV)</v>
          </cell>
          <cell r="F2819">
            <v>-29.2</v>
          </cell>
          <cell r="H2819">
            <v>-18.3</v>
          </cell>
          <cell r="I2819">
            <v>-18.2</v>
          </cell>
          <cell r="J2819">
            <v>-26.9</v>
          </cell>
          <cell r="K2819">
            <v>-24.7</v>
          </cell>
          <cell r="L2819">
            <v>-29.2</v>
          </cell>
          <cell r="M2819">
            <v>-25.7</v>
          </cell>
        </row>
        <row r="2820">
          <cell r="C2820" t="str">
            <v>Tân Hưng MBA T2 (phía 110kV)</v>
          </cell>
          <cell r="F2820">
            <v>36.6</v>
          </cell>
          <cell r="H2820">
            <v>32.700000000000003</v>
          </cell>
          <cell r="I2820">
            <v>30</v>
          </cell>
          <cell r="J2820">
            <v>35.700000000000003</v>
          </cell>
          <cell r="K2820">
            <v>36.6</v>
          </cell>
          <cell r="L2820">
            <v>31.7</v>
          </cell>
          <cell r="M2820">
            <v>34.4</v>
          </cell>
        </row>
        <row r="2821">
          <cell r="C2821" t="str">
            <v>Tân Hưng MBA T2 (phía 22kV)</v>
          </cell>
          <cell r="F2821">
            <v>-36.4</v>
          </cell>
          <cell r="H2821">
            <v>-32.799999999999997</v>
          </cell>
          <cell r="I2821">
            <v>-29.8</v>
          </cell>
          <cell r="J2821">
            <v>-35.6</v>
          </cell>
          <cell r="K2821">
            <v>-36.4</v>
          </cell>
          <cell r="L2821">
            <v>-31.7</v>
          </cell>
          <cell r="M2821">
            <v>-34</v>
          </cell>
        </row>
        <row r="2822">
          <cell r="C2822" t="str">
            <v>Tân Hưng Tây MBA T1 (phía 110kV)</v>
          </cell>
          <cell r="F2822">
            <v>16.5</v>
          </cell>
          <cell r="H2822">
            <v>15.7</v>
          </cell>
          <cell r="I2822">
            <v>15.2</v>
          </cell>
          <cell r="J2822">
            <v>16.5</v>
          </cell>
          <cell r="K2822">
            <v>15.1</v>
          </cell>
          <cell r="L2822">
            <v>15.9</v>
          </cell>
          <cell r="M2822">
            <v>15.2</v>
          </cell>
        </row>
        <row r="2823">
          <cell r="C2823" t="str">
            <v>Tân Hưng Tây MBA T1 (phía 22kV)</v>
          </cell>
          <cell r="F2823">
            <v>-16.5</v>
          </cell>
          <cell r="H2823">
            <v>-15.8</v>
          </cell>
          <cell r="I2823">
            <v>-15.3</v>
          </cell>
          <cell r="J2823">
            <v>-16.5</v>
          </cell>
          <cell r="K2823">
            <v>-15.2</v>
          </cell>
          <cell r="L2823">
            <v>-15.9</v>
          </cell>
          <cell r="M2823">
            <v>-15.2</v>
          </cell>
        </row>
        <row r="2824">
          <cell r="C2824" t="str">
            <v>110kV 171 Tân Hương - 172 Long An</v>
          </cell>
          <cell r="E2824">
            <v>0</v>
          </cell>
          <cell r="F2824">
            <v>0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</row>
        <row r="2825">
          <cell r="C2825" t="str">
            <v>110kV 172 Tân Hương - 181 Mỹ Tho 2 - Mỹ Tho MBA T3 (phía 110kV)</v>
          </cell>
          <cell r="F2825">
            <v>-72.5</v>
          </cell>
          <cell r="H2825">
            <v>-71</v>
          </cell>
          <cell r="I2825">
            <v>-65.3</v>
          </cell>
          <cell r="J2825">
            <v>-72.5</v>
          </cell>
          <cell r="K2825">
            <v>-70.099999999999994</v>
          </cell>
          <cell r="L2825">
            <v>-39.700000000000003</v>
          </cell>
          <cell r="M2825">
            <v>-36.1</v>
          </cell>
        </row>
        <row r="2826">
          <cell r="C2826" t="str">
            <v>Tân Hương MBA T2 (phía 110kV)</v>
          </cell>
          <cell r="F2826">
            <v>36.200000000000003</v>
          </cell>
          <cell r="H2826">
            <v>34.6</v>
          </cell>
          <cell r="I2826">
            <v>34.200000000000003</v>
          </cell>
          <cell r="J2826">
            <v>36.200000000000003</v>
          </cell>
          <cell r="K2826">
            <v>35.6</v>
          </cell>
          <cell r="L2826">
            <v>15.1</v>
          </cell>
          <cell r="M2826">
            <v>15.7</v>
          </cell>
        </row>
        <row r="2827">
          <cell r="C2827" t="str">
            <v>Tân Hương MBA T2 (phía 22kV)</v>
          </cell>
          <cell r="F2827">
            <v>-36.1</v>
          </cell>
          <cell r="H2827">
            <v>-34.4</v>
          </cell>
          <cell r="I2827">
            <v>-34</v>
          </cell>
          <cell r="J2827">
            <v>-36.1</v>
          </cell>
          <cell r="K2827">
            <v>-34.9</v>
          </cell>
          <cell r="L2827">
            <v>-15.4</v>
          </cell>
          <cell r="M2827">
            <v>-15.3</v>
          </cell>
        </row>
        <row r="2828">
          <cell r="C2828" t="str">
            <v>Tân Hương MBA T1 (phía 110kV)</v>
          </cell>
          <cell r="F2828">
            <v>36.700000000000003</v>
          </cell>
          <cell r="H2828">
            <v>36.700000000000003</v>
          </cell>
          <cell r="I2828">
            <v>32.5</v>
          </cell>
          <cell r="J2828">
            <v>36</v>
          </cell>
          <cell r="K2828">
            <v>35.299999999999997</v>
          </cell>
          <cell r="L2828">
            <v>28.1</v>
          </cell>
          <cell r="M2828">
            <v>30</v>
          </cell>
        </row>
        <row r="2829">
          <cell r="C2829" t="str">
            <v>Tân Hương MBA T1 (phía 22kV)</v>
          </cell>
          <cell r="F2829">
            <v>-36.799999999999997</v>
          </cell>
          <cell r="H2829">
            <v>-36.799999999999997</v>
          </cell>
          <cell r="I2829">
            <v>-32.5</v>
          </cell>
          <cell r="J2829">
            <v>-35.6</v>
          </cell>
          <cell r="K2829">
            <v>-35.1</v>
          </cell>
          <cell r="L2829">
            <v>-27.9</v>
          </cell>
          <cell r="M2829">
            <v>-29.9</v>
          </cell>
        </row>
        <row r="2830">
          <cell r="C2830" t="str">
            <v>110kV 171 Tân Mai - 171 Biên Hòa</v>
          </cell>
          <cell r="F2830">
            <v>0.1</v>
          </cell>
          <cell r="H2830">
            <v>0.1</v>
          </cell>
          <cell r="I2830">
            <v>0.1</v>
          </cell>
          <cell r="J2830">
            <v>0.1</v>
          </cell>
          <cell r="K2830">
            <v>0.1</v>
          </cell>
          <cell r="L2830">
            <v>0.1</v>
          </cell>
          <cell r="M2830">
            <v>0.1</v>
          </cell>
        </row>
        <row r="2831">
          <cell r="C2831" t="str">
            <v>110kV 172 Tân Mai - 173 Long Bình - 171 VICASA</v>
          </cell>
          <cell r="F2831">
            <v>-70.2</v>
          </cell>
          <cell r="H2831">
            <v>-69.7</v>
          </cell>
          <cell r="I2831">
            <v>-70.2</v>
          </cell>
          <cell r="J2831">
            <v>-67.099999999999994</v>
          </cell>
          <cell r="K2831">
            <v>-56.8</v>
          </cell>
          <cell r="L2831">
            <v>-62</v>
          </cell>
          <cell r="M2831">
            <v>-55.1</v>
          </cell>
        </row>
        <row r="2832">
          <cell r="C2832" t="str">
            <v>Tân Mai MBA T1 (phía 110kV)</v>
          </cell>
          <cell r="F2832">
            <v>44.3</v>
          </cell>
          <cell r="H2832">
            <v>40.1</v>
          </cell>
          <cell r="I2832">
            <v>44.3</v>
          </cell>
          <cell r="J2832">
            <v>33.9</v>
          </cell>
          <cell r="K2832">
            <v>28.3</v>
          </cell>
          <cell r="L2832">
            <v>31.2</v>
          </cell>
          <cell r="M2832">
            <v>28.1</v>
          </cell>
        </row>
        <row r="2833">
          <cell r="C2833" t="str">
            <v>Tân Mai MBA T2 (phía 110kV)</v>
          </cell>
          <cell r="F2833">
            <v>32.1</v>
          </cell>
          <cell r="H2833">
            <v>29</v>
          </cell>
          <cell r="I2833">
            <v>25.7</v>
          </cell>
          <cell r="J2833">
            <v>32.1</v>
          </cell>
          <cell r="K2833">
            <v>27.6</v>
          </cell>
          <cell r="L2833">
            <v>30.4</v>
          </cell>
          <cell r="M2833">
            <v>26.9</v>
          </cell>
        </row>
        <row r="2834">
          <cell r="C2834" t="str">
            <v>Tân Mai MBA T1 (phía 22kV)</v>
          </cell>
          <cell r="F2834">
            <v>-44.4</v>
          </cell>
          <cell r="H2834">
            <v>-40.200000000000003</v>
          </cell>
          <cell r="I2834">
            <v>-44.4</v>
          </cell>
          <cell r="J2834">
            <v>-34</v>
          </cell>
          <cell r="K2834">
            <v>-28.2</v>
          </cell>
          <cell r="L2834">
            <v>-31.1</v>
          </cell>
          <cell r="M2834">
            <v>-28.1</v>
          </cell>
        </row>
        <row r="2835">
          <cell r="C2835" t="str">
            <v>Tân Mai MBA T2 (phía 22kV)</v>
          </cell>
          <cell r="F2835">
            <v>-32.299999999999997</v>
          </cell>
          <cell r="H2835">
            <v>-29.1</v>
          </cell>
          <cell r="I2835">
            <v>-25.8</v>
          </cell>
          <cell r="J2835">
            <v>-32.299999999999997</v>
          </cell>
          <cell r="K2835">
            <v>-27.6</v>
          </cell>
          <cell r="L2835">
            <v>-30.6</v>
          </cell>
          <cell r="M2835">
            <v>-27</v>
          </cell>
        </row>
        <row r="2836">
          <cell r="C2836" t="str">
            <v>110kV 173 Tân Mai - 173 Đồng Nai</v>
          </cell>
          <cell r="E2836">
            <v>0</v>
          </cell>
          <cell r="F2836">
            <v>0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</row>
        <row r="2837">
          <cell r="C2837" t="str">
            <v>110kV 171 Tân Phú - 172 Định Quán</v>
          </cell>
          <cell r="E2837">
            <v>0</v>
          </cell>
          <cell r="F2837">
            <v>0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</row>
        <row r="2838">
          <cell r="C2838" t="str">
            <v>110kV 172 Tân Phú - 172 Đạ Tẻh</v>
          </cell>
          <cell r="F2838">
            <v>-26</v>
          </cell>
          <cell r="H2838">
            <v>-23.9</v>
          </cell>
          <cell r="I2838">
            <v>-23</v>
          </cell>
          <cell r="J2838">
            <v>-26</v>
          </cell>
          <cell r="K2838">
            <v>-23.1</v>
          </cell>
          <cell r="L2838">
            <v>-22.9</v>
          </cell>
          <cell r="M2838">
            <v>-23.3</v>
          </cell>
        </row>
        <row r="2839">
          <cell r="C2839" t="str">
            <v>Tân Phú MBA T1 (phía 110kV)</v>
          </cell>
          <cell r="F2839">
            <v>15</v>
          </cell>
          <cell r="H2839">
            <v>15</v>
          </cell>
          <cell r="I2839">
            <v>14</v>
          </cell>
          <cell r="J2839">
            <v>15</v>
          </cell>
          <cell r="K2839">
            <v>14</v>
          </cell>
          <cell r="L2839">
            <v>14</v>
          </cell>
          <cell r="M2839">
            <v>14</v>
          </cell>
        </row>
        <row r="2840">
          <cell r="C2840" t="str">
            <v>Tân Phú MBA T1 (phía 22kV)</v>
          </cell>
          <cell r="F2840">
            <v>-15</v>
          </cell>
          <cell r="H2840">
            <v>-14</v>
          </cell>
          <cell r="I2840">
            <v>-14</v>
          </cell>
          <cell r="J2840">
            <v>-15</v>
          </cell>
          <cell r="K2840">
            <v>-14</v>
          </cell>
          <cell r="L2840">
            <v>-14</v>
          </cell>
          <cell r="M2840">
            <v>-14</v>
          </cell>
        </row>
        <row r="2841">
          <cell r="C2841" t="str">
            <v>Tân Phú MBA T2 (phía 110kV)</v>
          </cell>
          <cell r="F2841">
            <v>10.3</v>
          </cell>
          <cell r="H2841">
            <v>8.9</v>
          </cell>
          <cell r="I2841">
            <v>8.5</v>
          </cell>
          <cell r="J2841">
            <v>10.3</v>
          </cell>
          <cell r="K2841">
            <v>9.5</v>
          </cell>
          <cell r="L2841">
            <v>8.6</v>
          </cell>
          <cell r="M2841">
            <v>9</v>
          </cell>
        </row>
        <row r="2842">
          <cell r="C2842" t="str">
            <v>Tân Phú MBA T2 (phía 22kV)</v>
          </cell>
          <cell r="F2842">
            <v>-10.3</v>
          </cell>
          <cell r="H2842">
            <v>-8.9</v>
          </cell>
          <cell r="I2842">
            <v>-8.4</v>
          </cell>
          <cell r="J2842">
            <v>-10.3</v>
          </cell>
          <cell r="K2842">
            <v>-9.5</v>
          </cell>
          <cell r="L2842">
            <v>-8.6999999999999993</v>
          </cell>
          <cell r="M2842">
            <v>-9</v>
          </cell>
        </row>
        <row r="2843">
          <cell r="C2843" t="str">
            <v>Tân Quy MBA T1 (phía 110kV)</v>
          </cell>
          <cell r="F2843">
            <v>21</v>
          </cell>
          <cell r="H2843">
            <v>20.2</v>
          </cell>
          <cell r="I2843">
            <v>19.600000000000001</v>
          </cell>
          <cell r="J2843">
            <v>21</v>
          </cell>
          <cell r="K2843">
            <v>19.2</v>
          </cell>
          <cell r="L2843">
            <v>13</v>
          </cell>
          <cell r="M2843">
            <v>11.6</v>
          </cell>
        </row>
        <row r="2844">
          <cell r="C2844" t="str">
            <v>110kV 171 Tân Quy - 171 Cầu Bông</v>
          </cell>
          <cell r="F2844">
            <v>-53.5</v>
          </cell>
          <cell r="H2844">
            <v>-50.6</v>
          </cell>
          <cell r="I2844">
            <v>-46.3</v>
          </cell>
          <cell r="J2844">
            <v>-53.5</v>
          </cell>
          <cell r="K2844">
            <v>-46.3</v>
          </cell>
          <cell r="L2844">
            <v>-33</v>
          </cell>
          <cell r="M2844">
            <v>-28.6</v>
          </cell>
        </row>
        <row r="2845">
          <cell r="C2845" t="str">
            <v>Tân Quy MBA T2 (phía 110kV)</v>
          </cell>
          <cell r="F2845">
            <v>32.5</v>
          </cell>
          <cell r="H2845">
            <v>30.2</v>
          </cell>
          <cell r="I2845">
            <v>27.9</v>
          </cell>
          <cell r="J2845">
            <v>32.5</v>
          </cell>
          <cell r="K2845">
            <v>28</v>
          </cell>
          <cell r="L2845">
            <v>19.899999999999999</v>
          </cell>
          <cell r="M2845">
            <v>17.3</v>
          </cell>
        </row>
        <row r="2846">
          <cell r="C2846" t="str">
            <v>110kV 172 Tân Quy - 172 Phú Hòa Đông</v>
          </cell>
          <cell r="E2846">
            <v>0</v>
          </cell>
          <cell r="F2846">
            <v>0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</row>
        <row r="2847">
          <cell r="C2847" t="str">
            <v>Tân Quy MBA T1 (phía 22kV)</v>
          </cell>
          <cell r="F2847">
            <v>-7.4</v>
          </cell>
          <cell r="H2847">
            <v>-7.4</v>
          </cell>
          <cell r="I2847">
            <v>-6</v>
          </cell>
          <cell r="J2847">
            <v>-7.1</v>
          </cell>
          <cell r="K2847">
            <v>-6.2</v>
          </cell>
          <cell r="L2847">
            <v>-4.7</v>
          </cell>
          <cell r="M2847">
            <v>-4.2</v>
          </cell>
        </row>
        <row r="2848">
          <cell r="C2848" t="str">
            <v>Tân Quy MBA T2 (phía 22kV)</v>
          </cell>
          <cell r="F2848">
            <v>-31</v>
          </cell>
          <cell r="H2848">
            <v>-27.8</v>
          </cell>
          <cell r="I2848">
            <v>-26</v>
          </cell>
          <cell r="J2848">
            <v>-31</v>
          </cell>
          <cell r="K2848">
            <v>-25.9</v>
          </cell>
          <cell r="L2848">
            <v>-18.100000000000001</v>
          </cell>
          <cell r="M2848">
            <v>-15.4</v>
          </cell>
        </row>
        <row r="2849">
          <cell r="C2849" t="str">
            <v>Tân Sơn Nhất  MBA T2 (phía 110kV)</v>
          </cell>
          <cell r="F2849">
            <v>48.5</v>
          </cell>
          <cell r="H2849">
            <v>48.5</v>
          </cell>
          <cell r="I2849">
            <v>38.5</v>
          </cell>
          <cell r="J2849">
            <v>40.799999999999997</v>
          </cell>
          <cell r="K2849">
            <v>36.9</v>
          </cell>
          <cell r="L2849">
            <v>33.5</v>
          </cell>
          <cell r="M2849">
            <v>31.4</v>
          </cell>
        </row>
        <row r="2850">
          <cell r="C2850" t="str">
            <v>110kV 172 Tân Sơn Nhất - 173 Xa Lộ</v>
          </cell>
          <cell r="F2850">
            <v>-67.2</v>
          </cell>
          <cell r="H2850">
            <v>-48.6</v>
          </cell>
          <cell r="I2850">
            <v>-38.4</v>
          </cell>
          <cell r="J2850">
            <v>-41</v>
          </cell>
          <cell r="K2850">
            <v>-36.5</v>
          </cell>
          <cell r="L2850">
            <v>-33.700000000000003</v>
          </cell>
          <cell r="M2850">
            <v>-67.2</v>
          </cell>
        </row>
        <row r="2851">
          <cell r="C2851" t="str">
            <v>110kV 171 Tân Sơn Nhất - 171 Bình Lợi</v>
          </cell>
          <cell r="E2851">
            <v>0</v>
          </cell>
          <cell r="F2851">
            <v>-45.6</v>
          </cell>
          <cell r="H2851">
            <v>-45.4</v>
          </cell>
          <cell r="I2851">
            <v>-39.200000000000003</v>
          </cell>
          <cell r="J2851">
            <v>-45.6</v>
          </cell>
          <cell r="K2851">
            <v>-38.9</v>
          </cell>
          <cell r="L2851">
            <v>-34.700000000000003</v>
          </cell>
          <cell r="M2851">
            <v>0</v>
          </cell>
        </row>
        <row r="2852">
          <cell r="C2852" t="str">
            <v>Tân Sơn Nhất  MBA T1 (phía 110kV)</v>
          </cell>
          <cell r="F2852">
            <v>45.8</v>
          </cell>
          <cell r="H2852">
            <v>45.3</v>
          </cell>
          <cell r="I2852">
            <v>39.4</v>
          </cell>
          <cell r="J2852">
            <v>45.8</v>
          </cell>
          <cell r="K2852">
            <v>39</v>
          </cell>
          <cell r="L2852">
            <v>34.799999999999997</v>
          </cell>
          <cell r="M2852">
            <v>35.299999999999997</v>
          </cell>
        </row>
        <row r="2853">
          <cell r="C2853" t="str">
            <v>Tân Sơn Nhất MBA T2 (phía 22kV)</v>
          </cell>
          <cell r="F2853">
            <v>-48.1</v>
          </cell>
          <cell r="H2853">
            <v>-48.1</v>
          </cell>
          <cell r="I2853">
            <v>-38.5</v>
          </cell>
          <cell r="J2853">
            <v>-40.9</v>
          </cell>
          <cell r="K2853">
            <v>-36.799999999999997</v>
          </cell>
          <cell r="L2853">
            <v>-33.200000000000003</v>
          </cell>
          <cell r="M2853">
            <v>-31.5</v>
          </cell>
        </row>
        <row r="2854">
          <cell r="C2854" t="str">
            <v>Tân Sơn Nhất MBA T1 (phía 22kV)</v>
          </cell>
          <cell r="F2854">
            <v>-45.7</v>
          </cell>
          <cell r="H2854">
            <v>-45.2</v>
          </cell>
          <cell r="I2854">
            <v>-38.9</v>
          </cell>
          <cell r="J2854">
            <v>-45.7</v>
          </cell>
          <cell r="K2854">
            <v>-38.4</v>
          </cell>
          <cell r="L2854">
            <v>-34.299999999999997</v>
          </cell>
          <cell r="M2854">
            <v>-35</v>
          </cell>
        </row>
        <row r="2855">
          <cell r="C2855" t="str">
            <v>Tân Tạo MBA T1 (phía 110kV)</v>
          </cell>
          <cell r="D2855">
            <v>131</v>
          </cell>
          <cell r="E2855">
            <v>25.3</v>
          </cell>
          <cell r="F2855">
            <v>44</v>
          </cell>
          <cell r="G2855">
            <v>44</v>
          </cell>
          <cell r="H2855">
            <v>34.700000000000003</v>
          </cell>
          <cell r="I2855">
            <v>43.1</v>
          </cell>
          <cell r="J2855">
            <v>41.4</v>
          </cell>
          <cell r="K2855">
            <v>39.299999999999997</v>
          </cell>
          <cell r="L2855">
            <v>26</v>
          </cell>
          <cell r="M2855">
            <v>25.3</v>
          </cell>
        </row>
        <row r="2856">
          <cell r="C2856" t="str">
            <v>Tân Tạo MBA T2 (phía 110kV)</v>
          </cell>
          <cell r="D2856">
            <v>132</v>
          </cell>
          <cell r="E2856">
            <v>24.6</v>
          </cell>
          <cell r="F2856">
            <v>43.1</v>
          </cell>
          <cell r="G2856">
            <v>39.6</v>
          </cell>
          <cell r="H2856">
            <v>42.3</v>
          </cell>
          <cell r="I2856">
            <v>39.299999999999997</v>
          </cell>
          <cell r="J2856">
            <v>43.1</v>
          </cell>
          <cell r="K2856">
            <v>39.5</v>
          </cell>
          <cell r="L2856">
            <v>25.1</v>
          </cell>
          <cell r="M2856">
            <v>24.6</v>
          </cell>
        </row>
        <row r="2857">
          <cell r="C2857" t="str">
            <v>110kV 171 Tân Tạo - 177 Tân Túc</v>
          </cell>
          <cell r="D2857">
            <v>171</v>
          </cell>
          <cell r="E2857">
            <v>0</v>
          </cell>
          <cell r="F2857">
            <v>0</v>
          </cell>
          <cell r="G2857">
            <v>0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</row>
        <row r="2858">
          <cell r="C2858" t="str">
            <v>110kV 172 Tân Tạo - 178 Phú Lâm</v>
          </cell>
          <cell r="D2858">
            <v>172</v>
          </cell>
          <cell r="E2858">
            <v>-48.8</v>
          </cell>
          <cell r="F2858">
            <v>-84.4</v>
          </cell>
          <cell r="G2858">
            <v>-81.5</v>
          </cell>
          <cell r="H2858">
            <v>-77</v>
          </cell>
          <cell r="I2858">
            <v>-81.2</v>
          </cell>
          <cell r="J2858">
            <v>-84.4</v>
          </cell>
          <cell r="K2858">
            <v>-78.5</v>
          </cell>
          <cell r="L2858">
            <v>-51.1</v>
          </cell>
          <cell r="M2858">
            <v>-48.8</v>
          </cell>
        </row>
        <row r="2859">
          <cell r="C2859" t="str">
            <v>Tân Tạo MBA T1 (phía 22kV)</v>
          </cell>
          <cell r="D2859">
            <v>431</v>
          </cell>
          <cell r="E2859">
            <v>-13.6</v>
          </cell>
          <cell r="F2859">
            <v>-24.6</v>
          </cell>
          <cell r="G2859">
            <v>-24.6</v>
          </cell>
          <cell r="H2859">
            <v>-19.2</v>
          </cell>
          <cell r="I2859">
            <v>-22.8</v>
          </cell>
          <cell r="J2859">
            <v>-21.7</v>
          </cell>
          <cell r="K2859">
            <v>-20.6</v>
          </cell>
          <cell r="L2859">
            <v>-15</v>
          </cell>
          <cell r="M2859">
            <v>-13.6</v>
          </cell>
        </row>
        <row r="2860">
          <cell r="C2860" t="str">
            <v>Tân Tạo MBA T2 (phía 22kV)</v>
          </cell>
          <cell r="D2860">
            <v>432</v>
          </cell>
          <cell r="E2860">
            <v>-19</v>
          </cell>
          <cell r="F2860">
            <v>-31.7</v>
          </cell>
          <cell r="G2860">
            <v>-29.1</v>
          </cell>
          <cell r="H2860">
            <v>-31.7</v>
          </cell>
          <cell r="I2860">
            <v>-29.8</v>
          </cell>
          <cell r="J2860">
            <v>-31.5</v>
          </cell>
          <cell r="K2860">
            <v>-29.2</v>
          </cell>
          <cell r="L2860">
            <v>-19.2</v>
          </cell>
          <cell r="M2860">
            <v>-19</v>
          </cell>
        </row>
        <row r="2861">
          <cell r="C2861" t="str">
            <v>Tân Tập MBA T1 (phía 110kV)</v>
          </cell>
          <cell r="F2861">
            <v>14</v>
          </cell>
          <cell r="H2861">
            <v>14</v>
          </cell>
          <cell r="I2861">
            <v>12.8</v>
          </cell>
          <cell r="J2861">
            <v>13.9</v>
          </cell>
          <cell r="K2861">
            <v>12.9</v>
          </cell>
          <cell r="L2861">
            <v>12.7</v>
          </cell>
          <cell r="M2861">
            <v>13</v>
          </cell>
        </row>
        <row r="2862">
          <cell r="C2862" t="str">
            <v>Tân Tập MBA T1 (phía 22kV)</v>
          </cell>
          <cell r="F2862">
            <v>-14.1</v>
          </cell>
          <cell r="H2862">
            <v>-14.1</v>
          </cell>
          <cell r="I2862">
            <v>-12.8</v>
          </cell>
          <cell r="J2862">
            <v>-14</v>
          </cell>
          <cell r="K2862">
            <v>-12.8</v>
          </cell>
          <cell r="L2862">
            <v>-12.8</v>
          </cell>
          <cell r="M2862">
            <v>-13</v>
          </cell>
        </row>
        <row r="2863">
          <cell r="C2863" t="str">
            <v>Tân Thành MBA AT1 (phía 220kV)</v>
          </cell>
          <cell r="F2863">
            <v>139.9</v>
          </cell>
          <cell r="H2863">
            <v>139.9</v>
          </cell>
          <cell r="I2863">
            <v>126</v>
          </cell>
          <cell r="J2863">
            <v>88.3</v>
          </cell>
          <cell r="K2863">
            <v>120.3</v>
          </cell>
          <cell r="L2863">
            <v>115.1</v>
          </cell>
          <cell r="M2863">
            <v>130.6</v>
          </cell>
        </row>
        <row r="2864">
          <cell r="C2864" t="str">
            <v>Tân Thành MBA AT1 (phía 110kV)</v>
          </cell>
          <cell r="F2864">
            <v>-139.69999999999999</v>
          </cell>
          <cell r="H2864">
            <v>-139.69999999999999</v>
          </cell>
          <cell r="I2864">
            <v>-127.8</v>
          </cell>
          <cell r="J2864">
            <v>-88.3</v>
          </cell>
          <cell r="K2864">
            <v>-120.1</v>
          </cell>
          <cell r="L2864">
            <v>-114.3</v>
          </cell>
          <cell r="M2864">
            <v>-129.6</v>
          </cell>
        </row>
        <row r="2865">
          <cell r="C2865" t="str">
            <v>Tân Thành MBA AT2 (phía 220kV)</v>
          </cell>
          <cell r="F2865">
            <v>140.80000000000001</v>
          </cell>
          <cell r="H2865">
            <v>140.80000000000001</v>
          </cell>
          <cell r="I2865">
            <v>127.5</v>
          </cell>
          <cell r="J2865">
            <v>88.4</v>
          </cell>
          <cell r="K2865">
            <v>120.2</v>
          </cell>
          <cell r="L2865">
            <v>113.9</v>
          </cell>
          <cell r="M2865">
            <v>129.5</v>
          </cell>
        </row>
        <row r="2866">
          <cell r="C2866" t="str">
            <v>Tân Thành MBA AT2 (phía 110kV)</v>
          </cell>
          <cell r="F2866">
            <v>-139.9</v>
          </cell>
          <cell r="H2866">
            <v>-139.9</v>
          </cell>
          <cell r="I2866">
            <v>-126.6</v>
          </cell>
          <cell r="J2866">
            <v>-88.2</v>
          </cell>
          <cell r="K2866">
            <v>-119.6</v>
          </cell>
          <cell r="L2866">
            <v>-114.3</v>
          </cell>
          <cell r="M2866">
            <v>-130.69999999999999</v>
          </cell>
        </row>
        <row r="2867">
          <cell r="C2867" t="str">
            <v>220kV 271 Tân Thành - 271 NMĐ Phú Mỹ 1</v>
          </cell>
          <cell r="F2867">
            <v>-168.7</v>
          </cell>
          <cell r="H2867">
            <v>-168.7</v>
          </cell>
          <cell r="I2867">
            <v>-70.599999999999994</v>
          </cell>
          <cell r="J2867">
            <v>166.7</v>
          </cell>
          <cell r="K2867">
            <v>-134.30000000000001</v>
          </cell>
          <cell r="L2867">
            <v>-138.80000000000001</v>
          </cell>
          <cell r="M2867">
            <v>-137.69999999999999</v>
          </cell>
        </row>
        <row r="2868">
          <cell r="C2868" t="str">
            <v>220kV 272 Tân Thành - 273 Vũng Tàu 2</v>
          </cell>
          <cell r="F2868">
            <v>133.6</v>
          </cell>
          <cell r="H2868">
            <v>133.6</v>
          </cell>
          <cell r="I2868">
            <v>26.5</v>
          </cell>
          <cell r="J2868">
            <v>83.5</v>
          </cell>
          <cell r="K2868">
            <v>94.3</v>
          </cell>
          <cell r="L2868">
            <v>89.4</v>
          </cell>
          <cell r="M2868">
            <v>94.9</v>
          </cell>
        </row>
        <row r="2869">
          <cell r="C2869" t="str">
            <v>220kV 273 Tân Thành - 272 NMĐ Phú Mỹ 1</v>
          </cell>
          <cell r="F2869">
            <v>-167.5</v>
          </cell>
          <cell r="H2869">
            <v>-167.5</v>
          </cell>
          <cell r="I2869">
            <v>-68.7</v>
          </cell>
          <cell r="J2869">
            <v>167</v>
          </cell>
          <cell r="K2869">
            <v>-133.80000000000001</v>
          </cell>
          <cell r="L2869">
            <v>-143.69999999999999</v>
          </cell>
          <cell r="M2869">
            <v>-139.5</v>
          </cell>
        </row>
        <row r="2870">
          <cell r="C2870" t="str">
            <v>220kV 274 Tân Thành - 272 NMĐ Bà Rịa</v>
          </cell>
          <cell r="F2870">
            <v>147.4</v>
          </cell>
          <cell r="H2870">
            <v>147.4</v>
          </cell>
          <cell r="I2870">
            <v>-54.6</v>
          </cell>
          <cell r="J2870">
            <v>90</v>
          </cell>
          <cell r="K2870">
            <v>105.5</v>
          </cell>
          <cell r="L2870">
            <v>102.2</v>
          </cell>
          <cell r="M2870">
            <v>107.2</v>
          </cell>
        </row>
        <row r="2871">
          <cell r="C2871" t="str">
            <v>220kV 275 Tân Thành - 271 CHÂU ĐỨC 2</v>
          </cell>
          <cell r="F2871">
            <v>-371.3</v>
          </cell>
          <cell r="H2871">
            <v>-371.3</v>
          </cell>
          <cell r="I2871">
            <v>-238</v>
          </cell>
          <cell r="J2871">
            <v>-318.8</v>
          </cell>
          <cell r="K2871">
            <v>-321.7</v>
          </cell>
          <cell r="L2871">
            <v>-250.6</v>
          </cell>
          <cell r="M2871">
            <v>-283.39999999999998</v>
          </cell>
        </row>
        <row r="2872">
          <cell r="C2872" t="str">
            <v>220kV 276 Tân Thành - 271 Hàm Tân 2</v>
          </cell>
          <cell r="F2872">
            <v>-288.60000000000002</v>
          </cell>
          <cell r="H2872">
            <v>-288.60000000000002</v>
          </cell>
          <cell r="I2872">
            <v>-195</v>
          </cell>
          <cell r="J2872">
            <v>-243.6</v>
          </cell>
          <cell r="K2872">
            <v>-253.7</v>
          </cell>
          <cell r="L2872">
            <v>-219.4</v>
          </cell>
          <cell r="M2872">
            <v>-227.2</v>
          </cell>
        </row>
        <row r="2873">
          <cell r="C2873" t="str">
            <v>110kV 171 Tân Thành - 171 Fuco</v>
          </cell>
          <cell r="F2873">
            <v>96.2</v>
          </cell>
          <cell r="H2873">
            <v>96.2</v>
          </cell>
          <cell r="I2873">
            <v>94.9</v>
          </cell>
          <cell r="J2873">
            <v>76.599999999999994</v>
          </cell>
          <cell r="K2873">
            <v>93.3</v>
          </cell>
          <cell r="L2873">
            <v>92.7</v>
          </cell>
          <cell r="M2873">
            <v>86.9</v>
          </cell>
        </row>
        <row r="2874">
          <cell r="C2874" t="str">
            <v>110kV 172 Tân Thành - 171 Posco</v>
          </cell>
          <cell r="F2874">
            <v>41.6</v>
          </cell>
          <cell r="H2874">
            <v>39.299999999999997</v>
          </cell>
          <cell r="I2874">
            <v>41.6</v>
          </cell>
          <cell r="J2874">
            <v>29.3</v>
          </cell>
          <cell r="K2874">
            <v>37</v>
          </cell>
          <cell r="L2874">
            <v>34.200000000000003</v>
          </cell>
          <cell r="M2874">
            <v>37.200000000000003</v>
          </cell>
        </row>
        <row r="2875">
          <cell r="C2875" t="str">
            <v>110kV 173 Tân Thành - 173 Hyosung Vina Chemicals</v>
          </cell>
          <cell r="F2875">
            <v>34.200000000000003</v>
          </cell>
          <cell r="H2875">
            <v>34.200000000000003</v>
          </cell>
          <cell r="I2875">
            <v>31.7</v>
          </cell>
          <cell r="J2875">
            <v>29.6</v>
          </cell>
          <cell r="K2875">
            <v>26.4</v>
          </cell>
          <cell r="L2875">
            <v>24.8</v>
          </cell>
          <cell r="M2875">
            <v>31.2</v>
          </cell>
        </row>
        <row r="2876">
          <cell r="C2876" t="str">
            <v>110kV 174 Tân Thành - 171 Thị Vải</v>
          </cell>
          <cell r="F2876">
            <v>40.4</v>
          </cell>
          <cell r="H2876">
            <v>40.4</v>
          </cell>
          <cell r="I2876">
            <v>36.9</v>
          </cell>
          <cell r="J2876">
            <v>34.9</v>
          </cell>
          <cell r="K2876">
            <v>22.8</v>
          </cell>
          <cell r="L2876">
            <v>22.9</v>
          </cell>
          <cell r="M2876">
            <v>34.299999999999997</v>
          </cell>
        </row>
        <row r="2877">
          <cell r="C2877" t="str">
            <v>110kV 175 Tân Thành - 171 Tôn Hoa Sen</v>
          </cell>
          <cell r="F2877">
            <v>45</v>
          </cell>
          <cell r="H2877">
            <v>40.6</v>
          </cell>
          <cell r="I2877">
            <v>34.6</v>
          </cell>
          <cell r="J2877">
            <v>28.3</v>
          </cell>
          <cell r="K2877">
            <v>44.3</v>
          </cell>
          <cell r="L2877">
            <v>33.200000000000003</v>
          </cell>
          <cell r="M2877">
            <v>45</v>
          </cell>
        </row>
        <row r="2878">
          <cell r="C2878" t="str">
            <v>110kV 176 Tân Thành - 172 Pomina 2</v>
          </cell>
          <cell r="F2878">
            <v>31.5</v>
          </cell>
          <cell r="H2878">
            <v>25.8</v>
          </cell>
          <cell r="I2878">
            <v>19</v>
          </cell>
          <cell r="J2878">
            <v>15</v>
          </cell>
          <cell r="K2878">
            <v>29.3</v>
          </cell>
          <cell r="L2878">
            <v>23.4</v>
          </cell>
          <cell r="M2878">
            <v>31.5</v>
          </cell>
        </row>
        <row r="2879">
          <cell r="C2879" t="str">
            <v>110kV 177 Tân Thành - 172 Pomina</v>
          </cell>
          <cell r="F2879">
            <v>107.3</v>
          </cell>
          <cell r="H2879">
            <v>107.3</v>
          </cell>
          <cell r="I2879">
            <v>90.2</v>
          </cell>
          <cell r="J2879">
            <v>53.9</v>
          </cell>
          <cell r="K2879">
            <v>106.1</v>
          </cell>
          <cell r="L2879">
            <v>77.2</v>
          </cell>
          <cell r="M2879">
            <v>93.8</v>
          </cell>
        </row>
        <row r="2880">
          <cell r="C2880" t="str">
            <v>110kV 178 Tân Thành - 172 Linde Gas</v>
          </cell>
          <cell r="F2880">
            <v>92.9</v>
          </cell>
          <cell r="H2880">
            <v>87.9</v>
          </cell>
          <cell r="I2880">
            <v>86.2</v>
          </cell>
          <cell r="J2880">
            <v>66</v>
          </cell>
          <cell r="K2880">
            <v>85.2</v>
          </cell>
          <cell r="L2880">
            <v>81.400000000000006</v>
          </cell>
          <cell r="M2880">
            <v>92.9</v>
          </cell>
        </row>
        <row r="2881">
          <cell r="C2881" t="str">
            <v>Tân Thành MBA AT3 (phía 220kV)</v>
          </cell>
          <cell r="F2881">
            <v>142.1</v>
          </cell>
          <cell r="H2881">
            <v>142.1</v>
          </cell>
          <cell r="I2881">
            <v>127.5</v>
          </cell>
          <cell r="J2881">
            <v>89.1</v>
          </cell>
          <cell r="K2881">
            <v>118.4</v>
          </cell>
          <cell r="L2881">
            <v>114.7</v>
          </cell>
          <cell r="M2881">
            <v>131</v>
          </cell>
        </row>
        <row r="2882">
          <cell r="C2882" t="str">
            <v>Tân Thành MBA AT3 (phía 110kV)</v>
          </cell>
          <cell r="F2882">
            <v>-140.19999999999999</v>
          </cell>
          <cell r="H2882">
            <v>-140.19999999999999</v>
          </cell>
          <cell r="I2882">
            <v>-128.30000000000001</v>
          </cell>
          <cell r="J2882">
            <v>-89</v>
          </cell>
          <cell r="K2882">
            <v>-119</v>
          </cell>
          <cell r="L2882">
            <v>-114.6</v>
          </cell>
          <cell r="M2882">
            <v>-131.5</v>
          </cell>
        </row>
        <row r="2883">
          <cell r="C2883" t="str">
            <v>110kV 180 Tân Thành - 171 Thanh Bình</v>
          </cell>
          <cell r="F2883">
            <v>24.8</v>
          </cell>
          <cell r="H2883">
            <v>24.8</v>
          </cell>
          <cell r="I2883">
            <v>19.600000000000001</v>
          </cell>
          <cell r="J2883">
            <v>23</v>
          </cell>
          <cell r="K2883">
            <v>23.9</v>
          </cell>
          <cell r="L2883">
            <v>17.8</v>
          </cell>
          <cell r="M2883">
            <v>16.5</v>
          </cell>
        </row>
        <row r="2884">
          <cell r="C2884" t="str">
            <v>110kV 181 Tân Thành - 172 Thanh Bình</v>
          </cell>
          <cell r="F2884">
            <v>25.7</v>
          </cell>
          <cell r="H2884">
            <v>25.7</v>
          </cell>
          <cell r="I2884">
            <v>21.1</v>
          </cell>
          <cell r="J2884">
            <v>25</v>
          </cell>
          <cell r="K2884">
            <v>25.1</v>
          </cell>
          <cell r="L2884">
            <v>19.100000000000001</v>
          </cell>
          <cell r="M2884">
            <v>17.8</v>
          </cell>
        </row>
        <row r="2885">
          <cell r="C2885" t="str">
            <v>110kV 171 Tân Thạnh - 174 Cai Lậy</v>
          </cell>
          <cell r="F2885">
            <v>-62.1</v>
          </cell>
          <cell r="H2885">
            <v>-59.5</v>
          </cell>
          <cell r="I2885">
            <v>-51</v>
          </cell>
          <cell r="J2885">
            <v>-62.1</v>
          </cell>
          <cell r="K2885">
            <v>-50.4</v>
          </cell>
          <cell r="L2885">
            <v>-54.3</v>
          </cell>
          <cell r="M2885">
            <v>-53.6</v>
          </cell>
        </row>
        <row r="2886">
          <cell r="C2886" t="str">
            <v>110kV 172 Tân Thạnh - 171 Mộc Hóa</v>
          </cell>
          <cell r="F2886">
            <v>43</v>
          </cell>
          <cell r="H2886">
            <v>40.5</v>
          </cell>
          <cell r="I2886">
            <v>36.799999999999997</v>
          </cell>
          <cell r="J2886">
            <v>43</v>
          </cell>
          <cell r="K2886">
            <v>36.5</v>
          </cell>
          <cell r="L2886">
            <v>39.6</v>
          </cell>
          <cell r="M2886">
            <v>38.700000000000003</v>
          </cell>
        </row>
        <row r="2887">
          <cell r="C2887" t="str">
            <v>110kV 173 Tân Thạnh - 171 Thạnh Hóa</v>
          </cell>
          <cell r="F2887">
            <v>-33.5</v>
          </cell>
          <cell r="H2887">
            <v>23.5</v>
          </cell>
          <cell r="I2887">
            <v>17.2</v>
          </cell>
          <cell r="J2887">
            <v>-22.8</v>
          </cell>
          <cell r="K2887">
            <v>-33.5</v>
          </cell>
          <cell r="L2887">
            <v>16.899999999999999</v>
          </cell>
          <cell r="M2887">
            <v>-21.3</v>
          </cell>
        </row>
        <row r="2888">
          <cell r="C2888" t="str">
            <v>110kV 171 Tân Thuận - 171 NMĐ Hiệp Phước</v>
          </cell>
          <cell r="F2888">
            <v>-97.7</v>
          </cell>
          <cell r="H2888">
            <v>-97.7</v>
          </cell>
          <cell r="I2888">
            <v>-93</v>
          </cell>
          <cell r="J2888">
            <v>-95.8</v>
          </cell>
          <cell r="K2888">
            <v>-92.9</v>
          </cell>
          <cell r="L2888">
            <v>-53.2</v>
          </cell>
          <cell r="M2888">
            <v>-54.4</v>
          </cell>
        </row>
        <row r="2889">
          <cell r="C2889" t="str">
            <v>110kV 172 Tân Thuận - 171 Phú Mỹ Hưng</v>
          </cell>
          <cell r="E2889">
            <v>0</v>
          </cell>
          <cell r="F2889">
            <v>0</v>
          </cell>
          <cell r="H2889">
            <v>0</v>
          </cell>
          <cell r="I2889">
            <v>0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</row>
        <row r="2890">
          <cell r="C2890" t="str">
            <v>Tân Thuận MBA T1 (phía 110kV)</v>
          </cell>
          <cell r="F2890">
            <v>33.5</v>
          </cell>
          <cell r="H2890">
            <v>27.4</v>
          </cell>
          <cell r="I2890">
            <v>25.4</v>
          </cell>
          <cell r="J2890">
            <v>26.4</v>
          </cell>
          <cell r="K2890">
            <v>33.5</v>
          </cell>
          <cell r="L2890">
            <v>16.3</v>
          </cell>
          <cell r="M2890">
            <v>15.7</v>
          </cell>
        </row>
        <row r="2891">
          <cell r="C2891" t="str">
            <v>Tân Thuận MBA T2 (phía 110kV)</v>
          </cell>
          <cell r="F2891">
            <v>16.899999999999999</v>
          </cell>
          <cell r="H2891">
            <v>16.899999999999999</v>
          </cell>
          <cell r="I2891">
            <v>16.100000000000001</v>
          </cell>
          <cell r="J2891">
            <v>16.899999999999999</v>
          </cell>
          <cell r="K2891">
            <v>15.4</v>
          </cell>
          <cell r="L2891">
            <v>11.3</v>
          </cell>
          <cell r="M2891">
            <v>10.3</v>
          </cell>
        </row>
        <row r="2892">
          <cell r="C2892" t="str">
            <v>Tân Thuận MBA T3 (phía 110kV)</v>
          </cell>
          <cell r="F2892">
            <v>24.9</v>
          </cell>
          <cell r="H2892">
            <v>24.9</v>
          </cell>
          <cell r="I2892">
            <v>23</v>
          </cell>
          <cell r="J2892">
            <v>24.3</v>
          </cell>
          <cell r="K2892">
            <v>23.2</v>
          </cell>
          <cell r="L2892">
            <v>10.4</v>
          </cell>
          <cell r="M2892">
            <v>10.5</v>
          </cell>
        </row>
        <row r="2893">
          <cell r="C2893" t="str">
            <v>Tân Thuận MBA T4 (phía 110kV)</v>
          </cell>
          <cell r="F2893">
            <v>33.9</v>
          </cell>
          <cell r="H2893">
            <v>27.1</v>
          </cell>
          <cell r="I2893">
            <v>26.4</v>
          </cell>
          <cell r="J2893">
            <v>26.9</v>
          </cell>
          <cell r="K2893">
            <v>33.9</v>
          </cell>
          <cell r="L2893">
            <v>13.7</v>
          </cell>
          <cell r="M2893">
            <v>15</v>
          </cell>
        </row>
        <row r="2894">
          <cell r="C2894" t="str">
            <v>Tân Thuận MBA T1 (phía 22kV)</v>
          </cell>
          <cell r="F2894">
            <v>-32.1</v>
          </cell>
          <cell r="H2894">
            <v>-25.9</v>
          </cell>
          <cell r="I2894">
            <v>-24.1</v>
          </cell>
          <cell r="J2894">
            <v>-25.3</v>
          </cell>
          <cell r="K2894">
            <v>-32.1</v>
          </cell>
          <cell r="L2894">
            <v>-15.6</v>
          </cell>
          <cell r="M2894">
            <v>-15</v>
          </cell>
        </row>
        <row r="2895">
          <cell r="C2895" t="str">
            <v>Tân Thuận MBA T2 (phía 22kV)</v>
          </cell>
          <cell r="F2895">
            <v>-16.899999999999999</v>
          </cell>
          <cell r="H2895">
            <v>-16.899999999999999</v>
          </cell>
          <cell r="I2895">
            <v>-16.2</v>
          </cell>
          <cell r="J2895">
            <v>-16.899999999999999</v>
          </cell>
          <cell r="K2895">
            <v>-15.3</v>
          </cell>
          <cell r="L2895">
            <v>-11.3</v>
          </cell>
          <cell r="M2895">
            <v>-10.4</v>
          </cell>
        </row>
        <row r="2896">
          <cell r="C2896" t="str">
            <v>Tân Thuận MBA T3 (phía 22kV)</v>
          </cell>
          <cell r="F2896">
            <v>-29</v>
          </cell>
          <cell r="H2896">
            <v>-29</v>
          </cell>
          <cell r="I2896">
            <v>-27.2</v>
          </cell>
          <cell r="J2896">
            <v>-28.3</v>
          </cell>
          <cell r="K2896">
            <v>-27</v>
          </cell>
          <cell r="L2896">
            <v>-14.4</v>
          </cell>
          <cell r="M2896">
            <v>-14.6</v>
          </cell>
        </row>
        <row r="2897">
          <cell r="C2897" t="str">
            <v>Tân Thuận MBA T4 (phía 22kV)</v>
          </cell>
          <cell r="F2897">
            <v>-33</v>
          </cell>
          <cell r="H2897">
            <v>-26.4</v>
          </cell>
          <cell r="I2897">
            <v>-25.5</v>
          </cell>
          <cell r="J2897">
            <v>-26.1</v>
          </cell>
          <cell r="K2897">
            <v>-33</v>
          </cell>
          <cell r="L2897">
            <v>-13.2</v>
          </cell>
          <cell r="M2897">
            <v>-14.4</v>
          </cell>
        </row>
        <row r="2898">
          <cell r="C2898" t="str">
            <v>110kV 176 Tân Túc - 171 KCN Vĩnh Lộc 2</v>
          </cell>
          <cell r="F2898">
            <v>-68.8</v>
          </cell>
          <cell r="H2898">
            <v>-68.8</v>
          </cell>
          <cell r="I2898">
            <v>-54.5</v>
          </cell>
          <cell r="J2898">
            <v>-58.3</v>
          </cell>
          <cell r="K2898">
            <v>-53.4</v>
          </cell>
          <cell r="L2898">
            <v>-36.1</v>
          </cell>
          <cell r="M2898">
            <v>-33.700000000000003</v>
          </cell>
        </row>
        <row r="2899">
          <cell r="C2899" t="str">
            <v>110kV 177 Tân Túc - 171 Tân Tạo</v>
          </cell>
          <cell r="E2899">
            <v>0</v>
          </cell>
          <cell r="F2899">
            <v>0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</row>
        <row r="2900">
          <cell r="C2900" t="str">
            <v>Tân Túc MBA T1 (phía 110kV)</v>
          </cell>
          <cell r="F2900">
            <v>37.9</v>
          </cell>
          <cell r="H2900">
            <v>37.9</v>
          </cell>
          <cell r="I2900">
            <v>25.4</v>
          </cell>
          <cell r="J2900">
            <v>28.3</v>
          </cell>
          <cell r="K2900">
            <v>25.4</v>
          </cell>
          <cell r="L2900">
            <v>21.2</v>
          </cell>
          <cell r="M2900">
            <v>16.3</v>
          </cell>
        </row>
        <row r="2901">
          <cell r="C2901" t="str">
            <v>Tân Túc MBA T2 (phía 110kV)</v>
          </cell>
          <cell r="F2901">
            <v>30.7</v>
          </cell>
          <cell r="H2901">
            <v>30.7</v>
          </cell>
          <cell r="I2901">
            <v>29.4</v>
          </cell>
          <cell r="J2901">
            <v>30.6</v>
          </cell>
          <cell r="K2901">
            <v>28.1</v>
          </cell>
          <cell r="L2901">
            <v>18</v>
          </cell>
          <cell r="M2901">
            <v>17.5</v>
          </cell>
        </row>
        <row r="2902">
          <cell r="C2902" t="str">
            <v>Tân Túc MBA T1 (phía 22kV)</v>
          </cell>
          <cell r="F2902">
            <v>-37.799999999999997</v>
          </cell>
          <cell r="H2902">
            <v>-37.799999999999997</v>
          </cell>
          <cell r="I2902">
            <v>-25.4</v>
          </cell>
          <cell r="J2902">
            <v>-27.7</v>
          </cell>
          <cell r="K2902">
            <v>-25.4</v>
          </cell>
          <cell r="L2902">
            <v>-21</v>
          </cell>
          <cell r="M2902">
            <v>-16.8</v>
          </cell>
        </row>
        <row r="2903">
          <cell r="C2903" t="str">
            <v>Tân Túc MBA T2 (phía 22kV)</v>
          </cell>
          <cell r="F2903">
            <v>-31.1</v>
          </cell>
          <cell r="H2903">
            <v>-31.1</v>
          </cell>
          <cell r="I2903">
            <v>-29.5</v>
          </cell>
          <cell r="J2903">
            <v>-30.7</v>
          </cell>
          <cell r="K2903">
            <v>-28.1</v>
          </cell>
          <cell r="L2903">
            <v>-18.600000000000001</v>
          </cell>
          <cell r="M2903">
            <v>-17.8</v>
          </cell>
        </row>
        <row r="2904">
          <cell r="C2904" t="str">
            <v>110kV 171 Tân Uyên - 178 Uyên Hưng</v>
          </cell>
          <cell r="F2904">
            <v>-117.1</v>
          </cell>
          <cell r="H2904">
            <v>-112.9</v>
          </cell>
          <cell r="I2904">
            <v>-112.5</v>
          </cell>
          <cell r="J2904">
            <v>-117.1</v>
          </cell>
          <cell r="K2904">
            <v>-112.2</v>
          </cell>
          <cell r="L2904">
            <v>-77.8</v>
          </cell>
          <cell r="M2904">
            <v>-67.900000000000006</v>
          </cell>
        </row>
        <row r="2905">
          <cell r="C2905" t="str">
            <v>110kV 172 Tân Uyên - 171 Khánh Bình</v>
          </cell>
          <cell r="F2905">
            <v>59.8</v>
          </cell>
          <cell r="H2905">
            <v>59.4</v>
          </cell>
          <cell r="I2905">
            <v>56.4</v>
          </cell>
          <cell r="J2905">
            <v>59.8</v>
          </cell>
          <cell r="K2905">
            <v>54.2</v>
          </cell>
          <cell r="L2905">
            <v>32.700000000000003</v>
          </cell>
          <cell r="M2905">
            <v>32.9</v>
          </cell>
        </row>
        <row r="2906">
          <cell r="C2906" t="str">
            <v>Tân Uyên MBA T1 (phía 110kV)</v>
          </cell>
          <cell r="F2906">
            <v>56.2</v>
          </cell>
          <cell r="H2906">
            <v>53.3</v>
          </cell>
          <cell r="I2906">
            <v>53.5</v>
          </cell>
          <cell r="J2906">
            <v>54.2</v>
          </cell>
          <cell r="K2906">
            <v>56.2</v>
          </cell>
          <cell r="L2906">
            <v>44.5</v>
          </cell>
          <cell r="M2906">
            <v>38.799999999999997</v>
          </cell>
        </row>
        <row r="2907">
          <cell r="C2907" t="str">
            <v>Tân Uyên MBA T2 (phía 110kV)</v>
          </cell>
          <cell r="F2907">
            <v>58.6</v>
          </cell>
          <cell r="H2907">
            <v>54.5</v>
          </cell>
          <cell r="I2907">
            <v>55.7</v>
          </cell>
          <cell r="J2907">
            <v>58.6</v>
          </cell>
          <cell r="K2907">
            <v>52.8</v>
          </cell>
          <cell r="L2907">
            <v>37.700000000000003</v>
          </cell>
          <cell r="M2907">
            <v>35.799999999999997</v>
          </cell>
        </row>
        <row r="2908">
          <cell r="C2908" t="str">
            <v>Tân Uyên MBA T1 (phía 22kV)</v>
          </cell>
          <cell r="F2908">
            <v>-56.5</v>
          </cell>
          <cell r="H2908">
            <v>-53.7</v>
          </cell>
          <cell r="I2908">
            <v>-53.3</v>
          </cell>
          <cell r="J2908">
            <v>-54.8</v>
          </cell>
          <cell r="K2908">
            <v>-56.5</v>
          </cell>
          <cell r="L2908">
            <v>-44.7</v>
          </cell>
          <cell r="M2908">
            <v>-38.4</v>
          </cell>
        </row>
        <row r="2909">
          <cell r="C2909" t="str">
            <v>Tân Uyên MBA T2 (phía 22kV)</v>
          </cell>
          <cell r="F2909">
            <v>-58.6</v>
          </cell>
          <cell r="H2909">
            <v>-53.9</v>
          </cell>
          <cell r="I2909">
            <v>-55.8</v>
          </cell>
          <cell r="J2909">
            <v>-58.6</v>
          </cell>
          <cell r="K2909">
            <v>-52.7</v>
          </cell>
          <cell r="L2909">
            <v>-37.200000000000003</v>
          </cell>
          <cell r="M2909">
            <v>-35.9</v>
          </cell>
        </row>
        <row r="2910">
          <cell r="C2910" t="str">
            <v>110kV 174 Tân Uyên - 179 Uyên Hưng</v>
          </cell>
          <cell r="F2910">
            <v>-53.7</v>
          </cell>
          <cell r="H2910">
            <v>-51.3</v>
          </cell>
          <cell r="I2910">
            <v>-51.3</v>
          </cell>
          <cell r="J2910">
            <v>-53.7</v>
          </cell>
          <cell r="K2910">
            <v>-50.2</v>
          </cell>
          <cell r="L2910">
            <v>-35.299999999999997</v>
          </cell>
          <cell r="M2910">
            <v>-30.5</v>
          </cell>
        </row>
        <row r="2911">
          <cell r="C2911" t="str">
            <v>500kV 571 Tân Uyên 500 - 583 Sông Mây</v>
          </cell>
          <cell r="F2911">
            <v>-420.8</v>
          </cell>
          <cell r="H2911">
            <v>-411.2</v>
          </cell>
          <cell r="I2911">
            <v>-395.1</v>
          </cell>
          <cell r="J2911">
            <v>-327.10000000000002</v>
          </cell>
          <cell r="K2911">
            <v>-420.8</v>
          </cell>
          <cell r="L2911">
            <v>-285.7</v>
          </cell>
          <cell r="M2911">
            <v>-342.6</v>
          </cell>
        </row>
        <row r="2912">
          <cell r="C2912" t="str">
            <v>500kV 572 Tân Uyên 500</v>
          </cell>
          <cell r="F2912">
            <v>-1048.7</v>
          </cell>
          <cell r="H2912">
            <v>-1048.7</v>
          </cell>
          <cell r="I2912">
            <v>-871.7</v>
          </cell>
          <cell r="J2912">
            <v>-948.8</v>
          </cell>
          <cell r="K2912">
            <v>-945.7</v>
          </cell>
          <cell r="L2912">
            <v>-769.3</v>
          </cell>
          <cell r="M2912">
            <v>-816.5</v>
          </cell>
        </row>
        <row r="2913">
          <cell r="C2913" t="str">
            <v>Tân Uyên 500 MBA AT1 (phía 500kV)</v>
          </cell>
          <cell r="F2913">
            <v>631.20000000000005</v>
          </cell>
          <cell r="H2913">
            <v>631.20000000000005</v>
          </cell>
          <cell r="I2913">
            <v>548.79999999999995</v>
          </cell>
          <cell r="J2913">
            <v>585.79999999999995</v>
          </cell>
          <cell r="K2913">
            <v>566.29999999999995</v>
          </cell>
          <cell r="L2913">
            <v>460.6</v>
          </cell>
          <cell r="M2913">
            <v>438.3</v>
          </cell>
        </row>
        <row r="2914">
          <cell r="C2914" t="str">
            <v>Tân Uyên 500 MBA AT1 (phía 220kV)</v>
          </cell>
          <cell r="F2914">
            <v>-629.5</v>
          </cell>
          <cell r="H2914">
            <v>-629.5</v>
          </cell>
          <cell r="I2914">
            <v>-548</v>
          </cell>
          <cell r="J2914">
            <v>-584.9</v>
          </cell>
          <cell r="K2914">
            <v>-566.6</v>
          </cell>
          <cell r="L2914">
            <v>-458.1</v>
          </cell>
          <cell r="M2914">
            <v>-437.1</v>
          </cell>
        </row>
        <row r="2915">
          <cell r="C2915" t="str">
            <v>Tân Uyên 500 MBA AT6 (phía 220kV)</v>
          </cell>
          <cell r="F2915">
            <v>0.2</v>
          </cell>
          <cell r="H2915">
            <v>0.2</v>
          </cell>
          <cell r="I2915">
            <v>0.2</v>
          </cell>
          <cell r="J2915">
            <v>0.2</v>
          </cell>
          <cell r="K2915">
            <v>0.2</v>
          </cell>
          <cell r="L2915">
            <v>0.2</v>
          </cell>
          <cell r="M2915">
            <v>0.2</v>
          </cell>
        </row>
        <row r="2916">
          <cell r="C2916" t="str">
            <v>220kV 274 Tân Uyên 500 - 273 Thuận An</v>
          </cell>
          <cell r="F2916">
            <v>308.5</v>
          </cell>
          <cell r="H2916">
            <v>293.60000000000002</v>
          </cell>
          <cell r="I2916">
            <v>281.8</v>
          </cell>
          <cell r="J2916">
            <v>308.5</v>
          </cell>
          <cell r="K2916">
            <v>289.89999999999998</v>
          </cell>
          <cell r="L2916">
            <v>218.8</v>
          </cell>
          <cell r="M2916">
            <v>202.9</v>
          </cell>
        </row>
        <row r="2917">
          <cell r="C2917" t="str">
            <v>220kV 275 Tân Uyên 500 - 272 Thuận An</v>
          </cell>
          <cell r="F2917">
            <v>312.89999999999998</v>
          </cell>
          <cell r="H2917">
            <v>298.3</v>
          </cell>
          <cell r="I2917">
            <v>285.89999999999998</v>
          </cell>
          <cell r="J2917">
            <v>312.89999999999998</v>
          </cell>
          <cell r="K2917">
            <v>293.8</v>
          </cell>
          <cell r="L2917">
            <v>224.6</v>
          </cell>
          <cell r="M2917">
            <v>265.2</v>
          </cell>
        </row>
        <row r="2918">
          <cell r="C2918" t="str">
            <v>220kV 276 Tân Uyên 500 - 273 Thủ Đức</v>
          </cell>
          <cell r="F2918">
            <v>293.8</v>
          </cell>
          <cell r="H2918">
            <v>293.8</v>
          </cell>
          <cell r="I2918">
            <v>231.4</v>
          </cell>
          <cell r="J2918">
            <v>274.2</v>
          </cell>
          <cell r="K2918">
            <v>228.7</v>
          </cell>
          <cell r="L2918">
            <v>222</v>
          </cell>
          <cell r="M2918">
            <v>258.7</v>
          </cell>
        </row>
        <row r="2919">
          <cell r="C2919" t="str">
            <v>220kV 277 Tân Uyên 500 - 274 Thủ Đức</v>
          </cell>
          <cell r="F2919">
            <v>267.10000000000002</v>
          </cell>
          <cell r="H2919">
            <v>267.10000000000002</v>
          </cell>
          <cell r="I2919">
            <v>211.1</v>
          </cell>
          <cell r="J2919">
            <v>245.2</v>
          </cell>
          <cell r="K2919">
            <v>207.7</v>
          </cell>
          <cell r="L2919">
            <v>200.4</v>
          </cell>
          <cell r="M2919">
            <v>196.4</v>
          </cell>
        </row>
        <row r="2920">
          <cell r="C2920" t="str">
            <v>220kV 278 Tân Uyên 500 - 271 Long Bình</v>
          </cell>
          <cell r="F2920">
            <v>176.6</v>
          </cell>
          <cell r="H2920">
            <v>176.6</v>
          </cell>
          <cell r="I2920">
            <v>121.3</v>
          </cell>
          <cell r="J2920">
            <v>90.8</v>
          </cell>
          <cell r="K2920">
            <v>143.1</v>
          </cell>
          <cell r="L2920">
            <v>114.2</v>
          </cell>
          <cell r="M2920">
            <v>151</v>
          </cell>
        </row>
        <row r="2921">
          <cell r="C2921" t="str">
            <v>220kV 279 Tân Uyên 500 - 272 Long Bình</v>
          </cell>
          <cell r="F2921">
            <v>121.7</v>
          </cell>
          <cell r="H2921">
            <v>121.7</v>
          </cell>
          <cell r="I2921">
            <v>83.4</v>
          </cell>
          <cell r="J2921">
            <v>48.9</v>
          </cell>
          <cell r="K2921">
            <v>106.6</v>
          </cell>
          <cell r="L2921">
            <v>84.2</v>
          </cell>
          <cell r="M2921">
            <v>100.9</v>
          </cell>
        </row>
        <row r="2922">
          <cell r="C2922" t="str">
            <v>Tân Uyên 500 MBA AT6 (phía 110kV)</v>
          </cell>
          <cell r="E2922">
            <v>0</v>
          </cell>
          <cell r="F2922">
            <v>0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</row>
        <row r="2923">
          <cell r="C2923" t="str">
            <v>Tân Uyên 500 MBA AT2 (phía 500kV)</v>
          </cell>
          <cell r="F2923">
            <v>679.8</v>
          </cell>
          <cell r="H2923">
            <v>679.8</v>
          </cell>
          <cell r="I2923">
            <v>591.6</v>
          </cell>
          <cell r="J2923">
            <v>631.20000000000005</v>
          </cell>
          <cell r="K2923">
            <v>610.79999999999995</v>
          </cell>
          <cell r="L2923">
            <v>485</v>
          </cell>
          <cell r="M2923">
            <v>476.2</v>
          </cell>
        </row>
        <row r="2924">
          <cell r="C2924" t="str">
            <v>Tân Uyên 500 MBA AT2 (phía 220kV)</v>
          </cell>
          <cell r="F2924">
            <v>-677.1</v>
          </cell>
          <cell r="H2924">
            <v>-677.1</v>
          </cell>
          <cell r="I2924">
            <v>-590.20000000000005</v>
          </cell>
          <cell r="J2924">
            <v>-628.29999999999995</v>
          </cell>
          <cell r="K2924">
            <v>-608.29999999999995</v>
          </cell>
          <cell r="L2924">
            <v>-482.7</v>
          </cell>
          <cell r="M2924">
            <v>-475.5</v>
          </cell>
        </row>
        <row r="2925">
          <cell r="C2925" t="str">
            <v>Tân Uyên 500 MBA AT5 (phía 220kV)</v>
          </cell>
          <cell r="E2925">
            <v>0</v>
          </cell>
          <cell r="F2925">
            <v>0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</row>
        <row r="2926">
          <cell r="C2926" t="str">
            <v>Tân Uyên 500 MBA AT5 (phía 110kV)</v>
          </cell>
          <cell r="E2926">
            <v>0</v>
          </cell>
          <cell r="F2926">
            <v>0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</row>
        <row r="2927">
          <cell r="C2927" t="str">
            <v>110kV 172 Tăng Nhơn Phú - 174 Công Nghệ Cao</v>
          </cell>
          <cell r="F2927">
            <v>-44.1</v>
          </cell>
          <cell r="H2927">
            <v>-44.1</v>
          </cell>
          <cell r="I2927">
            <v>-40.299999999999997</v>
          </cell>
          <cell r="J2927">
            <v>23.6</v>
          </cell>
          <cell r="K2927">
            <v>-40.9</v>
          </cell>
          <cell r="L2927">
            <v>-43.5</v>
          </cell>
          <cell r="M2927">
            <v>-40.5</v>
          </cell>
        </row>
        <row r="2928">
          <cell r="C2928" t="str">
            <v>110kV 173 Tăng Nhơn Phú - 172 Thủ Đức Đông - 172 Cát Lái</v>
          </cell>
          <cell r="F2928">
            <v>-63.5</v>
          </cell>
          <cell r="H2928">
            <v>-9.8000000000000007</v>
          </cell>
          <cell r="I2928">
            <v>-7.8</v>
          </cell>
          <cell r="J2928">
            <v>-63.5</v>
          </cell>
          <cell r="K2928">
            <v>-8.1</v>
          </cell>
          <cell r="L2928">
            <v>10.8</v>
          </cell>
          <cell r="M2928">
            <v>8.1</v>
          </cell>
        </row>
        <row r="2929">
          <cell r="C2929" t="str">
            <v>110kV 174 Tăng Nhơn Phú - (172-7) Intel</v>
          </cell>
          <cell r="F2929">
            <v>-5.5</v>
          </cell>
          <cell r="H2929">
            <v>-5.5</v>
          </cell>
          <cell r="I2929">
            <v>-4.4000000000000004</v>
          </cell>
          <cell r="J2929">
            <v>-2.9</v>
          </cell>
          <cell r="K2929">
            <v>-4.0999999999999996</v>
          </cell>
          <cell r="L2929">
            <v>-0.5</v>
          </cell>
          <cell r="M2929">
            <v>1.1000000000000001</v>
          </cell>
        </row>
        <row r="2930">
          <cell r="C2930" t="str">
            <v>Tăng Nhơn Phú MBA T1 (phía 110kV)</v>
          </cell>
          <cell r="F2930">
            <v>30.8</v>
          </cell>
          <cell r="H2930">
            <v>26</v>
          </cell>
          <cell r="I2930">
            <v>25.6</v>
          </cell>
          <cell r="J2930">
            <v>29.9</v>
          </cell>
          <cell r="K2930">
            <v>30.8</v>
          </cell>
          <cell r="L2930">
            <v>22.5</v>
          </cell>
          <cell r="M2930">
            <v>23.9</v>
          </cell>
        </row>
        <row r="2931">
          <cell r="C2931" t="str">
            <v>Tăng Nhơn Phú MBA T2 (phía 110kV)</v>
          </cell>
          <cell r="F2931">
            <v>22.2</v>
          </cell>
          <cell r="H2931">
            <v>22.2</v>
          </cell>
          <cell r="I2931">
            <v>20.8</v>
          </cell>
          <cell r="J2931">
            <v>14</v>
          </cell>
          <cell r="K2931">
            <v>15.5</v>
          </cell>
          <cell r="L2931">
            <v>12</v>
          </cell>
          <cell r="M2931">
            <v>11.6</v>
          </cell>
        </row>
        <row r="2932">
          <cell r="C2932" t="str">
            <v>Tăng Nhơn Phú MBA T1 (phía 22kV)</v>
          </cell>
          <cell r="F2932">
            <v>-30.8</v>
          </cell>
          <cell r="H2932">
            <v>-26.3</v>
          </cell>
          <cell r="I2932">
            <v>-25.2</v>
          </cell>
          <cell r="J2932">
            <v>-29.3</v>
          </cell>
          <cell r="K2932">
            <v>-30.8</v>
          </cell>
          <cell r="L2932">
            <v>-22.5</v>
          </cell>
          <cell r="M2932">
            <v>-24.2</v>
          </cell>
        </row>
        <row r="2933">
          <cell r="C2933" t="str">
            <v>Tăng Nhơn Phú MBA T2 (phía 22kV)</v>
          </cell>
          <cell r="F2933">
            <v>-23.2</v>
          </cell>
          <cell r="H2933">
            <v>-23.2</v>
          </cell>
          <cell r="I2933">
            <v>-20.9</v>
          </cell>
          <cell r="J2933">
            <v>-13.7</v>
          </cell>
          <cell r="K2933">
            <v>-15</v>
          </cell>
          <cell r="L2933">
            <v>-12.2</v>
          </cell>
          <cell r="M2933">
            <v>-11.1</v>
          </cell>
        </row>
        <row r="2934">
          <cell r="C2934" t="str">
            <v>220kV 272 Tao Đàn - 278 Nhà Bè</v>
          </cell>
          <cell r="F2934">
            <v>-208.7</v>
          </cell>
          <cell r="H2934">
            <v>-208.7</v>
          </cell>
          <cell r="I2934">
            <v>-160.19999999999999</v>
          </cell>
          <cell r="J2934">
            <v>-176.7</v>
          </cell>
          <cell r="K2934">
            <v>-160.5</v>
          </cell>
          <cell r="L2934">
            <v>-131.69999999999999</v>
          </cell>
          <cell r="M2934">
            <v>-121</v>
          </cell>
        </row>
        <row r="2935">
          <cell r="C2935" t="str">
            <v>220kV 273 Tao Đàn - 277 Nhà Bè</v>
          </cell>
          <cell r="F2935">
            <v>-222.6</v>
          </cell>
          <cell r="H2935">
            <v>-222.6</v>
          </cell>
          <cell r="I2935">
            <v>-173</v>
          </cell>
          <cell r="J2935">
            <v>-192.8</v>
          </cell>
          <cell r="K2935">
            <v>-174.1</v>
          </cell>
          <cell r="L2935">
            <v>-136.30000000000001</v>
          </cell>
          <cell r="M2935">
            <v>-126.6</v>
          </cell>
        </row>
        <row r="2936">
          <cell r="C2936" t="str">
            <v>Tao Đàn MBA AT1 (phía 220kV)</v>
          </cell>
          <cell r="F2936">
            <v>210.7</v>
          </cell>
          <cell r="H2936">
            <v>210.7</v>
          </cell>
          <cell r="I2936">
            <v>166.1</v>
          </cell>
          <cell r="J2936">
            <v>182.5</v>
          </cell>
          <cell r="K2936">
            <v>166.4</v>
          </cell>
          <cell r="L2936">
            <v>134.5</v>
          </cell>
          <cell r="M2936">
            <v>125</v>
          </cell>
        </row>
        <row r="2937">
          <cell r="C2937" t="str">
            <v>Tao Đàn MBA AT1 (phía 110kV)</v>
          </cell>
          <cell r="F2937">
            <v>-212.1</v>
          </cell>
          <cell r="H2937">
            <v>-212.1</v>
          </cell>
          <cell r="I2937">
            <v>-167</v>
          </cell>
          <cell r="J2937">
            <v>-184</v>
          </cell>
          <cell r="K2937">
            <v>-167.7</v>
          </cell>
          <cell r="L2937">
            <v>-135.9</v>
          </cell>
          <cell r="M2937">
            <v>-125.6</v>
          </cell>
        </row>
        <row r="2938">
          <cell r="C2938" t="str">
            <v>Tao Đàn MBA AT2 (phía 220kV)</v>
          </cell>
          <cell r="F2938">
            <v>218.5</v>
          </cell>
          <cell r="H2938">
            <v>218.5</v>
          </cell>
          <cell r="I2938">
            <v>168.1</v>
          </cell>
          <cell r="J2938">
            <v>188.6</v>
          </cell>
          <cell r="K2938">
            <v>169.1</v>
          </cell>
          <cell r="L2938">
            <v>134.69999999999999</v>
          </cell>
          <cell r="M2938">
            <v>124.4</v>
          </cell>
        </row>
        <row r="2939">
          <cell r="C2939" t="str">
            <v>Tao Đàn MBA AT2 (phía 110kV)</v>
          </cell>
          <cell r="F2939">
            <v>-216.7</v>
          </cell>
          <cell r="H2939">
            <v>-216.7</v>
          </cell>
          <cell r="I2939">
            <v>-168.5</v>
          </cell>
          <cell r="J2939">
            <v>-188</v>
          </cell>
          <cell r="K2939">
            <v>-168.8</v>
          </cell>
          <cell r="L2939">
            <v>-134.9</v>
          </cell>
          <cell r="M2939">
            <v>-125.1</v>
          </cell>
        </row>
        <row r="2940">
          <cell r="C2940" t="str">
            <v>110kV 173 Tao Đàn - 171 Bến Thành</v>
          </cell>
          <cell r="F2940">
            <v>44.1</v>
          </cell>
          <cell r="H2940">
            <v>44.1</v>
          </cell>
          <cell r="I2940">
            <v>32</v>
          </cell>
          <cell r="J2940">
            <v>31.5</v>
          </cell>
          <cell r="K2940">
            <v>29.1</v>
          </cell>
          <cell r="L2940">
            <v>20.399999999999999</v>
          </cell>
          <cell r="M2940">
            <v>18.600000000000001</v>
          </cell>
        </row>
        <row r="2941">
          <cell r="C2941" t="str">
            <v>110kV 174 Tao Đàn - 172 Bến Thành</v>
          </cell>
          <cell r="E2941">
            <v>0</v>
          </cell>
          <cell r="F2941">
            <v>0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</row>
        <row r="2942">
          <cell r="C2942" t="str">
            <v>110kV 175 Tao Đàn - 172 Hòa Hưng</v>
          </cell>
          <cell r="F2942">
            <v>50.7</v>
          </cell>
          <cell r="H2942">
            <v>50.7</v>
          </cell>
          <cell r="I2942">
            <v>37.799999999999997</v>
          </cell>
          <cell r="J2942">
            <v>44.5</v>
          </cell>
          <cell r="K2942">
            <v>39.200000000000003</v>
          </cell>
          <cell r="L2942">
            <v>37.700000000000003</v>
          </cell>
          <cell r="M2942">
            <v>38.5</v>
          </cell>
        </row>
        <row r="2943">
          <cell r="C2943" t="str">
            <v>110kV 176 Tao Đàn - 172 Trường Đua</v>
          </cell>
          <cell r="F2943">
            <v>99</v>
          </cell>
          <cell r="H2943">
            <v>99</v>
          </cell>
          <cell r="I2943">
            <v>73.400000000000006</v>
          </cell>
          <cell r="J2943">
            <v>88.7</v>
          </cell>
          <cell r="K2943">
            <v>77</v>
          </cell>
          <cell r="L2943">
            <v>68.099999999999994</v>
          </cell>
          <cell r="M2943">
            <v>68.400000000000006</v>
          </cell>
        </row>
        <row r="2944">
          <cell r="C2944" t="str">
            <v>110kV 177 Tao Đàn - 171 Thị Nghè</v>
          </cell>
          <cell r="F2944">
            <v>39.6</v>
          </cell>
          <cell r="H2944">
            <v>39.6</v>
          </cell>
          <cell r="I2944">
            <v>34.6</v>
          </cell>
          <cell r="J2944">
            <v>36.200000000000003</v>
          </cell>
          <cell r="K2944">
            <v>34.200000000000003</v>
          </cell>
          <cell r="L2944">
            <v>26.3</v>
          </cell>
          <cell r="M2944">
            <v>22</v>
          </cell>
        </row>
        <row r="2945">
          <cell r="C2945" t="str">
            <v>110kV 178 Tao Đàn - 172 Thị Nghè</v>
          </cell>
          <cell r="F2945">
            <v>39.6</v>
          </cell>
          <cell r="H2945">
            <v>39.6</v>
          </cell>
          <cell r="I2945">
            <v>34.6</v>
          </cell>
          <cell r="J2945">
            <v>36.5</v>
          </cell>
          <cell r="K2945">
            <v>34.5</v>
          </cell>
          <cell r="L2945">
            <v>26.6</v>
          </cell>
          <cell r="M2945">
            <v>21.7</v>
          </cell>
        </row>
        <row r="2946">
          <cell r="C2946" t="str">
            <v>110kV 180 Tao Đàn - 172 Đa Kao</v>
          </cell>
          <cell r="F2946">
            <v>92.6</v>
          </cell>
          <cell r="H2946">
            <v>92.6</v>
          </cell>
          <cell r="I2946">
            <v>69</v>
          </cell>
          <cell r="J2946">
            <v>87.7</v>
          </cell>
          <cell r="K2946">
            <v>77.3</v>
          </cell>
          <cell r="L2946">
            <v>63.2</v>
          </cell>
          <cell r="M2946">
            <v>58.1</v>
          </cell>
        </row>
        <row r="2947">
          <cell r="C2947" t="str">
            <v>Tao Đàn MBA T3 (phía 110kV)</v>
          </cell>
          <cell r="F2947">
            <v>45.7</v>
          </cell>
          <cell r="H2947">
            <v>45.7</v>
          </cell>
          <cell r="I2947">
            <v>36.799999999999997</v>
          </cell>
          <cell r="J2947">
            <v>31.7</v>
          </cell>
          <cell r="K2947">
            <v>29.1</v>
          </cell>
          <cell r="L2947">
            <v>18.399999999999999</v>
          </cell>
          <cell r="M2947">
            <v>16.5</v>
          </cell>
        </row>
        <row r="2948">
          <cell r="C2948" t="str">
            <v>Tao Đàn MBA T3 (phía 22kV)</v>
          </cell>
          <cell r="F2948">
            <v>-8.4</v>
          </cell>
          <cell r="H2948">
            <v>-8.4</v>
          </cell>
          <cell r="I2948">
            <v>-8</v>
          </cell>
          <cell r="J2948">
            <v>-4.0999999999999996</v>
          </cell>
          <cell r="K2948">
            <v>-3.5</v>
          </cell>
          <cell r="L2948">
            <v>-2.7</v>
          </cell>
          <cell r="M2948">
            <v>-2.7</v>
          </cell>
        </row>
        <row r="2949">
          <cell r="C2949" t="str">
            <v>Tao Đàn MBA T4 (phía 110kV)</v>
          </cell>
          <cell r="F2949">
            <v>19.100000000000001</v>
          </cell>
          <cell r="H2949">
            <v>19.100000000000001</v>
          </cell>
          <cell r="I2949">
            <v>16.5</v>
          </cell>
          <cell r="J2949">
            <v>15.2</v>
          </cell>
          <cell r="K2949">
            <v>14.5</v>
          </cell>
          <cell r="L2949">
            <v>7.3</v>
          </cell>
          <cell r="M2949">
            <v>7.1</v>
          </cell>
        </row>
        <row r="2950">
          <cell r="C2950" t="str">
            <v>Tao Đàn MBA T4 (phía 22kV)</v>
          </cell>
          <cell r="E2950">
            <v>0</v>
          </cell>
          <cell r="F2950">
            <v>0</v>
          </cell>
          <cell r="H2950">
            <v>0</v>
          </cell>
          <cell r="I2950">
            <v>0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</row>
        <row r="2951">
          <cell r="C2951" t="str">
            <v>110kV 171 Tây Ninh - 179 Tây Ninh 2</v>
          </cell>
          <cell r="F2951">
            <v>-57.3</v>
          </cell>
          <cell r="H2951">
            <v>-54.5</v>
          </cell>
          <cell r="I2951">
            <v>-44.5</v>
          </cell>
          <cell r="J2951">
            <v>-57.3</v>
          </cell>
          <cell r="K2951">
            <v>-54.2</v>
          </cell>
          <cell r="L2951">
            <v>-52.2</v>
          </cell>
          <cell r="M2951">
            <v>-49.7</v>
          </cell>
        </row>
        <row r="2952">
          <cell r="C2952" t="str">
            <v>110kV 172 Tây Ninh - 180 Tây Ninh 2</v>
          </cell>
          <cell r="F2952">
            <v>-66.7</v>
          </cell>
          <cell r="H2952">
            <v>-53.9</v>
          </cell>
          <cell r="I2952">
            <v>-44</v>
          </cell>
          <cell r="J2952">
            <v>-56.6</v>
          </cell>
          <cell r="K2952">
            <v>-53.6</v>
          </cell>
          <cell r="L2952">
            <v>-66.7</v>
          </cell>
          <cell r="M2952">
            <v>-49.3</v>
          </cell>
        </row>
        <row r="2953">
          <cell r="C2953" t="str">
            <v>Tây Ninh MBA T1 (phía 110kV)</v>
          </cell>
          <cell r="F2953">
            <v>40.4</v>
          </cell>
          <cell r="H2953">
            <v>38.1</v>
          </cell>
          <cell r="I2953">
            <v>32.299999999999997</v>
          </cell>
          <cell r="J2953">
            <v>40.4</v>
          </cell>
          <cell r="K2953">
            <v>37</v>
          </cell>
          <cell r="L2953">
            <v>36.9</v>
          </cell>
          <cell r="M2953">
            <v>37.1</v>
          </cell>
        </row>
        <row r="2954">
          <cell r="C2954" t="str">
            <v>Tây Ninh MBA T2 (phía 110kV)</v>
          </cell>
          <cell r="F2954">
            <v>37.799999999999997</v>
          </cell>
          <cell r="H2954">
            <v>37.799999999999997</v>
          </cell>
          <cell r="I2954">
            <v>30.5</v>
          </cell>
          <cell r="J2954">
            <v>37.799999999999997</v>
          </cell>
          <cell r="K2954">
            <v>34.4</v>
          </cell>
          <cell r="L2954">
            <v>34.1</v>
          </cell>
          <cell r="M2954">
            <v>31.2</v>
          </cell>
        </row>
        <row r="2955">
          <cell r="C2955" t="str">
            <v>Tây Ninh MBA T1 (phía 22kV)</v>
          </cell>
          <cell r="F2955">
            <v>-40.4</v>
          </cell>
          <cell r="H2955">
            <v>-38.1</v>
          </cell>
          <cell r="I2955">
            <v>-32.200000000000003</v>
          </cell>
          <cell r="J2955">
            <v>-40.4</v>
          </cell>
          <cell r="K2955">
            <v>-37</v>
          </cell>
          <cell r="L2955">
            <v>-36.9</v>
          </cell>
          <cell r="M2955">
            <v>-37</v>
          </cell>
        </row>
        <row r="2956">
          <cell r="C2956" t="str">
            <v>Tây Ninh MBA T2 (phía 22kV)</v>
          </cell>
          <cell r="F2956">
            <v>-37.9</v>
          </cell>
          <cell r="H2956">
            <v>-37.9</v>
          </cell>
          <cell r="I2956">
            <v>-30.6</v>
          </cell>
          <cell r="J2956">
            <v>-37.9</v>
          </cell>
          <cell r="K2956">
            <v>-34.5</v>
          </cell>
          <cell r="L2956">
            <v>-34.1</v>
          </cell>
          <cell r="M2956">
            <v>-31.2</v>
          </cell>
        </row>
        <row r="2957">
          <cell r="C2957" t="str">
            <v>110kV 173 Tây Ninh - 172 Suối Dộp</v>
          </cell>
          <cell r="F2957">
            <v>36.5</v>
          </cell>
          <cell r="H2957">
            <v>32.5</v>
          </cell>
          <cell r="I2957">
            <v>28.7</v>
          </cell>
          <cell r="J2957">
            <v>35.700000000000003</v>
          </cell>
          <cell r="K2957">
            <v>36.5</v>
          </cell>
          <cell r="L2957">
            <v>34</v>
          </cell>
          <cell r="M2957">
            <v>31.7</v>
          </cell>
        </row>
        <row r="2958">
          <cell r="C2958" t="str">
            <v>110kV 174 Tây Ninh - 172 Thạnh Đức</v>
          </cell>
          <cell r="E2958">
            <v>0</v>
          </cell>
          <cell r="F2958">
            <v>23.9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0</v>
          </cell>
          <cell r="M2958">
            <v>23.9</v>
          </cell>
        </row>
        <row r="2959">
          <cell r="C2959" t="str">
            <v>220kV 271 Tây Ninh 2 - 275 Trảng Bàng 2</v>
          </cell>
          <cell r="F2959">
            <v>217.3</v>
          </cell>
          <cell r="H2959">
            <v>217.3</v>
          </cell>
          <cell r="I2959">
            <v>129.30000000000001</v>
          </cell>
          <cell r="J2959">
            <v>141.4</v>
          </cell>
          <cell r="K2959">
            <v>165.8</v>
          </cell>
          <cell r="L2959">
            <v>109.2</v>
          </cell>
          <cell r="M2959">
            <v>158.1</v>
          </cell>
        </row>
        <row r="2960">
          <cell r="C2960" t="str">
            <v>220kV 272 Tây Ninh 2 - 271 Bàu Đồn</v>
          </cell>
          <cell r="F2960">
            <v>214.7</v>
          </cell>
          <cell r="H2960">
            <v>214.7</v>
          </cell>
          <cell r="I2960">
            <v>127.6</v>
          </cell>
          <cell r="J2960">
            <v>139.5</v>
          </cell>
          <cell r="K2960">
            <v>164</v>
          </cell>
          <cell r="L2960">
            <v>107.7</v>
          </cell>
          <cell r="M2960">
            <v>156.69999999999999</v>
          </cell>
        </row>
        <row r="2961">
          <cell r="C2961" t="str">
            <v>Tây Ninh 2 MBA AT1 (phía 220kV)</v>
          </cell>
          <cell r="F2961">
            <v>208.3</v>
          </cell>
          <cell r="H2961">
            <v>197.2</v>
          </cell>
          <cell r="I2961">
            <v>176.2</v>
          </cell>
          <cell r="J2961">
            <v>208.3</v>
          </cell>
          <cell r="K2961">
            <v>196.6</v>
          </cell>
          <cell r="L2961">
            <v>183.6</v>
          </cell>
          <cell r="M2961">
            <v>184.3</v>
          </cell>
        </row>
        <row r="2962">
          <cell r="C2962" t="str">
            <v>110kV 171 Tây Ninh 2 - 172 Hòa Thành</v>
          </cell>
          <cell r="F2962">
            <v>129.5</v>
          </cell>
          <cell r="H2962">
            <v>128.69999999999999</v>
          </cell>
          <cell r="I2962">
            <v>129.5</v>
          </cell>
          <cell r="J2962">
            <v>126.4</v>
          </cell>
          <cell r="K2962">
            <v>127.3</v>
          </cell>
          <cell r="L2962">
            <v>118.3</v>
          </cell>
          <cell r="M2962">
            <v>116.8</v>
          </cell>
        </row>
        <row r="2963">
          <cell r="C2963" t="str">
            <v>110kV 172 Tây Ninh 2 - 171 Dầu Tiếng</v>
          </cell>
          <cell r="F2963">
            <v>75.400000000000006</v>
          </cell>
          <cell r="H2963">
            <v>75.400000000000006</v>
          </cell>
          <cell r="I2963">
            <v>70.099999999999994</v>
          </cell>
          <cell r="J2963">
            <v>75.3</v>
          </cell>
          <cell r="K2963">
            <v>63.8</v>
          </cell>
          <cell r="L2963">
            <v>55.3</v>
          </cell>
          <cell r="M2963">
            <v>53.8</v>
          </cell>
        </row>
        <row r="2964">
          <cell r="C2964" t="str">
            <v>110kV 173 Tây Ninh 2 - 173 Bình Long</v>
          </cell>
          <cell r="E2964">
            <v>0</v>
          </cell>
          <cell r="F2964">
            <v>0</v>
          </cell>
          <cell r="H2964">
            <v>0</v>
          </cell>
          <cell r="I2964">
            <v>0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</row>
        <row r="2965">
          <cell r="C2965" t="str">
            <v>110kV 174 Tây Ninh 2 - 171 NMĐ Bourbon</v>
          </cell>
          <cell r="F2965">
            <v>112.2</v>
          </cell>
          <cell r="H2965">
            <v>91.2</v>
          </cell>
          <cell r="I2965">
            <v>80.400000000000006</v>
          </cell>
          <cell r="J2965">
            <v>109.7</v>
          </cell>
          <cell r="K2965">
            <v>105.7</v>
          </cell>
          <cell r="L2965">
            <v>106.3</v>
          </cell>
          <cell r="M2965">
            <v>112.2</v>
          </cell>
        </row>
        <row r="2966">
          <cell r="C2966" t="str">
            <v>Tây Ninh 2 MBA AT1 (phía 110kV)</v>
          </cell>
          <cell r="F2966">
            <v>-208.2</v>
          </cell>
          <cell r="H2966">
            <v>-196.6</v>
          </cell>
          <cell r="I2966">
            <v>-174.8</v>
          </cell>
          <cell r="J2966">
            <v>-208.2</v>
          </cell>
          <cell r="K2966">
            <v>-195.4</v>
          </cell>
          <cell r="L2966">
            <v>-183.6</v>
          </cell>
          <cell r="M2966">
            <v>-183.5</v>
          </cell>
        </row>
        <row r="2967">
          <cell r="C2967" t="str">
            <v>110kV 179 Tây Ninh 2 - 171 Tây Ninh</v>
          </cell>
          <cell r="F2967">
            <v>57.3</v>
          </cell>
          <cell r="H2967">
            <v>54.1</v>
          </cell>
          <cell r="I2967">
            <v>44</v>
          </cell>
          <cell r="J2967">
            <v>57.3</v>
          </cell>
          <cell r="K2967">
            <v>54</v>
          </cell>
          <cell r="L2967">
            <v>52.1</v>
          </cell>
          <cell r="M2967">
            <v>49.7</v>
          </cell>
        </row>
        <row r="2968">
          <cell r="C2968" t="str">
            <v>110kV 180 Tây Ninh 2 - 172 Tây Ninh</v>
          </cell>
          <cell r="F2968">
            <v>66.8</v>
          </cell>
          <cell r="H2968">
            <v>53.7</v>
          </cell>
          <cell r="I2968">
            <v>43.9</v>
          </cell>
          <cell r="J2968">
            <v>56.4</v>
          </cell>
          <cell r="K2968">
            <v>53.4</v>
          </cell>
          <cell r="L2968">
            <v>66.8</v>
          </cell>
          <cell r="M2968">
            <v>49.3</v>
          </cell>
        </row>
        <row r="2969">
          <cell r="C2969" t="str">
            <v>Tây Ninh 2 MBA AT2 (phía 220kV)</v>
          </cell>
          <cell r="F2969">
            <v>209</v>
          </cell>
          <cell r="H2969">
            <v>197.6</v>
          </cell>
          <cell r="I2969">
            <v>177.1</v>
          </cell>
          <cell r="J2969">
            <v>209</v>
          </cell>
          <cell r="K2969">
            <v>196.3</v>
          </cell>
          <cell r="L2969">
            <v>184</v>
          </cell>
          <cell r="M2969">
            <v>185.1</v>
          </cell>
        </row>
        <row r="2970">
          <cell r="C2970" t="str">
            <v>Tây Ninh 2 MBA AT2 (phía 110kV)</v>
          </cell>
          <cell r="F2970">
            <v>-208.6</v>
          </cell>
          <cell r="H2970">
            <v>-197.2</v>
          </cell>
          <cell r="I2970">
            <v>-176.5</v>
          </cell>
          <cell r="J2970">
            <v>-208.6</v>
          </cell>
          <cell r="K2970">
            <v>-195.8</v>
          </cell>
          <cell r="L2970">
            <v>-184.3</v>
          </cell>
          <cell r="M2970">
            <v>-185.2</v>
          </cell>
        </row>
        <row r="2971">
          <cell r="C2971" t="str">
            <v>220kV 273 Tây Ninh 2 - 273 NMĐ MT Dầu Tiếng 1, 2, 3</v>
          </cell>
          <cell r="F2971">
            <v>-267.7</v>
          </cell>
          <cell r="H2971">
            <v>-267.7</v>
          </cell>
          <cell r="I2971">
            <v>-223.9</v>
          </cell>
          <cell r="J2971">
            <v>-233.8</v>
          </cell>
          <cell r="K2971">
            <v>-258.8</v>
          </cell>
          <cell r="L2971">
            <v>-196.5</v>
          </cell>
          <cell r="M2971">
            <v>-230.2</v>
          </cell>
        </row>
        <row r="2972">
          <cell r="C2972" t="str">
            <v>220kV 274 Tây Ninh 2 - 271 NMĐ MT Dầu Tiếng 1, 2, 3</v>
          </cell>
          <cell r="F2972">
            <v>-269.3</v>
          </cell>
          <cell r="H2972">
            <v>-269.3</v>
          </cell>
          <cell r="I2972">
            <v>-223.4</v>
          </cell>
          <cell r="J2972">
            <v>-233.8</v>
          </cell>
          <cell r="K2972">
            <v>-259.10000000000002</v>
          </cell>
          <cell r="L2972">
            <v>-196.3</v>
          </cell>
          <cell r="M2972">
            <v>-231</v>
          </cell>
        </row>
        <row r="2973">
          <cell r="C2973" t="str">
            <v>110kV 172 Tham Lương - 171 Vĩnh Lộc</v>
          </cell>
          <cell r="F2973">
            <v>51.5</v>
          </cell>
          <cell r="H2973">
            <v>51.5</v>
          </cell>
          <cell r="I2973">
            <v>42.2</v>
          </cell>
          <cell r="J2973">
            <v>43.7</v>
          </cell>
          <cell r="K2973">
            <v>44.2</v>
          </cell>
          <cell r="L2973">
            <v>29.1</v>
          </cell>
          <cell r="M2973">
            <v>25.9</v>
          </cell>
        </row>
        <row r="2974">
          <cell r="C2974" t="str">
            <v>110kV 171 Tham Lương - 172 Hóc Môn</v>
          </cell>
          <cell r="F2974">
            <v>-115.2</v>
          </cell>
          <cell r="H2974">
            <v>-115.2</v>
          </cell>
          <cell r="I2974">
            <v>-97.7</v>
          </cell>
          <cell r="J2974">
            <v>-107.4</v>
          </cell>
          <cell r="K2974">
            <v>-103.1</v>
          </cell>
          <cell r="L2974">
            <v>-98.5</v>
          </cell>
          <cell r="M2974">
            <v>-69.400000000000006</v>
          </cell>
        </row>
        <row r="2975">
          <cell r="C2975" t="str">
            <v>Tham Lương MBA T2 (phía 110kV)</v>
          </cell>
          <cell r="F2975">
            <v>38.1</v>
          </cell>
          <cell r="H2975">
            <v>32.700000000000003</v>
          </cell>
          <cell r="I2975">
            <v>27.8</v>
          </cell>
          <cell r="J2975">
            <v>38.1</v>
          </cell>
          <cell r="K2975">
            <v>33.700000000000003</v>
          </cell>
          <cell r="L2975">
            <v>27.6</v>
          </cell>
          <cell r="M2975">
            <v>24.2</v>
          </cell>
        </row>
        <row r="2976">
          <cell r="C2976" t="str">
            <v>Tham Lương MBA T1 (phía 110kV)</v>
          </cell>
          <cell r="F2976">
            <v>41.6</v>
          </cell>
          <cell r="H2976">
            <v>33</v>
          </cell>
          <cell r="I2976">
            <v>28.5</v>
          </cell>
          <cell r="J2976">
            <v>29.4</v>
          </cell>
          <cell r="K2976">
            <v>26.6</v>
          </cell>
          <cell r="L2976">
            <v>41.6</v>
          </cell>
          <cell r="M2976">
            <v>21.2</v>
          </cell>
        </row>
        <row r="2977">
          <cell r="C2977" t="str">
            <v>Tham Lương MBA T2 (phía 22kV)</v>
          </cell>
          <cell r="F2977">
            <v>-38.1</v>
          </cell>
          <cell r="H2977">
            <v>-32.9</v>
          </cell>
          <cell r="I2977">
            <v>-27.9</v>
          </cell>
          <cell r="J2977">
            <v>-38.1</v>
          </cell>
          <cell r="K2977">
            <v>-33.9</v>
          </cell>
          <cell r="L2977">
            <v>-27.8</v>
          </cell>
          <cell r="M2977">
            <v>-24.2</v>
          </cell>
        </row>
        <row r="2978">
          <cell r="C2978" t="str">
            <v>Tham Lương MBA T1 (phía 22kV)</v>
          </cell>
          <cell r="F2978">
            <v>-41.8</v>
          </cell>
          <cell r="H2978">
            <v>-33.4</v>
          </cell>
          <cell r="I2978">
            <v>-28.4</v>
          </cell>
          <cell r="J2978">
            <v>-29.7</v>
          </cell>
          <cell r="K2978">
            <v>-26.6</v>
          </cell>
          <cell r="L2978">
            <v>-41.8</v>
          </cell>
          <cell r="M2978">
            <v>-21.1</v>
          </cell>
        </row>
        <row r="2979">
          <cell r="C2979" t="str">
            <v>110kV 171 Thắng Hải - 172 NMĐ MT Sơn Mỹ 3.1</v>
          </cell>
          <cell r="F2979">
            <v>-83.7</v>
          </cell>
          <cell r="H2979">
            <v>-83.7</v>
          </cell>
          <cell r="I2979">
            <v>-77.3</v>
          </cell>
          <cell r="J2979">
            <v>-75</v>
          </cell>
          <cell r="K2979">
            <v>-67.7</v>
          </cell>
          <cell r="L2979">
            <v>-65.900000000000006</v>
          </cell>
          <cell r="M2979">
            <v>-73.099999999999994</v>
          </cell>
        </row>
        <row r="2980">
          <cell r="C2980" t="str">
            <v>110kV 172 Thắng Hải - 172 Xuyên Mộc</v>
          </cell>
          <cell r="F2980">
            <v>77.599999999999994</v>
          </cell>
          <cell r="H2980">
            <v>77.599999999999994</v>
          </cell>
          <cell r="I2980">
            <v>71.400000000000006</v>
          </cell>
          <cell r="J2980">
            <v>68.400000000000006</v>
          </cell>
          <cell r="K2980">
            <v>61.8</v>
          </cell>
          <cell r="L2980">
            <v>62.9</v>
          </cell>
          <cell r="M2980">
            <v>66.7</v>
          </cell>
        </row>
        <row r="2981">
          <cell r="C2981" t="str">
            <v>Thắng Hải MBA T1 (phía 110kV)</v>
          </cell>
          <cell r="F2981">
            <v>6.5</v>
          </cell>
          <cell r="H2981">
            <v>6.5</v>
          </cell>
          <cell r="I2981">
            <v>5.5</v>
          </cell>
          <cell r="J2981">
            <v>6.5</v>
          </cell>
          <cell r="K2981">
            <v>5.8</v>
          </cell>
          <cell r="L2981">
            <v>5.2</v>
          </cell>
          <cell r="M2981">
            <v>6.1</v>
          </cell>
        </row>
        <row r="2982">
          <cell r="C2982" t="str">
            <v>Thắng Hải MBA T1 (phía 22kV)</v>
          </cell>
          <cell r="F2982">
            <v>-6.6</v>
          </cell>
          <cell r="H2982">
            <v>-6.4</v>
          </cell>
          <cell r="I2982">
            <v>-5.6</v>
          </cell>
          <cell r="J2982">
            <v>-6.6</v>
          </cell>
          <cell r="K2982">
            <v>-5.8</v>
          </cell>
          <cell r="L2982">
            <v>-5.2</v>
          </cell>
          <cell r="M2982">
            <v>-6.1</v>
          </cell>
        </row>
        <row r="2983">
          <cell r="C2983" t="str">
            <v>110kV 171 Thắng Tam - 172 Vũng Tàu</v>
          </cell>
          <cell r="F2983">
            <v>4.8</v>
          </cell>
          <cell r="H2983">
            <v>2.9</v>
          </cell>
          <cell r="I2983">
            <v>3.1</v>
          </cell>
          <cell r="J2983">
            <v>3.6</v>
          </cell>
          <cell r="K2983">
            <v>4.8</v>
          </cell>
          <cell r="L2983">
            <v>1.9</v>
          </cell>
          <cell r="M2983">
            <v>1.3</v>
          </cell>
        </row>
        <row r="2984">
          <cell r="C2984" t="str">
            <v>110kV 172 Thắng Tam - 179 Vũng Tàu 2</v>
          </cell>
          <cell r="F2984">
            <v>-56.7</v>
          </cell>
          <cell r="H2984">
            <v>-56.7</v>
          </cell>
          <cell r="I2984">
            <v>-43.1</v>
          </cell>
          <cell r="J2984">
            <v>-53.4</v>
          </cell>
          <cell r="K2984">
            <v>-44.9</v>
          </cell>
          <cell r="L2984">
            <v>-46.6</v>
          </cell>
          <cell r="M2984">
            <v>-47.8</v>
          </cell>
        </row>
        <row r="2985">
          <cell r="C2985" t="str">
            <v>Thắng Tam MBA T2 (phía 22kV)</v>
          </cell>
          <cell r="F2985">
            <v>-29.2</v>
          </cell>
          <cell r="H2985">
            <v>-29.2</v>
          </cell>
          <cell r="I2985">
            <v>-24</v>
          </cell>
          <cell r="J2985">
            <v>-28.1</v>
          </cell>
          <cell r="K2985">
            <v>-23.7</v>
          </cell>
          <cell r="L2985">
            <v>-25.3</v>
          </cell>
          <cell r="M2985">
            <v>-26.3</v>
          </cell>
        </row>
        <row r="2986">
          <cell r="C2986" t="str">
            <v>Thắng Tam MBA T2 (phía 110kV)</v>
          </cell>
          <cell r="F2986">
            <v>29.1</v>
          </cell>
          <cell r="H2986">
            <v>29.1</v>
          </cell>
          <cell r="I2986">
            <v>23.9</v>
          </cell>
          <cell r="J2986">
            <v>28.1</v>
          </cell>
          <cell r="K2986">
            <v>23.6</v>
          </cell>
          <cell r="L2986">
            <v>25.2</v>
          </cell>
          <cell r="M2986">
            <v>26.2</v>
          </cell>
        </row>
        <row r="2987">
          <cell r="C2987" t="str">
            <v>Thắng Tam MBA T1 (phía 110kV)</v>
          </cell>
          <cell r="F2987">
            <v>27</v>
          </cell>
          <cell r="H2987">
            <v>27</v>
          </cell>
          <cell r="I2987">
            <v>19.2</v>
          </cell>
          <cell r="J2987">
            <v>24</v>
          </cell>
          <cell r="K2987">
            <v>19.600000000000001</v>
          </cell>
          <cell r="L2987">
            <v>20.8</v>
          </cell>
          <cell r="M2987">
            <v>21.1</v>
          </cell>
        </row>
        <row r="2988">
          <cell r="C2988" t="str">
            <v>Thắng Tam MBA T1 (phía 22kV)</v>
          </cell>
          <cell r="F2988">
            <v>-27.1</v>
          </cell>
          <cell r="H2988">
            <v>-27.1</v>
          </cell>
          <cell r="I2988">
            <v>-19.3</v>
          </cell>
          <cell r="J2988">
            <v>-24.1</v>
          </cell>
          <cell r="K2988">
            <v>-19.7</v>
          </cell>
          <cell r="L2988">
            <v>-20.8</v>
          </cell>
          <cell r="M2988">
            <v>-21.1</v>
          </cell>
        </row>
        <row r="2989">
          <cell r="C2989" t="str">
            <v>110kV 171 Thanh Bình - 180 Tân Thành</v>
          </cell>
          <cell r="F2989">
            <v>-24.7</v>
          </cell>
          <cell r="H2989">
            <v>-24.7</v>
          </cell>
          <cell r="I2989">
            <v>-19.600000000000001</v>
          </cell>
          <cell r="J2989">
            <v>-22.6</v>
          </cell>
          <cell r="K2989">
            <v>-23.6</v>
          </cell>
          <cell r="L2989">
            <v>-17.7</v>
          </cell>
          <cell r="M2989">
            <v>-16.5</v>
          </cell>
        </row>
        <row r="2990">
          <cell r="C2990" t="str">
            <v>110kV 172 Thanh Bình - 181 Tân Thành</v>
          </cell>
          <cell r="F2990">
            <v>-26</v>
          </cell>
          <cell r="H2990">
            <v>-26</v>
          </cell>
          <cell r="I2990">
            <v>-21.3</v>
          </cell>
          <cell r="J2990">
            <v>-23.6</v>
          </cell>
          <cell r="K2990">
            <v>-24.6</v>
          </cell>
          <cell r="L2990">
            <v>-19.3</v>
          </cell>
          <cell r="M2990">
            <v>-18.2</v>
          </cell>
        </row>
        <row r="2991">
          <cell r="C2991" t="str">
            <v>Thanh Bình MBA T1 (phía 110kV)</v>
          </cell>
          <cell r="F2991">
            <v>50.6</v>
          </cell>
          <cell r="H2991">
            <v>50.6</v>
          </cell>
          <cell r="I2991">
            <v>40.9</v>
          </cell>
          <cell r="J2991">
            <v>45.8</v>
          </cell>
          <cell r="K2991">
            <v>48.2</v>
          </cell>
          <cell r="L2991">
            <v>36.700000000000003</v>
          </cell>
          <cell r="M2991">
            <v>34.299999999999997</v>
          </cell>
        </row>
        <row r="2992">
          <cell r="C2992" t="str">
            <v>Thanh Bình MBA T1 (phía 22kV)</v>
          </cell>
          <cell r="F2992">
            <v>-50.9</v>
          </cell>
          <cell r="H2992">
            <v>-50.9</v>
          </cell>
          <cell r="I2992">
            <v>-40.799999999999997</v>
          </cell>
          <cell r="J2992">
            <v>-46.1</v>
          </cell>
          <cell r="K2992">
            <v>-48.4</v>
          </cell>
          <cell r="L2992">
            <v>-37</v>
          </cell>
          <cell r="M2992">
            <v>-34.4</v>
          </cell>
        </row>
        <row r="2993">
          <cell r="C2993" t="str">
            <v>110kV 171 Thành Công - 172 NMĐ MT TTC1</v>
          </cell>
          <cell r="F2993">
            <v>-73.3</v>
          </cell>
          <cell r="H2993">
            <v>-38.299999999999997</v>
          </cell>
          <cell r="I2993">
            <v>-44.4</v>
          </cell>
          <cell r="J2993">
            <v>-73.3</v>
          </cell>
          <cell r="K2993">
            <v>-46.9</v>
          </cell>
          <cell r="L2993">
            <v>-72.2</v>
          </cell>
          <cell r="M2993">
            <v>-58.8</v>
          </cell>
        </row>
        <row r="2994">
          <cell r="C2994" t="str">
            <v>110kV 172 Thành Công - 173 Trảng Bàng 2</v>
          </cell>
          <cell r="F2994">
            <v>48.8</v>
          </cell>
          <cell r="H2994">
            <v>-47.1</v>
          </cell>
          <cell r="I2994">
            <v>-18.899999999999999</v>
          </cell>
          <cell r="J2994">
            <v>34.299999999999997</v>
          </cell>
          <cell r="K2994">
            <v>-16.7</v>
          </cell>
          <cell r="L2994">
            <v>48.8</v>
          </cell>
          <cell r="M2994">
            <v>41.6</v>
          </cell>
        </row>
        <row r="2995">
          <cell r="C2995" t="str">
            <v>Thành Công MBA T1 (phía 110kV)</v>
          </cell>
          <cell r="F2995">
            <v>42.1</v>
          </cell>
          <cell r="H2995">
            <v>42.1</v>
          </cell>
          <cell r="I2995">
            <v>40.1</v>
          </cell>
          <cell r="J2995">
            <v>40.9</v>
          </cell>
          <cell r="K2995">
            <v>39.5</v>
          </cell>
          <cell r="L2995">
            <v>27.7</v>
          </cell>
          <cell r="M2995">
            <v>23.5</v>
          </cell>
        </row>
        <row r="2996">
          <cell r="C2996" t="str">
            <v>Thành Công MBA T1 (phía 22kV)</v>
          </cell>
          <cell r="F2996">
            <v>-42.1</v>
          </cell>
          <cell r="H2996">
            <v>-42.1</v>
          </cell>
          <cell r="I2996">
            <v>-40.200000000000003</v>
          </cell>
          <cell r="J2996">
            <v>-40.9</v>
          </cell>
          <cell r="K2996">
            <v>-39.6</v>
          </cell>
          <cell r="L2996">
            <v>-28.3</v>
          </cell>
          <cell r="M2996">
            <v>-23.4</v>
          </cell>
        </row>
        <row r="2997">
          <cell r="C2997" t="str">
            <v>110kV 171 Thanh Đa - 171 Bình Triệu</v>
          </cell>
          <cell r="E2997">
            <v>0</v>
          </cell>
          <cell r="F2997">
            <v>0</v>
          </cell>
          <cell r="H2997">
            <v>0</v>
          </cell>
          <cell r="I2997">
            <v>0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</row>
        <row r="2998">
          <cell r="C2998" t="str">
            <v>110kV 172 Thanh Đa - 173 Thủ Đức</v>
          </cell>
          <cell r="F2998">
            <v>-75.900000000000006</v>
          </cell>
          <cell r="H2998">
            <v>-75.900000000000006</v>
          </cell>
          <cell r="I2998">
            <v>-56</v>
          </cell>
          <cell r="J2998">
            <v>-70.099999999999994</v>
          </cell>
          <cell r="K2998">
            <v>-57</v>
          </cell>
          <cell r="L2998">
            <v>-61.4</v>
          </cell>
          <cell r="M2998">
            <v>-66</v>
          </cell>
        </row>
        <row r="2999">
          <cell r="C2999" t="str">
            <v>Thanh Đa MBA T1 (phía 22kV)</v>
          </cell>
          <cell r="F2999">
            <v>-26.1</v>
          </cell>
          <cell r="H2999">
            <v>-26.1</v>
          </cell>
          <cell r="I2999">
            <v>-18.600000000000001</v>
          </cell>
          <cell r="J2999">
            <v>-25.1</v>
          </cell>
          <cell r="K2999">
            <v>-18.600000000000001</v>
          </cell>
          <cell r="L2999">
            <v>-23.8</v>
          </cell>
          <cell r="M2999">
            <v>-19.600000000000001</v>
          </cell>
        </row>
        <row r="3000">
          <cell r="C3000" t="str">
            <v>Thanh Đa MBA T2 (phía 22kV)</v>
          </cell>
          <cell r="F3000">
            <v>-21.8</v>
          </cell>
          <cell r="H3000">
            <v>-21.8</v>
          </cell>
          <cell r="I3000">
            <v>-15.8</v>
          </cell>
          <cell r="J3000">
            <v>-18.5</v>
          </cell>
          <cell r="K3000">
            <v>-16.600000000000001</v>
          </cell>
          <cell r="L3000">
            <v>-16.3</v>
          </cell>
          <cell r="M3000">
            <v>-17</v>
          </cell>
        </row>
        <row r="3001">
          <cell r="C3001" t="str">
            <v>Thanh Đa MBA T1 (phía 110kV)</v>
          </cell>
          <cell r="F3001">
            <v>37.299999999999997</v>
          </cell>
          <cell r="H3001">
            <v>37.299999999999997</v>
          </cell>
          <cell r="I3001">
            <v>26.8</v>
          </cell>
          <cell r="J3001">
            <v>35.299999999999997</v>
          </cell>
          <cell r="K3001">
            <v>25.5</v>
          </cell>
          <cell r="L3001">
            <v>30.6</v>
          </cell>
          <cell r="M3001">
            <v>25.7</v>
          </cell>
        </row>
        <row r="3002">
          <cell r="C3002" t="str">
            <v>Thanh Đa MBA T2 (phía 110kV)</v>
          </cell>
          <cell r="F3002">
            <v>40.299999999999997</v>
          </cell>
          <cell r="H3002">
            <v>38.9</v>
          </cell>
          <cell r="I3002">
            <v>29.2</v>
          </cell>
          <cell r="J3002">
            <v>34.9</v>
          </cell>
          <cell r="K3002">
            <v>31.4</v>
          </cell>
          <cell r="L3002">
            <v>31.7</v>
          </cell>
          <cell r="M3002">
            <v>40.299999999999997</v>
          </cell>
        </row>
        <row r="3003">
          <cell r="C3003" t="str">
            <v>110kV 171 Thạnh Đông - 132 Thoại Sơn</v>
          </cell>
          <cell r="F3003">
            <v>19.899999999999999</v>
          </cell>
          <cell r="H3003">
            <v>17</v>
          </cell>
          <cell r="I3003">
            <v>15.6</v>
          </cell>
          <cell r="J3003">
            <v>18.399999999999999</v>
          </cell>
          <cell r="K3003">
            <v>15.3</v>
          </cell>
          <cell r="L3003">
            <v>16.2</v>
          </cell>
          <cell r="M3003">
            <v>19.899999999999999</v>
          </cell>
        </row>
        <row r="3004">
          <cell r="C3004" t="str">
            <v>110kV 172 Thạnh Đông - 175 Rạch Giá 2</v>
          </cell>
          <cell r="F3004">
            <v>-33.9</v>
          </cell>
          <cell r="H3004">
            <v>-30.6</v>
          </cell>
          <cell r="I3004">
            <v>-27.2</v>
          </cell>
          <cell r="J3004">
            <v>-33.9</v>
          </cell>
          <cell r="K3004">
            <v>-26.2</v>
          </cell>
          <cell r="L3004">
            <v>-30</v>
          </cell>
          <cell r="M3004">
            <v>-30.8</v>
          </cell>
        </row>
        <row r="3005">
          <cell r="C3005" t="str">
            <v>Thạnh Đông MBA T1 (phía 110kV)</v>
          </cell>
          <cell r="F3005">
            <v>23</v>
          </cell>
          <cell r="H3005">
            <v>21.1</v>
          </cell>
          <cell r="I3005">
            <v>16.7</v>
          </cell>
          <cell r="J3005">
            <v>23</v>
          </cell>
          <cell r="K3005">
            <v>17.2</v>
          </cell>
          <cell r="L3005">
            <v>19.5</v>
          </cell>
          <cell r="M3005">
            <v>18.899999999999999</v>
          </cell>
        </row>
        <row r="3006">
          <cell r="C3006" t="str">
            <v>Thạnh Đông MBA T1 (phía 22kV)</v>
          </cell>
          <cell r="F3006">
            <v>-23</v>
          </cell>
          <cell r="H3006">
            <v>-21.2</v>
          </cell>
          <cell r="I3006">
            <v>-16.7</v>
          </cell>
          <cell r="J3006">
            <v>-23</v>
          </cell>
          <cell r="K3006">
            <v>-17.2</v>
          </cell>
          <cell r="L3006">
            <v>-19.5</v>
          </cell>
          <cell r="M3006">
            <v>-18.899999999999999</v>
          </cell>
        </row>
        <row r="3007">
          <cell r="C3007" t="str">
            <v>110kV 173 Thạnh Đông - 176 Rạch Giá 2</v>
          </cell>
          <cell r="F3007">
            <v>-34.299999999999997</v>
          </cell>
          <cell r="H3007">
            <v>-31</v>
          </cell>
          <cell r="I3007">
            <v>-27.6</v>
          </cell>
          <cell r="J3007">
            <v>-34.299999999999997</v>
          </cell>
          <cell r="K3007">
            <v>-26.8</v>
          </cell>
          <cell r="L3007">
            <v>-30.5</v>
          </cell>
          <cell r="M3007">
            <v>-31.1</v>
          </cell>
        </row>
        <row r="3008">
          <cell r="C3008" t="str">
            <v>110kV 174 Thạnh Đông - 171 Vĩnh Thạnh</v>
          </cell>
          <cell r="F3008">
            <v>26.9</v>
          </cell>
          <cell r="H3008">
            <v>25.4</v>
          </cell>
          <cell r="I3008">
            <v>24</v>
          </cell>
          <cell r="J3008">
            <v>26.7</v>
          </cell>
          <cell r="K3008">
            <v>20.7</v>
          </cell>
          <cell r="L3008">
            <v>26</v>
          </cell>
          <cell r="M3008">
            <v>26.9</v>
          </cell>
        </row>
        <row r="3009">
          <cell r="C3009" t="str">
            <v>110kV 171 Thạnh Đức - 171 Bến Cầu</v>
          </cell>
          <cell r="F3009">
            <v>-45.4</v>
          </cell>
          <cell r="H3009">
            <v>-45.4</v>
          </cell>
          <cell r="I3009">
            <v>-38.4</v>
          </cell>
          <cell r="J3009">
            <v>-43.4</v>
          </cell>
          <cell r="K3009">
            <v>-42</v>
          </cell>
          <cell r="L3009">
            <v>-38.299999999999997</v>
          </cell>
          <cell r="M3009">
            <v>-38.700000000000003</v>
          </cell>
        </row>
        <row r="3010">
          <cell r="C3010" t="str">
            <v>110kV 172 Thạnh Đức - 174 Tây Ninh</v>
          </cell>
          <cell r="E3010">
            <v>0</v>
          </cell>
          <cell r="F3010">
            <v>-23.8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>
            <v>0</v>
          </cell>
          <cell r="M3010">
            <v>-23.8</v>
          </cell>
        </row>
        <row r="3011">
          <cell r="C3011" t="str">
            <v>Thạnh Đức MBA T2 (phía 110kV)</v>
          </cell>
          <cell r="F3011">
            <v>29.6</v>
          </cell>
          <cell r="H3011">
            <v>25.4</v>
          </cell>
          <cell r="I3011">
            <v>24.7</v>
          </cell>
          <cell r="J3011">
            <v>24.1</v>
          </cell>
          <cell r="K3011">
            <v>20.399999999999999</v>
          </cell>
          <cell r="L3011">
            <v>22.3</v>
          </cell>
          <cell r="M3011">
            <v>29.6</v>
          </cell>
        </row>
        <row r="3012">
          <cell r="C3012" t="str">
            <v>Thạnh Đức MBA T2 (phía 22kV)</v>
          </cell>
          <cell r="F3012">
            <v>-29.4</v>
          </cell>
          <cell r="H3012">
            <v>-25.2</v>
          </cell>
          <cell r="I3012">
            <v>-24.6</v>
          </cell>
          <cell r="J3012">
            <v>-24</v>
          </cell>
          <cell r="K3012">
            <v>-20.2</v>
          </cell>
          <cell r="L3012">
            <v>-22.1</v>
          </cell>
          <cell r="M3012">
            <v>-29.4</v>
          </cell>
        </row>
        <row r="3013">
          <cell r="C3013" t="str">
            <v>Thạnh Đức MBA T1 (phía 110kV)</v>
          </cell>
          <cell r="F3013">
            <v>21.5</v>
          </cell>
          <cell r="H3013">
            <v>20.8</v>
          </cell>
          <cell r="I3013">
            <v>18.600000000000001</v>
          </cell>
          <cell r="J3013">
            <v>20.399999999999999</v>
          </cell>
          <cell r="K3013">
            <v>21.5</v>
          </cell>
          <cell r="L3013">
            <v>16</v>
          </cell>
          <cell r="M3013">
            <v>14</v>
          </cell>
        </row>
        <row r="3014">
          <cell r="C3014" t="str">
            <v>Thạnh Đức MBA T1 (phía 22kV)</v>
          </cell>
          <cell r="F3014">
            <v>-21.5</v>
          </cell>
          <cell r="H3014">
            <v>-20.7</v>
          </cell>
          <cell r="I3014">
            <v>-18.600000000000001</v>
          </cell>
          <cell r="J3014">
            <v>-20.399999999999999</v>
          </cell>
          <cell r="K3014">
            <v>-21.5</v>
          </cell>
          <cell r="L3014">
            <v>-16</v>
          </cell>
          <cell r="M3014">
            <v>-14</v>
          </cell>
        </row>
        <row r="3015">
          <cell r="C3015" t="str">
            <v>110kV 171 Thạnh Hóa</v>
          </cell>
          <cell r="F3015">
            <v>34</v>
          </cell>
          <cell r="H3015">
            <v>-23.5</v>
          </cell>
          <cell r="I3015">
            <v>-17.600000000000001</v>
          </cell>
          <cell r="J3015">
            <v>23.2</v>
          </cell>
          <cell r="K3015">
            <v>34</v>
          </cell>
          <cell r="L3015">
            <v>-16.600000000000001</v>
          </cell>
          <cell r="M3015">
            <v>21.5</v>
          </cell>
        </row>
        <row r="3016">
          <cell r="C3016" t="str">
            <v>Thạnh Hóa MBA T1 (phía 110kV)</v>
          </cell>
          <cell r="E3016">
            <v>0</v>
          </cell>
          <cell r="F3016">
            <v>0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</row>
        <row r="3017">
          <cell r="C3017" t="str">
            <v>Thạnh Hóa MBA T1 (phía 22kV)</v>
          </cell>
          <cell r="E3017">
            <v>0</v>
          </cell>
          <cell r="F3017">
            <v>0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</row>
        <row r="3018">
          <cell r="C3018" t="str">
            <v>110kV 173 Thạnh Hóa - (171-7) NMĐ MT BCG Băng Dương</v>
          </cell>
          <cell r="E3018">
            <v>0</v>
          </cell>
          <cell r="F3018">
            <v>-30.2</v>
          </cell>
          <cell r="H3018">
            <v>-28.5</v>
          </cell>
          <cell r="I3018">
            <v>-14.5</v>
          </cell>
          <cell r="J3018">
            <v>-28.7</v>
          </cell>
          <cell r="K3018">
            <v>-30.2</v>
          </cell>
          <cell r="L3018">
            <v>0</v>
          </cell>
          <cell r="M3018">
            <v>-22.5</v>
          </cell>
        </row>
        <row r="3019">
          <cell r="C3019" t="str">
            <v>Thạnh Hóa MBA T2 (phía 110kV)</v>
          </cell>
          <cell r="F3019">
            <v>24.6</v>
          </cell>
          <cell r="H3019">
            <v>24.6</v>
          </cell>
          <cell r="I3019">
            <v>17.100000000000001</v>
          </cell>
          <cell r="J3019">
            <v>21</v>
          </cell>
          <cell r="K3019">
            <v>15.1</v>
          </cell>
          <cell r="L3019">
            <v>16.899999999999999</v>
          </cell>
          <cell r="M3019">
            <v>15</v>
          </cell>
        </row>
        <row r="3020">
          <cell r="C3020" t="str">
            <v>Thạnh Hóa MBA T2 (phía 22kV)</v>
          </cell>
          <cell r="F3020">
            <v>-24.6</v>
          </cell>
          <cell r="H3020">
            <v>-24.6</v>
          </cell>
          <cell r="I3020">
            <v>-17</v>
          </cell>
          <cell r="J3020">
            <v>-21</v>
          </cell>
          <cell r="K3020">
            <v>-15</v>
          </cell>
          <cell r="L3020">
            <v>-16.899999999999999</v>
          </cell>
          <cell r="M3020">
            <v>-14.8</v>
          </cell>
        </row>
        <row r="3021">
          <cell r="C3021" t="str">
            <v>110kV 171 Thạnh Hưng - 172 An Hòa</v>
          </cell>
          <cell r="E3021">
            <v>0</v>
          </cell>
          <cell r="F3021">
            <v>-34.799999999999997</v>
          </cell>
          <cell r="H3021">
            <v>0</v>
          </cell>
          <cell r="I3021">
            <v>-24.3</v>
          </cell>
          <cell r="J3021">
            <v>-34.799999999999997</v>
          </cell>
          <cell r="K3021">
            <v>-28.9</v>
          </cell>
          <cell r="L3021">
            <v>-23.6</v>
          </cell>
          <cell r="M3021">
            <v>-25.9</v>
          </cell>
        </row>
        <row r="3022">
          <cell r="C3022" t="str">
            <v>Thạnh Hưng MBA T1 (phía 110kV)</v>
          </cell>
          <cell r="F3022">
            <v>-34.4</v>
          </cell>
          <cell r="H3022">
            <v>-27.6</v>
          </cell>
          <cell r="I3022">
            <v>-24.2</v>
          </cell>
          <cell r="J3022">
            <v>-34.4</v>
          </cell>
          <cell r="K3022">
            <v>-29.2</v>
          </cell>
          <cell r="L3022">
            <v>-23.8</v>
          </cell>
          <cell r="M3022">
            <v>-25.4</v>
          </cell>
        </row>
        <row r="3023">
          <cell r="C3023" t="str">
            <v>Thạnh Hưng MBA T1 (phía 22kV)</v>
          </cell>
          <cell r="F3023">
            <v>34.9</v>
          </cell>
          <cell r="H3023">
            <v>28.1</v>
          </cell>
          <cell r="I3023">
            <v>24.3</v>
          </cell>
          <cell r="J3023">
            <v>34.9</v>
          </cell>
          <cell r="K3023">
            <v>28.9</v>
          </cell>
          <cell r="L3023">
            <v>23.8</v>
          </cell>
          <cell r="M3023">
            <v>25.9</v>
          </cell>
        </row>
        <row r="3024">
          <cell r="C3024" t="str">
            <v>110kV 172 Thạnh Hưng - 172 Cao Lãnh 2</v>
          </cell>
          <cell r="F3024">
            <v>-111.9</v>
          </cell>
          <cell r="H3024">
            <v>-79.3</v>
          </cell>
          <cell r="I3024">
            <v>-101.4</v>
          </cell>
          <cell r="J3024">
            <v>-111.9</v>
          </cell>
          <cell r="K3024">
            <v>-99</v>
          </cell>
          <cell r="L3024">
            <v>-101</v>
          </cell>
          <cell r="M3024">
            <v>-99.3</v>
          </cell>
        </row>
        <row r="3025">
          <cell r="C3025" t="str">
            <v>Thạnh Hưng MBA T2 (phía 110kV)</v>
          </cell>
          <cell r="F3025">
            <v>32.4</v>
          </cell>
          <cell r="H3025">
            <v>30.1</v>
          </cell>
          <cell r="I3025">
            <v>26.5</v>
          </cell>
          <cell r="J3025">
            <v>32.4</v>
          </cell>
          <cell r="K3025">
            <v>26.3</v>
          </cell>
          <cell r="L3025">
            <v>23.3</v>
          </cell>
          <cell r="M3025">
            <v>27.9</v>
          </cell>
        </row>
        <row r="3026">
          <cell r="C3026" t="str">
            <v>Thạnh Hưng MBA T2 (phía 22kV)</v>
          </cell>
          <cell r="F3026">
            <v>-32.6</v>
          </cell>
          <cell r="H3026">
            <v>-30.4</v>
          </cell>
          <cell r="I3026">
            <v>-26.6</v>
          </cell>
          <cell r="J3026">
            <v>-32.6</v>
          </cell>
          <cell r="K3026">
            <v>-26.4</v>
          </cell>
          <cell r="L3026">
            <v>-23.4</v>
          </cell>
          <cell r="M3026">
            <v>-28</v>
          </cell>
        </row>
        <row r="3027">
          <cell r="C3027" t="str">
            <v>110kV 174 Thạnh Hưng - 171 Chợ Mới</v>
          </cell>
          <cell r="F3027">
            <v>80.099999999999994</v>
          </cell>
          <cell r="H3027">
            <v>21.7</v>
          </cell>
          <cell r="I3027">
            <v>78.7</v>
          </cell>
          <cell r="J3027">
            <v>80.099999999999994</v>
          </cell>
          <cell r="K3027">
            <v>73.3</v>
          </cell>
          <cell r="L3027">
            <v>78.900000000000006</v>
          </cell>
          <cell r="M3027">
            <v>71.400000000000006</v>
          </cell>
        </row>
        <row r="3028">
          <cell r="C3028" t="str">
            <v>Thạnh Lộc MBA T1 (phía 110kV)</v>
          </cell>
          <cell r="F3028">
            <v>45.5</v>
          </cell>
          <cell r="H3028">
            <v>43.9</v>
          </cell>
          <cell r="I3028">
            <v>38.1</v>
          </cell>
          <cell r="J3028">
            <v>45.5</v>
          </cell>
          <cell r="K3028">
            <v>38.6</v>
          </cell>
          <cell r="L3028">
            <v>33.700000000000003</v>
          </cell>
          <cell r="M3028">
            <v>31.7</v>
          </cell>
        </row>
        <row r="3029">
          <cell r="C3029" t="str">
            <v>Thạnh Lộc MBA T2 (phía 110kV)</v>
          </cell>
          <cell r="F3029">
            <v>37</v>
          </cell>
          <cell r="H3029">
            <v>33.700000000000003</v>
          </cell>
          <cell r="I3029">
            <v>27.5</v>
          </cell>
          <cell r="J3029">
            <v>37</v>
          </cell>
          <cell r="K3029">
            <v>32.1</v>
          </cell>
          <cell r="L3029">
            <v>30.3</v>
          </cell>
          <cell r="M3029">
            <v>28.4</v>
          </cell>
        </row>
        <row r="3030">
          <cell r="C3030" t="str">
            <v>110kV 171 Thạnh Lộc - 174 Hóc Môn</v>
          </cell>
          <cell r="F3030">
            <v>-28.8</v>
          </cell>
          <cell r="H3030">
            <v>-25.3</v>
          </cell>
          <cell r="I3030">
            <v>-13</v>
          </cell>
          <cell r="J3030">
            <v>-11.7</v>
          </cell>
          <cell r="K3030">
            <v>-28</v>
          </cell>
          <cell r="L3030">
            <v>-28.8</v>
          </cell>
          <cell r="M3030">
            <v>-15.1</v>
          </cell>
        </row>
        <row r="3031">
          <cell r="C3031" t="str">
            <v>110kV 172 Thạnh Lộc - 179 Hiệp Bình Phước</v>
          </cell>
          <cell r="F3031">
            <v>-76.3</v>
          </cell>
          <cell r="H3031">
            <v>-62.1</v>
          </cell>
          <cell r="I3031">
            <v>-59.2</v>
          </cell>
          <cell r="J3031">
            <v>-76.3</v>
          </cell>
          <cell r="K3031">
            <v>-50</v>
          </cell>
          <cell r="L3031">
            <v>-38.700000000000003</v>
          </cell>
          <cell r="M3031">
            <v>-46.2</v>
          </cell>
        </row>
        <row r="3032">
          <cell r="C3032" t="str">
            <v>Thạnh Lộc MBA T1 (phía 22kV)</v>
          </cell>
          <cell r="F3032">
            <v>-45.7</v>
          </cell>
          <cell r="H3032">
            <v>-43.3</v>
          </cell>
          <cell r="I3032">
            <v>-37.700000000000003</v>
          </cell>
          <cell r="J3032">
            <v>-45.7</v>
          </cell>
          <cell r="K3032">
            <v>-38.5</v>
          </cell>
          <cell r="L3032">
            <v>-33.4</v>
          </cell>
          <cell r="M3032">
            <v>-31.3</v>
          </cell>
        </row>
        <row r="3033">
          <cell r="C3033" t="str">
            <v>Thạnh Lộc MBA T2 (phía 22kV)</v>
          </cell>
          <cell r="F3033">
            <v>-37.5</v>
          </cell>
          <cell r="H3033">
            <v>-34.1</v>
          </cell>
          <cell r="I3033">
            <v>-27.5</v>
          </cell>
          <cell r="J3033">
            <v>-37.5</v>
          </cell>
          <cell r="K3033">
            <v>-32.299999999999997</v>
          </cell>
          <cell r="L3033">
            <v>-29.8</v>
          </cell>
          <cell r="M3033">
            <v>-28.4</v>
          </cell>
        </row>
        <row r="3034">
          <cell r="C3034" t="str">
            <v>110kV 171 Thạnh Phú - 172 NMĐ Trị An</v>
          </cell>
          <cell r="F3034">
            <v>-58.4</v>
          </cell>
          <cell r="H3034">
            <v>-55</v>
          </cell>
          <cell r="I3034">
            <v>-53.5</v>
          </cell>
          <cell r="J3034">
            <v>-58.4</v>
          </cell>
          <cell r="K3034">
            <v>-52.5</v>
          </cell>
          <cell r="L3034">
            <v>-25.6</v>
          </cell>
          <cell r="M3034">
            <v>-25.9</v>
          </cell>
        </row>
        <row r="3035">
          <cell r="C3035" t="str">
            <v>110kV 172 Thạnh Phú - 171 Tân Hòa</v>
          </cell>
          <cell r="F3035">
            <v>-52</v>
          </cell>
          <cell r="H3035">
            <v>-47</v>
          </cell>
          <cell r="I3035">
            <v>-48.4</v>
          </cell>
          <cell r="J3035">
            <v>-52</v>
          </cell>
          <cell r="K3035">
            <v>-49.6</v>
          </cell>
          <cell r="L3035">
            <v>-36.4</v>
          </cell>
          <cell r="M3035">
            <v>-32.4</v>
          </cell>
        </row>
        <row r="3036">
          <cell r="C3036" t="str">
            <v>Thạnh Phú MBA T2 (phía 110kV)</v>
          </cell>
          <cell r="F3036">
            <v>51.8</v>
          </cell>
          <cell r="H3036">
            <v>46.7</v>
          </cell>
          <cell r="I3036">
            <v>48.6</v>
          </cell>
          <cell r="J3036">
            <v>51.8</v>
          </cell>
          <cell r="K3036">
            <v>49.6</v>
          </cell>
          <cell r="L3036">
            <v>36.299999999999997</v>
          </cell>
          <cell r="M3036">
            <v>32.1</v>
          </cell>
        </row>
        <row r="3037">
          <cell r="C3037" t="str">
            <v>Thạnh Phú MBA T1 (phía 22kV)</v>
          </cell>
          <cell r="F3037">
            <v>-7.8</v>
          </cell>
          <cell r="H3037">
            <v>-7.4</v>
          </cell>
          <cell r="I3037">
            <v>-7.2</v>
          </cell>
          <cell r="J3037">
            <v>-7.8</v>
          </cell>
          <cell r="K3037">
            <v>-7</v>
          </cell>
          <cell r="L3037">
            <v>-3.4</v>
          </cell>
          <cell r="M3037">
            <v>-3.5</v>
          </cell>
        </row>
        <row r="3038">
          <cell r="C3038" t="str">
            <v>Thạnh Phú MBA T2 (phía 22kV)</v>
          </cell>
          <cell r="F3038">
            <v>-52.4</v>
          </cell>
          <cell r="H3038">
            <v>-47</v>
          </cell>
          <cell r="I3038">
            <v>-48.5</v>
          </cell>
          <cell r="J3038">
            <v>-52.4</v>
          </cell>
          <cell r="K3038">
            <v>-49.7</v>
          </cell>
          <cell r="L3038">
            <v>-36.700000000000003</v>
          </cell>
          <cell r="M3038">
            <v>-31.4</v>
          </cell>
        </row>
        <row r="3039">
          <cell r="C3039" t="str">
            <v>Thạnh Phú MBA T1 (phía 110kV)</v>
          </cell>
          <cell r="F3039">
            <v>58.4</v>
          </cell>
          <cell r="H3039">
            <v>55.9</v>
          </cell>
          <cell r="I3039">
            <v>54.1</v>
          </cell>
          <cell r="J3039">
            <v>58.4</v>
          </cell>
          <cell r="K3039">
            <v>35.4</v>
          </cell>
          <cell r="L3039">
            <v>25.6</v>
          </cell>
          <cell r="M3039">
            <v>26</v>
          </cell>
        </row>
        <row r="3040">
          <cell r="C3040" t="str">
            <v>Thạnh Trị MBA T1 (phía 110kV)</v>
          </cell>
          <cell r="F3040">
            <v>20.3</v>
          </cell>
          <cell r="H3040">
            <v>19.8</v>
          </cell>
          <cell r="I3040">
            <v>19.100000000000001</v>
          </cell>
          <cell r="J3040">
            <v>20.100000000000001</v>
          </cell>
          <cell r="K3040">
            <v>19.2</v>
          </cell>
          <cell r="L3040">
            <v>20.3</v>
          </cell>
          <cell r="M3040">
            <v>19</v>
          </cell>
        </row>
        <row r="3041">
          <cell r="C3041" t="str">
            <v>Thạnh Trị MBA T1 (phía 22kV)</v>
          </cell>
          <cell r="F3041">
            <v>-19.8</v>
          </cell>
          <cell r="H3041">
            <v>-19.8</v>
          </cell>
          <cell r="I3041">
            <v>-19.2</v>
          </cell>
          <cell r="J3041">
            <v>-19.7</v>
          </cell>
          <cell r="K3041">
            <v>-18.8</v>
          </cell>
          <cell r="L3041">
            <v>-19.8</v>
          </cell>
          <cell r="M3041">
            <v>-18.7</v>
          </cell>
        </row>
        <row r="3042">
          <cell r="C3042" t="str">
            <v>110kV 171 Thạnh Trị - 172 Sóc Trăng 2</v>
          </cell>
          <cell r="F3042">
            <v>29.3</v>
          </cell>
          <cell r="H3042">
            <v>-27.9</v>
          </cell>
          <cell r="I3042">
            <v>15.7</v>
          </cell>
          <cell r="J3042">
            <v>29.3</v>
          </cell>
          <cell r="K3042">
            <v>-14</v>
          </cell>
          <cell r="L3042">
            <v>17.399999999999999</v>
          </cell>
          <cell r="M3042">
            <v>-16.7</v>
          </cell>
        </row>
        <row r="3043">
          <cell r="C3043" t="str">
            <v>110kV 172 Thạnh Trị - 172 Vĩnh Trạch Đông</v>
          </cell>
          <cell r="F3043">
            <v>-44.3</v>
          </cell>
          <cell r="H3043">
            <v>-13.7</v>
          </cell>
          <cell r="I3043">
            <v>-30</v>
          </cell>
          <cell r="J3043">
            <v>-44.3</v>
          </cell>
          <cell r="K3043">
            <v>-18</v>
          </cell>
          <cell r="L3043">
            <v>-34.6</v>
          </cell>
          <cell r="M3043">
            <v>-19.100000000000001</v>
          </cell>
        </row>
        <row r="3044">
          <cell r="C3044" t="str">
            <v>Thảo Điền MBA T1 (phía 110kV)</v>
          </cell>
          <cell r="F3044">
            <v>31</v>
          </cell>
          <cell r="H3044">
            <v>29.3</v>
          </cell>
          <cell r="I3044">
            <v>24.1</v>
          </cell>
          <cell r="J3044">
            <v>27.2</v>
          </cell>
          <cell r="K3044">
            <v>25.4</v>
          </cell>
          <cell r="L3044">
            <v>25.2</v>
          </cell>
          <cell r="M3044">
            <v>31</v>
          </cell>
        </row>
        <row r="3045">
          <cell r="C3045" t="str">
            <v>110kV 171 Thảo Điền - 171 An Khánh - 171 Xa Lộ</v>
          </cell>
          <cell r="F3045">
            <v>58.3</v>
          </cell>
          <cell r="H3045">
            <v>58.3</v>
          </cell>
          <cell r="I3045">
            <v>43.2</v>
          </cell>
          <cell r="J3045">
            <v>43.6</v>
          </cell>
          <cell r="K3045">
            <v>43</v>
          </cell>
          <cell r="L3045">
            <v>33.5</v>
          </cell>
          <cell r="M3045">
            <v>56.5</v>
          </cell>
        </row>
        <row r="3046">
          <cell r="C3046" t="str">
            <v>110kV 172 Thảo Điền - 177 Thủ Đức</v>
          </cell>
          <cell r="F3046">
            <v>-116.5</v>
          </cell>
          <cell r="H3046">
            <v>-116.5</v>
          </cell>
          <cell r="I3046">
            <v>-89.1</v>
          </cell>
          <cell r="J3046">
            <v>-97.4</v>
          </cell>
          <cell r="K3046">
            <v>-90.1</v>
          </cell>
          <cell r="L3046">
            <v>-82</v>
          </cell>
          <cell r="M3046">
            <v>-107.8</v>
          </cell>
        </row>
        <row r="3047">
          <cell r="C3047" t="str">
            <v>Thảo Điền MBA T2 (phía 110kV)</v>
          </cell>
          <cell r="F3047">
            <v>30.3</v>
          </cell>
          <cell r="H3047">
            <v>30.3</v>
          </cell>
          <cell r="I3047">
            <v>25.7</v>
          </cell>
          <cell r="J3047">
            <v>27.8</v>
          </cell>
          <cell r="K3047">
            <v>24</v>
          </cell>
          <cell r="L3047">
            <v>24.5</v>
          </cell>
          <cell r="M3047">
            <v>23.4</v>
          </cell>
        </row>
        <row r="3048">
          <cell r="C3048" t="str">
            <v>Thảo Điền MBA T1 (phía 22kV)</v>
          </cell>
          <cell r="F3048">
            <v>-30.8</v>
          </cell>
          <cell r="H3048">
            <v>-29.3</v>
          </cell>
          <cell r="I3048">
            <v>-23.9</v>
          </cell>
          <cell r="J3048">
            <v>-27.2</v>
          </cell>
          <cell r="K3048">
            <v>-25.4</v>
          </cell>
          <cell r="L3048">
            <v>-25.1</v>
          </cell>
          <cell r="M3048">
            <v>-30.8</v>
          </cell>
        </row>
        <row r="3049">
          <cell r="C3049" t="str">
            <v>Thảo Điền MBA T2 (phía 22kV)</v>
          </cell>
          <cell r="F3049">
            <v>-30.3</v>
          </cell>
          <cell r="H3049">
            <v>-30.3</v>
          </cell>
          <cell r="I3049">
            <v>-25.5</v>
          </cell>
          <cell r="J3049">
            <v>-27.8</v>
          </cell>
          <cell r="K3049">
            <v>-23.9</v>
          </cell>
          <cell r="L3049">
            <v>-24.4</v>
          </cell>
          <cell r="M3049">
            <v>-23.2</v>
          </cell>
        </row>
        <row r="3050">
          <cell r="C3050" t="str">
            <v>110kV 171 Tháp Chàm - 174 Tháp Chàm 2</v>
          </cell>
          <cell r="F3050">
            <v>84.3</v>
          </cell>
          <cell r="H3050">
            <v>84.3</v>
          </cell>
          <cell r="I3050">
            <v>58.3</v>
          </cell>
          <cell r="J3050">
            <v>80.7</v>
          </cell>
          <cell r="K3050">
            <v>47.8</v>
          </cell>
          <cell r="L3050">
            <v>64.7</v>
          </cell>
          <cell r="M3050">
            <v>65.400000000000006</v>
          </cell>
        </row>
        <row r="3051">
          <cell r="C3051" t="str">
            <v>Tháp Chàm MBA T1 (phía 110kV)</v>
          </cell>
          <cell r="F3051">
            <v>31.6</v>
          </cell>
          <cell r="H3051">
            <v>30</v>
          </cell>
          <cell r="I3051">
            <v>25.2</v>
          </cell>
          <cell r="J3051">
            <v>31.6</v>
          </cell>
          <cell r="K3051">
            <v>28.4</v>
          </cell>
          <cell r="L3051">
            <v>30.5</v>
          </cell>
          <cell r="M3051">
            <v>30.3</v>
          </cell>
        </row>
        <row r="3052">
          <cell r="C3052" t="str">
            <v>Tháp Chàm MBA T1 (phía 22kV)</v>
          </cell>
          <cell r="F3052">
            <v>-31.5</v>
          </cell>
          <cell r="H3052">
            <v>-30</v>
          </cell>
          <cell r="I3052">
            <v>-25.2</v>
          </cell>
          <cell r="J3052">
            <v>-31.5</v>
          </cell>
          <cell r="K3052">
            <v>-28.3</v>
          </cell>
          <cell r="L3052">
            <v>-30.4</v>
          </cell>
          <cell r="M3052">
            <v>-30.1</v>
          </cell>
        </row>
        <row r="3053">
          <cell r="C3053" t="str">
            <v>110kV 172 Tháp Chàm - 172 NMĐ MT Mỹ Sơn</v>
          </cell>
          <cell r="F3053">
            <v>-39.1</v>
          </cell>
          <cell r="H3053">
            <v>-30.5</v>
          </cell>
          <cell r="I3053">
            <v>-19.3</v>
          </cell>
          <cell r="J3053">
            <v>-28.4</v>
          </cell>
          <cell r="K3053">
            <v>-39.1</v>
          </cell>
          <cell r="L3053">
            <v>-25.8</v>
          </cell>
          <cell r="M3053">
            <v>-34.5</v>
          </cell>
        </row>
        <row r="3054">
          <cell r="C3054" t="str">
            <v>Tháp Chàm MBA T2 (phía 110kV)</v>
          </cell>
          <cell r="F3054">
            <v>-31.1</v>
          </cell>
          <cell r="H3054">
            <v>-27.3</v>
          </cell>
          <cell r="I3054">
            <v>-26.6</v>
          </cell>
          <cell r="J3054">
            <v>-31.1</v>
          </cell>
          <cell r="K3054">
            <v>-19.100000000000001</v>
          </cell>
          <cell r="L3054">
            <v>-28.6</v>
          </cell>
          <cell r="M3054">
            <v>-16.399999999999999</v>
          </cell>
        </row>
        <row r="3055">
          <cell r="C3055" t="str">
            <v>Tháp Chàm MBA T2 (phía 22kV)</v>
          </cell>
          <cell r="F3055">
            <v>31.4</v>
          </cell>
          <cell r="H3055">
            <v>27.6</v>
          </cell>
          <cell r="I3055">
            <v>26.7</v>
          </cell>
          <cell r="J3055">
            <v>31.4</v>
          </cell>
          <cell r="K3055">
            <v>19.2</v>
          </cell>
          <cell r="L3055">
            <v>28.9</v>
          </cell>
          <cell r="M3055">
            <v>16.5</v>
          </cell>
        </row>
        <row r="3056">
          <cell r="C3056" t="str">
            <v>110kV 174 Tháp Chàm - 172 Ninh Thuận 1</v>
          </cell>
          <cell r="E3056">
            <v>0</v>
          </cell>
          <cell r="F3056">
            <v>0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</row>
        <row r="3057">
          <cell r="C3057" t="str">
            <v>220kV 273 Tháp Chàm 2 - 271 NMĐ MT Phước Thái 1</v>
          </cell>
          <cell r="F3057">
            <v>-196.6</v>
          </cell>
          <cell r="H3057">
            <v>-162.30000000000001</v>
          </cell>
          <cell r="I3057">
            <v>-196.6</v>
          </cell>
          <cell r="J3057">
            <v>-171.9</v>
          </cell>
          <cell r="K3057">
            <v>-145</v>
          </cell>
          <cell r="L3057">
            <v>-188.9</v>
          </cell>
          <cell r="M3057">
            <v>-136.6</v>
          </cell>
        </row>
        <row r="3058">
          <cell r="C3058" t="str">
            <v>220kV 274 Tháp Chàm 2 - 271 NMĐ MT Mỹ Sơn HLV</v>
          </cell>
          <cell r="F3058">
            <v>299.2</v>
          </cell>
          <cell r="H3058">
            <v>299.2</v>
          </cell>
          <cell r="I3058">
            <v>194.1</v>
          </cell>
          <cell r="J3058">
            <v>292.7</v>
          </cell>
          <cell r="K3058">
            <v>218.3</v>
          </cell>
          <cell r="L3058">
            <v>241.2</v>
          </cell>
          <cell r="M3058">
            <v>293.39999999999998</v>
          </cell>
        </row>
        <row r="3059">
          <cell r="C3059" t="str">
            <v>220kV 275 Tháp Chàm 2 - 272 NMĐ Đa Nhim</v>
          </cell>
          <cell r="F3059">
            <v>196.8</v>
          </cell>
          <cell r="H3059">
            <v>196.2</v>
          </cell>
          <cell r="I3059">
            <v>196.8</v>
          </cell>
          <cell r="J3059">
            <v>193.4</v>
          </cell>
          <cell r="K3059">
            <v>128.80000000000001</v>
          </cell>
          <cell r="L3059">
            <v>156.30000000000001</v>
          </cell>
          <cell r="M3059">
            <v>155.69999999999999</v>
          </cell>
        </row>
        <row r="3060">
          <cell r="C3060" t="str">
            <v>220kV 276 Tháp Chàm 2 - 274 NMĐ MT Xuân Thiện Thuận Bắc GĐ1</v>
          </cell>
          <cell r="F3060">
            <v>282.89999999999998</v>
          </cell>
          <cell r="H3060">
            <v>208.1</v>
          </cell>
          <cell r="I3060">
            <v>213.5</v>
          </cell>
          <cell r="J3060">
            <v>256.7</v>
          </cell>
          <cell r="K3060">
            <v>204.7</v>
          </cell>
          <cell r="L3060">
            <v>282.89999999999998</v>
          </cell>
          <cell r="M3060">
            <v>210.3</v>
          </cell>
        </row>
        <row r="3061">
          <cell r="C3061" t="str">
            <v>Tháp Chàm 2 MBA AT1 (phía 220kV)</v>
          </cell>
          <cell r="F3061">
            <v>-149.6</v>
          </cell>
          <cell r="H3061">
            <v>-149.6</v>
          </cell>
          <cell r="I3061">
            <v>-96.8</v>
          </cell>
          <cell r="J3061">
            <v>-145.80000000000001</v>
          </cell>
          <cell r="K3061">
            <v>-109</v>
          </cell>
          <cell r="L3061">
            <v>-120.6</v>
          </cell>
          <cell r="M3061">
            <v>-147.19999999999999</v>
          </cell>
        </row>
        <row r="3062">
          <cell r="C3062" t="str">
            <v>110kV 173 Tháp Chàm 2 - 173 NMĐ MT CMX</v>
          </cell>
          <cell r="F3062">
            <v>-53.3</v>
          </cell>
          <cell r="H3062">
            <v>-53.3</v>
          </cell>
          <cell r="I3062">
            <v>-31.8</v>
          </cell>
          <cell r="J3062">
            <v>-49.4</v>
          </cell>
          <cell r="K3062">
            <v>-35.200000000000003</v>
          </cell>
          <cell r="L3062">
            <v>-43.2</v>
          </cell>
          <cell r="M3062">
            <v>-43</v>
          </cell>
        </row>
        <row r="3063">
          <cell r="C3063" t="str">
            <v>110kV 174 Tháp Chàm 2 - 171 Tháp Chàm</v>
          </cell>
          <cell r="F3063">
            <v>-83.2</v>
          </cell>
          <cell r="H3063">
            <v>-83.2</v>
          </cell>
          <cell r="I3063">
            <v>-57.1</v>
          </cell>
          <cell r="J3063">
            <v>-79.5</v>
          </cell>
          <cell r="K3063">
            <v>-47.4</v>
          </cell>
          <cell r="L3063">
            <v>-64</v>
          </cell>
          <cell r="M3063">
            <v>-65</v>
          </cell>
        </row>
        <row r="3064">
          <cell r="C3064" t="str">
            <v>110kV 175 Tháp Chàm 2 - 172 NMĐ Gió Đầm Nại</v>
          </cell>
          <cell r="F3064">
            <v>-98</v>
          </cell>
          <cell r="H3064">
            <v>-90.1</v>
          </cell>
          <cell r="I3064">
            <v>-67.3</v>
          </cell>
          <cell r="J3064">
            <v>-98</v>
          </cell>
          <cell r="K3064">
            <v>-61.2</v>
          </cell>
          <cell r="L3064">
            <v>-79.900000000000006</v>
          </cell>
          <cell r="M3064">
            <v>-98</v>
          </cell>
        </row>
        <row r="3065">
          <cell r="C3065" t="str">
            <v>110kV 176 Tháp Chàm 2 - 172 Cam Ranh</v>
          </cell>
          <cell r="F3065">
            <v>-65.2</v>
          </cell>
          <cell r="H3065">
            <v>-65.2</v>
          </cell>
          <cell r="I3065">
            <v>-39.6</v>
          </cell>
          <cell r="J3065">
            <v>-64.400000000000006</v>
          </cell>
          <cell r="K3065">
            <v>-61.8</v>
          </cell>
          <cell r="L3065">
            <v>-52.4</v>
          </cell>
          <cell r="M3065">
            <v>-62</v>
          </cell>
        </row>
        <row r="3066">
          <cell r="C3066" t="str">
            <v>Tháp Chàm 2 MBA AT1 (phía 110kV)</v>
          </cell>
          <cell r="F3066">
            <v>149.6</v>
          </cell>
          <cell r="H3066">
            <v>149.6</v>
          </cell>
          <cell r="I3066">
            <v>96.3</v>
          </cell>
          <cell r="J3066">
            <v>145.9</v>
          </cell>
          <cell r="K3066">
            <v>109</v>
          </cell>
          <cell r="L3066">
            <v>120.4</v>
          </cell>
          <cell r="M3066">
            <v>147</v>
          </cell>
        </row>
        <row r="3067">
          <cell r="C3067" t="str">
            <v>Tháp Chàm 2 MBA AT2 (phía 220kV)</v>
          </cell>
          <cell r="F3067">
            <v>-149.80000000000001</v>
          </cell>
          <cell r="H3067">
            <v>-149.80000000000001</v>
          </cell>
          <cell r="I3067">
            <v>-96.8</v>
          </cell>
          <cell r="J3067">
            <v>-145.80000000000001</v>
          </cell>
          <cell r="K3067">
            <v>-108.2</v>
          </cell>
          <cell r="L3067">
            <v>-121</v>
          </cell>
          <cell r="M3067">
            <v>-147.80000000000001</v>
          </cell>
        </row>
        <row r="3068">
          <cell r="C3068" t="str">
            <v>Tháp Chàm 2 MBA AT2 (phía 110kV)</v>
          </cell>
          <cell r="F3068">
            <v>150.1</v>
          </cell>
          <cell r="H3068">
            <v>150.1</v>
          </cell>
          <cell r="I3068">
            <v>96.8</v>
          </cell>
          <cell r="J3068">
            <v>145.6</v>
          </cell>
          <cell r="K3068">
            <v>109.4</v>
          </cell>
          <cell r="L3068">
            <v>121</v>
          </cell>
          <cell r="M3068">
            <v>148.4</v>
          </cell>
        </row>
        <row r="3069">
          <cell r="C3069" t="str">
            <v>110kV 177 Tháp Chàm 2 - 171 NMĐ Gió Trung Nam</v>
          </cell>
          <cell r="F3069">
            <v>-37.1</v>
          </cell>
          <cell r="H3069">
            <v>-9.4</v>
          </cell>
          <cell r="I3069">
            <v>-6.5</v>
          </cell>
          <cell r="J3069">
            <v>-12</v>
          </cell>
          <cell r="K3069">
            <v>-12.9</v>
          </cell>
          <cell r="L3069">
            <v>-7.4</v>
          </cell>
          <cell r="M3069">
            <v>-37.1</v>
          </cell>
        </row>
        <row r="3070">
          <cell r="C3070" t="str">
            <v>110kV 178 Tháp Chàm 2 - 172 NMĐ Gió Trung Nam</v>
          </cell>
          <cell r="F3070">
            <v>-38.5</v>
          </cell>
          <cell r="H3070">
            <v>-8.9</v>
          </cell>
          <cell r="I3070">
            <v>-6.1</v>
          </cell>
          <cell r="J3070">
            <v>-12.1</v>
          </cell>
          <cell r="K3070">
            <v>-13.4</v>
          </cell>
          <cell r="L3070">
            <v>-8.1999999999999993</v>
          </cell>
          <cell r="M3070">
            <v>-38.5</v>
          </cell>
        </row>
        <row r="3071">
          <cell r="C3071" t="str">
            <v>220kV 279 Tháp Chàm 2 - 274 NMĐ MT Trung Nam</v>
          </cell>
          <cell r="F3071">
            <v>-196</v>
          </cell>
          <cell r="H3071">
            <v>-194.9</v>
          </cell>
          <cell r="I3071">
            <v>-196</v>
          </cell>
          <cell r="J3071">
            <v>-193.5</v>
          </cell>
          <cell r="K3071">
            <v>-127.4</v>
          </cell>
          <cell r="L3071">
            <v>-155.30000000000001</v>
          </cell>
          <cell r="M3071">
            <v>-155.4</v>
          </cell>
        </row>
        <row r="3072">
          <cell r="C3072" t="str">
            <v>Tháp Mười MBA T1 (phía 110kV)</v>
          </cell>
          <cell r="F3072">
            <v>24</v>
          </cell>
          <cell r="H3072">
            <v>23.6</v>
          </cell>
          <cell r="I3072">
            <v>19.5</v>
          </cell>
          <cell r="J3072">
            <v>24</v>
          </cell>
          <cell r="K3072">
            <v>22.4</v>
          </cell>
          <cell r="L3072">
            <v>23.2</v>
          </cell>
          <cell r="M3072">
            <v>22.6</v>
          </cell>
        </row>
        <row r="3073">
          <cell r="C3073" t="str">
            <v>Tháp Mười MBA T1 (phía 22kV)</v>
          </cell>
          <cell r="F3073">
            <v>-23.9</v>
          </cell>
          <cell r="H3073">
            <v>-23.5</v>
          </cell>
          <cell r="I3073">
            <v>-19.5</v>
          </cell>
          <cell r="J3073">
            <v>-23.9</v>
          </cell>
          <cell r="K3073">
            <v>-22.3</v>
          </cell>
          <cell r="L3073">
            <v>-23.1</v>
          </cell>
          <cell r="M3073">
            <v>-22.3</v>
          </cell>
        </row>
        <row r="3074">
          <cell r="C3074" t="str">
            <v>110kV 171 Tháp Mười - 175 Cao Lãnh 2</v>
          </cell>
          <cell r="F3074">
            <v>-47.5</v>
          </cell>
          <cell r="H3074">
            <v>-43.7</v>
          </cell>
          <cell r="I3074">
            <v>-40.1</v>
          </cell>
          <cell r="J3074">
            <v>-47.5</v>
          </cell>
          <cell r="K3074">
            <v>-40.799999999999997</v>
          </cell>
          <cell r="L3074">
            <v>-41.4</v>
          </cell>
          <cell r="M3074">
            <v>-37.9</v>
          </cell>
        </row>
        <row r="3075">
          <cell r="C3075" t="str">
            <v>110kV 172 Tháp Mười - 131 Tam Nông</v>
          </cell>
          <cell r="F3075">
            <v>24.9</v>
          </cell>
          <cell r="H3075">
            <v>22</v>
          </cell>
          <cell r="I3075">
            <v>20.5</v>
          </cell>
          <cell r="J3075">
            <v>24.9</v>
          </cell>
          <cell r="K3075">
            <v>20.2</v>
          </cell>
          <cell r="L3075">
            <v>19</v>
          </cell>
          <cell r="M3075">
            <v>19</v>
          </cell>
        </row>
        <row r="3076">
          <cell r="C3076" t="str">
            <v>110kV 171 Thép Miền Nam - 172 Vina Kyoei</v>
          </cell>
          <cell r="F3076">
            <v>-65.3</v>
          </cell>
          <cell r="H3076">
            <v>-51.3</v>
          </cell>
          <cell r="I3076">
            <v>-65.3</v>
          </cell>
          <cell r="J3076">
            <v>-31.2</v>
          </cell>
          <cell r="K3076">
            <v>-53.7</v>
          </cell>
          <cell r="L3076">
            <v>-51.3</v>
          </cell>
          <cell r="M3076">
            <v>-44.3</v>
          </cell>
        </row>
        <row r="3077">
          <cell r="C3077" t="str">
            <v>110kV 172 Thép Miền Nam - 171 Pomina</v>
          </cell>
          <cell r="F3077">
            <v>-51.1</v>
          </cell>
          <cell r="H3077">
            <v>-51.1</v>
          </cell>
          <cell r="I3077">
            <v>-46.9</v>
          </cell>
          <cell r="J3077">
            <v>21.1</v>
          </cell>
          <cell r="K3077">
            <v>-48.3</v>
          </cell>
          <cell r="L3077">
            <v>-42.8</v>
          </cell>
          <cell r="M3077">
            <v>-50.7</v>
          </cell>
        </row>
        <row r="3078">
          <cell r="C3078" t="str">
            <v>Thép Miền Nam MBA T1 (phía 110kV)</v>
          </cell>
          <cell r="E3078">
            <v>0</v>
          </cell>
          <cell r="F3078">
            <v>70.599999999999994</v>
          </cell>
          <cell r="H3078">
            <v>67.599999999999994</v>
          </cell>
          <cell r="I3078">
            <v>70</v>
          </cell>
          <cell r="J3078">
            <v>0</v>
          </cell>
          <cell r="K3078">
            <v>66.2</v>
          </cell>
          <cell r="L3078">
            <v>70.5</v>
          </cell>
          <cell r="M3078">
            <v>70.599999999999994</v>
          </cell>
        </row>
        <row r="3079">
          <cell r="C3079" t="str">
            <v>Thép Miền Nam MBA T2 (phía 110kV)</v>
          </cell>
          <cell r="F3079">
            <v>20.100000000000001</v>
          </cell>
          <cell r="H3079">
            <v>16.600000000000001</v>
          </cell>
          <cell r="I3079">
            <v>20.100000000000001</v>
          </cell>
          <cell r="J3079">
            <v>11</v>
          </cell>
          <cell r="K3079">
            <v>17.5</v>
          </cell>
          <cell r="L3079">
            <v>16.7</v>
          </cell>
          <cell r="M3079">
            <v>17</v>
          </cell>
        </row>
        <row r="3080">
          <cell r="C3080" t="str">
            <v>Thép Miền Nam MBA T1 (phía 35kV)</v>
          </cell>
          <cell r="E3080">
            <v>0</v>
          </cell>
          <cell r="F3080">
            <v>-71.7</v>
          </cell>
          <cell r="H3080">
            <v>-71.099999999999994</v>
          </cell>
          <cell r="I3080">
            <v>-71.7</v>
          </cell>
          <cell r="J3080">
            <v>0</v>
          </cell>
          <cell r="K3080">
            <v>-67.900000000000006</v>
          </cell>
          <cell r="L3080">
            <v>-67.7</v>
          </cell>
          <cell r="M3080">
            <v>-69.599999999999994</v>
          </cell>
        </row>
        <row r="3081">
          <cell r="C3081" t="str">
            <v>Thép Miền Nam MBA T2 (phía 22kV)</v>
          </cell>
          <cell r="F3081">
            <v>-19.7</v>
          </cell>
          <cell r="H3081">
            <v>-16.5</v>
          </cell>
          <cell r="I3081">
            <v>-19.7</v>
          </cell>
          <cell r="J3081">
            <v>-11.1</v>
          </cell>
          <cell r="K3081">
            <v>-17.5</v>
          </cell>
          <cell r="L3081">
            <v>-16.7</v>
          </cell>
          <cell r="M3081">
            <v>-16.899999999999999</v>
          </cell>
        </row>
        <row r="3082">
          <cell r="C3082" t="str">
            <v>110kV 171 Thép Tuệ Minh - 172 Đất Cuốc</v>
          </cell>
          <cell r="F3082">
            <v>-25</v>
          </cell>
          <cell r="H3082">
            <v>24.5</v>
          </cell>
          <cell r="I3082">
            <v>19.399999999999999</v>
          </cell>
          <cell r="J3082">
            <v>21.8</v>
          </cell>
          <cell r="K3082">
            <v>-14.9</v>
          </cell>
          <cell r="L3082">
            <v>-20.100000000000001</v>
          </cell>
          <cell r="M3082">
            <v>-25</v>
          </cell>
        </row>
        <row r="3083">
          <cell r="C3083" t="str">
            <v>110kV 172 Thép Tuệ Minh - 176 Uyên Hưng</v>
          </cell>
          <cell r="F3083">
            <v>-66.7</v>
          </cell>
          <cell r="H3083">
            <v>-59</v>
          </cell>
          <cell r="I3083">
            <v>-66.7</v>
          </cell>
          <cell r="J3083">
            <v>-61.4</v>
          </cell>
          <cell r="K3083">
            <v>-63.1</v>
          </cell>
          <cell r="L3083">
            <v>-56.4</v>
          </cell>
          <cell r="M3083">
            <v>-52.7</v>
          </cell>
        </row>
        <row r="3084">
          <cell r="C3084" t="str">
            <v>Thép Tuệ Minh MBA T2 (phía 22kV)</v>
          </cell>
          <cell r="F3084">
            <v>-48.6</v>
          </cell>
          <cell r="H3084">
            <v>-42.5</v>
          </cell>
          <cell r="I3084">
            <v>-44</v>
          </cell>
          <cell r="J3084">
            <v>-48.6</v>
          </cell>
          <cell r="K3084">
            <v>-39.6</v>
          </cell>
          <cell r="L3084">
            <v>-46.6</v>
          </cell>
          <cell r="M3084">
            <v>-47.1</v>
          </cell>
        </row>
        <row r="3085">
          <cell r="C3085" t="str">
            <v>Thép Tuệ Minh MBA T1 (phía 22kV)</v>
          </cell>
          <cell r="F3085">
            <v>-35.5</v>
          </cell>
          <cell r="H3085">
            <v>-30</v>
          </cell>
          <cell r="I3085">
            <v>-34.799999999999997</v>
          </cell>
          <cell r="J3085">
            <v>-31.6</v>
          </cell>
          <cell r="K3085">
            <v>-34.4</v>
          </cell>
          <cell r="L3085">
            <v>-30.7</v>
          </cell>
          <cell r="M3085">
            <v>-35.5</v>
          </cell>
        </row>
        <row r="3086">
          <cell r="C3086" t="str">
            <v>110kV 171 Thép Việt - 178 NMĐ Phú Mỹ 1</v>
          </cell>
          <cell r="F3086">
            <v>-61.9</v>
          </cell>
          <cell r="H3086">
            <v>-50.7</v>
          </cell>
          <cell r="I3086">
            <v>-61.9</v>
          </cell>
          <cell r="J3086">
            <v>-54</v>
          </cell>
          <cell r="K3086">
            <v>-36.4</v>
          </cell>
          <cell r="L3086">
            <v>-58.2</v>
          </cell>
          <cell r="M3086">
            <v>-58</v>
          </cell>
        </row>
        <row r="3087">
          <cell r="C3087" t="str">
            <v>110kV 172 Thép Việt - 172 Tôn Hoa Sen</v>
          </cell>
          <cell r="F3087">
            <v>28.6</v>
          </cell>
          <cell r="H3087">
            <v>16.3</v>
          </cell>
          <cell r="I3087">
            <v>28.6</v>
          </cell>
          <cell r="J3087">
            <v>16.8</v>
          </cell>
          <cell r="K3087">
            <v>20.3</v>
          </cell>
          <cell r="L3087">
            <v>-15.7</v>
          </cell>
          <cell r="M3087">
            <v>-17.100000000000001</v>
          </cell>
        </row>
        <row r="3088">
          <cell r="C3088" t="str">
            <v>Thép Việt MBA T1 (phía 35kV)</v>
          </cell>
          <cell r="F3088">
            <v>45.4</v>
          </cell>
          <cell r="H3088">
            <v>40.299999999999997</v>
          </cell>
          <cell r="I3088">
            <v>41.7</v>
          </cell>
          <cell r="J3088">
            <v>45.4</v>
          </cell>
          <cell r="K3088">
            <v>36.299999999999997</v>
          </cell>
          <cell r="L3088">
            <v>34.4</v>
          </cell>
          <cell r="M3088">
            <v>38.9</v>
          </cell>
        </row>
        <row r="3089">
          <cell r="C3089" t="str">
            <v>Thép Việt MBA T2 (phía 22kV)</v>
          </cell>
          <cell r="F3089">
            <v>-12.7</v>
          </cell>
          <cell r="H3089">
            <v>-12.1</v>
          </cell>
          <cell r="I3089">
            <v>-6.2</v>
          </cell>
          <cell r="J3089">
            <v>-12.7</v>
          </cell>
          <cell r="K3089">
            <v>-6.2</v>
          </cell>
          <cell r="L3089">
            <v>-12.4</v>
          </cell>
          <cell r="M3089">
            <v>-12.2</v>
          </cell>
        </row>
        <row r="3090">
          <cell r="C3090" t="str">
            <v>110kV 171 Thị Nghè - 177 Tao Đàn</v>
          </cell>
          <cell r="F3090">
            <v>-39.4</v>
          </cell>
          <cell r="H3090">
            <v>-39.4</v>
          </cell>
          <cell r="I3090">
            <v>-35</v>
          </cell>
          <cell r="J3090">
            <v>-37.1</v>
          </cell>
          <cell r="K3090">
            <v>-34.6</v>
          </cell>
          <cell r="L3090">
            <v>-27.2</v>
          </cell>
          <cell r="M3090">
            <v>-22.5</v>
          </cell>
        </row>
        <row r="3091">
          <cell r="C3091" t="str">
            <v>110kV 172 Thị Nghè - 178 Tao Đàn</v>
          </cell>
          <cell r="F3091">
            <v>-39</v>
          </cell>
          <cell r="H3091">
            <v>-39</v>
          </cell>
          <cell r="I3091">
            <v>-34.799999999999997</v>
          </cell>
          <cell r="J3091">
            <v>-37</v>
          </cell>
          <cell r="K3091">
            <v>-34.5</v>
          </cell>
          <cell r="L3091">
            <v>-27.4</v>
          </cell>
          <cell r="M3091">
            <v>-22.7</v>
          </cell>
        </row>
        <row r="3092">
          <cell r="C3092" t="str">
            <v>Thị Nghè MBA T1 (phía 110kV)</v>
          </cell>
          <cell r="F3092">
            <v>34</v>
          </cell>
          <cell r="H3092">
            <v>30.1</v>
          </cell>
          <cell r="I3092">
            <v>34</v>
          </cell>
          <cell r="J3092">
            <v>30.2</v>
          </cell>
          <cell r="K3092">
            <v>28.8</v>
          </cell>
          <cell r="L3092">
            <v>18.8</v>
          </cell>
          <cell r="M3092">
            <v>18.600000000000001</v>
          </cell>
        </row>
        <row r="3093">
          <cell r="C3093" t="str">
            <v>Thị Nghè MBA T2 (phía 110kV)</v>
          </cell>
          <cell r="F3093">
            <v>50.1</v>
          </cell>
          <cell r="H3093">
            <v>50.1</v>
          </cell>
          <cell r="I3093">
            <v>36.1</v>
          </cell>
          <cell r="J3093">
            <v>43.9</v>
          </cell>
          <cell r="K3093">
            <v>41.4</v>
          </cell>
          <cell r="L3093">
            <v>35.5</v>
          </cell>
          <cell r="M3093">
            <v>27.2</v>
          </cell>
        </row>
        <row r="3094">
          <cell r="C3094" t="str">
            <v>Thị Nghè MBA T1 (phía 22kV)</v>
          </cell>
          <cell r="F3094">
            <v>-33.5</v>
          </cell>
          <cell r="H3094">
            <v>-29.5</v>
          </cell>
          <cell r="I3094">
            <v>-33.5</v>
          </cell>
          <cell r="J3094">
            <v>-30</v>
          </cell>
          <cell r="K3094">
            <v>-28.5</v>
          </cell>
          <cell r="L3094">
            <v>-18.5</v>
          </cell>
          <cell r="M3094">
            <v>-18.5</v>
          </cell>
        </row>
        <row r="3095">
          <cell r="C3095" t="str">
            <v>Thị Nghè MBA T2 (phía 22kV)</v>
          </cell>
          <cell r="F3095">
            <v>-50</v>
          </cell>
          <cell r="H3095">
            <v>-50</v>
          </cell>
          <cell r="I3095">
            <v>-36.200000000000003</v>
          </cell>
          <cell r="J3095">
            <v>-43.9</v>
          </cell>
          <cell r="K3095">
            <v>-41.3</v>
          </cell>
          <cell r="L3095">
            <v>-35.5</v>
          </cell>
          <cell r="M3095">
            <v>-27.1</v>
          </cell>
        </row>
        <row r="3096">
          <cell r="C3096" t="str">
            <v>Thị Vải MBA T1 (phía 110kV)</v>
          </cell>
          <cell r="E3096">
            <v>0</v>
          </cell>
          <cell r="F3096">
            <v>43.6</v>
          </cell>
          <cell r="H3096">
            <v>43.6</v>
          </cell>
          <cell r="I3096">
            <v>38.299999999999997</v>
          </cell>
          <cell r="J3096">
            <v>36.299999999999997</v>
          </cell>
          <cell r="K3096">
            <v>0</v>
          </cell>
          <cell r="L3096">
            <v>0</v>
          </cell>
          <cell r="M3096">
            <v>25.2</v>
          </cell>
        </row>
        <row r="3097">
          <cell r="C3097" t="str">
            <v>Thị Vải MBA T1 (phía 22kV)</v>
          </cell>
          <cell r="E3097">
            <v>0</v>
          </cell>
          <cell r="F3097">
            <v>-43.4</v>
          </cell>
          <cell r="H3097">
            <v>-43.4</v>
          </cell>
          <cell r="I3097">
            <v>-37.9</v>
          </cell>
          <cell r="J3097">
            <v>-36.299999999999997</v>
          </cell>
          <cell r="K3097">
            <v>0</v>
          </cell>
          <cell r="L3097">
            <v>0</v>
          </cell>
          <cell r="M3097">
            <v>-25.1</v>
          </cell>
        </row>
        <row r="3098">
          <cell r="C3098" t="str">
            <v>110kV 171 Thị Vải - 174 Tân Thành</v>
          </cell>
          <cell r="F3098">
            <v>-40.9</v>
          </cell>
          <cell r="H3098">
            <v>-40.9</v>
          </cell>
          <cell r="I3098">
            <v>-36.4</v>
          </cell>
          <cell r="J3098">
            <v>-35</v>
          </cell>
          <cell r="K3098">
            <v>-23.4</v>
          </cell>
          <cell r="L3098">
            <v>-23.2</v>
          </cell>
          <cell r="M3098">
            <v>-34.4</v>
          </cell>
        </row>
        <row r="3099">
          <cell r="C3099" t="str">
            <v>110kV 172 Thị Vải - 172 Hyosung Vina Chemicals</v>
          </cell>
          <cell r="F3099">
            <v>23.4</v>
          </cell>
          <cell r="H3099">
            <v>4.9000000000000004</v>
          </cell>
          <cell r="I3099">
            <v>-3.4</v>
          </cell>
          <cell r="J3099">
            <v>6</v>
          </cell>
          <cell r="K3099">
            <v>23.4</v>
          </cell>
          <cell r="L3099">
            <v>22.8</v>
          </cell>
          <cell r="M3099">
            <v>17</v>
          </cell>
        </row>
        <row r="3100">
          <cell r="C3100" t="str">
            <v>Thoại Sơn MBA T2 (phía 110kV)</v>
          </cell>
          <cell r="F3100">
            <v>19.8</v>
          </cell>
          <cell r="H3100">
            <v>16.899999999999999</v>
          </cell>
          <cell r="I3100">
            <v>15.5</v>
          </cell>
          <cell r="J3100">
            <v>18.3</v>
          </cell>
          <cell r="K3100">
            <v>15.3</v>
          </cell>
          <cell r="L3100">
            <v>16.100000000000001</v>
          </cell>
          <cell r="M3100">
            <v>19.8</v>
          </cell>
        </row>
        <row r="3101">
          <cell r="C3101" t="str">
            <v>Thoại Sơn MBA T2 (phía 22kV)</v>
          </cell>
          <cell r="F3101">
            <v>-19.8</v>
          </cell>
          <cell r="H3101">
            <v>-16.899999999999999</v>
          </cell>
          <cell r="I3101">
            <v>-15.6</v>
          </cell>
          <cell r="J3101">
            <v>-18.399999999999999</v>
          </cell>
          <cell r="K3101">
            <v>-15.3</v>
          </cell>
          <cell r="L3101">
            <v>-16.100000000000001</v>
          </cell>
          <cell r="M3101">
            <v>-19.8</v>
          </cell>
        </row>
        <row r="3102">
          <cell r="C3102" t="str">
            <v>Thoại Sơn MBA T1 (phía 110kV)</v>
          </cell>
          <cell r="E3102">
            <v>0</v>
          </cell>
          <cell r="F3102">
            <v>0</v>
          </cell>
          <cell r="H3102">
            <v>0</v>
          </cell>
          <cell r="I3102">
            <v>0</v>
          </cell>
          <cell r="J3102">
            <v>0</v>
          </cell>
          <cell r="K3102">
            <v>0</v>
          </cell>
          <cell r="L3102">
            <v>0</v>
          </cell>
          <cell r="M3102">
            <v>0</v>
          </cell>
        </row>
        <row r="3103">
          <cell r="C3103" t="str">
            <v>Thoại Sơn MBA T1 (phía 22kV)</v>
          </cell>
          <cell r="E3103">
            <v>0</v>
          </cell>
          <cell r="F3103">
            <v>0</v>
          </cell>
          <cell r="H3103">
            <v>0</v>
          </cell>
          <cell r="I3103">
            <v>0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</row>
        <row r="3104">
          <cell r="C3104" t="str">
            <v>110kV 171 Thới Hòa - 176 Mỹ Phước</v>
          </cell>
          <cell r="F3104">
            <v>-57.6</v>
          </cell>
          <cell r="H3104">
            <v>-55.3</v>
          </cell>
          <cell r="I3104">
            <v>-53.3</v>
          </cell>
          <cell r="J3104">
            <v>-57.6</v>
          </cell>
          <cell r="K3104">
            <v>-53.8</v>
          </cell>
          <cell r="L3104">
            <v>-41.9</v>
          </cell>
          <cell r="M3104">
            <v>-43.6</v>
          </cell>
        </row>
        <row r="3105">
          <cell r="C3105" t="str">
            <v>110kV 172 Thới Hòa - 172 Hòa Thuận</v>
          </cell>
          <cell r="F3105">
            <v>-55</v>
          </cell>
          <cell r="H3105">
            <v>-54.6</v>
          </cell>
          <cell r="I3105">
            <v>-51.7</v>
          </cell>
          <cell r="J3105">
            <v>-55</v>
          </cell>
          <cell r="K3105">
            <v>-52.7</v>
          </cell>
          <cell r="L3105">
            <v>-43.6</v>
          </cell>
          <cell r="M3105">
            <v>-42.3</v>
          </cell>
        </row>
        <row r="3106">
          <cell r="C3106" t="str">
            <v>Thới Hòa MBA T1 (phía 110kV)</v>
          </cell>
          <cell r="F3106">
            <v>55.9</v>
          </cell>
          <cell r="H3106">
            <v>55.1</v>
          </cell>
          <cell r="I3106">
            <v>53.4</v>
          </cell>
          <cell r="J3106">
            <v>55.9</v>
          </cell>
          <cell r="K3106">
            <v>54.5</v>
          </cell>
          <cell r="L3106">
            <v>42.2</v>
          </cell>
          <cell r="M3106">
            <v>43.2</v>
          </cell>
        </row>
        <row r="3107">
          <cell r="C3107" t="str">
            <v>Thới Hòa MBA T2 (phía 110kV)</v>
          </cell>
          <cell r="F3107">
            <v>55.5</v>
          </cell>
          <cell r="H3107">
            <v>54.5</v>
          </cell>
          <cell r="I3107">
            <v>51.6</v>
          </cell>
          <cell r="J3107">
            <v>55.5</v>
          </cell>
          <cell r="K3107">
            <v>52.6</v>
          </cell>
          <cell r="L3107">
            <v>43.4</v>
          </cell>
          <cell r="M3107">
            <v>42.1</v>
          </cell>
        </row>
        <row r="3108">
          <cell r="C3108" t="str">
            <v>Thới Hòa MBA T1 (phía 22kV)</v>
          </cell>
          <cell r="F3108">
            <v>-55.7</v>
          </cell>
          <cell r="H3108">
            <v>-55.6</v>
          </cell>
          <cell r="I3108">
            <v>-54.2</v>
          </cell>
          <cell r="J3108">
            <v>-55.7</v>
          </cell>
          <cell r="K3108">
            <v>-53.6</v>
          </cell>
          <cell r="L3108">
            <v>-42.6</v>
          </cell>
          <cell r="M3108">
            <v>-43.7</v>
          </cell>
        </row>
        <row r="3109">
          <cell r="C3109" t="str">
            <v>Thới Hòa MBA T2 (phía 22kV)</v>
          </cell>
          <cell r="F3109">
            <v>-55.5</v>
          </cell>
          <cell r="H3109">
            <v>-54.5</v>
          </cell>
          <cell r="I3109">
            <v>-51.9</v>
          </cell>
          <cell r="J3109">
            <v>-55.5</v>
          </cell>
          <cell r="K3109">
            <v>-52.8</v>
          </cell>
          <cell r="L3109">
            <v>-43.5</v>
          </cell>
          <cell r="M3109">
            <v>-42.2</v>
          </cell>
        </row>
        <row r="3110">
          <cell r="C3110" t="str">
            <v>Thới Lai MBA T1 (phía 110kV)</v>
          </cell>
          <cell r="F3110">
            <v>22.4</v>
          </cell>
          <cell r="H3110">
            <v>21.7</v>
          </cell>
          <cell r="I3110">
            <v>16.2</v>
          </cell>
          <cell r="J3110">
            <v>22.4</v>
          </cell>
          <cell r="K3110">
            <v>14.3</v>
          </cell>
          <cell r="L3110">
            <v>17.600000000000001</v>
          </cell>
          <cell r="M3110">
            <v>19.399999999999999</v>
          </cell>
        </row>
        <row r="3111">
          <cell r="C3111" t="str">
            <v>Thới Lai MBA T1 (phía 22kV)</v>
          </cell>
          <cell r="F3111">
            <v>-22.4</v>
          </cell>
          <cell r="H3111">
            <v>-21.6</v>
          </cell>
          <cell r="I3111">
            <v>-16.2</v>
          </cell>
          <cell r="J3111">
            <v>-22.4</v>
          </cell>
          <cell r="K3111">
            <v>-14.3</v>
          </cell>
          <cell r="L3111">
            <v>-17.7</v>
          </cell>
          <cell r="M3111">
            <v>-19.399999999999999</v>
          </cell>
        </row>
        <row r="3112">
          <cell r="C3112" t="str">
            <v>110kV 171 Thới Thuận - 171 Long Xuyên</v>
          </cell>
          <cell r="F3112">
            <v>37.799999999999997</v>
          </cell>
          <cell r="H3112">
            <v>34.4</v>
          </cell>
          <cell r="I3112">
            <v>32</v>
          </cell>
          <cell r="J3112">
            <v>37.799999999999997</v>
          </cell>
          <cell r="K3112">
            <v>33.799999999999997</v>
          </cell>
          <cell r="L3112">
            <v>29.4</v>
          </cell>
          <cell r="M3112">
            <v>29.4</v>
          </cell>
        </row>
        <row r="3113">
          <cell r="C3113" t="str">
            <v>110kV 172 Thới Thuận - 175 Thốt Nốt 2 - 172-7 Thốt Nốt</v>
          </cell>
          <cell r="F3113">
            <v>194</v>
          </cell>
          <cell r="H3113">
            <v>187.8</v>
          </cell>
          <cell r="I3113">
            <v>185</v>
          </cell>
          <cell r="J3113">
            <v>184.4</v>
          </cell>
          <cell r="K3113">
            <v>187.1</v>
          </cell>
          <cell r="L3113">
            <v>194</v>
          </cell>
          <cell r="M3113">
            <v>189.6</v>
          </cell>
        </row>
        <row r="3114">
          <cell r="C3114" t="str">
            <v>Thới Thuận MBA T1 (phía 110kV)</v>
          </cell>
          <cell r="F3114">
            <v>26.2</v>
          </cell>
          <cell r="H3114">
            <v>23.5</v>
          </cell>
          <cell r="I3114">
            <v>23.6</v>
          </cell>
          <cell r="J3114">
            <v>26.2</v>
          </cell>
          <cell r="K3114">
            <v>21.3</v>
          </cell>
          <cell r="L3114">
            <v>18.2</v>
          </cell>
          <cell r="M3114">
            <v>17.399999999999999</v>
          </cell>
        </row>
        <row r="3115">
          <cell r="C3115" t="str">
            <v>Thới Thuận MBA T1 (phía 22kV)</v>
          </cell>
          <cell r="F3115">
            <v>-26.1</v>
          </cell>
          <cell r="H3115">
            <v>-23.4</v>
          </cell>
          <cell r="I3115">
            <v>-23.6</v>
          </cell>
          <cell r="J3115">
            <v>-26.1</v>
          </cell>
          <cell r="K3115">
            <v>-21.3</v>
          </cell>
          <cell r="L3115">
            <v>-18.2</v>
          </cell>
          <cell r="M3115">
            <v>-17.600000000000001</v>
          </cell>
        </row>
        <row r="3116">
          <cell r="C3116" t="str">
            <v>Thới Thuận MBA T2 (phía 22kV)</v>
          </cell>
          <cell r="F3116">
            <v>-19.100000000000001</v>
          </cell>
          <cell r="H3116">
            <v>-19.100000000000001</v>
          </cell>
          <cell r="I3116">
            <v>-16.3</v>
          </cell>
          <cell r="J3116">
            <v>-18</v>
          </cell>
          <cell r="K3116">
            <v>-16.100000000000001</v>
          </cell>
          <cell r="L3116">
            <v>-17.3</v>
          </cell>
          <cell r="M3116">
            <v>-13.6</v>
          </cell>
        </row>
        <row r="3117">
          <cell r="C3117" t="str">
            <v>Thới Thuận MBA T2 (phía 110kV)</v>
          </cell>
          <cell r="F3117">
            <v>19</v>
          </cell>
          <cell r="H3117">
            <v>19</v>
          </cell>
          <cell r="I3117">
            <v>16.3</v>
          </cell>
          <cell r="J3117">
            <v>18.100000000000001</v>
          </cell>
          <cell r="K3117">
            <v>16.100000000000001</v>
          </cell>
          <cell r="L3117">
            <v>17.100000000000001</v>
          </cell>
          <cell r="M3117">
            <v>13.6</v>
          </cell>
        </row>
        <row r="3118">
          <cell r="C3118" t="str">
            <v>110kV 171 Thống Nhất - 172 Loteco</v>
          </cell>
          <cell r="F3118">
            <v>-60.9</v>
          </cell>
          <cell r="H3118">
            <v>39.9</v>
          </cell>
          <cell r="I3118">
            <v>36.6</v>
          </cell>
          <cell r="J3118">
            <v>41.3</v>
          </cell>
          <cell r="K3118">
            <v>39</v>
          </cell>
          <cell r="L3118">
            <v>29</v>
          </cell>
          <cell r="M3118">
            <v>-60.9</v>
          </cell>
        </row>
        <row r="3119">
          <cell r="C3119" t="str">
            <v>110kV 172 Thống Nhất - 177 Sông Mây</v>
          </cell>
          <cell r="F3119">
            <v>-120.5</v>
          </cell>
          <cell r="H3119">
            <v>-115.5</v>
          </cell>
          <cell r="I3119">
            <v>-110.7</v>
          </cell>
          <cell r="J3119">
            <v>-120.5</v>
          </cell>
          <cell r="K3119">
            <v>-112.6</v>
          </cell>
          <cell r="L3119">
            <v>-79.2</v>
          </cell>
          <cell r="M3119">
            <v>-74.599999999999994</v>
          </cell>
        </row>
        <row r="3120">
          <cell r="C3120" t="str">
            <v>Thống Nhất MBA T1 (phía 110kV)</v>
          </cell>
          <cell r="F3120">
            <v>43.1</v>
          </cell>
          <cell r="H3120">
            <v>43.1</v>
          </cell>
          <cell r="I3120">
            <v>41.5</v>
          </cell>
          <cell r="J3120">
            <v>43</v>
          </cell>
          <cell r="K3120">
            <v>41.6</v>
          </cell>
          <cell r="L3120">
            <v>29.1</v>
          </cell>
          <cell r="M3120">
            <v>31.9</v>
          </cell>
        </row>
        <row r="3121">
          <cell r="C3121" t="str">
            <v>Thống Nhất MBA T2 (phía 110kV)</v>
          </cell>
          <cell r="F3121">
            <v>40.299999999999997</v>
          </cell>
          <cell r="H3121">
            <v>38.799999999999997</v>
          </cell>
          <cell r="I3121">
            <v>37.9</v>
          </cell>
          <cell r="J3121">
            <v>40.299999999999997</v>
          </cell>
          <cell r="K3121">
            <v>38.700000000000003</v>
          </cell>
          <cell r="L3121">
            <v>33.9</v>
          </cell>
          <cell r="M3121">
            <v>33.6</v>
          </cell>
        </row>
        <row r="3122">
          <cell r="C3122" t="str">
            <v>Thống Nhất MBA T1 (phía 22kV)</v>
          </cell>
          <cell r="F3122">
            <v>-42.6</v>
          </cell>
          <cell r="H3122">
            <v>-42.2</v>
          </cell>
          <cell r="I3122">
            <v>-40.4</v>
          </cell>
          <cell r="J3122">
            <v>-42.6</v>
          </cell>
          <cell r="K3122">
            <v>-40.4</v>
          </cell>
          <cell r="L3122">
            <v>-28.3</v>
          </cell>
          <cell r="M3122">
            <v>-31.2</v>
          </cell>
        </row>
        <row r="3123">
          <cell r="C3123" t="str">
            <v>Thống Nhất MBA T2 (phía 22kV)</v>
          </cell>
          <cell r="F3123">
            <v>-40</v>
          </cell>
          <cell r="H3123">
            <v>-38.5</v>
          </cell>
          <cell r="I3123">
            <v>-37.6</v>
          </cell>
          <cell r="J3123">
            <v>-40</v>
          </cell>
          <cell r="K3123">
            <v>-38.5</v>
          </cell>
          <cell r="L3123">
            <v>-33.5</v>
          </cell>
          <cell r="M3123">
            <v>-33.299999999999997</v>
          </cell>
        </row>
        <row r="3124">
          <cell r="C3124" t="str">
            <v>Thốt Nốt MBA T1 (phía 110kV)</v>
          </cell>
          <cell r="F3124">
            <v>23.6</v>
          </cell>
          <cell r="H3124">
            <v>21</v>
          </cell>
          <cell r="I3124">
            <v>17.899999999999999</v>
          </cell>
          <cell r="J3124">
            <v>23.6</v>
          </cell>
          <cell r="K3124">
            <v>20.3</v>
          </cell>
          <cell r="L3124">
            <v>21.2</v>
          </cell>
          <cell r="M3124">
            <v>20.7</v>
          </cell>
        </row>
        <row r="3125">
          <cell r="C3125" t="str">
            <v>Thốt Nốt MBA T1 (phía 22kV)</v>
          </cell>
          <cell r="F3125">
            <v>-23.7</v>
          </cell>
          <cell r="H3125">
            <v>-21.1</v>
          </cell>
          <cell r="I3125">
            <v>-17.899999999999999</v>
          </cell>
          <cell r="J3125">
            <v>-23.7</v>
          </cell>
          <cell r="K3125">
            <v>-20.3</v>
          </cell>
          <cell r="L3125">
            <v>-21.3</v>
          </cell>
          <cell r="M3125">
            <v>-20.7</v>
          </cell>
        </row>
        <row r="3126">
          <cell r="C3126" t="str">
            <v>Thốt Nốt MBA T2 (phía 110kV)</v>
          </cell>
          <cell r="F3126">
            <v>13.9</v>
          </cell>
          <cell r="H3126">
            <v>12.3</v>
          </cell>
          <cell r="I3126">
            <v>11.7</v>
          </cell>
          <cell r="J3126">
            <v>13.9</v>
          </cell>
          <cell r="K3126">
            <v>10.7</v>
          </cell>
          <cell r="L3126">
            <v>12.4</v>
          </cell>
          <cell r="M3126">
            <v>13.8</v>
          </cell>
        </row>
        <row r="3127">
          <cell r="C3127" t="str">
            <v>Thốt Nốt MBA T2 (phía 22kV)</v>
          </cell>
          <cell r="F3127">
            <v>-14</v>
          </cell>
          <cell r="H3127">
            <v>-12.4</v>
          </cell>
          <cell r="I3127">
            <v>-11.8</v>
          </cell>
          <cell r="J3127">
            <v>-14</v>
          </cell>
          <cell r="K3127">
            <v>-10.7</v>
          </cell>
          <cell r="L3127">
            <v>-12.4</v>
          </cell>
          <cell r="M3127">
            <v>-13.8</v>
          </cell>
        </row>
        <row r="3128">
          <cell r="C3128" t="str">
            <v>220kV 271 Thốt Nốt 2 - 276 NMĐ Ô Môn</v>
          </cell>
          <cell r="F3128">
            <v>-218.7</v>
          </cell>
          <cell r="H3128">
            <v>-207.9</v>
          </cell>
          <cell r="I3128">
            <v>-185.8</v>
          </cell>
          <cell r="J3128">
            <v>-218.7</v>
          </cell>
          <cell r="K3128">
            <v>-194.2</v>
          </cell>
          <cell r="L3128">
            <v>-196.3</v>
          </cell>
          <cell r="M3128">
            <v>-186.2</v>
          </cell>
        </row>
        <row r="3129">
          <cell r="C3129" t="str">
            <v>220kV 272 Thốt Nốt 2 - 275 NMĐ Ô Môn</v>
          </cell>
          <cell r="F3129">
            <v>-217.4</v>
          </cell>
          <cell r="H3129">
            <v>-206.2</v>
          </cell>
          <cell r="I3129">
            <v>-184.2</v>
          </cell>
          <cell r="J3129">
            <v>-217.4</v>
          </cell>
          <cell r="K3129">
            <v>-193.4</v>
          </cell>
          <cell r="L3129">
            <v>-195</v>
          </cell>
          <cell r="M3129">
            <v>-185.4</v>
          </cell>
        </row>
        <row r="3130">
          <cell r="C3130" t="str">
            <v>Thốt Nốt 2 MBA AT1 (phía 220kV)</v>
          </cell>
          <cell r="F3130">
            <v>59.1</v>
          </cell>
          <cell r="H3130">
            <v>58.2</v>
          </cell>
          <cell r="I3130">
            <v>50.5</v>
          </cell>
          <cell r="J3130">
            <v>59.1</v>
          </cell>
          <cell r="K3130">
            <v>50.7</v>
          </cell>
          <cell r="L3130">
            <v>49.1</v>
          </cell>
          <cell r="M3130">
            <v>46.1</v>
          </cell>
        </row>
        <row r="3131">
          <cell r="C3131" t="str">
            <v>220kV 273 Thốt Nốt 2 - 271 Rạch Giá 2</v>
          </cell>
          <cell r="F3131">
            <v>164.7</v>
          </cell>
          <cell r="H3131">
            <v>60.1</v>
          </cell>
          <cell r="I3131">
            <v>81.2</v>
          </cell>
          <cell r="J3131">
            <v>80.099999999999994</v>
          </cell>
          <cell r="K3131">
            <v>83</v>
          </cell>
          <cell r="L3131">
            <v>101.4</v>
          </cell>
          <cell r="M3131">
            <v>164.7</v>
          </cell>
        </row>
        <row r="3132">
          <cell r="C3132" t="str">
            <v>Thốt Nốt 2 MBA AT2 (phía 220kV)</v>
          </cell>
          <cell r="F3132">
            <v>57</v>
          </cell>
          <cell r="H3132">
            <v>50.4</v>
          </cell>
          <cell r="I3132">
            <v>45.8</v>
          </cell>
          <cell r="J3132">
            <v>57</v>
          </cell>
          <cell r="K3132">
            <v>46.7</v>
          </cell>
          <cell r="L3132">
            <v>45.1</v>
          </cell>
          <cell r="M3132">
            <v>42</v>
          </cell>
        </row>
        <row r="3133">
          <cell r="C3133" t="str">
            <v>220kV 274 Thốt Nốt 2 - 272 Châu Đốc 2</v>
          </cell>
          <cell r="E3133">
            <v>0</v>
          </cell>
          <cell r="F3133">
            <v>166.1</v>
          </cell>
          <cell r="H3133">
            <v>166.1</v>
          </cell>
          <cell r="I3133">
            <v>0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</row>
        <row r="3134">
          <cell r="C3134" t="str">
            <v>220kV 275 Thốt Nốt 2 - 271 Long Xuyên 2</v>
          </cell>
          <cell r="F3134">
            <v>319.39999999999998</v>
          </cell>
          <cell r="H3134">
            <v>214.1</v>
          </cell>
          <cell r="I3134">
            <v>252.1</v>
          </cell>
          <cell r="J3134">
            <v>319.39999999999998</v>
          </cell>
          <cell r="K3134">
            <v>251.3</v>
          </cell>
          <cell r="L3134">
            <v>275.10000000000002</v>
          </cell>
          <cell r="M3134">
            <v>267</v>
          </cell>
        </row>
        <row r="3135">
          <cell r="C3135" t="str">
            <v>220kV 276 Thốt Nốt 2 - 274 Cao Lãnh 2</v>
          </cell>
          <cell r="F3135">
            <v>-73.5</v>
          </cell>
          <cell r="H3135">
            <v>-55.7</v>
          </cell>
          <cell r="I3135">
            <v>45.7</v>
          </cell>
          <cell r="J3135">
            <v>44.5</v>
          </cell>
          <cell r="K3135">
            <v>48.5</v>
          </cell>
          <cell r="L3135">
            <v>-31.9</v>
          </cell>
          <cell r="M3135">
            <v>-73.5</v>
          </cell>
        </row>
        <row r="3136">
          <cell r="C3136" t="str">
            <v>220kV 277 Thốt Nốt 2 - 273 Cao Lãnh 2</v>
          </cell>
          <cell r="F3136">
            <v>-73.900000000000006</v>
          </cell>
          <cell r="H3136">
            <v>-55.9</v>
          </cell>
          <cell r="I3136">
            <v>45.3</v>
          </cell>
          <cell r="J3136">
            <v>45.3</v>
          </cell>
          <cell r="K3136">
            <v>47.6</v>
          </cell>
          <cell r="L3136">
            <v>-33</v>
          </cell>
          <cell r="M3136">
            <v>-73.900000000000006</v>
          </cell>
        </row>
        <row r="3137">
          <cell r="C3137" t="str">
            <v>110kV 171 Thốt Nốt 2 - 171 Phát Thanh Nam Bộ</v>
          </cell>
          <cell r="E3137">
            <v>0</v>
          </cell>
          <cell r="F3137">
            <v>0</v>
          </cell>
          <cell r="H3137">
            <v>0</v>
          </cell>
          <cell r="I3137">
            <v>0</v>
          </cell>
          <cell r="J3137">
            <v>0</v>
          </cell>
          <cell r="K3137">
            <v>0</v>
          </cell>
          <cell r="L3137">
            <v>0</v>
          </cell>
          <cell r="M3137">
            <v>0</v>
          </cell>
        </row>
        <row r="3138">
          <cell r="C3138" t="str">
            <v>Thốt Nốt 2 MBA AT1 (phía 110kV)</v>
          </cell>
          <cell r="F3138">
            <v>-59</v>
          </cell>
          <cell r="H3138">
            <v>-58.2</v>
          </cell>
          <cell r="I3138">
            <v>-50.1</v>
          </cell>
          <cell r="J3138">
            <v>-59</v>
          </cell>
          <cell r="K3138">
            <v>-50.9</v>
          </cell>
          <cell r="L3138">
            <v>-49</v>
          </cell>
          <cell r="M3138">
            <v>-46.5</v>
          </cell>
        </row>
        <row r="3139">
          <cell r="C3139" t="str">
            <v>110kV 175 Thốt Nốt 2 - 172 Thới Thuận - 172-7 Thốt Nốt</v>
          </cell>
          <cell r="F3139">
            <v>115.9</v>
          </cell>
          <cell r="H3139">
            <v>108</v>
          </cell>
          <cell r="I3139">
            <v>95.1</v>
          </cell>
          <cell r="J3139">
            <v>115.9</v>
          </cell>
          <cell r="K3139">
            <v>96.4</v>
          </cell>
          <cell r="L3139">
            <v>94</v>
          </cell>
          <cell r="M3139">
            <v>88.2</v>
          </cell>
        </row>
        <row r="3140">
          <cell r="C3140" t="str">
            <v>Thốt Nốt 2 MBA AT2 (phía 110kV)</v>
          </cell>
          <cell r="F3140">
            <v>-56.7</v>
          </cell>
          <cell r="H3140">
            <v>-49.8</v>
          </cell>
          <cell r="I3140">
            <v>-45.9</v>
          </cell>
          <cell r="J3140">
            <v>-56.7</v>
          </cell>
          <cell r="K3140">
            <v>-46.1</v>
          </cell>
          <cell r="L3140">
            <v>-45.1</v>
          </cell>
          <cell r="M3140">
            <v>-42.1</v>
          </cell>
        </row>
        <row r="3141">
          <cell r="C3141" t="str">
            <v>220kV 271 Thủ Đức - 274 Hiệp Bình Phước</v>
          </cell>
          <cell r="F3141">
            <v>230.1</v>
          </cell>
          <cell r="H3141">
            <v>166.6</v>
          </cell>
          <cell r="I3141">
            <v>136.6</v>
          </cell>
          <cell r="J3141">
            <v>230.1</v>
          </cell>
          <cell r="K3141">
            <v>134</v>
          </cell>
          <cell r="L3141">
            <v>167</v>
          </cell>
          <cell r="M3141">
            <v>64.900000000000006</v>
          </cell>
        </row>
        <row r="3142">
          <cell r="C3142" t="str">
            <v>Thủ Đức MBA AT1 (phía 220kV)</v>
          </cell>
          <cell r="F3142">
            <v>207.7</v>
          </cell>
          <cell r="H3142">
            <v>207.7</v>
          </cell>
          <cell r="I3142">
            <v>169.3</v>
          </cell>
          <cell r="J3142">
            <v>198.9</v>
          </cell>
          <cell r="K3142">
            <v>174.6</v>
          </cell>
          <cell r="L3142">
            <v>146.19999999999999</v>
          </cell>
          <cell r="M3142">
            <v>164.6</v>
          </cell>
        </row>
        <row r="3143">
          <cell r="C3143" t="str">
            <v>220kV 272 Thủ Đức - 275 Hóc Môn</v>
          </cell>
          <cell r="F3143">
            <v>206.5</v>
          </cell>
          <cell r="H3143">
            <v>107.4</v>
          </cell>
          <cell r="I3143">
            <v>84.4</v>
          </cell>
          <cell r="J3143">
            <v>206.5</v>
          </cell>
          <cell r="K3143">
            <v>101.6</v>
          </cell>
          <cell r="L3143">
            <v>133</v>
          </cell>
          <cell r="M3143">
            <v>-125.5</v>
          </cell>
        </row>
        <row r="3144">
          <cell r="C3144" t="str">
            <v>220kV 273 Thủ Đức - 276 Tân Uyên 500</v>
          </cell>
          <cell r="F3144">
            <v>-290.7</v>
          </cell>
          <cell r="H3144">
            <v>-290.7</v>
          </cell>
          <cell r="I3144">
            <v>-230.5</v>
          </cell>
          <cell r="J3144">
            <v>-272.89999999999998</v>
          </cell>
          <cell r="K3144">
            <v>-227.7</v>
          </cell>
          <cell r="L3144">
            <v>-220</v>
          </cell>
          <cell r="M3144">
            <v>-258.10000000000002</v>
          </cell>
        </row>
        <row r="3145">
          <cell r="C3145" t="str">
            <v>220kV 274 Thủ Đức - 277 Tân Uyên 500</v>
          </cell>
          <cell r="F3145">
            <v>-265.89999999999998</v>
          </cell>
          <cell r="H3145">
            <v>-265.89999999999998</v>
          </cell>
          <cell r="I3145">
            <v>-209.9</v>
          </cell>
          <cell r="J3145">
            <v>-244.7</v>
          </cell>
          <cell r="K3145">
            <v>-208.2</v>
          </cell>
          <cell r="L3145">
            <v>-197.2</v>
          </cell>
          <cell r="M3145">
            <v>-196.9</v>
          </cell>
        </row>
        <row r="3146">
          <cell r="C3146" t="str">
            <v>Thủ Đức MBA AT2 (phía 220kV)</v>
          </cell>
          <cell r="F3146">
            <v>230.2</v>
          </cell>
          <cell r="H3146">
            <v>230.2</v>
          </cell>
          <cell r="I3146">
            <v>186.1</v>
          </cell>
          <cell r="J3146">
            <v>222.4</v>
          </cell>
          <cell r="K3146">
            <v>194.3</v>
          </cell>
          <cell r="L3146">
            <v>163.69999999999999</v>
          </cell>
          <cell r="M3146">
            <v>177</v>
          </cell>
        </row>
        <row r="3147">
          <cell r="C3147" t="str">
            <v>Thủ Đức MBA AT3 (phía 220kV)</v>
          </cell>
          <cell r="F3147">
            <v>204.4</v>
          </cell>
          <cell r="H3147">
            <v>204.4</v>
          </cell>
          <cell r="I3147">
            <v>165.2</v>
          </cell>
          <cell r="J3147">
            <v>194</v>
          </cell>
          <cell r="K3147">
            <v>171.3</v>
          </cell>
          <cell r="L3147">
            <v>144.30000000000001</v>
          </cell>
          <cell r="M3147">
            <v>161.69999999999999</v>
          </cell>
        </row>
        <row r="3148">
          <cell r="C3148" t="str">
            <v>220kV 275 Thủ Đức - 277 Cát Lái</v>
          </cell>
          <cell r="F3148">
            <v>-362.4</v>
          </cell>
          <cell r="H3148">
            <v>-278.39999999999998</v>
          </cell>
          <cell r="I3148">
            <v>-204.8</v>
          </cell>
          <cell r="J3148">
            <v>-362.4</v>
          </cell>
          <cell r="K3148">
            <v>-238.4</v>
          </cell>
          <cell r="L3148">
            <v>-280.3</v>
          </cell>
          <cell r="M3148">
            <v>-144.30000000000001</v>
          </cell>
        </row>
        <row r="3149">
          <cell r="C3149" t="str">
            <v>220kV 276 Thủ Đức - 278 Cát Lái</v>
          </cell>
          <cell r="F3149">
            <v>-297</v>
          </cell>
          <cell r="H3149">
            <v>-176.4</v>
          </cell>
          <cell r="I3149">
            <v>-112.6</v>
          </cell>
          <cell r="J3149">
            <v>-297</v>
          </cell>
          <cell r="K3149">
            <v>-155.6</v>
          </cell>
          <cell r="L3149">
            <v>-204.9</v>
          </cell>
          <cell r="M3149">
            <v>-80.8</v>
          </cell>
        </row>
        <row r="3150">
          <cell r="C3150" t="str">
            <v>110kV 171 Thủ Đức - 171 Linh Trung 2</v>
          </cell>
          <cell r="F3150">
            <v>-0.2</v>
          </cell>
          <cell r="H3150">
            <v>-0.2</v>
          </cell>
          <cell r="I3150">
            <v>-0.2</v>
          </cell>
          <cell r="J3150">
            <v>-0.1</v>
          </cell>
          <cell r="K3150">
            <v>-0.1</v>
          </cell>
          <cell r="L3150">
            <v>-0.1</v>
          </cell>
          <cell r="M3150">
            <v>-0.1</v>
          </cell>
        </row>
        <row r="3151">
          <cell r="C3151" t="str">
            <v>110kV 172 Thủ Đức - 172 Hiệp Bình Phước</v>
          </cell>
          <cell r="F3151">
            <v>-0.2</v>
          </cell>
          <cell r="H3151">
            <v>-0.2</v>
          </cell>
          <cell r="I3151">
            <v>-0.2</v>
          </cell>
          <cell r="J3151">
            <v>-0.2</v>
          </cell>
          <cell r="K3151">
            <v>-0.2</v>
          </cell>
          <cell r="L3151">
            <v>-0.2</v>
          </cell>
          <cell r="M3151">
            <v>-0.2</v>
          </cell>
        </row>
        <row r="3152">
          <cell r="C3152" t="str">
            <v>Thủ Đức MBA AT1 (phía 110kV)</v>
          </cell>
          <cell r="F3152">
            <v>-209.4</v>
          </cell>
          <cell r="H3152">
            <v>-209.4</v>
          </cell>
          <cell r="I3152">
            <v>-170</v>
          </cell>
          <cell r="J3152">
            <v>-199.3</v>
          </cell>
          <cell r="K3152">
            <v>-178</v>
          </cell>
          <cell r="L3152">
            <v>-148.6</v>
          </cell>
          <cell r="M3152">
            <v>-164.5</v>
          </cell>
        </row>
        <row r="3153">
          <cell r="C3153" t="str">
            <v>110kV 173 Thủ Đức - 172 Thanh Đa</v>
          </cell>
          <cell r="F3153">
            <v>76.5</v>
          </cell>
          <cell r="H3153">
            <v>76.5</v>
          </cell>
          <cell r="I3153">
            <v>56</v>
          </cell>
          <cell r="J3153">
            <v>70.7</v>
          </cell>
          <cell r="K3153">
            <v>57.1</v>
          </cell>
          <cell r="L3153">
            <v>61.9</v>
          </cell>
          <cell r="M3153">
            <v>66.3</v>
          </cell>
        </row>
        <row r="3154">
          <cell r="C3154" t="str">
            <v>Thủ Đức MBA T4 (phía 110kV)</v>
          </cell>
          <cell r="F3154">
            <v>37.4</v>
          </cell>
          <cell r="H3154">
            <v>35.5</v>
          </cell>
          <cell r="I3154">
            <v>29.5</v>
          </cell>
          <cell r="J3154">
            <v>37.4</v>
          </cell>
          <cell r="K3154">
            <v>31.1</v>
          </cell>
          <cell r="L3154">
            <v>27.6</v>
          </cell>
          <cell r="M3154">
            <v>29.8</v>
          </cell>
        </row>
        <row r="3155">
          <cell r="C3155" t="str">
            <v>Thủ Đức MBA T5 (phía 110kV)</v>
          </cell>
          <cell r="F3155">
            <v>37</v>
          </cell>
          <cell r="H3155">
            <v>34.700000000000003</v>
          </cell>
          <cell r="I3155">
            <v>31.6</v>
          </cell>
          <cell r="J3155">
            <v>37</v>
          </cell>
          <cell r="K3155">
            <v>31</v>
          </cell>
          <cell r="L3155">
            <v>30</v>
          </cell>
          <cell r="M3155">
            <v>34.6</v>
          </cell>
        </row>
        <row r="3156">
          <cell r="C3156" t="str">
            <v>110kV 174 Thủ Đức - 172 NMĐ Thủ Đức</v>
          </cell>
          <cell r="F3156">
            <v>2.7</v>
          </cell>
          <cell r="H3156">
            <v>2.7</v>
          </cell>
          <cell r="I3156">
            <v>2.1</v>
          </cell>
          <cell r="J3156">
            <v>2.5</v>
          </cell>
          <cell r="K3156">
            <v>2.2999999999999998</v>
          </cell>
          <cell r="L3156">
            <v>1.3</v>
          </cell>
          <cell r="M3156">
            <v>-1.2</v>
          </cell>
        </row>
        <row r="3157">
          <cell r="C3157" t="str">
            <v>Thủ Đức MBA AT2 (phía 110kV)</v>
          </cell>
          <cell r="F3157">
            <v>-230.2</v>
          </cell>
          <cell r="H3157">
            <v>-230.2</v>
          </cell>
          <cell r="I3157">
            <v>-187.4</v>
          </cell>
          <cell r="J3157">
            <v>-222.8</v>
          </cell>
          <cell r="K3157">
            <v>-195.9</v>
          </cell>
          <cell r="L3157">
            <v>-164.1</v>
          </cell>
          <cell r="M3157">
            <v>-176.4</v>
          </cell>
        </row>
        <row r="3158">
          <cell r="C3158" t="str">
            <v>110kV 175 Thủ Đức - 171 NMĐ Thủ Đức</v>
          </cell>
          <cell r="F3158">
            <v>-2.6</v>
          </cell>
          <cell r="H3158">
            <v>-2.6</v>
          </cell>
          <cell r="I3158">
            <v>-2.2000000000000002</v>
          </cell>
          <cell r="J3158">
            <v>-2.6</v>
          </cell>
          <cell r="K3158">
            <v>-2.2000000000000002</v>
          </cell>
          <cell r="L3158">
            <v>-1.3</v>
          </cell>
          <cell r="M3158">
            <v>-1.3</v>
          </cell>
        </row>
        <row r="3159">
          <cell r="C3159" t="str">
            <v>110kV 176 Thủ Đức - 172 Xa Lộ - 171 Vikimco</v>
          </cell>
          <cell r="F3159">
            <v>98.5</v>
          </cell>
          <cell r="H3159">
            <v>98.5</v>
          </cell>
          <cell r="I3159">
            <v>77.099999999999994</v>
          </cell>
          <cell r="J3159">
            <v>80.400000000000006</v>
          </cell>
          <cell r="K3159">
            <v>76.099999999999994</v>
          </cell>
          <cell r="L3159">
            <v>67.3</v>
          </cell>
          <cell r="M3159">
            <v>93.2</v>
          </cell>
        </row>
        <row r="3160">
          <cell r="C3160" t="str">
            <v>Thủ Đức MBA AT3 (phía 110kV)</v>
          </cell>
          <cell r="F3160">
            <v>-203.3</v>
          </cell>
          <cell r="H3160">
            <v>-203.3</v>
          </cell>
          <cell r="I3160">
            <v>-165.8</v>
          </cell>
          <cell r="J3160">
            <v>-194.4</v>
          </cell>
          <cell r="K3160">
            <v>-174.3</v>
          </cell>
          <cell r="L3160">
            <v>-146.1</v>
          </cell>
          <cell r="M3160">
            <v>-162.19999999999999</v>
          </cell>
        </row>
        <row r="3161">
          <cell r="C3161" t="str">
            <v>110kV 177 Thủ Đức - 172 Thảo Điền</v>
          </cell>
          <cell r="F3161">
            <v>116.9</v>
          </cell>
          <cell r="H3161">
            <v>116.9</v>
          </cell>
          <cell r="I3161">
            <v>89.4</v>
          </cell>
          <cell r="J3161">
            <v>97.8</v>
          </cell>
          <cell r="K3161">
            <v>90.3</v>
          </cell>
          <cell r="L3161">
            <v>82</v>
          </cell>
          <cell r="M3161">
            <v>108.1</v>
          </cell>
        </row>
        <row r="3162">
          <cell r="C3162" t="str">
            <v>110kV 178 Thủ Đức - 171 Thủ Đức Bắc - (176-7) Intel</v>
          </cell>
          <cell r="F3162">
            <v>139.9</v>
          </cell>
          <cell r="H3162">
            <v>136.1</v>
          </cell>
          <cell r="I3162">
            <v>119.4</v>
          </cell>
          <cell r="J3162">
            <v>139.9</v>
          </cell>
          <cell r="K3162">
            <v>120.6</v>
          </cell>
          <cell r="L3162">
            <v>95.8</v>
          </cell>
          <cell r="M3162">
            <v>92.1</v>
          </cell>
        </row>
        <row r="3163">
          <cell r="C3163" t="str">
            <v>110kV 179 Thủ Đức - 172 NM Nước Thủ Đức</v>
          </cell>
          <cell r="F3163">
            <v>154.5</v>
          </cell>
          <cell r="H3163">
            <v>154.5</v>
          </cell>
          <cell r="I3163">
            <v>135.30000000000001</v>
          </cell>
          <cell r="J3163">
            <v>153.5</v>
          </cell>
          <cell r="K3163">
            <v>144.69999999999999</v>
          </cell>
          <cell r="L3163">
            <v>100.5</v>
          </cell>
          <cell r="M3163">
            <v>92.3</v>
          </cell>
        </row>
        <row r="3164">
          <cell r="C3164" t="str">
            <v>Thủ Đức MBA T4 (phía 22kV)</v>
          </cell>
          <cell r="F3164">
            <v>-37.299999999999997</v>
          </cell>
          <cell r="H3164">
            <v>-35.4</v>
          </cell>
          <cell r="I3164">
            <v>-29.5</v>
          </cell>
          <cell r="J3164">
            <v>-37.299999999999997</v>
          </cell>
          <cell r="K3164">
            <v>-30.7</v>
          </cell>
          <cell r="L3164">
            <v>-27.6</v>
          </cell>
          <cell r="M3164">
            <v>-29.8</v>
          </cell>
        </row>
        <row r="3165">
          <cell r="C3165" t="str">
            <v>Thủ Đức MBA T5 (phía 22kV)</v>
          </cell>
          <cell r="F3165">
            <v>-36.5</v>
          </cell>
          <cell r="H3165">
            <v>-36.1</v>
          </cell>
          <cell r="I3165">
            <v>-31.7</v>
          </cell>
          <cell r="J3165">
            <v>-36.5</v>
          </cell>
          <cell r="K3165">
            <v>-31.9</v>
          </cell>
          <cell r="L3165">
            <v>-30.5</v>
          </cell>
          <cell r="M3165">
            <v>-33.299999999999997</v>
          </cell>
        </row>
        <row r="3166">
          <cell r="C3166" t="str">
            <v>110kV 171 Thủ Đức Bắc - 178 Thủ Đức - (176-7) Intel</v>
          </cell>
          <cell r="F3166">
            <v>-139.5</v>
          </cell>
          <cell r="H3166">
            <v>-135.30000000000001</v>
          </cell>
          <cell r="I3166">
            <v>-120.1</v>
          </cell>
          <cell r="J3166">
            <v>-139.5</v>
          </cell>
          <cell r="K3166">
            <v>-120.6</v>
          </cell>
          <cell r="L3166">
            <v>-95.9</v>
          </cell>
          <cell r="M3166">
            <v>-91.8</v>
          </cell>
        </row>
        <row r="3167">
          <cell r="C3167" t="str">
            <v>110kV 172 Thủ Đức Bắc - 172 Bình An</v>
          </cell>
          <cell r="F3167">
            <v>69.2</v>
          </cell>
          <cell r="H3167">
            <v>69.2</v>
          </cell>
          <cell r="I3167">
            <v>64.7</v>
          </cell>
          <cell r="J3167">
            <v>69.2</v>
          </cell>
          <cell r="K3167">
            <v>65.5</v>
          </cell>
          <cell r="L3167">
            <v>50.9</v>
          </cell>
          <cell r="M3167">
            <v>47.2</v>
          </cell>
        </row>
        <row r="3168">
          <cell r="C3168" t="str">
            <v>Thủ Đức Bắc MBA T1 (phía 110kV)</v>
          </cell>
          <cell r="F3168">
            <v>34.9</v>
          </cell>
          <cell r="H3168">
            <v>34.9</v>
          </cell>
          <cell r="I3168">
            <v>28.3</v>
          </cell>
          <cell r="J3168">
            <v>34.1</v>
          </cell>
          <cell r="K3168">
            <v>29.1</v>
          </cell>
          <cell r="L3168">
            <v>24.2</v>
          </cell>
          <cell r="M3168">
            <v>21.8</v>
          </cell>
        </row>
        <row r="3169">
          <cell r="C3169" t="str">
            <v>Thủ Đức Bắc MBA T2 (phía 110kV)</v>
          </cell>
          <cell r="F3169">
            <v>35.1</v>
          </cell>
          <cell r="H3169">
            <v>31.7</v>
          </cell>
          <cell r="I3169">
            <v>26.5</v>
          </cell>
          <cell r="J3169">
            <v>35.1</v>
          </cell>
          <cell r="K3169">
            <v>25.4</v>
          </cell>
          <cell r="L3169">
            <v>22</v>
          </cell>
          <cell r="M3169">
            <v>22.3</v>
          </cell>
        </row>
        <row r="3170">
          <cell r="C3170" t="str">
            <v>Thủ Đức Bắc MBA T1 (phía 22kV)</v>
          </cell>
          <cell r="F3170">
            <v>-34.9</v>
          </cell>
          <cell r="H3170">
            <v>-34.9</v>
          </cell>
          <cell r="I3170">
            <v>-28.3</v>
          </cell>
          <cell r="J3170">
            <v>-34.1</v>
          </cell>
          <cell r="K3170">
            <v>-29.1</v>
          </cell>
          <cell r="L3170">
            <v>-24.2</v>
          </cell>
          <cell r="M3170">
            <v>-21.8</v>
          </cell>
        </row>
        <row r="3171">
          <cell r="C3171" t="str">
            <v>Thủ Đức Bắc MBA T2 (phía 22kV)</v>
          </cell>
          <cell r="F3171">
            <v>-35.4</v>
          </cell>
          <cell r="H3171">
            <v>-31.9</v>
          </cell>
          <cell r="I3171">
            <v>-26.6</v>
          </cell>
          <cell r="J3171">
            <v>-35.4</v>
          </cell>
          <cell r="K3171">
            <v>-25.6</v>
          </cell>
          <cell r="L3171">
            <v>-22</v>
          </cell>
          <cell r="M3171">
            <v>-22.4</v>
          </cell>
        </row>
        <row r="3172">
          <cell r="C3172" t="str">
            <v>110kV 171 Thủ Đức Đông - 171 Cát Lái - (178-7) Intel</v>
          </cell>
          <cell r="F3172">
            <v>-29.8</v>
          </cell>
          <cell r="H3172">
            <v>-29.8</v>
          </cell>
          <cell r="I3172">
            <v>-25.8</v>
          </cell>
          <cell r="J3172">
            <v>-28.7</v>
          </cell>
          <cell r="K3172">
            <v>-24.5</v>
          </cell>
          <cell r="L3172">
            <v>-22.1</v>
          </cell>
          <cell r="M3172">
            <v>-25.9</v>
          </cell>
        </row>
        <row r="3173">
          <cell r="C3173" t="str">
            <v>Thủ Đức Đông MBA T1 (phía 22kV)</v>
          </cell>
          <cell r="F3173">
            <v>-29.8</v>
          </cell>
          <cell r="H3173">
            <v>-29.6</v>
          </cell>
          <cell r="I3173">
            <v>-24.7</v>
          </cell>
          <cell r="J3173">
            <v>-17.100000000000001</v>
          </cell>
          <cell r="K3173">
            <v>-24.4</v>
          </cell>
          <cell r="L3173">
            <v>-20.6</v>
          </cell>
          <cell r="M3173">
            <v>-29.8</v>
          </cell>
        </row>
        <row r="3174">
          <cell r="C3174" t="str">
            <v>110kV 172 Thủ Đức Đông - 172 Cát Lái - 173 Tăng Nhơn Phú</v>
          </cell>
          <cell r="F3174">
            <v>-29.2</v>
          </cell>
          <cell r="H3174">
            <v>-29.2</v>
          </cell>
          <cell r="I3174">
            <v>-25.4</v>
          </cell>
          <cell r="J3174">
            <v>-16.399999999999999</v>
          </cell>
          <cell r="K3174">
            <v>-24.2</v>
          </cell>
          <cell r="L3174">
            <v>-24.1</v>
          </cell>
          <cell r="M3174">
            <v>-27.4</v>
          </cell>
        </row>
        <row r="3175">
          <cell r="C3175" t="str">
            <v>Thủ Đức Đông MBA T2 (phía 22kV)</v>
          </cell>
          <cell r="F3175">
            <v>-23.5</v>
          </cell>
          <cell r="H3175">
            <v>-23.5</v>
          </cell>
          <cell r="I3175">
            <v>-20.2</v>
          </cell>
          <cell r="J3175">
            <v>-21.9</v>
          </cell>
          <cell r="K3175">
            <v>-20.100000000000001</v>
          </cell>
          <cell r="L3175">
            <v>-20.7</v>
          </cell>
          <cell r="M3175">
            <v>-19.600000000000001</v>
          </cell>
        </row>
        <row r="3176">
          <cell r="C3176" t="str">
            <v>Thủ Đức Đông MBA T1 (phía 110kV)</v>
          </cell>
          <cell r="F3176">
            <v>35.200000000000003</v>
          </cell>
          <cell r="H3176">
            <v>32.4</v>
          </cell>
          <cell r="I3176">
            <v>26.8</v>
          </cell>
          <cell r="J3176">
            <v>19.899999999999999</v>
          </cell>
          <cell r="K3176">
            <v>29.3</v>
          </cell>
          <cell r="L3176">
            <v>22.5</v>
          </cell>
          <cell r="M3176">
            <v>35.200000000000003</v>
          </cell>
        </row>
        <row r="3177">
          <cell r="C3177" t="str">
            <v>Thủ Đức Đông MBA T2 (phía 110kV)</v>
          </cell>
          <cell r="F3177">
            <v>27.5</v>
          </cell>
          <cell r="H3177">
            <v>27.5</v>
          </cell>
          <cell r="I3177">
            <v>24.5</v>
          </cell>
          <cell r="J3177">
            <v>25.7</v>
          </cell>
          <cell r="K3177">
            <v>20.2</v>
          </cell>
          <cell r="L3177">
            <v>24.1</v>
          </cell>
          <cell r="M3177">
            <v>20</v>
          </cell>
        </row>
        <row r="3178">
          <cell r="C3178" t="str">
            <v>110kV 171 Thủ Thừa - 171 Long An 2</v>
          </cell>
          <cell r="F3178">
            <v>-105.2</v>
          </cell>
          <cell r="H3178">
            <v>-105.2</v>
          </cell>
          <cell r="I3178">
            <v>-86</v>
          </cell>
          <cell r="J3178">
            <v>-83.7</v>
          </cell>
          <cell r="K3178">
            <v>-85.3</v>
          </cell>
          <cell r="L3178">
            <v>-70</v>
          </cell>
          <cell r="M3178">
            <v>76.400000000000006</v>
          </cell>
        </row>
        <row r="3179">
          <cell r="C3179" t="str">
            <v>110kV 172 Thủ Thừa - 131 An Thạnh</v>
          </cell>
          <cell r="F3179">
            <v>-106.6</v>
          </cell>
          <cell r="H3179">
            <v>-106.6</v>
          </cell>
          <cell r="I3179">
            <v>56.4</v>
          </cell>
          <cell r="J3179">
            <v>-96</v>
          </cell>
          <cell r="K3179">
            <v>-99.1</v>
          </cell>
          <cell r="L3179">
            <v>-70.400000000000006</v>
          </cell>
          <cell r="M3179">
            <v>-95.2</v>
          </cell>
        </row>
        <row r="3180">
          <cell r="C3180" t="str">
            <v>Thủ Thừa MBA T1 (phía 110kV)</v>
          </cell>
          <cell r="F3180">
            <v>45.7</v>
          </cell>
          <cell r="H3180">
            <v>45.7</v>
          </cell>
          <cell r="I3180">
            <v>40.6</v>
          </cell>
          <cell r="J3180">
            <v>40.5</v>
          </cell>
          <cell r="K3180">
            <v>38.6</v>
          </cell>
          <cell r="L3180">
            <v>24.2</v>
          </cell>
          <cell r="M3180">
            <v>24.2</v>
          </cell>
        </row>
        <row r="3181">
          <cell r="C3181" t="str">
            <v>Thủ Thừa MBA T1 (phía 22kV)</v>
          </cell>
          <cell r="F3181">
            <v>-45.6</v>
          </cell>
          <cell r="H3181">
            <v>-45.6</v>
          </cell>
          <cell r="I3181">
            <v>-40.700000000000003</v>
          </cell>
          <cell r="J3181">
            <v>-40.200000000000003</v>
          </cell>
          <cell r="K3181">
            <v>-38.1</v>
          </cell>
          <cell r="L3181">
            <v>-24.1</v>
          </cell>
          <cell r="M3181">
            <v>-24.2</v>
          </cell>
        </row>
        <row r="3182">
          <cell r="C3182" t="str">
            <v>220kV 271 Thuận An - 271 Bình Hòa</v>
          </cell>
          <cell r="F3182">
            <v>-205.7</v>
          </cell>
          <cell r="H3182">
            <v>-205.7</v>
          </cell>
          <cell r="I3182">
            <v>-102.5</v>
          </cell>
          <cell r="J3182">
            <v>-143.69999999999999</v>
          </cell>
          <cell r="K3182">
            <v>-109.8</v>
          </cell>
          <cell r="L3182">
            <v>-131.1</v>
          </cell>
          <cell r="M3182">
            <v>-161.19999999999999</v>
          </cell>
        </row>
        <row r="3183">
          <cell r="C3183" t="str">
            <v>220kV 274 Thuận An - 272 Bình Hòa</v>
          </cell>
          <cell r="F3183">
            <v>-190.7</v>
          </cell>
          <cell r="H3183">
            <v>-190.7</v>
          </cell>
          <cell r="I3183">
            <v>-101.6</v>
          </cell>
          <cell r="J3183">
            <v>-141.6</v>
          </cell>
          <cell r="K3183">
            <v>-96.8</v>
          </cell>
          <cell r="L3183">
            <v>-131.30000000000001</v>
          </cell>
          <cell r="M3183">
            <v>-181.2</v>
          </cell>
        </row>
        <row r="3184">
          <cell r="C3184" t="str">
            <v>Thuận An MBA AT1 (phía 220kV)</v>
          </cell>
          <cell r="F3184">
            <v>214.5</v>
          </cell>
          <cell r="H3184">
            <v>205.4</v>
          </cell>
          <cell r="I3184">
            <v>194.4</v>
          </cell>
          <cell r="J3184">
            <v>214.5</v>
          </cell>
          <cell r="K3184">
            <v>195.3</v>
          </cell>
          <cell r="L3184">
            <v>128.6</v>
          </cell>
          <cell r="M3184">
            <v>116.1</v>
          </cell>
        </row>
        <row r="3185">
          <cell r="C3185" t="str">
            <v>110kV 171 Thuận An - 172 Linh Trung 2</v>
          </cell>
          <cell r="F3185">
            <v>67.099999999999994</v>
          </cell>
          <cell r="H3185">
            <v>67.099999999999994</v>
          </cell>
          <cell r="I3185">
            <v>59</v>
          </cell>
          <cell r="J3185">
            <v>63.8</v>
          </cell>
          <cell r="K3185">
            <v>60.1</v>
          </cell>
          <cell r="L3185">
            <v>43.7</v>
          </cell>
          <cell r="M3185">
            <v>36.4</v>
          </cell>
        </row>
        <row r="3186">
          <cell r="C3186" t="str">
            <v>Thuận An MBA T4 (phía 110kV)</v>
          </cell>
          <cell r="F3186">
            <v>46.8</v>
          </cell>
          <cell r="H3186">
            <v>39.1</v>
          </cell>
          <cell r="I3186">
            <v>39.6</v>
          </cell>
          <cell r="J3186">
            <v>46.8</v>
          </cell>
          <cell r="K3186">
            <v>36.799999999999997</v>
          </cell>
          <cell r="L3186">
            <v>24.3</v>
          </cell>
          <cell r="M3186">
            <v>25</v>
          </cell>
        </row>
        <row r="3187">
          <cell r="C3187" t="str">
            <v>Thuận An MBA T5 (phía 110kV)</v>
          </cell>
          <cell r="F3187">
            <v>52.5</v>
          </cell>
          <cell r="H3187">
            <v>52.5</v>
          </cell>
          <cell r="I3187">
            <v>45.7</v>
          </cell>
          <cell r="J3187">
            <v>52.1</v>
          </cell>
          <cell r="K3187">
            <v>44.3</v>
          </cell>
          <cell r="L3187">
            <v>36.1</v>
          </cell>
          <cell r="M3187">
            <v>36.1</v>
          </cell>
        </row>
        <row r="3188">
          <cell r="C3188" t="str">
            <v>110kV 176 Thuận An - 172 Vsip 2</v>
          </cell>
          <cell r="F3188">
            <v>109.8</v>
          </cell>
          <cell r="H3188">
            <v>109.8</v>
          </cell>
          <cell r="I3188">
            <v>74</v>
          </cell>
          <cell r="J3188">
            <v>78</v>
          </cell>
          <cell r="K3188">
            <v>77.599999999999994</v>
          </cell>
          <cell r="L3188">
            <v>53</v>
          </cell>
          <cell r="M3188">
            <v>49.8</v>
          </cell>
        </row>
        <row r="3189">
          <cell r="C3189" t="str">
            <v>Thuận An MBA AT1 (phía 110kV)</v>
          </cell>
          <cell r="F3189">
            <v>-211.4</v>
          </cell>
          <cell r="H3189">
            <v>-206.2</v>
          </cell>
          <cell r="I3189">
            <v>-197.4</v>
          </cell>
          <cell r="J3189">
            <v>-211.4</v>
          </cell>
          <cell r="K3189">
            <v>-196</v>
          </cell>
          <cell r="L3189">
            <v>-129.19999999999999</v>
          </cell>
          <cell r="M3189">
            <v>-117.8</v>
          </cell>
        </row>
        <row r="3190">
          <cell r="C3190" t="str">
            <v>110kV 177 Thuận An - 171 Đồng An</v>
          </cell>
          <cell r="F3190">
            <v>126.2</v>
          </cell>
          <cell r="H3190">
            <v>126.2</v>
          </cell>
          <cell r="I3190">
            <v>120.6</v>
          </cell>
          <cell r="J3190">
            <v>125.9</v>
          </cell>
          <cell r="K3190">
            <v>118.9</v>
          </cell>
          <cell r="L3190">
            <v>74.599999999999994</v>
          </cell>
          <cell r="M3190">
            <v>65.599999999999994</v>
          </cell>
        </row>
        <row r="3191">
          <cell r="C3191" t="str">
            <v>110kV 178 Thuận An - 172 Sóng Thần</v>
          </cell>
          <cell r="F3191">
            <v>70</v>
          </cell>
          <cell r="H3191">
            <v>70</v>
          </cell>
          <cell r="I3191">
            <v>65.400000000000006</v>
          </cell>
          <cell r="J3191">
            <v>67.400000000000006</v>
          </cell>
          <cell r="K3191">
            <v>64.7</v>
          </cell>
          <cell r="L3191">
            <v>38.1</v>
          </cell>
          <cell r="M3191">
            <v>36.200000000000003</v>
          </cell>
        </row>
        <row r="3192">
          <cell r="C3192" t="str">
            <v>Thuận An MBA T4 (phía 22kV)</v>
          </cell>
          <cell r="F3192">
            <v>-46.7</v>
          </cell>
          <cell r="H3192">
            <v>-37.5</v>
          </cell>
          <cell r="I3192">
            <v>-40.1</v>
          </cell>
          <cell r="J3192">
            <v>-46.7</v>
          </cell>
          <cell r="K3192">
            <v>-36</v>
          </cell>
          <cell r="L3192">
            <v>-26.3</v>
          </cell>
          <cell r="M3192">
            <v>-24.5</v>
          </cell>
        </row>
        <row r="3193">
          <cell r="C3193" t="str">
            <v>Thuận An MBA T5 (phía 22kV)</v>
          </cell>
          <cell r="F3193">
            <v>-51.5</v>
          </cell>
          <cell r="H3193">
            <v>-49.2</v>
          </cell>
          <cell r="I3193">
            <v>-46.1</v>
          </cell>
          <cell r="J3193">
            <v>-51.5</v>
          </cell>
          <cell r="K3193">
            <v>-45.7</v>
          </cell>
          <cell r="L3193">
            <v>-38.700000000000003</v>
          </cell>
          <cell r="M3193">
            <v>-36.6</v>
          </cell>
        </row>
        <row r="3194">
          <cell r="C3194" t="str">
            <v>220kV 275 Thuận An - 272 Hóc Môn</v>
          </cell>
          <cell r="F3194">
            <v>279.89999999999998</v>
          </cell>
          <cell r="H3194">
            <v>274</v>
          </cell>
          <cell r="I3194">
            <v>173.9</v>
          </cell>
          <cell r="J3194">
            <v>231</v>
          </cell>
          <cell r="K3194">
            <v>176.3</v>
          </cell>
          <cell r="L3194">
            <v>208.8</v>
          </cell>
          <cell r="M3194">
            <v>279.89999999999998</v>
          </cell>
        </row>
        <row r="3195">
          <cell r="C3195" t="str">
            <v>220kV 276 Thuận An - 273 Hóc Môn</v>
          </cell>
          <cell r="F3195">
            <v>263.2</v>
          </cell>
          <cell r="H3195">
            <v>263.2</v>
          </cell>
          <cell r="I3195">
            <v>177</v>
          </cell>
          <cell r="J3195">
            <v>222.9</v>
          </cell>
          <cell r="K3195">
            <v>162.19999999999999</v>
          </cell>
          <cell r="L3195">
            <v>201.2</v>
          </cell>
          <cell r="M3195">
            <v>212.6</v>
          </cell>
        </row>
        <row r="3196">
          <cell r="C3196" t="str">
            <v>Thuận An MBA AT2 (phía 220kV)</v>
          </cell>
          <cell r="F3196">
            <v>239.2</v>
          </cell>
          <cell r="H3196">
            <v>215.3</v>
          </cell>
          <cell r="I3196">
            <v>205.3</v>
          </cell>
          <cell r="J3196">
            <v>223.2</v>
          </cell>
          <cell r="K3196">
            <v>202.5</v>
          </cell>
          <cell r="L3196">
            <v>135.30000000000001</v>
          </cell>
          <cell r="M3196">
            <v>239.2</v>
          </cell>
        </row>
        <row r="3197">
          <cell r="C3197" t="str">
            <v>Thuận An MBA AT2 (phía 110kV)</v>
          </cell>
          <cell r="F3197">
            <v>-238.5</v>
          </cell>
          <cell r="H3197">
            <v>-218.2</v>
          </cell>
          <cell r="I3197">
            <v>-205.2</v>
          </cell>
          <cell r="J3197">
            <v>-221.2</v>
          </cell>
          <cell r="K3197">
            <v>-204</v>
          </cell>
          <cell r="L3197">
            <v>-137</v>
          </cell>
          <cell r="M3197">
            <v>-238.5</v>
          </cell>
        </row>
        <row r="3198">
          <cell r="C3198" t="str">
            <v>220kV 272 Thuận An - 275 Tân Uyên 500</v>
          </cell>
          <cell r="F3198">
            <v>-314.3</v>
          </cell>
          <cell r="H3198">
            <v>-298.2</v>
          </cell>
          <cell r="I3198">
            <v>-284.89999999999998</v>
          </cell>
          <cell r="J3198">
            <v>-314.3</v>
          </cell>
          <cell r="K3198">
            <v>-294.2</v>
          </cell>
          <cell r="L3198">
            <v>-224.4</v>
          </cell>
          <cell r="M3198">
            <v>-264</v>
          </cell>
        </row>
        <row r="3199">
          <cell r="C3199" t="str">
            <v>220kV 273 Thuận An - 274 Tân Uyên 500</v>
          </cell>
          <cell r="F3199">
            <v>-308.2</v>
          </cell>
          <cell r="H3199">
            <v>-292.60000000000002</v>
          </cell>
          <cell r="I3199">
            <v>-282.2</v>
          </cell>
          <cell r="J3199">
            <v>-308.2</v>
          </cell>
          <cell r="K3199">
            <v>-289.10000000000002</v>
          </cell>
          <cell r="L3199">
            <v>-220.1</v>
          </cell>
          <cell r="M3199">
            <v>-202.5</v>
          </cell>
        </row>
        <row r="3200">
          <cell r="C3200" t="str">
            <v>110kV 171 Thuận Giao - 173 Tân Đông Hiệp</v>
          </cell>
          <cell r="F3200">
            <v>14.8</v>
          </cell>
          <cell r="H3200">
            <v>14.8</v>
          </cell>
          <cell r="I3200">
            <v>13.1</v>
          </cell>
          <cell r="J3200">
            <v>12.4</v>
          </cell>
          <cell r="K3200">
            <v>12.9</v>
          </cell>
          <cell r="L3200">
            <v>10</v>
          </cell>
          <cell r="M3200">
            <v>13.2</v>
          </cell>
        </row>
        <row r="3201">
          <cell r="C3201" t="str">
            <v>110kV 172 Thuận Giao - 179 Bình Hòa</v>
          </cell>
          <cell r="F3201">
            <v>-118.5</v>
          </cell>
          <cell r="H3201">
            <v>-118.5</v>
          </cell>
          <cell r="I3201">
            <v>-114.1</v>
          </cell>
          <cell r="J3201">
            <v>-116.7</v>
          </cell>
          <cell r="K3201">
            <v>-112.3</v>
          </cell>
          <cell r="L3201">
            <v>-63</v>
          </cell>
          <cell r="M3201">
            <v>-64.3</v>
          </cell>
        </row>
        <row r="3202">
          <cell r="C3202" t="str">
            <v>Thuận Giao MBA T2 (phía 110kV)</v>
          </cell>
          <cell r="F3202">
            <v>54.7</v>
          </cell>
          <cell r="H3202">
            <v>54.7</v>
          </cell>
          <cell r="I3202">
            <v>52.6</v>
          </cell>
          <cell r="J3202">
            <v>52.6</v>
          </cell>
          <cell r="K3202">
            <v>49.9</v>
          </cell>
          <cell r="L3202">
            <v>26.3</v>
          </cell>
          <cell r="M3202">
            <v>27.7</v>
          </cell>
        </row>
        <row r="3203">
          <cell r="C3203" t="str">
            <v>Thuận Giao MBA T2 (phía 22kV)</v>
          </cell>
          <cell r="F3203">
            <v>-54.6</v>
          </cell>
          <cell r="H3203">
            <v>-54.6</v>
          </cell>
          <cell r="I3203">
            <v>-52.4</v>
          </cell>
          <cell r="J3203">
            <v>-52.5</v>
          </cell>
          <cell r="K3203">
            <v>-49.9</v>
          </cell>
          <cell r="L3203">
            <v>-26.2</v>
          </cell>
          <cell r="M3203">
            <v>-27.7</v>
          </cell>
        </row>
        <row r="3204">
          <cell r="C3204" t="str">
            <v>Thuận Giao MBA T1 (phía 110kV)</v>
          </cell>
          <cell r="F3204">
            <v>54.9</v>
          </cell>
          <cell r="H3204">
            <v>52.3</v>
          </cell>
          <cell r="I3204">
            <v>52.3</v>
          </cell>
          <cell r="J3204">
            <v>54.9</v>
          </cell>
          <cell r="K3204">
            <v>53</v>
          </cell>
          <cell r="L3204">
            <v>31.7</v>
          </cell>
          <cell r="M3204">
            <v>34</v>
          </cell>
        </row>
        <row r="3205">
          <cell r="C3205" t="str">
            <v>Thuận Giao MBA T1 (phía 22kV)</v>
          </cell>
          <cell r="F3205">
            <v>-55.2</v>
          </cell>
          <cell r="H3205">
            <v>-52.7</v>
          </cell>
          <cell r="I3205">
            <v>-52.4</v>
          </cell>
          <cell r="J3205">
            <v>-55.2</v>
          </cell>
          <cell r="K3205">
            <v>-53</v>
          </cell>
          <cell r="L3205">
            <v>-32</v>
          </cell>
          <cell r="M3205">
            <v>-34.200000000000003</v>
          </cell>
        </row>
        <row r="3206">
          <cell r="C3206" t="str">
            <v>110kV 171 Thuận Nam - 171 Hàm Tân</v>
          </cell>
          <cell r="F3206">
            <v>-15.3</v>
          </cell>
          <cell r="H3206">
            <v>14.4</v>
          </cell>
          <cell r="I3206">
            <v>-11.1</v>
          </cell>
          <cell r="J3206">
            <v>-15.3</v>
          </cell>
          <cell r="K3206">
            <v>12.3</v>
          </cell>
          <cell r="L3206">
            <v>-12.6</v>
          </cell>
          <cell r="M3206">
            <v>-13.2</v>
          </cell>
        </row>
        <row r="3207">
          <cell r="C3207" t="str">
            <v>110kV 172 Thuận Nam - 174 Hàm Kiệm</v>
          </cell>
          <cell r="E3207">
            <v>0</v>
          </cell>
          <cell r="F3207">
            <v>0</v>
          </cell>
          <cell r="H3207">
            <v>0</v>
          </cell>
          <cell r="I3207">
            <v>0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</row>
        <row r="3208">
          <cell r="C3208" t="str">
            <v>Thuận Nam MBA T1 (phía 110kV)</v>
          </cell>
          <cell r="E3208">
            <v>0</v>
          </cell>
          <cell r="F3208">
            <v>0</v>
          </cell>
          <cell r="H3208">
            <v>0</v>
          </cell>
          <cell r="I3208">
            <v>0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</row>
        <row r="3209">
          <cell r="C3209" t="str">
            <v>Thuận Nam MBA T2 (phía 110kV)</v>
          </cell>
          <cell r="F3209">
            <v>15.3</v>
          </cell>
          <cell r="H3209">
            <v>-14.3</v>
          </cell>
          <cell r="I3209">
            <v>11.2</v>
          </cell>
          <cell r="J3209">
            <v>15.3</v>
          </cell>
          <cell r="K3209">
            <v>-12.4</v>
          </cell>
          <cell r="L3209">
            <v>12.5</v>
          </cell>
          <cell r="M3209">
            <v>13.3</v>
          </cell>
        </row>
        <row r="3210">
          <cell r="C3210" t="str">
            <v>Thuận Nam MBA T1 (phía 22kV)</v>
          </cell>
          <cell r="E3210">
            <v>0</v>
          </cell>
          <cell r="F3210">
            <v>0</v>
          </cell>
          <cell r="H3210">
            <v>0</v>
          </cell>
          <cell r="I3210">
            <v>0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</row>
        <row r="3211">
          <cell r="C3211" t="str">
            <v>Thuận Nam MBA T2 (phía 22kV)</v>
          </cell>
          <cell r="F3211">
            <v>-15.3</v>
          </cell>
          <cell r="H3211">
            <v>14.4</v>
          </cell>
          <cell r="I3211">
            <v>-11.2</v>
          </cell>
          <cell r="J3211">
            <v>-15.3</v>
          </cell>
          <cell r="K3211">
            <v>12.5</v>
          </cell>
          <cell r="L3211">
            <v>-12.6</v>
          </cell>
          <cell r="M3211">
            <v>-13.2</v>
          </cell>
        </row>
        <row r="3212">
          <cell r="C3212" t="str">
            <v>Thuận Nam 500 MBA AT1 (phía 500kV)</v>
          </cell>
          <cell r="F3212">
            <v>-714.3</v>
          </cell>
          <cell r="H3212">
            <v>-707.2</v>
          </cell>
          <cell r="I3212">
            <v>-503.7</v>
          </cell>
          <cell r="J3212">
            <v>-714.3</v>
          </cell>
          <cell r="K3212">
            <v>-597.6</v>
          </cell>
          <cell r="L3212">
            <v>-621.6</v>
          </cell>
          <cell r="M3212">
            <v>-616</v>
          </cell>
        </row>
        <row r="3213">
          <cell r="C3213" t="str">
            <v>500kV 587 Thuận Nam 500 - 578 Vĩnh Tân</v>
          </cell>
          <cell r="F3213">
            <v>653.29999999999995</v>
          </cell>
          <cell r="H3213">
            <v>644</v>
          </cell>
          <cell r="I3213">
            <v>458.5</v>
          </cell>
          <cell r="J3213">
            <v>653.29999999999995</v>
          </cell>
          <cell r="K3213">
            <v>551.9</v>
          </cell>
          <cell r="L3213">
            <v>567</v>
          </cell>
          <cell r="M3213">
            <v>566.6</v>
          </cell>
        </row>
        <row r="3214">
          <cell r="C3214" t="str">
            <v>Thuận Nam 500 MBA AT2 (phía 500kV)</v>
          </cell>
          <cell r="F3214">
            <v>-483.9</v>
          </cell>
          <cell r="H3214">
            <v>-469.2</v>
          </cell>
          <cell r="I3214">
            <v>-333.4</v>
          </cell>
          <cell r="J3214">
            <v>-483.9</v>
          </cell>
          <cell r="K3214">
            <v>-423.4</v>
          </cell>
          <cell r="L3214">
            <v>-412.3</v>
          </cell>
          <cell r="M3214">
            <v>-418.5</v>
          </cell>
        </row>
        <row r="3215">
          <cell r="C3215" t="str">
            <v>500kV 584 Thuận Nam 500 - 577 Vĩnh Tân</v>
          </cell>
          <cell r="F3215">
            <v>547.1</v>
          </cell>
          <cell r="H3215">
            <v>534.20000000000005</v>
          </cell>
          <cell r="I3215">
            <v>379.7</v>
          </cell>
          <cell r="J3215">
            <v>547.1</v>
          </cell>
          <cell r="K3215">
            <v>471.4</v>
          </cell>
          <cell r="L3215">
            <v>469.3</v>
          </cell>
          <cell r="M3215">
            <v>473.3</v>
          </cell>
        </row>
        <row r="3216">
          <cell r="C3216" t="str">
            <v>220kV 273 Thuận Nam 500 - 272 Vĩnh Tân</v>
          </cell>
          <cell r="F3216">
            <v>215.2</v>
          </cell>
          <cell r="H3216">
            <v>215.2</v>
          </cell>
          <cell r="I3216">
            <v>166.7</v>
          </cell>
          <cell r="J3216">
            <v>211.1</v>
          </cell>
          <cell r="K3216">
            <v>187.7</v>
          </cell>
          <cell r="L3216">
            <v>195.6</v>
          </cell>
          <cell r="M3216">
            <v>203.8</v>
          </cell>
        </row>
        <row r="3217">
          <cell r="C3217" t="str">
            <v>220kV 274 Thuận Nam 500 - 274 Quán Thẻ</v>
          </cell>
          <cell r="F3217">
            <v>-180.6</v>
          </cell>
          <cell r="H3217">
            <v>-144.4</v>
          </cell>
          <cell r="I3217">
            <v>-137.5</v>
          </cell>
          <cell r="J3217">
            <v>-176</v>
          </cell>
          <cell r="K3217">
            <v>-180.6</v>
          </cell>
          <cell r="L3217">
            <v>-174.2</v>
          </cell>
          <cell r="M3217">
            <v>-115</v>
          </cell>
        </row>
        <row r="3218">
          <cell r="C3218" t="str">
            <v>Thuận Nam 500 MBA AT1 (phía 220kV)</v>
          </cell>
          <cell r="F3218">
            <v>486</v>
          </cell>
          <cell r="H3218">
            <v>480.8</v>
          </cell>
          <cell r="I3218">
            <v>364.4</v>
          </cell>
          <cell r="J3218">
            <v>486</v>
          </cell>
          <cell r="K3218">
            <v>375.3</v>
          </cell>
          <cell r="L3218">
            <v>437.7</v>
          </cell>
          <cell r="M3218">
            <v>433.1</v>
          </cell>
        </row>
        <row r="3219">
          <cell r="C3219" t="str">
            <v>220kV 275 Thuận Nam 500 - 275 NMĐ MT Nhị Hà</v>
          </cell>
          <cell r="F3219">
            <v>-473.9</v>
          </cell>
          <cell r="H3219">
            <v>-473.9</v>
          </cell>
          <cell r="I3219">
            <v>-324.89999999999998</v>
          </cell>
          <cell r="J3219">
            <v>-465.5</v>
          </cell>
          <cell r="K3219">
            <v>-361.8</v>
          </cell>
          <cell r="L3219">
            <v>-401.7</v>
          </cell>
          <cell r="M3219">
            <v>-432</v>
          </cell>
        </row>
        <row r="3220">
          <cell r="C3220" t="str">
            <v>220kV 276 Thuận Nam 500 - 276 Ninh Phước 2</v>
          </cell>
          <cell r="F3220">
            <v>-511.2</v>
          </cell>
          <cell r="H3220">
            <v>-505.4</v>
          </cell>
          <cell r="I3220">
            <v>-441</v>
          </cell>
          <cell r="J3220">
            <v>-511.2</v>
          </cell>
          <cell r="K3220">
            <v>-493.4</v>
          </cell>
          <cell r="L3220">
            <v>-492.8</v>
          </cell>
          <cell r="M3220">
            <v>-492.9</v>
          </cell>
        </row>
        <row r="3221">
          <cell r="C3221" t="str">
            <v>Thuận Nam 500 MBA AT2 (phía 220kV)</v>
          </cell>
          <cell r="F3221">
            <v>277.7</v>
          </cell>
          <cell r="H3221">
            <v>268.7</v>
          </cell>
          <cell r="I3221">
            <v>205.7</v>
          </cell>
          <cell r="J3221">
            <v>277.7</v>
          </cell>
          <cell r="K3221">
            <v>218.3</v>
          </cell>
          <cell r="L3221">
            <v>248.9</v>
          </cell>
          <cell r="M3221">
            <v>234.9</v>
          </cell>
        </row>
        <row r="3222">
          <cell r="C3222" t="str">
            <v>220kV 277 Thuận Nam 500 - 231 NMĐ MT Thiện Tân 1, 2</v>
          </cell>
          <cell r="F3222">
            <v>-36.799999999999997</v>
          </cell>
          <cell r="H3222">
            <v>-34.1</v>
          </cell>
          <cell r="I3222">
            <v>-26.6</v>
          </cell>
          <cell r="J3222">
            <v>-36.1</v>
          </cell>
          <cell r="K3222">
            <v>-36.799999999999997</v>
          </cell>
          <cell r="L3222">
            <v>-29.7</v>
          </cell>
          <cell r="M3222">
            <v>-29.3</v>
          </cell>
        </row>
        <row r="3223">
          <cell r="C3223" t="str">
            <v>110kV 171 Tịnh Biên - 175 Châu Đốc 2</v>
          </cell>
          <cell r="F3223">
            <v>121</v>
          </cell>
          <cell r="H3223">
            <v>121</v>
          </cell>
          <cell r="I3223">
            <v>120.1</v>
          </cell>
          <cell r="J3223">
            <v>121</v>
          </cell>
          <cell r="K3223">
            <v>119.5</v>
          </cell>
          <cell r="L3223">
            <v>88.2</v>
          </cell>
          <cell r="M3223">
            <v>100.1</v>
          </cell>
        </row>
        <row r="3224">
          <cell r="C3224" t="str">
            <v>110kV 172 Tịnh Biên - 172 NMĐ MT Sao Mai</v>
          </cell>
          <cell r="F3224">
            <v>-22.4</v>
          </cell>
          <cell r="H3224">
            <v>-22.4</v>
          </cell>
          <cell r="I3224">
            <v>-18.399999999999999</v>
          </cell>
          <cell r="J3224">
            <v>-22</v>
          </cell>
          <cell r="K3224">
            <v>-19.600000000000001</v>
          </cell>
          <cell r="L3224">
            <v>-13.4</v>
          </cell>
          <cell r="M3224">
            <v>-14.6</v>
          </cell>
        </row>
        <row r="3225">
          <cell r="C3225" t="str">
            <v>Tịnh Biên MBA T1 (phía 110kV)</v>
          </cell>
          <cell r="F3225">
            <v>15.8</v>
          </cell>
          <cell r="H3225">
            <v>13.4</v>
          </cell>
          <cell r="I3225">
            <v>11.9</v>
          </cell>
          <cell r="J3225">
            <v>15.8</v>
          </cell>
          <cell r="K3225">
            <v>12.1</v>
          </cell>
          <cell r="L3225">
            <v>14</v>
          </cell>
          <cell r="M3225">
            <v>11.8</v>
          </cell>
        </row>
        <row r="3226">
          <cell r="C3226" t="str">
            <v>Tịnh Biên MBA T1 (phía 22kV)</v>
          </cell>
          <cell r="F3226">
            <v>-15.8</v>
          </cell>
          <cell r="H3226">
            <v>-13.4</v>
          </cell>
          <cell r="I3226">
            <v>-11.9</v>
          </cell>
          <cell r="J3226">
            <v>-15.8</v>
          </cell>
          <cell r="K3226">
            <v>-12</v>
          </cell>
          <cell r="L3226">
            <v>-14</v>
          </cell>
          <cell r="M3226">
            <v>-11.8</v>
          </cell>
        </row>
        <row r="3227">
          <cell r="C3227" t="str">
            <v>110kV 173 Tịnh Biên - 172 NMĐ MT Văn Giáo 1</v>
          </cell>
          <cell r="F3227">
            <v>-62</v>
          </cell>
          <cell r="H3227">
            <v>-42.5</v>
          </cell>
          <cell r="I3227">
            <v>-41.1</v>
          </cell>
          <cell r="J3227">
            <v>-40.1</v>
          </cell>
          <cell r="K3227">
            <v>-47.8</v>
          </cell>
          <cell r="L3227">
            <v>-40.9</v>
          </cell>
          <cell r="M3227">
            <v>-62</v>
          </cell>
        </row>
        <row r="3228">
          <cell r="C3228" t="str">
            <v>110kV 177 Tịnh Biên - 173 NMĐ MT Sao Mai</v>
          </cell>
          <cell r="F3228">
            <v>-33.1</v>
          </cell>
          <cell r="H3228">
            <v>-33.1</v>
          </cell>
          <cell r="I3228">
            <v>-26.5</v>
          </cell>
          <cell r="J3228">
            <v>-32.200000000000003</v>
          </cell>
          <cell r="K3228">
            <v>-28.4</v>
          </cell>
          <cell r="L3228">
            <v>-19.2</v>
          </cell>
          <cell r="M3228">
            <v>-20.8</v>
          </cell>
        </row>
        <row r="3229">
          <cell r="C3229" t="str">
            <v>110kV 179 Tịnh Biên - 174 NMĐ MT Sao Mai</v>
          </cell>
          <cell r="F3229">
            <v>-32.6</v>
          </cell>
          <cell r="H3229">
            <v>-32.6</v>
          </cell>
          <cell r="I3229">
            <v>-26.5</v>
          </cell>
          <cell r="J3229">
            <v>-32.299999999999997</v>
          </cell>
          <cell r="K3229">
            <v>-28.4</v>
          </cell>
          <cell r="L3229">
            <v>-19.2</v>
          </cell>
          <cell r="M3229">
            <v>-20.9</v>
          </cell>
        </row>
        <row r="3230">
          <cell r="C3230" t="str">
            <v>110kV 171 Tôn Hoa Sen - 175 Tân Thành</v>
          </cell>
          <cell r="F3230">
            <v>-44.5</v>
          </cell>
          <cell r="H3230">
            <v>-38.9</v>
          </cell>
          <cell r="I3230">
            <v>-34.799999999999997</v>
          </cell>
          <cell r="J3230">
            <v>-28.5</v>
          </cell>
          <cell r="K3230">
            <v>-44.1</v>
          </cell>
          <cell r="L3230">
            <v>-32.1</v>
          </cell>
          <cell r="M3230">
            <v>-44.5</v>
          </cell>
        </row>
        <row r="3231">
          <cell r="C3231" t="str">
            <v>110kV 172 Tôn Hoa Sen - 172 Thép Việt</v>
          </cell>
          <cell r="F3231">
            <v>-27.6</v>
          </cell>
          <cell r="H3231">
            <v>-13.1</v>
          </cell>
          <cell r="I3231">
            <v>-27.6</v>
          </cell>
          <cell r="J3231">
            <v>-16.7</v>
          </cell>
          <cell r="K3231">
            <v>-19.5</v>
          </cell>
          <cell r="L3231">
            <v>15.6</v>
          </cell>
          <cell r="M3231">
            <v>16.899999999999999</v>
          </cell>
        </row>
        <row r="3232">
          <cell r="C3232" t="str">
            <v>Tôn Hoa Sen MBA T1 (phía 110kV)</v>
          </cell>
          <cell r="E3232">
            <v>0</v>
          </cell>
          <cell r="F3232">
            <v>0</v>
          </cell>
          <cell r="H3232">
            <v>0</v>
          </cell>
          <cell r="I3232">
            <v>0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</row>
        <row r="3233">
          <cell r="C3233" t="str">
            <v>Tôn Hoa Sen MBA T1 (phía 22kV)</v>
          </cell>
          <cell r="E3233">
            <v>0</v>
          </cell>
          <cell r="F3233">
            <v>0</v>
          </cell>
          <cell r="H3233">
            <v>0</v>
          </cell>
          <cell r="I3233">
            <v>0</v>
          </cell>
          <cell r="J3233">
            <v>0</v>
          </cell>
          <cell r="K3233">
            <v>0</v>
          </cell>
          <cell r="L3233">
            <v>0</v>
          </cell>
          <cell r="M3233">
            <v>0</v>
          </cell>
        </row>
        <row r="3234">
          <cell r="C3234" t="str">
            <v>Tôn Hoa Sen MBA T2 (phía 110kV)</v>
          </cell>
          <cell r="F3234">
            <v>34.9</v>
          </cell>
          <cell r="H3234">
            <v>34.9</v>
          </cell>
          <cell r="I3234">
            <v>28.3</v>
          </cell>
          <cell r="J3234">
            <v>26.7</v>
          </cell>
          <cell r="K3234">
            <v>27</v>
          </cell>
          <cell r="L3234">
            <v>23.7</v>
          </cell>
          <cell r="M3234">
            <v>28.4</v>
          </cell>
        </row>
        <row r="3235">
          <cell r="C3235" t="str">
            <v>Tôn Hoa Sen MBA T2 (phía 22kV)</v>
          </cell>
          <cell r="F3235">
            <v>-43.2</v>
          </cell>
          <cell r="H3235">
            <v>-43.2</v>
          </cell>
          <cell r="I3235">
            <v>-35.700000000000003</v>
          </cell>
          <cell r="J3235">
            <v>-32.299999999999997</v>
          </cell>
          <cell r="K3235">
            <v>-33.200000000000003</v>
          </cell>
          <cell r="L3235">
            <v>-29</v>
          </cell>
          <cell r="M3235">
            <v>-35.1</v>
          </cell>
        </row>
        <row r="3236">
          <cell r="C3236" t="str">
            <v>220kV 271 Trà Nóc - 275 Cần Thơ 2</v>
          </cell>
          <cell r="F3236">
            <v>72</v>
          </cell>
          <cell r="H3236">
            <v>67.099999999999994</v>
          </cell>
          <cell r="I3236">
            <v>63.4</v>
          </cell>
          <cell r="J3236">
            <v>72</v>
          </cell>
          <cell r="K3236">
            <v>66.2</v>
          </cell>
          <cell r="L3236">
            <v>54.9</v>
          </cell>
          <cell r="M3236">
            <v>56.1</v>
          </cell>
        </row>
        <row r="3237">
          <cell r="C3237" t="str">
            <v>220kV 272 Trà Nóc - 271 NMĐ Ô Môn</v>
          </cell>
          <cell r="F3237">
            <v>-210.8</v>
          </cell>
          <cell r="H3237">
            <v>-210.8</v>
          </cell>
          <cell r="I3237">
            <v>-181.2</v>
          </cell>
          <cell r="J3237">
            <v>-201.3</v>
          </cell>
          <cell r="K3237">
            <v>-181.9</v>
          </cell>
          <cell r="L3237">
            <v>-166.8</v>
          </cell>
          <cell r="M3237">
            <v>-165.2</v>
          </cell>
        </row>
        <row r="3238">
          <cell r="C3238" t="str">
            <v>Trà Nóc MBA AT1 (phía 220kV)</v>
          </cell>
          <cell r="F3238">
            <v>96.5</v>
          </cell>
          <cell r="H3238">
            <v>96.5</v>
          </cell>
          <cell r="I3238">
            <v>79.2</v>
          </cell>
          <cell r="J3238">
            <v>90</v>
          </cell>
          <cell r="K3238">
            <v>81.3</v>
          </cell>
          <cell r="L3238">
            <v>72.2</v>
          </cell>
          <cell r="M3238">
            <v>79.5</v>
          </cell>
        </row>
        <row r="3239">
          <cell r="C3239" t="str">
            <v>Trà Nóc MBA AT2 (phía 220kV)</v>
          </cell>
          <cell r="F3239">
            <v>48.3</v>
          </cell>
          <cell r="H3239">
            <v>48.3</v>
          </cell>
          <cell r="I3239">
            <v>39.6</v>
          </cell>
          <cell r="J3239">
            <v>45</v>
          </cell>
          <cell r="K3239">
            <v>40.799999999999997</v>
          </cell>
          <cell r="L3239">
            <v>41.6</v>
          </cell>
          <cell r="M3239">
            <v>45.7</v>
          </cell>
        </row>
        <row r="3240">
          <cell r="C3240" t="str">
            <v>Trà Nóc MBA AT1 (phía 110kV)</v>
          </cell>
          <cell r="F3240">
            <v>-95.9</v>
          </cell>
          <cell r="H3240">
            <v>-95.9</v>
          </cell>
          <cell r="I3240">
            <v>-78.599999999999994</v>
          </cell>
          <cell r="J3240">
            <v>-89.3</v>
          </cell>
          <cell r="K3240">
            <v>-80.8</v>
          </cell>
          <cell r="L3240">
            <v>-71.8</v>
          </cell>
          <cell r="M3240">
            <v>-79</v>
          </cell>
        </row>
        <row r="3241">
          <cell r="C3241" t="str">
            <v>Trà Nóc MBA AT2 (phía 110kV)</v>
          </cell>
          <cell r="F3241">
            <v>-48</v>
          </cell>
          <cell r="H3241">
            <v>-48</v>
          </cell>
          <cell r="I3241">
            <v>-39.5</v>
          </cell>
          <cell r="J3241">
            <v>-44.9</v>
          </cell>
          <cell r="K3241">
            <v>-40.700000000000003</v>
          </cell>
          <cell r="L3241">
            <v>-41.5</v>
          </cell>
          <cell r="M3241">
            <v>-45.7</v>
          </cell>
        </row>
        <row r="3242">
          <cell r="C3242" t="str">
            <v>110kV 171 Trà Nóc - 171 KCN Cần Thơ</v>
          </cell>
          <cell r="E3242">
            <v>0</v>
          </cell>
          <cell r="F3242">
            <v>32.799999999999997</v>
          </cell>
          <cell r="H3242">
            <v>0</v>
          </cell>
          <cell r="I3242">
            <v>0</v>
          </cell>
          <cell r="J3242">
            <v>0</v>
          </cell>
          <cell r="K3242">
            <v>0</v>
          </cell>
          <cell r="L3242">
            <v>0</v>
          </cell>
          <cell r="M3242">
            <v>32.799999999999997</v>
          </cell>
        </row>
        <row r="3243">
          <cell r="C3243" t="str">
            <v>110kV 172 Trà Nóc - 174 NMĐ Ô Môn</v>
          </cell>
          <cell r="E3243">
            <v>0</v>
          </cell>
          <cell r="F3243">
            <v>0</v>
          </cell>
          <cell r="H3243">
            <v>0</v>
          </cell>
          <cell r="I3243">
            <v>0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</row>
        <row r="3244">
          <cell r="C3244" t="str">
            <v>110kV 173 Trà Nóc - 180 Cần Thơ 2</v>
          </cell>
          <cell r="E3244">
            <v>0</v>
          </cell>
          <cell r="F3244">
            <v>0</v>
          </cell>
          <cell r="H3244">
            <v>0</v>
          </cell>
          <cell r="I3244">
            <v>0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</row>
        <row r="3245">
          <cell r="C3245" t="str">
            <v>110kV 174 Trà Nóc - 171 GT 3, 4 Cần Thơ</v>
          </cell>
          <cell r="F3245">
            <v>0.1</v>
          </cell>
          <cell r="H3245">
            <v>0.1</v>
          </cell>
          <cell r="I3245">
            <v>0.1</v>
          </cell>
          <cell r="J3245">
            <v>0.1</v>
          </cell>
          <cell r="K3245">
            <v>0.1</v>
          </cell>
          <cell r="L3245">
            <v>0.1</v>
          </cell>
          <cell r="M3245">
            <v>0.1</v>
          </cell>
        </row>
        <row r="3246">
          <cell r="C3246" t="str">
            <v>110kV 175 Trà Nóc - 171 Long Hòa</v>
          </cell>
          <cell r="F3246">
            <v>100.8</v>
          </cell>
          <cell r="H3246">
            <v>97.6</v>
          </cell>
          <cell r="I3246">
            <v>84</v>
          </cell>
          <cell r="J3246">
            <v>100.8</v>
          </cell>
          <cell r="K3246">
            <v>85.3</v>
          </cell>
          <cell r="L3246">
            <v>85.8</v>
          </cell>
          <cell r="M3246">
            <v>83.7</v>
          </cell>
        </row>
        <row r="3247">
          <cell r="C3247" t="str">
            <v>110kV 176 Trà Nóc - 131 Bình Thủy</v>
          </cell>
          <cell r="F3247">
            <v>45.8</v>
          </cell>
          <cell r="H3247">
            <v>45.8</v>
          </cell>
          <cell r="I3247">
            <v>40</v>
          </cell>
          <cell r="J3247">
            <v>40.700000000000003</v>
          </cell>
          <cell r="K3247">
            <v>41.5</v>
          </cell>
          <cell r="L3247">
            <v>32.700000000000003</v>
          </cell>
          <cell r="M3247">
            <v>32</v>
          </cell>
        </row>
        <row r="3248">
          <cell r="C3248" t="str">
            <v>110kV 171 Trà Vinh - 171 Long Đức</v>
          </cell>
          <cell r="F3248">
            <v>22.6</v>
          </cell>
          <cell r="H3248">
            <v>19.8</v>
          </cell>
          <cell r="I3248">
            <v>18.2</v>
          </cell>
          <cell r="J3248">
            <v>22.6</v>
          </cell>
          <cell r="K3248">
            <v>20</v>
          </cell>
          <cell r="L3248">
            <v>16.399999999999999</v>
          </cell>
          <cell r="M3248">
            <v>17.5</v>
          </cell>
        </row>
        <row r="3249">
          <cell r="C3249" t="str">
            <v>110kV 172 Trà Vinh - 171 Trà Vinh 2</v>
          </cell>
          <cell r="F3249">
            <v>-78.400000000000006</v>
          </cell>
          <cell r="H3249">
            <v>-66.900000000000006</v>
          </cell>
          <cell r="I3249">
            <v>-66.8</v>
          </cell>
          <cell r="J3249">
            <v>-78.400000000000006</v>
          </cell>
          <cell r="K3249">
            <v>-71.400000000000006</v>
          </cell>
          <cell r="L3249">
            <v>-65.900000000000006</v>
          </cell>
          <cell r="M3249">
            <v>-68</v>
          </cell>
        </row>
        <row r="3250">
          <cell r="C3250" t="str">
            <v>Trà Vinh MBA T1 (phía 110kV)</v>
          </cell>
          <cell r="F3250">
            <v>25.6</v>
          </cell>
          <cell r="H3250">
            <v>24.3</v>
          </cell>
          <cell r="I3250">
            <v>21.8</v>
          </cell>
          <cell r="J3250">
            <v>25.6</v>
          </cell>
          <cell r="K3250">
            <v>23.4</v>
          </cell>
          <cell r="L3250">
            <v>23.1</v>
          </cell>
          <cell r="M3250">
            <v>24</v>
          </cell>
        </row>
        <row r="3251">
          <cell r="C3251" t="str">
            <v>Trà Vinh MBA T2 (phía 110kV)</v>
          </cell>
          <cell r="F3251">
            <v>31.1</v>
          </cell>
          <cell r="H3251">
            <v>25.3</v>
          </cell>
          <cell r="I3251">
            <v>27</v>
          </cell>
          <cell r="J3251">
            <v>31.1</v>
          </cell>
          <cell r="K3251">
            <v>28.2</v>
          </cell>
          <cell r="L3251">
            <v>27</v>
          </cell>
          <cell r="M3251">
            <v>27</v>
          </cell>
        </row>
        <row r="3252">
          <cell r="C3252" t="str">
            <v>Trà Vinh MBA T1 (phía 22kV)</v>
          </cell>
          <cell r="F3252">
            <v>-24.5</v>
          </cell>
          <cell r="H3252">
            <v>-23.3</v>
          </cell>
          <cell r="I3252">
            <v>-20.9</v>
          </cell>
          <cell r="J3252">
            <v>-24.5</v>
          </cell>
          <cell r="K3252">
            <v>-22.4</v>
          </cell>
          <cell r="L3252">
            <v>-22.1</v>
          </cell>
          <cell r="M3252">
            <v>-22.9</v>
          </cell>
        </row>
        <row r="3253">
          <cell r="C3253" t="str">
            <v>Trà Vinh MBA T2 (phía 22kV)</v>
          </cell>
          <cell r="F3253">
            <v>-31.2</v>
          </cell>
          <cell r="H3253">
            <v>-25.4</v>
          </cell>
          <cell r="I3253">
            <v>-27</v>
          </cell>
          <cell r="J3253">
            <v>-31.2</v>
          </cell>
          <cell r="K3253">
            <v>-28.2</v>
          </cell>
          <cell r="L3253">
            <v>-27.1</v>
          </cell>
          <cell r="M3253">
            <v>-27.1</v>
          </cell>
        </row>
        <row r="3254">
          <cell r="C3254" t="str">
            <v>220kV 273 Trà Vinh 2 - 271 Vĩnh Long 2</v>
          </cell>
          <cell r="F3254">
            <v>269.3</v>
          </cell>
          <cell r="H3254">
            <v>254.3</v>
          </cell>
          <cell r="I3254">
            <v>234.6</v>
          </cell>
          <cell r="J3254">
            <v>260.3</v>
          </cell>
          <cell r="K3254">
            <v>244.3</v>
          </cell>
          <cell r="L3254">
            <v>228.4</v>
          </cell>
          <cell r="M3254">
            <v>269.3</v>
          </cell>
        </row>
        <row r="3255">
          <cell r="C3255" t="str">
            <v>220kV 274 Trà Vinh 2 - 272 Vĩnh Long 2</v>
          </cell>
          <cell r="F3255">
            <v>270.10000000000002</v>
          </cell>
          <cell r="H3255">
            <v>253.2</v>
          </cell>
          <cell r="I3255">
            <v>234</v>
          </cell>
          <cell r="J3255">
            <v>260.3</v>
          </cell>
          <cell r="K3255">
            <v>243.7</v>
          </cell>
          <cell r="L3255">
            <v>227.6</v>
          </cell>
          <cell r="M3255">
            <v>270.10000000000002</v>
          </cell>
        </row>
        <row r="3256">
          <cell r="C3256" t="str">
            <v>220kV 275 Trà Vinh 2 - 273 Duyên Hải</v>
          </cell>
          <cell r="F3256">
            <v>-435.1</v>
          </cell>
          <cell r="H3256">
            <v>-321.60000000000002</v>
          </cell>
          <cell r="I3256">
            <v>-302.89999999999998</v>
          </cell>
          <cell r="J3256">
            <v>-364.9</v>
          </cell>
          <cell r="K3256">
            <v>-333</v>
          </cell>
          <cell r="L3256">
            <v>-435.1</v>
          </cell>
          <cell r="M3256">
            <v>-347.9</v>
          </cell>
        </row>
        <row r="3257">
          <cell r="C3257" t="str">
            <v>220kV 276 Trà Vinh 2 - 274 Duyên Hải</v>
          </cell>
          <cell r="F3257">
            <v>-404</v>
          </cell>
          <cell r="H3257">
            <v>-326.89999999999998</v>
          </cell>
          <cell r="I3257">
            <v>-307.7</v>
          </cell>
          <cell r="J3257">
            <v>-366.4</v>
          </cell>
          <cell r="K3257">
            <v>-338.3</v>
          </cell>
          <cell r="L3257">
            <v>-404</v>
          </cell>
          <cell r="M3257">
            <v>-355.4</v>
          </cell>
        </row>
        <row r="3258">
          <cell r="C3258" t="str">
            <v>Trà Vinh 2 MBA AT1 (phía 220kV)</v>
          </cell>
          <cell r="F3258">
            <v>148.4</v>
          </cell>
          <cell r="H3258">
            <v>110</v>
          </cell>
          <cell r="I3258">
            <v>103.1</v>
          </cell>
          <cell r="J3258">
            <v>144.6</v>
          </cell>
          <cell r="K3258">
            <v>132.80000000000001</v>
          </cell>
          <cell r="L3258">
            <v>148.4</v>
          </cell>
          <cell r="M3258">
            <v>125.9</v>
          </cell>
        </row>
        <row r="3259">
          <cell r="C3259" t="str">
            <v>110kV 171 Trà Vinh 2 - 172 Trà Vinh</v>
          </cell>
          <cell r="F3259">
            <v>77.900000000000006</v>
          </cell>
          <cell r="H3259">
            <v>66.3</v>
          </cell>
          <cell r="I3259">
            <v>66.7</v>
          </cell>
          <cell r="J3259">
            <v>77.900000000000006</v>
          </cell>
          <cell r="K3259">
            <v>70.8</v>
          </cell>
          <cell r="L3259">
            <v>65.599999999999994</v>
          </cell>
          <cell r="M3259">
            <v>67.099999999999994</v>
          </cell>
        </row>
        <row r="3260">
          <cell r="C3260" t="str">
            <v>110kV 172 Trà Vinh 2 - 172 Cầu Ngang</v>
          </cell>
          <cell r="F3260">
            <v>74.2</v>
          </cell>
          <cell r="H3260">
            <v>74.2</v>
          </cell>
          <cell r="I3260">
            <v>69</v>
          </cell>
          <cell r="J3260">
            <v>71.8</v>
          </cell>
          <cell r="K3260">
            <v>68.599999999999994</v>
          </cell>
          <cell r="L3260">
            <v>68.5</v>
          </cell>
          <cell r="M3260">
            <v>68.3</v>
          </cell>
        </row>
        <row r="3261">
          <cell r="C3261" t="str">
            <v>110kV 174 Trà Vinh 2 - 172 Cầu Kè</v>
          </cell>
          <cell r="F3261">
            <v>67.8</v>
          </cell>
          <cell r="H3261">
            <v>25.9</v>
          </cell>
          <cell r="I3261">
            <v>22.4</v>
          </cell>
          <cell r="J3261">
            <v>67.8</v>
          </cell>
          <cell r="K3261">
            <v>63.8</v>
          </cell>
          <cell r="L3261">
            <v>57.2</v>
          </cell>
          <cell r="M3261">
            <v>57.2</v>
          </cell>
        </row>
        <row r="3262">
          <cell r="C3262" t="str">
            <v>Trà Vinh 2 MBA AT1 (phía 110kV)</v>
          </cell>
          <cell r="F3262">
            <v>-147.80000000000001</v>
          </cell>
          <cell r="H3262">
            <v>-110.6</v>
          </cell>
          <cell r="I3262">
            <v>-104</v>
          </cell>
          <cell r="J3262">
            <v>-145.19999999999999</v>
          </cell>
          <cell r="K3262">
            <v>-134.80000000000001</v>
          </cell>
          <cell r="L3262">
            <v>-147.80000000000001</v>
          </cell>
          <cell r="M3262">
            <v>-127.9</v>
          </cell>
        </row>
        <row r="3263">
          <cell r="C3263" t="str">
            <v>Trà Vinh 2 MBA AT2 (phía 220kV)</v>
          </cell>
          <cell r="F3263">
            <v>73.3</v>
          </cell>
          <cell r="H3263">
            <v>55.7</v>
          </cell>
          <cell r="I3263">
            <v>52.1</v>
          </cell>
          <cell r="J3263">
            <v>73.3</v>
          </cell>
          <cell r="K3263">
            <v>67</v>
          </cell>
          <cell r="L3263">
            <v>63.3</v>
          </cell>
          <cell r="M3263">
            <v>63.8</v>
          </cell>
        </row>
        <row r="3264">
          <cell r="C3264" t="str">
            <v>Trà Vinh 2 MBA AT2 (phía 110kV)</v>
          </cell>
          <cell r="F3264">
            <v>-73.599999999999994</v>
          </cell>
          <cell r="H3264">
            <v>-56</v>
          </cell>
          <cell r="I3264">
            <v>-53</v>
          </cell>
          <cell r="J3264">
            <v>-73.599999999999994</v>
          </cell>
          <cell r="K3264">
            <v>-67.900000000000006</v>
          </cell>
          <cell r="L3264">
            <v>-64.2</v>
          </cell>
          <cell r="M3264">
            <v>-64.7</v>
          </cell>
        </row>
        <row r="3265">
          <cell r="C3265" t="str">
            <v>110kV 171 trạm cắt Hậu Sanh - 171 NMĐ MT Phước Hữu - Điện Lực 1</v>
          </cell>
          <cell r="F3265">
            <v>-26.6</v>
          </cell>
          <cell r="H3265">
            <v>-22.4</v>
          </cell>
          <cell r="I3265">
            <v>-26.6</v>
          </cell>
          <cell r="J3265">
            <v>-22.9</v>
          </cell>
          <cell r="K3265">
            <v>-25.5</v>
          </cell>
          <cell r="L3265">
            <v>-19.5</v>
          </cell>
          <cell r="M3265">
            <v>-25.1</v>
          </cell>
        </row>
        <row r="3266">
          <cell r="C3266" t="str">
            <v>110kV 172 trạm cắt Hậu Sanh - 131 NMĐ BP Solar 1</v>
          </cell>
          <cell r="F3266">
            <v>-30.3</v>
          </cell>
          <cell r="H3266">
            <v>-28.7</v>
          </cell>
          <cell r="I3266">
            <v>-15.9</v>
          </cell>
          <cell r="J3266">
            <v>-27.5</v>
          </cell>
          <cell r="K3266">
            <v>-30.3</v>
          </cell>
          <cell r="L3266">
            <v>-28.8</v>
          </cell>
          <cell r="M3266">
            <v>-23.2</v>
          </cell>
        </row>
        <row r="3267">
          <cell r="C3267" t="str">
            <v>110kV 173 trạm cắt Hậu Sanh - 171 NMĐ MT Bầu Zôn</v>
          </cell>
          <cell r="F3267">
            <v>-17.8</v>
          </cell>
          <cell r="H3267">
            <v>-15</v>
          </cell>
          <cell r="I3267">
            <v>-8.9</v>
          </cell>
          <cell r="J3267">
            <v>-15.3</v>
          </cell>
          <cell r="K3267">
            <v>-17.8</v>
          </cell>
          <cell r="L3267">
            <v>-17.7</v>
          </cell>
          <cell r="M3267">
            <v>-17.5</v>
          </cell>
        </row>
        <row r="3268">
          <cell r="C3268" t="str">
            <v>110kV 174 trạm cắt Hậu Sanh - 171 NMĐ MT Sinenergy Ninh Thuận 1</v>
          </cell>
          <cell r="F3268">
            <v>-31.2</v>
          </cell>
          <cell r="H3268">
            <v>-30.2</v>
          </cell>
          <cell r="I3268">
            <v>-20.2</v>
          </cell>
          <cell r="J3268">
            <v>-30.3</v>
          </cell>
          <cell r="K3268">
            <v>-31.2</v>
          </cell>
          <cell r="L3268">
            <v>-27.6</v>
          </cell>
          <cell r="M3268">
            <v>-26.9</v>
          </cell>
        </row>
        <row r="3269">
          <cell r="C3269" t="str">
            <v>110kV 175 trạm  cắt Hậu Sanh - 172 NMĐ Gió Chính Thắng</v>
          </cell>
          <cell r="F3269">
            <v>-137.1</v>
          </cell>
          <cell r="H3269">
            <v>-119.9</v>
          </cell>
          <cell r="I3269">
            <v>-110.5</v>
          </cell>
          <cell r="J3269">
            <v>-118.5</v>
          </cell>
          <cell r="K3269">
            <v>-131.80000000000001</v>
          </cell>
          <cell r="L3269">
            <v>-121.7</v>
          </cell>
          <cell r="M3269">
            <v>-137.1</v>
          </cell>
        </row>
        <row r="3270">
          <cell r="C3270" t="str">
            <v>110kV 176 trạm cắt Hậu Sanh - 171 Ninh Phước</v>
          </cell>
          <cell r="F3270">
            <v>-66</v>
          </cell>
          <cell r="H3270">
            <v>-63.6</v>
          </cell>
          <cell r="I3270">
            <v>-60.1</v>
          </cell>
          <cell r="J3270">
            <v>-66</v>
          </cell>
          <cell r="K3270">
            <v>-60.9</v>
          </cell>
          <cell r="L3270">
            <v>-60.1</v>
          </cell>
          <cell r="M3270">
            <v>-60.9</v>
          </cell>
        </row>
        <row r="3271">
          <cell r="C3271" t="str">
            <v>110kV 177 trạm cắt Hậu Sanh - 172 Ninh Phước</v>
          </cell>
          <cell r="F3271">
            <v>-70</v>
          </cell>
          <cell r="H3271">
            <v>-68.099999999999994</v>
          </cell>
          <cell r="I3271">
            <v>-64.3</v>
          </cell>
          <cell r="J3271">
            <v>-70</v>
          </cell>
          <cell r="K3271">
            <v>-64.099999999999994</v>
          </cell>
          <cell r="L3271">
            <v>-64.3</v>
          </cell>
          <cell r="M3271">
            <v>-64</v>
          </cell>
        </row>
        <row r="3272">
          <cell r="C3272" t="str">
            <v>110kV 178 trạm cắt Hậu Sanh - 172 NMĐ MT Phước Ninh</v>
          </cell>
          <cell r="F3272">
            <v>-136.9</v>
          </cell>
          <cell r="H3272">
            <v>-133.30000000000001</v>
          </cell>
          <cell r="I3272">
            <v>-121.5</v>
          </cell>
          <cell r="J3272">
            <v>-133.4</v>
          </cell>
          <cell r="K3272">
            <v>-133.1</v>
          </cell>
          <cell r="L3272">
            <v>-134.1</v>
          </cell>
          <cell r="M3272">
            <v>-136.9</v>
          </cell>
        </row>
        <row r="3273">
          <cell r="C3273" t="str">
            <v>110kV 172 trạm cắt Dân Bình - 171 NMĐ MT Hàm Kiệm</v>
          </cell>
          <cell r="F3273">
            <v>-70.8</v>
          </cell>
          <cell r="H3273">
            <v>-70.8</v>
          </cell>
          <cell r="I3273">
            <v>-36.5</v>
          </cell>
          <cell r="J3273">
            <v>-65.8</v>
          </cell>
          <cell r="K3273">
            <v>-64.7</v>
          </cell>
          <cell r="L3273">
            <v>-41.4</v>
          </cell>
          <cell r="M3273">
            <v>-52.8</v>
          </cell>
        </row>
        <row r="3274">
          <cell r="C3274" t="str">
            <v>110kV 173 trạm cắt Dân Bình - 132 Văn Mỹ</v>
          </cell>
          <cell r="F3274">
            <v>18.2</v>
          </cell>
          <cell r="H3274">
            <v>17.899999999999999</v>
          </cell>
          <cell r="I3274">
            <v>16.5</v>
          </cell>
          <cell r="J3274">
            <v>18.2</v>
          </cell>
          <cell r="K3274">
            <v>15.6</v>
          </cell>
          <cell r="L3274">
            <v>17.100000000000001</v>
          </cell>
          <cell r="M3274">
            <v>17.2</v>
          </cell>
        </row>
        <row r="3275">
          <cell r="C3275" t="str">
            <v>110kV 174 trạm cắt Dân Bình - 172 Hàm Kiệm</v>
          </cell>
          <cell r="F3275">
            <v>56.2</v>
          </cell>
          <cell r="H3275">
            <v>56.2</v>
          </cell>
          <cell r="I3275">
            <v>23</v>
          </cell>
          <cell r="J3275">
            <v>51.1</v>
          </cell>
          <cell r="K3275">
            <v>50.3</v>
          </cell>
          <cell r="L3275">
            <v>23.9</v>
          </cell>
          <cell r="M3275">
            <v>39.200000000000003</v>
          </cell>
        </row>
        <row r="3276">
          <cell r="C3276" t="str">
            <v>110kV 171 trạm cắt Hòa Bình 2 - (172-7) NMĐG Đông Hải 1</v>
          </cell>
          <cell r="E3276">
            <v>0</v>
          </cell>
          <cell r="F3276">
            <v>-17.3</v>
          </cell>
          <cell r="H3276">
            <v>0</v>
          </cell>
          <cell r="I3276">
            <v>-5</v>
          </cell>
          <cell r="J3276">
            <v>-1.4</v>
          </cell>
          <cell r="K3276">
            <v>-6.6</v>
          </cell>
          <cell r="L3276">
            <v>-14.7</v>
          </cell>
          <cell r="M3276">
            <v>-17.3</v>
          </cell>
        </row>
        <row r="3277">
          <cell r="C3277" t="str">
            <v>110kV 173 trạm cắt Hòa Bình 2 - (171-7) NMĐG Đông Hải 1</v>
          </cell>
          <cell r="F3277">
            <v>-44.1</v>
          </cell>
          <cell r="H3277">
            <v>-41.9</v>
          </cell>
          <cell r="I3277">
            <v>-44.1</v>
          </cell>
          <cell r="J3277">
            <v>-1.9</v>
          </cell>
          <cell r="K3277">
            <v>-9.5</v>
          </cell>
          <cell r="L3277">
            <v>-22.1</v>
          </cell>
          <cell r="M3277">
            <v>-25.7</v>
          </cell>
        </row>
        <row r="3278">
          <cell r="C3278" t="str">
            <v>110kV 179 trạm cắt Hòa Bình 2 - 172 Đông Hải</v>
          </cell>
          <cell r="F3278">
            <v>22.4</v>
          </cell>
          <cell r="H3278">
            <v>20.7</v>
          </cell>
          <cell r="I3278">
            <v>22.4</v>
          </cell>
          <cell r="J3278">
            <v>1.3</v>
          </cell>
          <cell r="K3278">
            <v>8.1</v>
          </cell>
          <cell r="L3278">
            <v>18.600000000000001</v>
          </cell>
          <cell r="M3278">
            <v>21.2</v>
          </cell>
        </row>
        <row r="3279">
          <cell r="C3279" t="str">
            <v>110kV 180 trạm cắt Hòa Bình 2 - 171 Đông Hải</v>
          </cell>
          <cell r="F3279">
            <v>22.4</v>
          </cell>
          <cell r="H3279">
            <v>20.7</v>
          </cell>
          <cell r="I3279">
            <v>22.4</v>
          </cell>
          <cell r="J3279">
            <v>1.3</v>
          </cell>
          <cell r="K3279">
            <v>7.8</v>
          </cell>
          <cell r="L3279">
            <v>18.600000000000001</v>
          </cell>
          <cell r="M3279">
            <v>21.4</v>
          </cell>
        </row>
        <row r="3280">
          <cell r="C3280" t="str">
            <v>110kV 174 trạm cắt Hồng Liêm - 132 NMĐ MT Hồng Liêm 3</v>
          </cell>
          <cell r="F3280">
            <v>-41</v>
          </cell>
          <cell r="H3280">
            <v>-40</v>
          </cell>
          <cell r="I3280">
            <v>-33.5</v>
          </cell>
          <cell r="J3280">
            <v>-37.200000000000003</v>
          </cell>
          <cell r="K3280">
            <v>-41</v>
          </cell>
          <cell r="L3280">
            <v>-33.1</v>
          </cell>
          <cell r="M3280">
            <v>-18.399999999999999</v>
          </cell>
        </row>
        <row r="3281">
          <cell r="C3281" t="str">
            <v>110kV 175 trạm cắt Hồng Liêm - 171 trạm cắt Hồng Sơn</v>
          </cell>
          <cell r="F3281">
            <v>41</v>
          </cell>
          <cell r="H3281">
            <v>40</v>
          </cell>
          <cell r="I3281">
            <v>33.4</v>
          </cell>
          <cell r="J3281">
            <v>37.200000000000003</v>
          </cell>
          <cell r="K3281">
            <v>41</v>
          </cell>
          <cell r="L3281">
            <v>33</v>
          </cell>
          <cell r="M3281">
            <v>18.3</v>
          </cell>
        </row>
        <row r="3282">
          <cell r="C3282" t="str">
            <v>110kV 176 trạm cắt Hồng Liêm - 173 trạm cắt Sông Lũy 1</v>
          </cell>
          <cell r="E3282">
            <v>0</v>
          </cell>
          <cell r="F3282">
            <v>0</v>
          </cell>
          <cell r="H3282">
            <v>0</v>
          </cell>
          <cell r="I3282">
            <v>0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</row>
        <row r="3283">
          <cell r="C3283" t="str">
            <v>110kV 171 trạm cắt Hồng Sơn - 175 trạm cắt Hồng Liêm</v>
          </cell>
          <cell r="F3283">
            <v>-40.700000000000003</v>
          </cell>
          <cell r="H3283">
            <v>-39.700000000000003</v>
          </cell>
          <cell r="I3283">
            <v>-33.200000000000003</v>
          </cell>
          <cell r="J3283">
            <v>-37</v>
          </cell>
          <cell r="K3283">
            <v>-40.700000000000003</v>
          </cell>
          <cell r="L3283">
            <v>-32.700000000000003</v>
          </cell>
          <cell r="M3283">
            <v>-21.9</v>
          </cell>
        </row>
        <row r="3284">
          <cell r="C3284" t="str">
            <v>110kV 173 trạm cắt Hồng Sơn - 171 NMĐ MT Hồng Phong 5.2</v>
          </cell>
          <cell r="F3284">
            <v>-38.6</v>
          </cell>
          <cell r="H3284">
            <v>-36.700000000000003</v>
          </cell>
          <cell r="I3284">
            <v>-27.2</v>
          </cell>
          <cell r="J3284">
            <v>-34.4</v>
          </cell>
          <cell r="K3284">
            <v>-38.6</v>
          </cell>
          <cell r="L3284">
            <v>-31.1</v>
          </cell>
          <cell r="M3284">
            <v>-28.5</v>
          </cell>
        </row>
        <row r="3285">
          <cell r="C3285" t="str">
            <v>110kV 172 Trạm cắt 110 kV Sông Lũy 1 - NMĐ MT Sông Lũy 1 MBA T1 (phía 110kV)</v>
          </cell>
          <cell r="F3285">
            <v>-37.4</v>
          </cell>
          <cell r="H3285">
            <v>-34.200000000000003</v>
          </cell>
          <cell r="I3285">
            <v>-30.1</v>
          </cell>
          <cell r="J3285">
            <v>-32.9</v>
          </cell>
          <cell r="K3285">
            <v>-37.4</v>
          </cell>
          <cell r="L3285">
            <v>-28.3</v>
          </cell>
          <cell r="M3285">
            <v>-22.9</v>
          </cell>
        </row>
        <row r="3286">
          <cell r="C3286" t="str">
            <v>110kV 173 trạm cắt Sông Lũy 1 - 176 trạm cắt Hồng Liêm</v>
          </cell>
          <cell r="E3286">
            <v>0</v>
          </cell>
          <cell r="F3286">
            <v>0</v>
          </cell>
          <cell r="H3286">
            <v>0</v>
          </cell>
          <cell r="I3286">
            <v>0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</row>
        <row r="3287">
          <cell r="C3287" t="str">
            <v>110kV 174 trạm cắt Sông Lũy 1 - 172 Lương Sơn</v>
          </cell>
          <cell r="F3287">
            <v>36.9</v>
          </cell>
          <cell r="H3287">
            <v>33.9</v>
          </cell>
          <cell r="I3287">
            <v>29.8</v>
          </cell>
          <cell r="J3287">
            <v>32.6</v>
          </cell>
          <cell r="K3287">
            <v>36.9</v>
          </cell>
          <cell r="L3287">
            <v>28</v>
          </cell>
          <cell r="M3287">
            <v>22.7</v>
          </cell>
        </row>
        <row r="3288">
          <cell r="C3288" t="str">
            <v>110kV 171 trạm cắt Tây Ninh 1 - 171 Tân Hưng</v>
          </cell>
          <cell r="F3288">
            <v>110.2</v>
          </cell>
          <cell r="H3288">
            <v>89.7</v>
          </cell>
          <cell r="I3288">
            <v>79.099999999999994</v>
          </cell>
          <cell r="J3288">
            <v>107.7</v>
          </cell>
          <cell r="K3288">
            <v>103.8</v>
          </cell>
          <cell r="L3288">
            <v>104.6</v>
          </cell>
          <cell r="M3288">
            <v>110.2</v>
          </cell>
        </row>
        <row r="3289">
          <cell r="C3289" t="str">
            <v>110kV 172 trạm cắt Tây Ninh 1 - 172 NMĐ Bourbon</v>
          </cell>
          <cell r="F3289">
            <v>-110.4</v>
          </cell>
          <cell r="H3289">
            <v>-90.1</v>
          </cell>
          <cell r="I3289">
            <v>-79.5</v>
          </cell>
          <cell r="J3289">
            <v>-108</v>
          </cell>
          <cell r="K3289">
            <v>-104.1</v>
          </cell>
          <cell r="L3289">
            <v>-105.1</v>
          </cell>
          <cell r="M3289">
            <v>-110.4</v>
          </cell>
        </row>
        <row r="3290">
          <cell r="C3290" t="str">
            <v>110kV 173 Trạm cắt 110 kV Tây Ninh 1 - NMĐ MT Bách Khoa Á Châu MBA T1 (phía 110kV)</v>
          </cell>
          <cell r="F3290">
            <v>-22.4</v>
          </cell>
          <cell r="H3290">
            <v>-20.9</v>
          </cell>
          <cell r="I3290">
            <v>-17.8</v>
          </cell>
          <cell r="J3290">
            <v>-22.4</v>
          </cell>
          <cell r="K3290">
            <v>-19</v>
          </cell>
          <cell r="L3290">
            <v>-12.6</v>
          </cell>
          <cell r="M3290">
            <v>-20.7</v>
          </cell>
        </row>
        <row r="3291">
          <cell r="C3291" t="str">
            <v>110kV 174 Trạm cắt 110 kV Tây Ninh 1 - NMĐ MT Trí Việt 1 MBA T1 (phía 110kV)</v>
          </cell>
          <cell r="F3291">
            <v>-22.4</v>
          </cell>
          <cell r="H3291">
            <v>-22.4</v>
          </cell>
          <cell r="I3291">
            <v>-17.7</v>
          </cell>
          <cell r="J3291">
            <v>-22.1</v>
          </cell>
          <cell r="K3291">
            <v>-20.8</v>
          </cell>
          <cell r="L3291">
            <v>-13.7</v>
          </cell>
          <cell r="M3291">
            <v>-18.2</v>
          </cell>
        </row>
        <row r="3292">
          <cell r="C3292" t="str">
            <v>110kV 176 Trạm cắt Tây Ninh 1 - 171 NMĐ MT Tân Châu 1</v>
          </cell>
          <cell r="F3292">
            <v>-37.6</v>
          </cell>
          <cell r="H3292">
            <v>-36.1</v>
          </cell>
          <cell r="I3292">
            <v>-30.9</v>
          </cell>
          <cell r="J3292">
            <v>-33.299999999999997</v>
          </cell>
          <cell r="K3292">
            <v>-37.6</v>
          </cell>
          <cell r="L3292">
            <v>-22.5</v>
          </cell>
          <cell r="M3292">
            <v>-36.6</v>
          </cell>
        </row>
        <row r="3293">
          <cell r="C3293" t="str">
            <v>110kV 172 Trạm cắt 110 kV Vĩnh Hải - NMĐ MT Vĩnh Hảo 6 MBA T1 (phía 110kV)</v>
          </cell>
          <cell r="F3293">
            <v>-38.9</v>
          </cell>
          <cell r="H3293">
            <v>-31.4</v>
          </cell>
          <cell r="I3293">
            <v>-23.4</v>
          </cell>
          <cell r="J3293">
            <v>-26.2</v>
          </cell>
          <cell r="K3293">
            <v>-38.9</v>
          </cell>
          <cell r="L3293">
            <v>-24</v>
          </cell>
          <cell r="M3293">
            <v>-36.700000000000003</v>
          </cell>
        </row>
        <row r="3294">
          <cell r="C3294" t="str">
            <v>110kV 173 trạm cắt Vĩnh Hải - 172 NMĐ MT Vĩnh Hảo 4</v>
          </cell>
          <cell r="E3294">
            <v>0</v>
          </cell>
          <cell r="F3294">
            <v>-0.3</v>
          </cell>
          <cell r="H3294">
            <v>0</v>
          </cell>
          <cell r="I3294">
            <v>0</v>
          </cell>
          <cell r="J3294">
            <v>0</v>
          </cell>
          <cell r="K3294">
            <v>0</v>
          </cell>
          <cell r="L3294">
            <v>0</v>
          </cell>
          <cell r="M3294">
            <v>-0.3</v>
          </cell>
        </row>
        <row r="3295">
          <cell r="C3295" t="str">
            <v>110kV 174 trạm cắt Vĩnh Hải - 171 NMĐ MT Vĩnh Tân 2</v>
          </cell>
          <cell r="F3295">
            <v>39.4</v>
          </cell>
          <cell r="H3295">
            <v>31.7</v>
          </cell>
          <cell r="I3295">
            <v>23.6</v>
          </cell>
          <cell r="J3295">
            <v>26.4</v>
          </cell>
          <cell r="K3295">
            <v>39.4</v>
          </cell>
          <cell r="L3295">
            <v>24.2</v>
          </cell>
          <cell r="M3295">
            <v>37</v>
          </cell>
        </row>
        <row r="3296">
          <cell r="C3296" t="str">
            <v>220kV 273 trạm cắt Lộc Tấn - 271 NMĐ MT Lộc Ninh 4, 5</v>
          </cell>
          <cell r="F3296">
            <v>177.6</v>
          </cell>
          <cell r="H3296">
            <v>174.9</v>
          </cell>
          <cell r="I3296">
            <v>121.7</v>
          </cell>
          <cell r="J3296">
            <v>177.6</v>
          </cell>
          <cell r="K3296">
            <v>158.19999999999999</v>
          </cell>
          <cell r="L3296">
            <v>155.69999999999999</v>
          </cell>
          <cell r="M3296">
            <v>152.9</v>
          </cell>
        </row>
        <row r="3297">
          <cell r="C3297" t="str">
            <v>220kV 274 trạm cắt Lộc Tấn - 272 NMĐ MT Lộc Ninh 4, 5</v>
          </cell>
          <cell r="F3297">
            <v>180.7</v>
          </cell>
          <cell r="H3297">
            <v>177.3</v>
          </cell>
          <cell r="I3297">
            <v>123.2</v>
          </cell>
          <cell r="J3297">
            <v>180.7</v>
          </cell>
          <cell r="K3297">
            <v>161.5</v>
          </cell>
          <cell r="L3297">
            <v>157.6</v>
          </cell>
          <cell r="M3297">
            <v>154.69999999999999</v>
          </cell>
        </row>
        <row r="3298">
          <cell r="C3298" t="str">
            <v>220kV 275 trạm cắt Lộc Tấn - 271 NMĐ MT Lộc Ninh 1, 2, 3</v>
          </cell>
          <cell r="F3298">
            <v>-177.4</v>
          </cell>
          <cell r="H3298">
            <v>-175.4</v>
          </cell>
          <cell r="I3298">
            <v>-120.3</v>
          </cell>
          <cell r="J3298">
            <v>-177.4</v>
          </cell>
          <cell r="K3298">
            <v>-157.6</v>
          </cell>
          <cell r="L3298">
            <v>-155.30000000000001</v>
          </cell>
          <cell r="M3298">
            <v>-152.1</v>
          </cell>
        </row>
        <row r="3299">
          <cell r="C3299" t="str">
            <v>220kV 276 trạm cắt Lộc Tấn - 272 NMĐ MT Lộc Ninh 1, 2, 3</v>
          </cell>
          <cell r="F3299">
            <v>-180.6</v>
          </cell>
          <cell r="H3299">
            <v>-176.6</v>
          </cell>
          <cell r="I3299">
            <v>-124.3</v>
          </cell>
          <cell r="J3299">
            <v>-180.6</v>
          </cell>
          <cell r="K3299">
            <v>-161.6</v>
          </cell>
          <cell r="L3299">
            <v>-157.69999999999999</v>
          </cell>
          <cell r="M3299">
            <v>-155.19999999999999</v>
          </cell>
        </row>
        <row r="3300">
          <cell r="C3300" t="str">
            <v>110kV 171 Trần Đề - 171 Cù Lao Dung</v>
          </cell>
          <cell r="F3300">
            <v>-30.2</v>
          </cell>
          <cell r="H3300">
            <v>-30.2</v>
          </cell>
          <cell r="I3300">
            <v>-25.3</v>
          </cell>
          <cell r="J3300">
            <v>-27.6</v>
          </cell>
          <cell r="K3300">
            <v>-25.3</v>
          </cell>
          <cell r="L3300">
            <v>-25.9</v>
          </cell>
          <cell r="M3300">
            <v>-24.6</v>
          </cell>
        </row>
        <row r="3301">
          <cell r="C3301" t="str">
            <v>Trần Đề MBA T1(phía 110kV)</v>
          </cell>
          <cell r="F3301">
            <v>16.100000000000001</v>
          </cell>
          <cell r="H3301">
            <v>16.100000000000001</v>
          </cell>
          <cell r="I3301">
            <v>12.6</v>
          </cell>
          <cell r="J3301">
            <v>14.4</v>
          </cell>
          <cell r="K3301">
            <v>12.9</v>
          </cell>
          <cell r="L3301">
            <v>14</v>
          </cell>
          <cell r="M3301">
            <v>13.3</v>
          </cell>
        </row>
        <row r="3302">
          <cell r="C3302" t="str">
            <v>Trần Đề MBA T1 (phía 22kV)</v>
          </cell>
          <cell r="F3302">
            <v>-16.3</v>
          </cell>
          <cell r="H3302">
            <v>-16.3</v>
          </cell>
          <cell r="I3302">
            <v>-12.8</v>
          </cell>
          <cell r="J3302">
            <v>-14.5</v>
          </cell>
          <cell r="K3302">
            <v>-13</v>
          </cell>
          <cell r="L3302">
            <v>-14.1</v>
          </cell>
          <cell r="M3302">
            <v>-13.4</v>
          </cell>
        </row>
        <row r="3303">
          <cell r="C3303" t="str">
            <v>Trần Đề MBA T2 (phía 110kV)</v>
          </cell>
          <cell r="F3303">
            <v>14.7</v>
          </cell>
          <cell r="H3303">
            <v>14.7</v>
          </cell>
          <cell r="I3303">
            <v>12.9</v>
          </cell>
          <cell r="J3303">
            <v>13.3</v>
          </cell>
          <cell r="K3303">
            <v>12.6</v>
          </cell>
          <cell r="L3303">
            <v>12.6</v>
          </cell>
          <cell r="M3303">
            <v>11.6</v>
          </cell>
        </row>
        <row r="3304">
          <cell r="C3304" t="str">
            <v>Trần Đề MBA T2 (phía 22kV)</v>
          </cell>
          <cell r="F3304">
            <v>-14.7</v>
          </cell>
          <cell r="H3304">
            <v>-14.7</v>
          </cell>
          <cell r="I3304">
            <v>-12.9</v>
          </cell>
          <cell r="J3304">
            <v>-13.4</v>
          </cell>
          <cell r="K3304">
            <v>-12.6</v>
          </cell>
          <cell r="L3304">
            <v>-12.7</v>
          </cell>
          <cell r="M3304">
            <v>-11.5</v>
          </cell>
        </row>
        <row r="3305">
          <cell r="C3305" t="str">
            <v>110kV 171 Trần Quốc Toản - 172 An Long</v>
          </cell>
          <cell r="F3305">
            <v>94.8</v>
          </cell>
          <cell r="H3305">
            <v>66.3</v>
          </cell>
          <cell r="I3305">
            <v>60.9</v>
          </cell>
          <cell r="J3305">
            <v>94.8</v>
          </cell>
          <cell r="K3305">
            <v>62.2</v>
          </cell>
          <cell r="L3305">
            <v>69</v>
          </cell>
          <cell r="M3305">
            <v>64.7</v>
          </cell>
        </row>
        <row r="3306">
          <cell r="C3306" t="str">
            <v>110kV 172 Trần Quốc Toản - 172 Cao Lãnh</v>
          </cell>
          <cell r="F3306">
            <v>-117.4</v>
          </cell>
          <cell r="H3306">
            <v>-105.5</v>
          </cell>
          <cell r="I3306">
            <v>-94.5</v>
          </cell>
          <cell r="J3306">
            <v>-117.4</v>
          </cell>
          <cell r="K3306">
            <v>-92.5</v>
          </cell>
          <cell r="L3306">
            <v>-96.1</v>
          </cell>
          <cell r="M3306">
            <v>-90.2</v>
          </cell>
        </row>
        <row r="3307">
          <cell r="C3307" t="str">
            <v>Trần Quốc Toản MBA T1 (phía 110kV)</v>
          </cell>
          <cell r="F3307">
            <v>21.1</v>
          </cell>
          <cell r="H3307">
            <v>21.1</v>
          </cell>
          <cell r="I3307">
            <v>20.100000000000001</v>
          </cell>
          <cell r="J3307">
            <v>20.100000000000001</v>
          </cell>
          <cell r="K3307">
            <v>20.100000000000001</v>
          </cell>
          <cell r="L3307">
            <v>18.7</v>
          </cell>
          <cell r="M3307">
            <v>18.3</v>
          </cell>
        </row>
        <row r="3308">
          <cell r="C3308" t="str">
            <v>Trần Quốc Toản MBA T1 (phía 22kV)</v>
          </cell>
          <cell r="F3308">
            <v>-21.2</v>
          </cell>
          <cell r="H3308">
            <v>-21.2</v>
          </cell>
          <cell r="I3308">
            <v>-20.100000000000001</v>
          </cell>
          <cell r="J3308">
            <v>-20.100000000000001</v>
          </cell>
          <cell r="K3308">
            <v>-20.2</v>
          </cell>
          <cell r="L3308">
            <v>-18.7</v>
          </cell>
          <cell r="M3308">
            <v>-18.399999999999999</v>
          </cell>
        </row>
        <row r="3309">
          <cell r="C3309" t="str">
            <v>Trần Quốc Toản MBA T2 (phía 110kV)</v>
          </cell>
          <cell r="F3309">
            <v>18.100000000000001</v>
          </cell>
          <cell r="H3309">
            <v>18.100000000000001</v>
          </cell>
          <cell r="I3309">
            <v>18.100000000000001</v>
          </cell>
          <cell r="J3309">
            <v>17.8</v>
          </cell>
          <cell r="K3309">
            <v>17.100000000000001</v>
          </cell>
          <cell r="L3309">
            <v>11.8</v>
          </cell>
          <cell r="M3309">
            <v>12</v>
          </cell>
        </row>
        <row r="3310">
          <cell r="C3310" t="str">
            <v>Trần Quốc Toản MBA T2 (phía 22kV)</v>
          </cell>
          <cell r="F3310">
            <v>-18.3</v>
          </cell>
          <cell r="H3310">
            <v>-18.2</v>
          </cell>
          <cell r="I3310">
            <v>-18.3</v>
          </cell>
          <cell r="J3310">
            <v>-17.899999999999999</v>
          </cell>
          <cell r="K3310">
            <v>-17.2</v>
          </cell>
          <cell r="L3310">
            <v>-11.9</v>
          </cell>
          <cell r="M3310">
            <v>-12.1</v>
          </cell>
        </row>
        <row r="3311">
          <cell r="C3311" t="str">
            <v>Trần Văn Thời MBA T1 (phía 110kV)</v>
          </cell>
          <cell r="E3311">
            <v>0</v>
          </cell>
          <cell r="F3311">
            <v>0</v>
          </cell>
          <cell r="H3311">
            <v>0</v>
          </cell>
          <cell r="I3311">
            <v>0</v>
          </cell>
          <cell r="J3311">
            <v>0</v>
          </cell>
          <cell r="K3311">
            <v>0</v>
          </cell>
          <cell r="L3311">
            <v>0</v>
          </cell>
          <cell r="M3311">
            <v>0</v>
          </cell>
        </row>
        <row r="3312">
          <cell r="C3312" t="str">
            <v>Trần Văn Thời MBA T1 (phía 22kV)</v>
          </cell>
          <cell r="E3312">
            <v>0</v>
          </cell>
          <cell r="F3312">
            <v>0</v>
          </cell>
          <cell r="H3312">
            <v>0</v>
          </cell>
          <cell r="I3312">
            <v>0</v>
          </cell>
          <cell r="J3312">
            <v>0</v>
          </cell>
          <cell r="K3312">
            <v>0</v>
          </cell>
          <cell r="L3312">
            <v>0</v>
          </cell>
          <cell r="M3312">
            <v>0</v>
          </cell>
        </row>
        <row r="3313">
          <cell r="C3313" t="str">
            <v>110kV 172 Trần Văn Thời - 171 Sông Đốc</v>
          </cell>
          <cell r="F3313">
            <v>34.4</v>
          </cell>
          <cell r="H3313">
            <v>32.6</v>
          </cell>
          <cell r="I3313">
            <v>34.4</v>
          </cell>
          <cell r="J3313">
            <v>34.1</v>
          </cell>
          <cell r="K3313">
            <v>31.8</v>
          </cell>
          <cell r="L3313">
            <v>33.799999999999997</v>
          </cell>
          <cell r="M3313">
            <v>32.1</v>
          </cell>
        </row>
        <row r="3314">
          <cell r="C3314" t="str">
            <v>110kV 171 Trần Văn Thời - 174 Cà Mau 2</v>
          </cell>
          <cell r="F3314">
            <v>-47.6</v>
          </cell>
          <cell r="H3314">
            <v>-44.5</v>
          </cell>
          <cell r="I3314">
            <v>-45.7</v>
          </cell>
          <cell r="J3314">
            <v>-47.6</v>
          </cell>
          <cell r="K3314">
            <v>-42.9</v>
          </cell>
          <cell r="L3314">
            <v>-45.6</v>
          </cell>
          <cell r="M3314">
            <v>-43.3</v>
          </cell>
        </row>
        <row r="3315">
          <cell r="C3315" t="str">
            <v>Trần Văn Thời MBA T2 (phía 110kV)</v>
          </cell>
          <cell r="F3315">
            <v>13.9</v>
          </cell>
          <cell r="H3315">
            <v>12</v>
          </cell>
          <cell r="I3315">
            <v>12.1</v>
          </cell>
          <cell r="J3315">
            <v>13.9</v>
          </cell>
          <cell r="K3315">
            <v>11.9</v>
          </cell>
          <cell r="L3315">
            <v>12.8</v>
          </cell>
          <cell r="M3315">
            <v>12.4</v>
          </cell>
        </row>
        <row r="3316">
          <cell r="C3316" t="str">
            <v>Trần Văn Thời MBA T2 (phía 22kV)</v>
          </cell>
          <cell r="F3316">
            <v>-13.7</v>
          </cell>
          <cell r="H3316">
            <v>-11.7</v>
          </cell>
          <cell r="I3316">
            <v>-12</v>
          </cell>
          <cell r="J3316">
            <v>-13.7</v>
          </cell>
          <cell r="K3316">
            <v>-11.7</v>
          </cell>
          <cell r="L3316">
            <v>-12.6</v>
          </cell>
          <cell r="M3316">
            <v>-12.2</v>
          </cell>
        </row>
        <row r="3317">
          <cell r="C3317" t="str">
            <v>110kV 171 Trảng Bàng - 172 Trảng Bàng 2 - 171 KCN Trảng Bàng</v>
          </cell>
          <cell r="F3317">
            <v>-33.4</v>
          </cell>
          <cell r="H3317">
            <v>-31.3</v>
          </cell>
          <cell r="I3317">
            <v>-31.1</v>
          </cell>
          <cell r="J3317">
            <v>-33.4</v>
          </cell>
          <cell r="K3317">
            <v>-32.9</v>
          </cell>
          <cell r="L3317">
            <v>-27.6</v>
          </cell>
          <cell r="M3317">
            <v>-24.8</v>
          </cell>
        </row>
        <row r="3318">
          <cell r="C3318" t="str">
            <v>Trảng Bàng MBA T1 (phía 110kV)</v>
          </cell>
          <cell r="F3318">
            <v>25.4</v>
          </cell>
          <cell r="H3318">
            <v>24.5</v>
          </cell>
          <cell r="I3318">
            <v>21.6</v>
          </cell>
          <cell r="J3318">
            <v>25.4</v>
          </cell>
          <cell r="K3318">
            <v>22.5</v>
          </cell>
          <cell r="L3318">
            <v>23.9</v>
          </cell>
          <cell r="M3318">
            <v>22.1</v>
          </cell>
        </row>
        <row r="3319">
          <cell r="C3319" t="str">
            <v>Trảng Bàng MBA T1 (phía 22kV)</v>
          </cell>
          <cell r="F3319">
            <v>-25.6</v>
          </cell>
          <cell r="H3319">
            <v>-24.5</v>
          </cell>
          <cell r="I3319">
            <v>-21.7</v>
          </cell>
          <cell r="J3319">
            <v>-25.6</v>
          </cell>
          <cell r="K3319">
            <v>-22.5</v>
          </cell>
          <cell r="L3319">
            <v>-23.9</v>
          </cell>
          <cell r="M3319">
            <v>-22.1</v>
          </cell>
        </row>
        <row r="3320">
          <cell r="C3320" t="str">
            <v>110kV 172 Trảng Bàng - 171 Trảng Bàng 2 - 171 KCN Trảng Bàng</v>
          </cell>
          <cell r="F3320">
            <v>-11.2</v>
          </cell>
          <cell r="H3320">
            <v>-10.9</v>
          </cell>
          <cell r="I3320">
            <v>-9.1999999999999993</v>
          </cell>
          <cell r="J3320">
            <v>-11.2</v>
          </cell>
          <cell r="K3320">
            <v>-8</v>
          </cell>
          <cell r="L3320">
            <v>-10.6</v>
          </cell>
          <cell r="M3320">
            <v>-8.6999999999999993</v>
          </cell>
        </row>
        <row r="3321">
          <cell r="C3321" t="str">
            <v>Trảng Bàng MBA T2 (phía 110kV)</v>
          </cell>
          <cell r="F3321">
            <v>19.5</v>
          </cell>
          <cell r="H3321">
            <v>19.5</v>
          </cell>
          <cell r="I3321">
            <v>18.5</v>
          </cell>
          <cell r="J3321">
            <v>19.5</v>
          </cell>
          <cell r="K3321">
            <v>18.600000000000001</v>
          </cell>
          <cell r="L3321">
            <v>14.5</v>
          </cell>
          <cell r="M3321">
            <v>12.3</v>
          </cell>
        </row>
        <row r="3322">
          <cell r="C3322" t="str">
            <v>Trảng Bàng MBA T2 (phía 22kV)</v>
          </cell>
          <cell r="F3322">
            <v>-19.7</v>
          </cell>
          <cell r="H3322">
            <v>-19.7</v>
          </cell>
          <cell r="I3322">
            <v>-18.5</v>
          </cell>
          <cell r="J3322">
            <v>-19.5</v>
          </cell>
          <cell r="K3322">
            <v>-18.8</v>
          </cell>
          <cell r="L3322">
            <v>-14.6</v>
          </cell>
          <cell r="M3322">
            <v>-12.3</v>
          </cell>
        </row>
        <row r="3323">
          <cell r="C3323" t="str">
            <v>220kV 271 Trảng Bàng 2 - 273 Củ Chi 2</v>
          </cell>
          <cell r="F3323">
            <v>-244.1</v>
          </cell>
          <cell r="H3323">
            <v>-221.2</v>
          </cell>
          <cell r="I3323">
            <v>-223</v>
          </cell>
          <cell r="J3323">
            <v>-240.1</v>
          </cell>
          <cell r="K3323">
            <v>-230.8</v>
          </cell>
          <cell r="L3323">
            <v>-244.1</v>
          </cell>
          <cell r="M3323">
            <v>-198.8</v>
          </cell>
        </row>
        <row r="3324">
          <cell r="C3324" t="str">
            <v>220kV 272 Trảng Bàng 2 - 274 Củ Chi 2</v>
          </cell>
          <cell r="F3324">
            <v>-244.4</v>
          </cell>
          <cell r="H3324">
            <v>-222.1</v>
          </cell>
          <cell r="I3324">
            <v>-223.4</v>
          </cell>
          <cell r="J3324">
            <v>-239.4</v>
          </cell>
          <cell r="K3324">
            <v>-232.1</v>
          </cell>
          <cell r="L3324">
            <v>-244.4</v>
          </cell>
          <cell r="M3324">
            <v>-198.8</v>
          </cell>
        </row>
        <row r="3325">
          <cell r="C3325" t="str">
            <v>220kV 274 Trảng Bàng 2 - 274 Bàu Đồn</v>
          </cell>
          <cell r="F3325">
            <v>-214.4</v>
          </cell>
          <cell r="H3325">
            <v>-214.4</v>
          </cell>
          <cell r="I3325">
            <v>-126.5</v>
          </cell>
          <cell r="J3325">
            <v>-142.1</v>
          </cell>
          <cell r="K3325">
            <v>-161.30000000000001</v>
          </cell>
          <cell r="L3325">
            <v>-109.9</v>
          </cell>
          <cell r="M3325">
            <v>-156</v>
          </cell>
        </row>
        <row r="3326">
          <cell r="C3326" t="str">
            <v>220kV 275 Trảng Bàng 2 - 271 Tây Ninh 2</v>
          </cell>
          <cell r="F3326">
            <v>-217.7</v>
          </cell>
          <cell r="H3326">
            <v>-217.7</v>
          </cell>
          <cell r="I3326">
            <v>-128.9</v>
          </cell>
          <cell r="J3326">
            <v>-141.6</v>
          </cell>
          <cell r="K3326">
            <v>-166</v>
          </cell>
          <cell r="L3326">
            <v>-112.5</v>
          </cell>
          <cell r="M3326">
            <v>-158.1</v>
          </cell>
        </row>
        <row r="3327">
          <cell r="C3327" t="str">
            <v>Trảng Bàng 2 MBA AT1 (phía 220kV)</v>
          </cell>
          <cell r="F3327">
            <v>205.6</v>
          </cell>
          <cell r="H3327">
            <v>174.9</v>
          </cell>
          <cell r="I3327">
            <v>160.69999999999999</v>
          </cell>
          <cell r="J3327">
            <v>170.7</v>
          </cell>
          <cell r="K3327">
            <v>172.8</v>
          </cell>
          <cell r="L3327">
            <v>205.6</v>
          </cell>
          <cell r="M3327">
            <v>142.4</v>
          </cell>
        </row>
        <row r="3328">
          <cell r="C3328" t="str">
            <v>Trảng Bàng 2 MBA AT2 (phía 220kV)</v>
          </cell>
          <cell r="F3328">
            <v>173.2</v>
          </cell>
          <cell r="H3328">
            <v>173.2</v>
          </cell>
          <cell r="I3328">
            <v>158.69999999999999</v>
          </cell>
          <cell r="J3328">
            <v>169.1</v>
          </cell>
          <cell r="K3328">
            <v>171.2</v>
          </cell>
          <cell r="L3328">
            <v>152.69999999999999</v>
          </cell>
          <cell r="M3328">
            <v>141.19999999999999</v>
          </cell>
        </row>
        <row r="3329">
          <cell r="C3329" t="str">
            <v>110kV 171 Trảng Bàng 2 - 172 Trảng Bàng - 171 KCN Trảng Bàng</v>
          </cell>
          <cell r="F3329">
            <v>32.700000000000003</v>
          </cell>
          <cell r="H3329">
            <v>30.6</v>
          </cell>
          <cell r="I3329">
            <v>30.6</v>
          </cell>
          <cell r="J3329">
            <v>32.700000000000003</v>
          </cell>
          <cell r="K3329">
            <v>31.2</v>
          </cell>
          <cell r="L3329">
            <v>25.6</v>
          </cell>
          <cell r="M3329">
            <v>23</v>
          </cell>
        </row>
        <row r="3330">
          <cell r="C3330" t="str">
            <v>110kV 172 Trảng Bàng 2 - 171 Trảng Bàng</v>
          </cell>
          <cell r="F3330">
            <v>33.200000000000003</v>
          </cell>
          <cell r="H3330">
            <v>31.1</v>
          </cell>
          <cell r="I3330">
            <v>30.7</v>
          </cell>
          <cell r="J3330">
            <v>33.200000000000003</v>
          </cell>
          <cell r="K3330">
            <v>32.6</v>
          </cell>
          <cell r="L3330">
            <v>27.4</v>
          </cell>
          <cell r="M3330">
            <v>24.6</v>
          </cell>
        </row>
        <row r="3331">
          <cell r="C3331" t="str">
            <v>110kV 173 Trảng Bàng 2 - 172 Thành Công</v>
          </cell>
          <cell r="F3331">
            <v>-49.2</v>
          </cell>
          <cell r="H3331">
            <v>47.4</v>
          </cell>
          <cell r="I3331">
            <v>18.8</v>
          </cell>
          <cell r="J3331">
            <v>-34.6</v>
          </cell>
          <cell r="K3331">
            <v>16.100000000000001</v>
          </cell>
          <cell r="L3331">
            <v>-49.2</v>
          </cell>
          <cell r="M3331">
            <v>-41.7</v>
          </cell>
        </row>
        <row r="3332">
          <cell r="C3332" t="str">
            <v>110kV 174 Trảng Bàng 2 - 171 Đức Huệ</v>
          </cell>
          <cell r="F3332">
            <v>32.799999999999997</v>
          </cell>
          <cell r="H3332">
            <v>32.799999999999997</v>
          </cell>
          <cell r="I3332">
            <v>-7.7</v>
          </cell>
          <cell r="J3332">
            <v>-23.8</v>
          </cell>
          <cell r="K3332">
            <v>10.6</v>
          </cell>
          <cell r="L3332">
            <v>-26.7</v>
          </cell>
          <cell r="M3332">
            <v>-13.7</v>
          </cell>
        </row>
        <row r="3333">
          <cell r="C3333" t="str">
            <v>110kV 178 Trảng Bàng 2 - 172 NMĐ MT HTG</v>
          </cell>
          <cell r="F3333">
            <v>86.3</v>
          </cell>
          <cell r="H3333">
            <v>86.3</v>
          </cell>
          <cell r="I3333">
            <v>73.900000000000006</v>
          </cell>
          <cell r="J3333">
            <v>85.2</v>
          </cell>
          <cell r="K3333">
            <v>80.5</v>
          </cell>
          <cell r="L3333">
            <v>81.900000000000006</v>
          </cell>
          <cell r="M3333">
            <v>67.3</v>
          </cell>
        </row>
        <row r="3334">
          <cell r="C3334" t="str">
            <v>110kV 179 Trảng Bàng 2 - 172 Phước Đông</v>
          </cell>
          <cell r="F3334">
            <v>193.1</v>
          </cell>
          <cell r="H3334">
            <v>192.3</v>
          </cell>
          <cell r="I3334">
            <v>190.8</v>
          </cell>
          <cell r="J3334">
            <v>191.2</v>
          </cell>
          <cell r="K3334">
            <v>193.1</v>
          </cell>
          <cell r="L3334">
            <v>188.8</v>
          </cell>
          <cell r="M3334">
            <v>185.9</v>
          </cell>
        </row>
        <row r="3335">
          <cell r="C3335" t="str">
            <v>Trảng Bàng 2 MBA AT1 (phía 110kV)</v>
          </cell>
          <cell r="F3335">
            <v>-205.6</v>
          </cell>
          <cell r="H3335">
            <v>-176</v>
          </cell>
          <cell r="I3335">
            <v>-161.9</v>
          </cell>
          <cell r="J3335">
            <v>-171.2</v>
          </cell>
          <cell r="K3335">
            <v>-173.6</v>
          </cell>
          <cell r="L3335">
            <v>-205.6</v>
          </cell>
          <cell r="M3335">
            <v>-143</v>
          </cell>
        </row>
        <row r="3336">
          <cell r="C3336" t="str">
            <v>Trảng Bàng 2 MBA AT2 (phía 110kV)</v>
          </cell>
          <cell r="F3336">
            <v>-172.8</v>
          </cell>
          <cell r="H3336">
            <v>-172.8</v>
          </cell>
          <cell r="I3336">
            <v>-159.69999999999999</v>
          </cell>
          <cell r="J3336">
            <v>-168.8</v>
          </cell>
          <cell r="K3336">
            <v>-171.7</v>
          </cell>
          <cell r="L3336">
            <v>-152.6</v>
          </cell>
          <cell r="M3336">
            <v>-141.6</v>
          </cell>
        </row>
        <row r="3337">
          <cell r="C3337" t="str">
            <v>110kV (171-7) Tri Tôn - 171 NMĐ MT Sao Mai</v>
          </cell>
          <cell r="E3337">
            <v>0</v>
          </cell>
          <cell r="F3337">
            <v>0</v>
          </cell>
          <cell r="H3337">
            <v>0</v>
          </cell>
          <cell r="I3337">
            <v>0</v>
          </cell>
          <cell r="J3337">
            <v>0</v>
          </cell>
          <cell r="K3337">
            <v>0</v>
          </cell>
          <cell r="L3337">
            <v>0</v>
          </cell>
          <cell r="M3337">
            <v>0</v>
          </cell>
        </row>
        <row r="3338">
          <cell r="C3338" t="str">
            <v>Tri Tôn MBA T1 (phía 110kV)</v>
          </cell>
          <cell r="E3338">
            <v>0</v>
          </cell>
          <cell r="F3338">
            <v>0</v>
          </cell>
          <cell r="H3338">
            <v>0</v>
          </cell>
          <cell r="I3338">
            <v>0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</row>
        <row r="3339">
          <cell r="C3339" t="str">
            <v>Tri Tôn MBA T1 (phía 22kV)</v>
          </cell>
          <cell r="E3339">
            <v>0</v>
          </cell>
          <cell r="F3339">
            <v>0</v>
          </cell>
          <cell r="H3339">
            <v>0</v>
          </cell>
          <cell r="I3339">
            <v>0</v>
          </cell>
          <cell r="J3339">
            <v>0</v>
          </cell>
          <cell r="K3339">
            <v>0</v>
          </cell>
          <cell r="L3339">
            <v>0</v>
          </cell>
          <cell r="M3339">
            <v>0</v>
          </cell>
        </row>
        <row r="3340">
          <cell r="C3340" t="str">
            <v>Tri Tôn MBA T2 (phía 110kV)</v>
          </cell>
          <cell r="F3340">
            <v>30</v>
          </cell>
          <cell r="H3340">
            <v>26.1</v>
          </cell>
          <cell r="I3340">
            <v>24.8</v>
          </cell>
          <cell r="J3340">
            <v>30</v>
          </cell>
          <cell r="K3340">
            <v>26.7</v>
          </cell>
          <cell r="L3340">
            <v>26.6</v>
          </cell>
          <cell r="M3340">
            <v>25.6</v>
          </cell>
        </row>
        <row r="3341">
          <cell r="C3341" t="str">
            <v>Tri Tôn MBA T2 (phía 22kV)</v>
          </cell>
          <cell r="F3341">
            <v>-30</v>
          </cell>
          <cell r="H3341">
            <v>-26</v>
          </cell>
          <cell r="I3341">
            <v>-25.1</v>
          </cell>
          <cell r="J3341">
            <v>-30</v>
          </cell>
          <cell r="K3341">
            <v>-26.6</v>
          </cell>
          <cell r="L3341">
            <v>-26.7</v>
          </cell>
          <cell r="M3341">
            <v>-25.8</v>
          </cell>
        </row>
        <row r="3342">
          <cell r="C3342" t="str">
            <v>110kV 171 Trường Đua - 174 Bà Quẹo - 171 Chợ Lớn</v>
          </cell>
          <cell r="E3342">
            <v>0</v>
          </cell>
          <cell r="F3342">
            <v>0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</row>
        <row r="3343">
          <cell r="C3343" t="str">
            <v>110kV 172 Trường Đua - 176 Tao Đàn</v>
          </cell>
          <cell r="F3343">
            <v>-99.4</v>
          </cell>
          <cell r="H3343">
            <v>-99.4</v>
          </cell>
          <cell r="I3343">
            <v>-74.099999999999994</v>
          </cell>
          <cell r="J3343">
            <v>-89</v>
          </cell>
          <cell r="K3343">
            <v>-77.400000000000006</v>
          </cell>
          <cell r="L3343">
            <v>-69</v>
          </cell>
          <cell r="M3343">
            <v>-69.400000000000006</v>
          </cell>
        </row>
        <row r="3344">
          <cell r="C3344" t="str">
            <v>Trường Đua MBA T1 (phía 110kV)</v>
          </cell>
          <cell r="F3344">
            <v>50.2</v>
          </cell>
          <cell r="H3344">
            <v>49.2</v>
          </cell>
          <cell r="I3344">
            <v>39.6</v>
          </cell>
          <cell r="J3344">
            <v>50.2</v>
          </cell>
          <cell r="K3344">
            <v>41.8</v>
          </cell>
          <cell r="L3344">
            <v>38.4</v>
          </cell>
          <cell r="M3344">
            <v>36.9</v>
          </cell>
        </row>
        <row r="3345">
          <cell r="C3345" t="str">
            <v>Trường Đua MBA T2 (phía 110kV)</v>
          </cell>
          <cell r="F3345">
            <v>50.3</v>
          </cell>
          <cell r="H3345">
            <v>50.3</v>
          </cell>
          <cell r="I3345">
            <v>34.700000000000003</v>
          </cell>
          <cell r="J3345">
            <v>38.799999999999997</v>
          </cell>
          <cell r="K3345">
            <v>35.6</v>
          </cell>
          <cell r="L3345">
            <v>31.1</v>
          </cell>
          <cell r="M3345">
            <v>32.5</v>
          </cell>
        </row>
        <row r="3346">
          <cell r="C3346" t="str">
            <v>Trường Đua MBA T1 (phía 22kV)</v>
          </cell>
          <cell r="F3346">
            <v>-49.9</v>
          </cell>
          <cell r="H3346">
            <v>-49</v>
          </cell>
          <cell r="I3346">
            <v>-39.299999999999997</v>
          </cell>
          <cell r="J3346">
            <v>-49.9</v>
          </cell>
          <cell r="K3346">
            <v>-41.5</v>
          </cell>
          <cell r="L3346">
            <v>-38.1</v>
          </cell>
          <cell r="M3346">
            <v>-36.799999999999997</v>
          </cell>
        </row>
        <row r="3347">
          <cell r="C3347" t="str">
            <v>Trường Đua MBA T2 (phía 22kV)</v>
          </cell>
          <cell r="F3347">
            <v>-50.4</v>
          </cell>
          <cell r="H3347">
            <v>-50.4</v>
          </cell>
          <cell r="I3347">
            <v>-34.700000000000003</v>
          </cell>
          <cell r="J3347">
            <v>-38.799999999999997</v>
          </cell>
          <cell r="K3347">
            <v>-35.700000000000003</v>
          </cell>
          <cell r="L3347">
            <v>-31.2</v>
          </cell>
          <cell r="M3347">
            <v>-32.6</v>
          </cell>
        </row>
        <row r="3348">
          <cell r="C3348" t="str">
            <v>110kV 172 Tuy Hạ - 179 Long Thành</v>
          </cell>
          <cell r="F3348">
            <v>-29</v>
          </cell>
          <cell r="H3348">
            <v>-27.5</v>
          </cell>
          <cell r="I3348">
            <v>-27.7</v>
          </cell>
          <cell r="J3348">
            <v>-29</v>
          </cell>
          <cell r="K3348">
            <v>-28.4</v>
          </cell>
          <cell r="L3348">
            <v>-28.4</v>
          </cell>
          <cell r="M3348">
            <v>-28.6</v>
          </cell>
        </row>
        <row r="3349">
          <cell r="C3349" t="str">
            <v>110kV 173 Tuy Hạ - 178 Long Thành</v>
          </cell>
          <cell r="F3349">
            <v>55.6</v>
          </cell>
          <cell r="H3349">
            <v>55.6</v>
          </cell>
          <cell r="I3349">
            <v>54.3</v>
          </cell>
          <cell r="J3349">
            <v>51.3</v>
          </cell>
          <cell r="K3349">
            <v>52</v>
          </cell>
          <cell r="L3349">
            <v>33.4</v>
          </cell>
          <cell r="M3349">
            <v>32.4</v>
          </cell>
        </row>
        <row r="3350">
          <cell r="C3350" t="str">
            <v>Tuy Hạ MBA T2 (phía 110kV)</v>
          </cell>
          <cell r="F3350">
            <v>53.7</v>
          </cell>
          <cell r="H3350">
            <v>28.9</v>
          </cell>
          <cell r="I3350">
            <v>43.5</v>
          </cell>
          <cell r="J3350">
            <v>40.9</v>
          </cell>
          <cell r="K3350">
            <v>42.8</v>
          </cell>
          <cell r="L3350">
            <v>44.2</v>
          </cell>
          <cell r="M3350">
            <v>53.7</v>
          </cell>
        </row>
        <row r="3351">
          <cell r="C3351" t="str">
            <v>Tuy Hạ MBA T2 (phía 22kV)</v>
          </cell>
          <cell r="F3351">
            <v>-28.8</v>
          </cell>
          <cell r="H3351">
            <v>-27.3</v>
          </cell>
          <cell r="I3351">
            <v>-27.5</v>
          </cell>
          <cell r="J3351">
            <v>-28.8</v>
          </cell>
          <cell r="K3351">
            <v>-28.1</v>
          </cell>
          <cell r="L3351">
            <v>-28.3</v>
          </cell>
          <cell r="M3351">
            <v>-28.5</v>
          </cell>
        </row>
        <row r="3352">
          <cell r="C3352" t="str">
            <v>Tuy Hạ MBA T3 (phía 110kV)</v>
          </cell>
          <cell r="E3352">
            <v>0</v>
          </cell>
          <cell r="F3352">
            <v>0</v>
          </cell>
          <cell r="H3352">
            <v>0</v>
          </cell>
          <cell r="I3352">
            <v>0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</row>
        <row r="3353">
          <cell r="C3353" t="str">
            <v>Tuy Hạ MBA T3 (phía 22kV)</v>
          </cell>
          <cell r="F3353">
            <v>-55.3</v>
          </cell>
          <cell r="H3353">
            <v>-55.3</v>
          </cell>
          <cell r="I3353">
            <v>-54.2</v>
          </cell>
          <cell r="J3353">
            <v>-50.9</v>
          </cell>
          <cell r="K3353">
            <v>-52.2</v>
          </cell>
          <cell r="L3353">
            <v>-33.5</v>
          </cell>
          <cell r="M3353">
            <v>-32.700000000000003</v>
          </cell>
        </row>
        <row r="3354">
          <cell r="C3354" t="str">
            <v>Tuy Hạ MBA T6 (phía 110kV)</v>
          </cell>
          <cell r="F3354">
            <v>55.6</v>
          </cell>
          <cell r="H3354">
            <v>53.4</v>
          </cell>
          <cell r="I3354">
            <v>50.5</v>
          </cell>
          <cell r="J3354">
            <v>53.9</v>
          </cell>
          <cell r="K3354">
            <v>55.6</v>
          </cell>
          <cell r="L3354">
            <v>37.6</v>
          </cell>
          <cell r="M3354">
            <v>39.9</v>
          </cell>
        </row>
        <row r="3355">
          <cell r="C3355" t="str">
            <v>Tuy Hạ MBA T6 (phía 22kV)</v>
          </cell>
          <cell r="F3355">
            <v>-54.7</v>
          </cell>
          <cell r="H3355">
            <v>-53.3</v>
          </cell>
          <cell r="I3355">
            <v>-50.3</v>
          </cell>
          <cell r="J3355">
            <v>-53.8</v>
          </cell>
          <cell r="K3355">
            <v>-54.7</v>
          </cell>
          <cell r="L3355">
            <v>-37.5</v>
          </cell>
          <cell r="M3355">
            <v>-39.700000000000003</v>
          </cell>
        </row>
        <row r="3356">
          <cell r="C3356" t="str">
            <v>220kV 277 Uyên Hưng - 273 Mỹ Phước</v>
          </cell>
          <cell r="F3356">
            <v>167.8</v>
          </cell>
          <cell r="H3356">
            <v>145.80000000000001</v>
          </cell>
          <cell r="I3356">
            <v>143.4</v>
          </cell>
          <cell r="J3356">
            <v>167.8</v>
          </cell>
          <cell r="K3356">
            <v>129.80000000000001</v>
          </cell>
          <cell r="L3356">
            <v>161.9</v>
          </cell>
          <cell r="M3356">
            <v>113</v>
          </cell>
        </row>
        <row r="3357">
          <cell r="C3357" t="str">
            <v>220kV 276 Uyên Hưng - 276 Củ Chi 2</v>
          </cell>
          <cell r="F3357">
            <v>117.6</v>
          </cell>
          <cell r="H3357">
            <v>90.1</v>
          </cell>
          <cell r="I3357">
            <v>79.900000000000006</v>
          </cell>
          <cell r="J3357">
            <v>87.4</v>
          </cell>
          <cell r="K3357">
            <v>73.3</v>
          </cell>
          <cell r="L3357">
            <v>117.6</v>
          </cell>
          <cell r="M3357">
            <v>85.9</v>
          </cell>
        </row>
        <row r="3358">
          <cell r="C3358" t="str">
            <v>220kV 275 Uyên Hưng - 277 Sông Mây</v>
          </cell>
          <cell r="F3358">
            <v>-242.4</v>
          </cell>
          <cell r="H3358">
            <v>-242.4</v>
          </cell>
          <cell r="I3358">
            <v>-222</v>
          </cell>
          <cell r="J3358">
            <v>-228</v>
          </cell>
          <cell r="K3358">
            <v>-198.5</v>
          </cell>
          <cell r="L3358">
            <v>-221.5</v>
          </cell>
          <cell r="M3358">
            <v>-175</v>
          </cell>
        </row>
        <row r="3359">
          <cell r="C3359" t="str">
            <v>220kV 274 Uyên Hưng - 278 Sông Mây</v>
          </cell>
          <cell r="F3359">
            <v>-278.3</v>
          </cell>
          <cell r="H3359">
            <v>-255.1</v>
          </cell>
          <cell r="I3359">
            <v>-257.89999999999998</v>
          </cell>
          <cell r="J3359">
            <v>-278.3</v>
          </cell>
          <cell r="K3359">
            <v>-237.8</v>
          </cell>
          <cell r="L3359">
            <v>-234.8</v>
          </cell>
          <cell r="M3359">
            <v>-194.7</v>
          </cell>
        </row>
        <row r="3360">
          <cell r="C3360" t="str">
            <v>Uyên Hưng MBA AT2 (phía 220kV)</v>
          </cell>
          <cell r="F3360">
            <v>147.80000000000001</v>
          </cell>
          <cell r="H3360">
            <v>133.9</v>
          </cell>
          <cell r="I3360">
            <v>144.6</v>
          </cell>
          <cell r="J3360">
            <v>146.30000000000001</v>
          </cell>
          <cell r="K3360">
            <v>147.80000000000001</v>
          </cell>
          <cell r="L3360">
            <v>112.5</v>
          </cell>
          <cell r="M3360">
            <v>103.9</v>
          </cell>
        </row>
        <row r="3361">
          <cell r="C3361" t="str">
            <v>110kV 179 Uyên Hưng - 174 Tân Uyên</v>
          </cell>
          <cell r="F3361">
            <v>53.9</v>
          </cell>
          <cell r="H3361">
            <v>51.5</v>
          </cell>
          <cell r="I3361">
            <v>51.1</v>
          </cell>
          <cell r="J3361">
            <v>53.9</v>
          </cell>
          <cell r="K3361">
            <v>50.1</v>
          </cell>
          <cell r="L3361">
            <v>35.4</v>
          </cell>
          <cell r="M3361">
            <v>29.7</v>
          </cell>
        </row>
        <row r="3362">
          <cell r="C3362" t="str">
            <v>110kV 178 Uyên Hưng - 171 Tân Uyên</v>
          </cell>
          <cell r="F3362">
            <v>118.1</v>
          </cell>
          <cell r="H3362">
            <v>113.5</v>
          </cell>
          <cell r="I3362">
            <v>113.5</v>
          </cell>
          <cell r="J3362">
            <v>118.1</v>
          </cell>
          <cell r="K3362">
            <v>111.1</v>
          </cell>
          <cell r="L3362">
            <v>76.900000000000006</v>
          </cell>
          <cell r="M3362">
            <v>68.7</v>
          </cell>
        </row>
        <row r="3363">
          <cell r="C3363" t="str">
            <v>110kV 176 Uyên Hưng - 172 Thép Tuệ Minh</v>
          </cell>
          <cell r="F3363">
            <v>65.900000000000006</v>
          </cell>
          <cell r="H3363">
            <v>59.3</v>
          </cell>
          <cell r="I3363">
            <v>65.900000000000006</v>
          </cell>
          <cell r="J3363">
            <v>60.1</v>
          </cell>
          <cell r="K3363">
            <v>63</v>
          </cell>
          <cell r="L3363">
            <v>56.6</v>
          </cell>
          <cell r="M3363">
            <v>53.1</v>
          </cell>
        </row>
        <row r="3364">
          <cell r="C3364" t="str">
            <v>110kV 175 Uyên Hưng - 171 Đất Cuốc</v>
          </cell>
          <cell r="F3364">
            <v>90.4</v>
          </cell>
          <cell r="H3364">
            <v>75.099999999999994</v>
          </cell>
          <cell r="I3364">
            <v>90.4</v>
          </cell>
          <cell r="J3364">
            <v>87.8</v>
          </cell>
          <cell r="K3364">
            <v>86.2</v>
          </cell>
          <cell r="L3364">
            <v>69.8</v>
          </cell>
          <cell r="M3364">
            <v>65.2</v>
          </cell>
        </row>
        <row r="3365">
          <cell r="C3365" t="str">
            <v>Uyên Hưng MBA AT2 (phía 110kV)</v>
          </cell>
          <cell r="F3365">
            <v>-145.9</v>
          </cell>
          <cell r="H3365">
            <v>-134.69999999999999</v>
          </cell>
          <cell r="I3365">
            <v>-144.69999999999999</v>
          </cell>
          <cell r="J3365">
            <v>-145.80000000000001</v>
          </cell>
          <cell r="K3365">
            <v>-145.9</v>
          </cell>
          <cell r="L3365">
            <v>-112.8</v>
          </cell>
          <cell r="M3365">
            <v>-102.7</v>
          </cell>
        </row>
        <row r="3366">
          <cell r="C3366" t="str">
            <v>Uyên Hưng MBA AT1 (phía 220kV)</v>
          </cell>
          <cell r="F3366">
            <v>174.2</v>
          </cell>
          <cell r="H3366">
            <v>154.30000000000001</v>
          </cell>
          <cell r="I3366">
            <v>168.6</v>
          </cell>
          <cell r="J3366">
            <v>174.2</v>
          </cell>
          <cell r="K3366">
            <v>164.3</v>
          </cell>
          <cell r="L3366">
            <v>118.2</v>
          </cell>
          <cell r="M3366">
            <v>108.5</v>
          </cell>
        </row>
        <row r="3367">
          <cell r="C3367" t="str">
            <v>Uyên Hưng MBA AT1 (phía 110kV)</v>
          </cell>
          <cell r="F3367">
            <v>-174.4</v>
          </cell>
          <cell r="H3367">
            <v>-154.5</v>
          </cell>
          <cell r="I3367">
            <v>-172.5</v>
          </cell>
          <cell r="J3367">
            <v>-174.4</v>
          </cell>
          <cell r="K3367">
            <v>-164.4</v>
          </cell>
          <cell r="L3367">
            <v>-116.9</v>
          </cell>
          <cell r="M3367">
            <v>-109</v>
          </cell>
        </row>
        <row r="3368">
          <cell r="C3368" t="str">
            <v>Văn Mỹ MBA T1 (phía 110kV)</v>
          </cell>
          <cell r="E3368">
            <v>0</v>
          </cell>
          <cell r="F3368">
            <v>0</v>
          </cell>
          <cell r="H3368">
            <v>0</v>
          </cell>
          <cell r="I3368">
            <v>0</v>
          </cell>
          <cell r="J3368">
            <v>0</v>
          </cell>
          <cell r="K3368">
            <v>0</v>
          </cell>
          <cell r="L3368">
            <v>0</v>
          </cell>
          <cell r="M3368">
            <v>0</v>
          </cell>
        </row>
        <row r="3369">
          <cell r="C3369" t="str">
            <v>Văn Mỹ MBA T2 (phía 110kV)</v>
          </cell>
          <cell r="F3369">
            <v>18.100000000000001</v>
          </cell>
          <cell r="H3369">
            <v>17.899999999999999</v>
          </cell>
          <cell r="I3369">
            <v>16.8</v>
          </cell>
          <cell r="J3369">
            <v>18.100000000000001</v>
          </cell>
          <cell r="K3369">
            <v>16.100000000000001</v>
          </cell>
          <cell r="L3369">
            <v>16.899999999999999</v>
          </cell>
          <cell r="M3369">
            <v>16.8</v>
          </cell>
        </row>
        <row r="3370">
          <cell r="C3370" t="str">
            <v>Văn Mỹ MBA T1 (phía 22kV)</v>
          </cell>
          <cell r="E3370">
            <v>0</v>
          </cell>
          <cell r="F3370">
            <v>0</v>
          </cell>
          <cell r="H3370">
            <v>0</v>
          </cell>
          <cell r="I3370">
            <v>0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</row>
        <row r="3371">
          <cell r="C3371" t="str">
            <v>Văn Mỹ MBA T2 (phía 22kV)</v>
          </cell>
          <cell r="F3371">
            <v>-18.100000000000001</v>
          </cell>
          <cell r="H3371">
            <v>-17.899999999999999</v>
          </cell>
          <cell r="I3371">
            <v>-16.8</v>
          </cell>
          <cell r="J3371">
            <v>-18.100000000000001</v>
          </cell>
          <cell r="K3371">
            <v>-16</v>
          </cell>
          <cell r="L3371">
            <v>-17</v>
          </cell>
          <cell r="M3371">
            <v>-16.899999999999999</v>
          </cell>
        </row>
        <row r="3372">
          <cell r="C3372" t="str">
            <v>110kV 171 Vedan 2 - 172 Phước Long</v>
          </cell>
          <cell r="F3372">
            <v>-96.8</v>
          </cell>
          <cell r="H3372">
            <v>-94.7</v>
          </cell>
          <cell r="I3372">
            <v>-93.8</v>
          </cell>
          <cell r="J3372">
            <v>-96.8</v>
          </cell>
          <cell r="K3372">
            <v>-94.5</v>
          </cell>
          <cell r="L3372">
            <v>-79.5</v>
          </cell>
          <cell r="M3372">
            <v>-73.5</v>
          </cell>
        </row>
        <row r="3373">
          <cell r="C3373" t="str">
            <v>110kV 172 Vedan 2 - 171 Đồng Xoài</v>
          </cell>
          <cell r="F3373">
            <v>96.3</v>
          </cell>
          <cell r="H3373">
            <v>95</v>
          </cell>
          <cell r="I3373">
            <v>93.6</v>
          </cell>
          <cell r="J3373">
            <v>96.3</v>
          </cell>
          <cell r="K3373">
            <v>94.6</v>
          </cell>
          <cell r="L3373">
            <v>79.400000000000006</v>
          </cell>
          <cell r="M3373">
            <v>73.599999999999994</v>
          </cell>
        </row>
        <row r="3374">
          <cell r="C3374" t="str">
            <v>Vedan 2 MBA T1 (phía 110kV)</v>
          </cell>
          <cell r="E3374">
            <v>0</v>
          </cell>
          <cell r="F3374">
            <v>0.1</v>
          </cell>
          <cell r="H3374">
            <v>0.1</v>
          </cell>
          <cell r="I3374">
            <v>0</v>
          </cell>
          <cell r="J3374">
            <v>0.1</v>
          </cell>
          <cell r="K3374">
            <v>0.1</v>
          </cell>
          <cell r="L3374">
            <v>0</v>
          </cell>
          <cell r="M3374">
            <v>0</v>
          </cell>
        </row>
        <row r="3375">
          <cell r="C3375" t="str">
            <v>Vedan 2 MBA T1 (phía 15kV)</v>
          </cell>
          <cell r="E3375">
            <v>0</v>
          </cell>
          <cell r="F3375">
            <v>0.1</v>
          </cell>
          <cell r="H3375">
            <v>0.1</v>
          </cell>
          <cell r="I3375">
            <v>0</v>
          </cell>
          <cell r="J3375">
            <v>0</v>
          </cell>
          <cell r="K3375">
            <v>0.1</v>
          </cell>
          <cell r="L3375">
            <v>0</v>
          </cell>
          <cell r="M3375">
            <v>0</v>
          </cell>
        </row>
        <row r="3376">
          <cell r="C3376" t="str">
            <v>110kV 171 Vị Thanh - 172 Giồng Riềng</v>
          </cell>
          <cell r="F3376">
            <v>-27.9</v>
          </cell>
          <cell r="H3376">
            <v>-25.9</v>
          </cell>
          <cell r="I3376">
            <v>-22.5</v>
          </cell>
          <cell r="J3376">
            <v>-27.9</v>
          </cell>
          <cell r="K3376">
            <v>-23</v>
          </cell>
          <cell r="L3376">
            <v>-26</v>
          </cell>
          <cell r="M3376">
            <v>-23.7</v>
          </cell>
        </row>
        <row r="3377">
          <cell r="C3377" t="str">
            <v>Vị Thanh MBA T1 (phía 110kV)</v>
          </cell>
          <cell r="E3377">
            <v>0</v>
          </cell>
          <cell r="F3377">
            <v>0</v>
          </cell>
          <cell r="H3377">
            <v>0</v>
          </cell>
          <cell r="I3377">
            <v>0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</row>
        <row r="3378">
          <cell r="C3378" t="str">
            <v>Vị Thanh MBA T1 (phía 22kV)</v>
          </cell>
          <cell r="E3378">
            <v>0</v>
          </cell>
          <cell r="F3378">
            <v>0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</row>
        <row r="3379">
          <cell r="C3379" t="str">
            <v>110kV 172 Vị Thanh - 172 NMĐ MT Hậu Giang</v>
          </cell>
          <cell r="E3379">
            <v>0</v>
          </cell>
          <cell r="F3379">
            <v>0</v>
          </cell>
          <cell r="H3379">
            <v>0</v>
          </cell>
          <cell r="I3379">
            <v>0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</row>
        <row r="3380">
          <cell r="C3380" t="str">
            <v>Vị Thanh MBA T2 (phía 110kV)</v>
          </cell>
          <cell r="F3380">
            <v>27.9</v>
          </cell>
          <cell r="H3380">
            <v>25.9</v>
          </cell>
          <cell r="I3380">
            <v>22.6</v>
          </cell>
          <cell r="J3380">
            <v>27.9</v>
          </cell>
          <cell r="K3380">
            <v>23.1</v>
          </cell>
          <cell r="L3380">
            <v>26.1</v>
          </cell>
          <cell r="M3380">
            <v>23.7</v>
          </cell>
        </row>
        <row r="3381">
          <cell r="C3381" t="str">
            <v>Vị Thanh MBA T2 (phía 22kV)</v>
          </cell>
          <cell r="F3381">
            <v>-27.5</v>
          </cell>
          <cell r="H3381">
            <v>-25.5</v>
          </cell>
          <cell r="I3381">
            <v>-22.3</v>
          </cell>
          <cell r="J3381">
            <v>-27.5</v>
          </cell>
          <cell r="K3381">
            <v>-22.7</v>
          </cell>
          <cell r="L3381">
            <v>-25.6</v>
          </cell>
          <cell r="M3381">
            <v>-23.4</v>
          </cell>
        </row>
        <row r="3382">
          <cell r="C3382" t="str">
            <v>110kV 171 Vicasa</v>
          </cell>
          <cell r="F3382">
            <v>-28.2</v>
          </cell>
          <cell r="H3382">
            <v>-24.7</v>
          </cell>
          <cell r="I3382">
            <v>-28.1</v>
          </cell>
          <cell r="J3382">
            <v>-24.8</v>
          </cell>
          <cell r="K3382">
            <v>-26</v>
          </cell>
          <cell r="L3382">
            <v>-28.2</v>
          </cell>
          <cell r="M3382">
            <v>-26.7</v>
          </cell>
        </row>
        <row r="3383">
          <cell r="C3383" t="str">
            <v>110kV 171 Viễn Đông - 171 Ko Lon</v>
          </cell>
          <cell r="F3383">
            <v>-34.200000000000003</v>
          </cell>
          <cell r="H3383">
            <v>-18.600000000000001</v>
          </cell>
          <cell r="I3383">
            <v>-18.3</v>
          </cell>
          <cell r="J3383">
            <v>-19.100000000000001</v>
          </cell>
          <cell r="K3383">
            <v>-18.2</v>
          </cell>
          <cell r="L3383">
            <v>-17.8</v>
          </cell>
          <cell r="M3383">
            <v>-34.200000000000003</v>
          </cell>
        </row>
        <row r="3384">
          <cell r="C3384" t="str">
            <v>110kV 172 Viễn Đông - 171 Chơn Thành</v>
          </cell>
          <cell r="E3384">
            <v>0</v>
          </cell>
          <cell r="F3384">
            <v>17.600000000000001</v>
          </cell>
          <cell r="H3384">
            <v>0</v>
          </cell>
          <cell r="I3384">
            <v>0</v>
          </cell>
          <cell r="J3384">
            <v>0</v>
          </cell>
          <cell r="K3384">
            <v>0</v>
          </cell>
          <cell r="L3384">
            <v>0</v>
          </cell>
          <cell r="M3384">
            <v>17.600000000000001</v>
          </cell>
        </row>
        <row r="3385">
          <cell r="C3385" t="str">
            <v>Viễn Đông MBA T1 (phía 110kV)</v>
          </cell>
          <cell r="F3385">
            <v>19.2</v>
          </cell>
          <cell r="H3385">
            <v>18.8</v>
          </cell>
          <cell r="I3385">
            <v>18.5</v>
          </cell>
          <cell r="J3385">
            <v>19.2</v>
          </cell>
          <cell r="K3385">
            <v>18.3</v>
          </cell>
          <cell r="L3385">
            <v>17.899999999999999</v>
          </cell>
          <cell r="M3385">
            <v>17.600000000000001</v>
          </cell>
        </row>
        <row r="3386">
          <cell r="C3386" t="str">
            <v>Viễn Đông MBA T1 (phía 22kV)</v>
          </cell>
          <cell r="F3386">
            <v>-19.399999999999999</v>
          </cell>
          <cell r="H3386">
            <v>-18.8</v>
          </cell>
          <cell r="I3386">
            <v>-18.600000000000001</v>
          </cell>
          <cell r="J3386">
            <v>-19.399999999999999</v>
          </cell>
          <cell r="K3386">
            <v>-18.5</v>
          </cell>
          <cell r="L3386">
            <v>-17.899999999999999</v>
          </cell>
          <cell r="M3386">
            <v>-17.7</v>
          </cell>
        </row>
        <row r="3387">
          <cell r="C3387" t="str">
            <v>110kV 171 Việt Thành - 171 Chánh Hưng</v>
          </cell>
          <cell r="F3387">
            <v>-56.5</v>
          </cell>
          <cell r="H3387">
            <v>-56.5</v>
          </cell>
          <cell r="I3387">
            <v>-43.7</v>
          </cell>
          <cell r="J3387">
            <v>-52.6</v>
          </cell>
          <cell r="K3387">
            <v>-47.5</v>
          </cell>
          <cell r="L3387">
            <v>-41.4</v>
          </cell>
          <cell r="M3387">
            <v>-51.6</v>
          </cell>
        </row>
        <row r="3388">
          <cell r="C3388" t="str">
            <v>110kV 172 Việt Thành - 172 An Khánh</v>
          </cell>
          <cell r="F3388">
            <v>26.3</v>
          </cell>
          <cell r="H3388">
            <v>26.3</v>
          </cell>
          <cell r="I3388">
            <v>19.8</v>
          </cell>
          <cell r="J3388">
            <v>22.7</v>
          </cell>
          <cell r="K3388">
            <v>20.100000000000001</v>
          </cell>
          <cell r="L3388">
            <v>16.7</v>
          </cell>
          <cell r="M3388">
            <v>18.3</v>
          </cell>
        </row>
        <row r="3389">
          <cell r="C3389" t="str">
            <v>Việt Thành MBA T1 (phía 110kV)</v>
          </cell>
          <cell r="F3389">
            <v>35</v>
          </cell>
          <cell r="H3389">
            <v>35</v>
          </cell>
          <cell r="I3389">
            <v>26.5</v>
          </cell>
          <cell r="J3389">
            <v>33.200000000000003</v>
          </cell>
          <cell r="K3389">
            <v>26.3</v>
          </cell>
          <cell r="L3389">
            <v>24.1</v>
          </cell>
          <cell r="M3389">
            <v>33.700000000000003</v>
          </cell>
        </row>
        <row r="3390">
          <cell r="C3390" t="str">
            <v>Việt Thành MBA T2 (phía 110kV)</v>
          </cell>
          <cell r="F3390">
            <v>23.1</v>
          </cell>
          <cell r="H3390">
            <v>23.1</v>
          </cell>
          <cell r="I3390">
            <v>17.5</v>
          </cell>
          <cell r="J3390">
            <v>20.7</v>
          </cell>
          <cell r="K3390">
            <v>23.1</v>
          </cell>
          <cell r="L3390">
            <v>18.399999999999999</v>
          </cell>
          <cell r="M3390">
            <v>19</v>
          </cell>
        </row>
        <row r="3391">
          <cell r="C3391" t="str">
            <v>110kV 175 Việt Thành - 172 Nam Sài Gòn 1</v>
          </cell>
          <cell r="E3391">
            <v>0</v>
          </cell>
          <cell r="F3391">
            <v>-0.1</v>
          </cell>
          <cell r="H3391">
            <v>0</v>
          </cell>
          <cell r="I3391">
            <v>0</v>
          </cell>
          <cell r="J3391">
            <v>0</v>
          </cell>
          <cell r="K3391">
            <v>0</v>
          </cell>
          <cell r="L3391">
            <v>0</v>
          </cell>
          <cell r="M3391">
            <v>-0.1</v>
          </cell>
        </row>
        <row r="3392">
          <cell r="C3392" t="str">
            <v>110kV 176 Việt Thành - 179 Nhà Bè</v>
          </cell>
          <cell r="F3392">
            <v>-25.9</v>
          </cell>
          <cell r="H3392">
            <v>-25.9</v>
          </cell>
          <cell r="I3392">
            <v>-19.399999999999999</v>
          </cell>
          <cell r="J3392">
            <v>-22.4</v>
          </cell>
          <cell r="K3392">
            <v>-19.8</v>
          </cell>
          <cell r="L3392">
            <v>-16.5</v>
          </cell>
          <cell r="M3392">
            <v>-18</v>
          </cell>
        </row>
        <row r="3393">
          <cell r="C3393" t="str">
            <v>Việt Thành MBA T1 (phía 22kV)</v>
          </cell>
          <cell r="F3393">
            <v>-19.2</v>
          </cell>
          <cell r="H3393">
            <v>-19.100000000000001</v>
          </cell>
          <cell r="I3393">
            <v>-14.6</v>
          </cell>
          <cell r="J3393">
            <v>-18.7</v>
          </cell>
          <cell r="K3393">
            <v>-17.600000000000001</v>
          </cell>
          <cell r="L3393">
            <v>-10.9</v>
          </cell>
          <cell r="M3393">
            <v>-19.2</v>
          </cell>
        </row>
        <row r="3394">
          <cell r="C3394" t="str">
            <v>Việt Thành MBA T2 (phía 22kV)</v>
          </cell>
          <cell r="F3394">
            <v>-3.9</v>
          </cell>
          <cell r="H3394">
            <v>-3.9</v>
          </cell>
          <cell r="I3394">
            <v>-3.3</v>
          </cell>
          <cell r="J3394">
            <v>-3.2</v>
          </cell>
          <cell r="K3394">
            <v>-3.2</v>
          </cell>
          <cell r="L3394">
            <v>-3.3</v>
          </cell>
          <cell r="M3394">
            <v>-2.8</v>
          </cell>
        </row>
        <row r="3395">
          <cell r="C3395" t="str">
            <v>Vina Kraft MBA T1 (phía 110kV) - 172 Kumho - 171 Bến Cát</v>
          </cell>
          <cell r="F3395">
            <v>21.1</v>
          </cell>
          <cell r="H3395">
            <v>11.7</v>
          </cell>
          <cell r="I3395">
            <v>19</v>
          </cell>
          <cell r="J3395">
            <v>14.9</v>
          </cell>
          <cell r="K3395">
            <v>21.1</v>
          </cell>
          <cell r="L3395">
            <v>18.5</v>
          </cell>
          <cell r="M3395">
            <v>19.600000000000001</v>
          </cell>
        </row>
        <row r="3396">
          <cell r="C3396" t="str">
            <v>Vina Kraft MBA T1 (phía 22kV)</v>
          </cell>
          <cell r="F3396">
            <v>-21.2</v>
          </cell>
          <cell r="H3396">
            <v>-11.7</v>
          </cell>
          <cell r="I3396">
            <v>-19.100000000000001</v>
          </cell>
          <cell r="J3396">
            <v>-15</v>
          </cell>
          <cell r="K3396">
            <v>-21.2</v>
          </cell>
          <cell r="L3396">
            <v>-18.5</v>
          </cell>
          <cell r="M3396">
            <v>-19.7</v>
          </cell>
        </row>
        <row r="3397">
          <cell r="C3397" t="str">
            <v>110kV 171 Vina Kyoei - 177 NMĐ Phú Mỹ 1</v>
          </cell>
          <cell r="F3397">
            <v>-123.3</v>
          </cell>
          <cell r="H3397">
            <v>-112.3</v>
          </cell>
          <cell r="I3397">
            <v>-121.4</v>
          </cell>
          <cell r="J3397">
            <v>-92.6</v>
          </cell>
          <cell r="K3397">
            <v>-103.6</v>
          </cell>
          <cell r="L3397">
            <v>-123.3</v>
          </cell>
          <cell r="M3397">
            <v>-110.7</v>
          </cell>
        </row>
        <row r="3398">
          <cell r="C3398" t="str">
            <v>110kV 172 Vina Kyoei - 171 Thép Miền Nam</v>
          </cell>
          <cell r="F3398">
            <v>64.599999999999994</v>
          </cell>
          <cell r="H3398">
            <v>48.5</v>
          </cell>
          <cell r="I3398">
            <v>64.599999999999994</v>
          </cell>
          <cell r="J3398">
            <v>31</v>
          </cell>
          <cell r="K3398">
            <v>53.8</v>
          </cell>
          <cell r="L3398">
            <v>49</v>
          </cell>
          <cell r="M3398">
            <v>43.8</v>
          </cell>
        </row>
        <row r="3399">
          <cell r="C3399" t="str">
            <v>Vina Kyoei MBA T1 (phía 110kV)</v>
          </cell>
          <cell r="F3399">
            <v>25.4</v>
          </cell>
          <cell r="H3399">
            <v>25.4</v>
          </cell>
          <cell r="I3399">
            <v>23.3</v>
          </cell>
          <cell r="J3399">
            <v>23.5</v>
          </cell>
          <cell r="K3399">
            <v>23.8</v>
          </cell>
          <cell r="L3399">
            <v>23.6</v>
          </cell>
          <cell r="M3399">
            <v>23.3</v>
          </cell>
        </row>
        <row r="3400">
          <cell r="C3400" t="str">
            <v>Vina Kyoei MBA T2 (phía 110kV)</v>
          </cell>
          <cell r="F3400">
            <v>59.4</v>
          </cell>
          <cell r="H3400">
            <v>56.5</v>
          </cell>
          <cell r="I3400">
            <v>57.3</v>
          </cell>
          <cell r="J3400">
            <v>58</v>
          </cell>
          <cell r="K3400">
            <v>55.9</v>
          </cell>
          <cell r="L3400">
            <v>59.4</v>
          </cell>
          <cell r="M3400">
            <v>53.7</v>
          </cell>
        </row>
        <row r="3401">
          <cell r="C3401" t="str">
            <v>Vina Kyoei MBA T1 (phía 22kV)</v>
          </cell>
          <cell r="F3401">
            <v>-24.1</v>
          </cell>
          <cell r="H3401">
            <v>-24.1</v>
          </cell>
          <cell r="I3401">
            <v>-21.8</v>
          </cell>
          <cell r="J3401">
            <v>-22.3</v>
          </cell>
          <cell r="K3401">
            <v>-22.6</v>
          </cell>
          <cell r="L3401">
            <v>-22.5</v>
          </cell>
          <cell r="M3401">
            <v>-22.4</v>
          </cell>
        </row>
        <row r="3402">
          <cell r="C3402" t="str">
            <v>Vina Kyoei MBA T2 (phía 35kV)</v>
          </cell>
          <cell r="F3402">
            <v>-57.4</v>
          </cell>
          <cell r="H3402">
            <v>-57.4</v>
          </cell>
          <cell r="I3402">
            <v>-57</v>
          </cell>
          <cell r="J3402">
            <v>-56.6</v>
          </cell>
          <cell r="K3402">
            <v>-54.2</v>
          </cell>
          <cell r="L3402">
            <v>-57.3</v>
          </cell>
          <cell r="M3402">
            <v>-53.9</v>
          </cell>
        </row>
        <row r="3403">
          <cell r="C3403" t="str">
            <v>110kV 171 Vĩnh An - 175 NMĐ Trị An</v>
          </cell>
          <cell r="F3403">
            <v>-25.8</v>
          </cell>
          <cell r="H3403">
            <v>-24.3</v>
          </cell>
          <cell r="I3403">
            <v>-23.9</v>
          </cell>
          <cell r="J3403">
            <v>-25.8</v>
          </cell>
          <cell r="K3403">
            <v>-23.7</v>
          </cell>
          <cell r="L3403">
            <v>-22.3</v>
          </cell>
          <cell r="M3403">
            <v>-23.8</v>
          </cell>
        </row>
        <row r="3404">
          <cell r="C3404" t="str">
            <v>Vĩnh An MBA T1 (phía 110kV)</v>
          </cell>
          <cell r="F3404">
            <v>25.7</v>
          </cell>
          <cell r="H3404">
            <v>24.3</v>
          </cell>
          <cell r="I3404">
            <v>23.8</v>
          </cell>
          <cell r="J3404">
            <v>25.7</v>
          </cell>
          <cell r="K3404">
            <v>23.7</v>
          </cell>
          <cell r="L3404">
            <v>22.2</v>
          </cell>
          <cell r="M3404">
            <v>23.8</v>
          </cell>
        </row>
        <row r="3405">
          <cell r="C3405" t="str">
            <v>Vĩnh An MBA T1 (phía 22kV)</v>
          </cell>
          <cell r="F3405">
            <v>-25.7</v>
          </cell>
          <cell r="H3405">
            <v>-24.2</v>
          </cell>
          <cell r="I3405">
            <v>-23.7</v>
          </cell>
          <cell r="J3405">
            <v>-25.7</v>
          </cell>
          <cell r="K3405">
            <v>-23.7</v>
          </cell>
          <cell r="L3405">
            <v>-22.2</v>
          </cell>
          <cell r="M3405">
            <v>-23.7</v>
          </cell>
        </row>
        <row r="3406">
          <cell r="C3406" t="str">
            <v>Vĩnh Châu MBA T1 (phía 110kV)</v>
          </cell>
          <cell r="F3406">
            <v>30.4</v>
          </cell>
          <cell r="H3406">
            <v>30.4</v>
          </cell>
          <cell r="I3406">
            <v>28.4</v>
          </cell>
          <cell r="J3406">
            <v>19.5</v>
          </cell>
          <cell r="K3406">
            <v>18.399999999999999</v>
          </cell>
          <cell r="L3406">
            <v>18.100000000000001</v>
          </cell>
          <cell r="M3406">
            <v>18.7</v>
          </cell>
        </row>
        <row r="3407">
          <cell r="C3407" t="str">
            <v>Vĩnh Châu MBA T1 (phía 22kV)</v>
          </cell>
          <cell r="F3407">
            <v>-30.3</v>
          </cell>
          <cell r="H3407">
            <v>-30.3</v>
          </cell>
          <cell r="I3407">
            <v>-28.3</v>
          </cell>
          <cell r="J3407">
            <v>-19.3</v>
          </cell>
          <cell r="K3407">
            <v>-18.3</v>
          </cell>
          <cell r="L3407">
            <v>-18.100000000000001</v>
          </cell>
          <cell r="M3407">
            <v>-18.600000000000001</v>
          </cell>
        </row>
        <row r="3408">
          <cell r="C3408" t="str">
            <v>Vĩnh Châu MBA T2 (phía 110kV)</v>
          </cell>
          <cell r="F3408">
            <v>23.7</v>
          </cell>
          <cell r="H3408">
            <v>11.9</v>
          </cell>
          <cell r="I3408">
            <v>10.7</v>
          </cell>
          <cell r="J3408">
            <v>23.7</v>
          </cell>
          <cell r="K3408">
            <v>22.1</v>
          </cell>
          <cell r="L3408">
            <v>22.5</v>
          </cell>
          <cell r="M3408">
            <v>22.1</v>
          </cell>
        </row>
        <row r="3409">
          <cell r="C3409" t="str">
            <v>Vĩnh Châu MBA T2 (phía 22kV)</v>
          </cell>
          <cell r="F3409">
            <v>-23.8</v>
          </cell>
          <cell r="H3409">
            <v>-11.9</v>
          </cell>
          <cell r="I3409">
            <v>-10.7</v>
          </cell>
          <cell r="J3409">
            <v>-23.8</v>
          </cell>
          <cell r="K3409">
            <v>-22</v>
          </cell>
          <cell r="L3409">
            <v>-22.5</v>
          </cell>
          <cell r="M3409">
            <v>-22.1</v>
          </cell>
        </row>
        <row r="3410">
          <cell r="C3410" t="str">
            <v>Vĩnh Hung MBT T2 (phía 110kV)</v>
          </cell>
          <cell r="F3410">
            <v>13.4</v>
          </cell>
          <cell r="H3410">
            <v>11.5</v>
          </cell>
          <cell r="I3410">
            <v>10</v>
          </cell>
          <cell r="J3410">
            <v>13.4</v>
          </cell>
          <cell r="K3410">
            <v>10.1</v>
          </cell>
          <cell r="L3410">
            <v>11</v>
          </cell>
          <cell r="M3410">
            <v>10.4</v>
          </cell>
        </row>
        <row r="3411">
          <cell r="C3411" t="str">
            <v>Vĩnh Hưng MBA T2 (phía 22kV)</v>
          </cell>
          <cell r="F3411">
            <v>-13.4</v>
          </cell>
          <cell r="H3411">
            <v>-11.4</v>
          </cell>
          <cell r="I3411">
            <v>-10</v>
          </cell>
          <cell r="J3411">
            <v>-13.4</v>
          </cell>
          <cell r="K3411">
            <v>-10.1</v>
          </cell>
          <cell r="L3411">
            <v>-11</v>
          </cell>
          <cell r="M3411">
            <v>-10.4</v>
          </cell>
        </row>
        <row r="3412">
          <cell r="C3412" t="str">
            <v>110kV 171 Vĩnh Lộc - 172 Tham Lương</v>
          </cell>
          <cell r="F3412">
            <v>-51.2</v>
          </cell>
          <cell r="H3412">
            <v>-51.2</v>
          </cell>
          <cell r="I3412">
            <v>-41.6</v>
          </cell>
          <cell r="J3412">
            <v>-43.9</v>
          </cell>
          <cell r="K3412">
            <v>-44.2</v>
          </cell>
          <cell r="L3412">
            <v>-28.7</v>
          </cell>
          <cell r="M3412">
            <v>-25.6</v>
          </cell>
        </row>
        <row r="3413">
          <cell r="C3413" t="str">
            <v>110kV 172 Vĩnh Lộc - 175 Bình Tân</v>
          </cell>
          <cell r="F3413">
            <v>-59.1</v>
          </cell>
          <cell r="H3413">
            <v>-50</v>
          </cell>
          <cell r="I3413">
            <v>-51</v>
          </cell>
          <cell r="J3413">
            <v>-59.1</v>
          </cell>
          <cell r="K3413">
            <v>-56.2</v>
          </cell>
          <cell r="L3413">
            <v>-42.6</v>
          </cell>
          <cell r="M3413">
            <v>-40.9</v>
          </cell>
        </row>
        <row r="3414">
          <cell r="C3414" t="str">
            <v>Vĩnh Lộc MBA T1 (phía 110kV)</v>
          </cell>
          <cell r="F3414">
            <v>51.3</v>
          </cell>
          <cell r="H3414">
            <v>51.3</v>
          </cell>
          <cell r="I3414">
            <v>42</v>
          </cell>
          <cell r="J3414">
            <v>43.5</v>
          </cell>
          <cell r="K3414">
            <v>44.3</v>
          </cell>
          <cell r="L3414">
            <v>28.7</v>
          </cell>
          <cell r="M3414">
            <v>25.4</v>
          </cell>
        </row>
        <row r="3415">
          <cell r="C3415" t="str">
            <v>Vĩnh Lộc MBA T2 (phía 110kV)</v>
          </cell>
          <cell r="F3415">
            <v>60.8</v>
          </cell>
          <cell r="H3415">
            <v>49.9</v>
          </cell>
          <cell r="I3415">
            <v>50.7</v>
          </cell>
          <cell r="J3415">
            <v>60.8</v>
          </cell>
          <cell r="K3415">
            <v>57.3</v>
          </cell>
          <cell r="L3415">
            <v>41.8</v>
          </cell>
          <cell r="M3415">
            <v>39.5</v>
          </cell>
        </row>
        <row r="3416">
          <cell r="C3416" t="str">
            <v>Vĩnh Lộc MBA T1 (phía 22kV)</v>
          </cell>
          <cell r="F3416">
            <v>-51.4</v>
          </cell>
          <cell r="H3416">
            <v>-51.4</v>
          </cell>
          <cell r="I3416">
            <v>-42.3</v>
          </cell>
          <cell r="J3416">
            <v>-43.9</v>
          </cell>
          <cell r="K3416">
            <v>-44.4</v>
          </cell>
          <cell r="L3416">
            <v>-29</v>
          </cell>
          <cell r="M3416">
            <v>-25.4</v>
          </cell>
        </row>
        <row r="3417">
          <cell r="C3417" t="str">
            <v>Vĩnh Lộc MBA T2 (phía 22kV)</v>
          </cell>
          <cell r="F3417">
            <v>-59</v>
          </cell>
          <cell r="H3417">
            <v>-49.8</v>
          </cell>
          <cell r="I3417">
            <v>-50.5</v>
          </cell>
          <cell r="J3417">
            <v>-59</v>
          </cell>
          <cell r="K3417">
            <v>-56.3</v>
          </cell>
          <cell r="L3417">
            <v>-42.3</v>
          </cell>
          <cell r="M3417">
            <v>-41</v>
          </cell>
        </row>
        <row r="3418">
          <cell r="C3418" t="str">
            <v>110kV 171 Vĩnh Long - 176 Vĩnh Long 2</v>
          </cell>
          <cell r="F3418">
            <v>-79.599999999999994</v>
          </cell>
          <cell r="H3418">
            <v>-59.6</v>
          </cell>
          <cell r="I3418">
            <v>-54.4</v>
          </cell>
          <cell r="J3418">
            <v>-64.7</v>
          </cell>
          <cell r="K3418">
            <v>-55.3</v>
          </cell>
          <cell r="L3418">
            <v>-79.599999999999994</v>
          </cell>
          <cell r="M3418">
            <v>-48.4</v>
          </cell>
        </row>
        <row r="3419">
          <cell r="C3419" t="str">
            <v>110kV 172 Vĩnh Long - 131 Phước Hòa</v>
          </cell>
          <cell r="F3419">
            <v>40.4</v>
          </cell>
          <cell r="H3419">
            <v>39.6</v>
          </cell>
          <cell r="I3419">
            <v>37.9</v>
          </cell>
          <cell r="J3419">
            <v>40.4</v>
          </cell>
          <cell r="K3419">
            <v>39.4</v>
          </cell>
          <cell r="L3419">
            <v>19.899999999999999</v>
          </cell>
          <cell r="M3419">
            <v>19.100000000000001</v>
          </cell>
        </row>
        <row r="3420">
          <cell r="C3420" t="str">
            <v>Vĩnh Long MBA T1 (phía 110kV)</v>
          </cell>
          <cell r="F3420">
            <v>27.4</v>
          </cell>
          <cell r="H3420">
            <v>24.8</v>
          </cell>
          <cell r="I3420">
            <v>19.5</v>
          </cell>
          <cell r="J3420">
            <v>24.9</v>
          </cell>
          <cell r="K3420">
            <v>20.399999999999999</v>
          </cell>
          <cell r="L3420">
            <v>27.4</v>
          </cell>
          <cell r="M3420">
            <v>19.899999999999999</v>
          </cell>
        </row>
        <row r="3421">
          <cell r="C3421" t="str">
            <v>Vĩnh Long MBA T2 (phía 110kV)</v>
          </cell>
          <cell r="F3421">
            <v>28</v>
          </cell>
          <cell r="H3421">
            <v>25.2</v>
          </cell>
          <cell r="I3421">
            <v>22.8</v>
          </cell>
          <cell r="J3421">
            <v>28</v>
          </cell>
          <cell r="K3421">
            <v>23.6</v>
          </cell>
          <cell r="L3421">
            <v>22.9</v>
          </cell>
          <cell r="M3421">
            <v>24</v>
          </cell>
        </row>
        <row r="3422">
          <cell r="C3422" t="str">
            <v>Vĩnh Long MBA T1 (phía 22kV)</v>
          </cell>
          <cell r="F3422">
            <v>-27.5</v>
          </cell>
          <cell r="H3422">
            <v>-24.8</v>
          </cell>
          <cell r="I3422">
            <v>-19.5</v>
          </cell>
          <cell r="J3422">
            <v>-25</v>
          </cell>
          <cell r="K3422">
            <v>-20.399999999999999</v>
          </cell>
          <cell r="L3422">
            <v>-27.5</v>
          </cell>
          <cell r="M3422">
            <v>-20</v>
          </cell>
        </row>
        <row r="3423">
          <cell r="C3423" t="str">
            <v>Vĩnh Long MBA T2 (phía 22kV)</v>
          </cell>
          <cell r="F3423">
            <v>-28.1</v>
          </cell>
          <cell r="H3423">
            <v>-25.4</v>
          </cell>
          <cell r="I3423">
            <v>-22.8</v>
          </cell>
          <cell r="J3423">
            <v>-28.1</v>
          </cell>
          <cell r="K3423">
            <v>-23.6</v>
          </cell>
          <cell r="L3423">
            <v>-22.9</v>
          </cell>
          <cell r="M3423">
            <v>-24</v>
          </cell>
        </row>
        <row r="3424">
          <cell r="C3424" t="str">
            <v>110kV 173 Vĩnh Long - 172 Vũng Liêm</v>
          </cell>
          <cell r="F3424">
            <v>41.5</v>
          </cell>
          <cell r="H3424">
            <v>38.6</v>
          </cell>
          <cell r="I3424">
            <v>34.799999999999997</v>
          </cell>
          <cell r="J3424">
            <v>41.5</v>
          </cell>
          <cell r="K3424">
            <v>37.5</v>
          </cell>
          <cell r="L3424">
            <v>37.1</v>
          </cell>
          <cell r="M3424">
            <v>38.200000000000003</v>
          </cell>
        </row>
        <row r="3425">
          <cell r="C3425" t="str">
            <v>110kV 174 Vĩnh Long - 177 Vĩnh Long 2</v>
          </cell>
          <cell r="F3425">
            <v>-64.3</v>
          </cell>
          <cell r="H3425">
            <v>-59.2</v>
          </cell>
          <cell r="I3425">
            <v>-54.1</v>
          </cell>
          <cell r="J3425">
            <v>-64.3</v>
          </cell>
          <cell r="K3425">
            <v>-55</v>
          </cell>
          <cell r="L3425">
            <v>-47</v>
          </cell>
          <cell r="M3425">
            <v>-48</v>
          </cell>
        </row>
        <row r="3426">
          <cell r="C3426" t="str">
            <v>220kV 271 Vĩnh Long 2 - 273 Trà Vinh 2</v>
          </cell>
          <cell r="F3426">
            <v>-258.39999999999998</v>
          </cell>
          <cell r="H3426">
            <v>-244.3</v>
          </cell>
          <cell r="I3426">
            <v>-224.2</v>
          </cell>
          <cell r="J3426">
            <v>-249.7</v>
          </cell>
          <cell r="K3426">
            <v>-234.7</v>
          </cell>
          <cell r="L3426">
            <v>-219.3</v>
          </cell>
          <cell r="M3426">
            <v>-258.39999999999998</v>
          </cell>
        </row>
        <row r="3427">
          <cell r="C3427" t="str">
            <v>220kV 272 Vĩnh Long 2 - 274 Trà Vinh 2</v>
          </cell>
          <cell r="F3427">
            <v>-258.5</v>
          </cell>
          <cell r="H3427">
            <v>-244.9</v>
          </cell>
          <cell r="I3427">
            <v>-224.8</v>
          </cell>
          <cell r="J3427">
            <v>-250.2</v>
          </cell>
          <cell r="K3427">
            <v>-235.1</v>
          </cell>
          <cell r="L3427">
            <v>-219.7</v>
          </cell>
          <cell r="M3427">
            <v>-258.5</v>
          </cell>
        </row>
        <row r="3428">
          <cell r="C3428" t="str">
            <v>220kV 273 Vĩnh Long 2 - 278 NMĐ Ô Môn</v>
          </cell>
          <cell r="F3428">
            <v>201.8</v>
          </cell>
          <cell r="H3428">
            <v>155.80000000000001</v>
          </cell>
          <cell r="I3428">
            <v>138.6</v>
          </cell>
          <cell r="J3428">
            <v>156.4</v>
          </cell>
          <cell r="K3428">
            <v>122.6</v>
          </cell>
          <cell r="L3428">
            <v>139.30000000000001</v>
          </cell>
          <cell r="M3428">
            <v>201.8</v>
          </cell>
        </row>
        <row r="3429">
          <cell r="C3429" t="str">
            <v>220kV 274 Vĩnh Long 2 - 271 Sa Đéc 2</v>
          </cell>
          <cell r="F3429">
            <v>255.4</v>
          </cell>
          <cell r="H3429">
            <v>224.5</v>
          </cell>
          <cell r="I3429">
            <v>217.5</v>
          </cell>
          <cell r="J3429">
            <v>230.7</v>
          </cell>
          <cell r="K3429">
            <v>183.4</v>
          </cell>
          <cell r="L3429">
            <v>189.9</v>
          </cell>
          <cell r="M3429">
            <v>255.4</v>
          </cell>
        </row>
        <row r="3430">
          <cell r="C3430" t="str">
            <v>220kV 275 Vĩnh Long 2 - 278 Cai Lậy</v>
          </cell>
          <cell r="F3430">
            <v>85.3</v>
          </cell>
          <cell r="H3430">
            <v>32.6</v>
          </cell>
          <cell r="I3430">
            <v>46.7</v>
          </cell>
          <cell r="J3430">
            <v>39.6</v>
          </cell>
          <cell r="K3430">
            <v>85.3</v>
          </cell>
          <cell r="L3430">
            <v>-38.1</v>
          </cell>
          <cell r="M3430">
            <v>-53.2</v>
          </cell>
        </row>
        <row r="3431">
          <cell r="C3431" t="str">
            <v>220kV 276 Vĩnh Long 2 - 279 Cai Lậy</v>
          </cell>
          <cell r="F3431">
            <v>-62.7</v>
          </cell>
          <cell r="H3431">
            <v>32.5</v>
          </cell>
          <cell r="I3431">
            <v>47.2</v>
          </cell>
          <cell r="J3431">
            <v>39.9</v>
          </cell>
          <cell r="K3431">
            <v>27.6</v>
          </cell>
          <cell r="L3431">
            <v>-62.7</v>
          </cell>
          <cell r="M3431">
            <v>-52.9</v>
          </cell>
        </row>
        <row r="3432">
          <cell r="C3432" t="str">
            <v>Vĩnh Long 2 MBA AT1 (phía 220kV)</v>
          </cell>
          <cell r="F3432">
            <v>86</v>
          </cell>
          <cell r="H3432">
            <v>79.2</v>
          </cell>
          <cell r="I3432">
            <v>72</v>
          </cell>
          <cell r="J3432">
            <v>86</v>
          </cell>
          <cell r="K3432">
            <v>72.8</v>
          </cell>
          <cell r="L3432">
            <v>61.7</v>
          </cell>
          <cell r="M3432">
            <v>65.400000000000006</v>
          </cell>
        </row>
        <row r="3433">
          <cell r="C3433" t="str">
            <v>Vĩnh Long 2 MBA AT2 (phía 220kV)</v>
          </cell>
          <cell r="F3433">
            <v>88.4</v>
          </cell>
          <cell r="H3433">
            <v>81.099999999999994</v>
          </cell>
          <cell r="I3433">
            <v>73.900000000000006</v>
          </cell>
          <cell r="J3433">
            <v>88.4</v>
          </cell>
          <cell r="K3433">
            <v>75.2</v>
          </cell>
          <cell r="L3433">
            <v>63.6</v>
          </cell>
          <cell r="M3433">
            <v>67.5</v>
          </cell>
        </row>
        <row r="3434">
          <cell r="C3434" t="str">
            <v>110kV 172 Vĩnh Long 2 - 172 Nha Mân</v>
          </cell>
          <cell r="F3434">
            <v>23.2</v>
          </cell>
          <cell r="H3434">
            <v>20.8</v>
          </cell>
          <cell r="I3434">
            <v>17.5</v>
          </cell>
          <cell r="J3434">
            <v>23.2</v>
          </cell>
          <cell r="K3434">
            <v>18.899999999999999</v>
          </cell>
          <cell r="L3434">
            <v>22.3</v>
          </cell>
          <cell r="M3434">
            <v>19.7</v>
          </cell>
        </row>
        <row r="3435">
          <cell r="C3435" t="str">
            <v>110kV 175 Vĩnh Long 2 - 171 Cổ Chiên</v>
          </cell>
          <cell r="F3435">
            <v>23.1</v>
          </cell>
          <cell r="H3435">
            <v>22.3</v>
          </cell>
          <cell r="I3435">
            <v>18.7</v>
          </cell>
          <cell r="J3435">
            <v>23.1</v>
          </cell>
          <cell r="K3435">
            <v>19.7</v>
          </cell>
          <cell r="L3435">
            <v>14.7</v>
          </cell>
          <cell r="M3435">
            <v>17.3</v>
          </cell>
        </row>
        <row r="3436">
          <cell r="C3436" t="str">
            <v>110kV 176 Vĩnh Long 2 - 171 Vĩnh Long</v>
          </cell>
          <cell r="F3436">
            <v>79.8</v>
          </cell>
          <cell r="H3436">
            <v>59.9</v>
          </cell>
          <cell r="I3436">
            <v>54.7</v>
          </cell>
          <cell r="J3436">
            <v>64.7</v>
          </cell>
          <cell r="K3436">
            <v>55.4</v>
          </cell>
          <cell r="L3436">
            <v>79.8</v>
          </cell>
          <cell r="M3436">
            <v>48.2</v>
          </cell>
        </row>
        <row r="3437">
          <cell r="C3437" t="str">
            <v>110kV 177 Vĩnh Long 2 - 174 Vĩnh Long</v>
          </cell>
          <cell r="F3437">
            <v>63.9</v>
          </cell>
          <cell r="H3437">
            <v>58.6</v>
          </cell>
          <cell r="I3437">
            <v>54.1</v>
          </cell>
          <cell r="J3437">
            <v>63.9</v>
          </cell>
          <cell r="K3437">
            <v>54.5</v>
          </cell>
          <cell r="L3437">
            <v>46.9</v>
          </cell>
          <cell r="M3437">
            <v>47.8</v>
          </cell>
        </row>
        <row r="3438">
          <cell r="C3438" t="str">
            <v>Vĩnh Long 2 MBA AT1 (phía 110kV)</v>
          </cell>
          <cell r="F3438">
            <v>-85.1</v>
          </cell>
          <cell r="H3438">
            <v>-78.8</v>
          </cell>
          <cell r="I3438">
            <v>-71.7</v>
          </cell>
          <cell r="J3438">
            <v>-85.1</v>
          </cell>
          <cell r="K3438">
            <v>-72.2</v>
          </cell>
          <cell r="L3438">
            <v>-61.4</v>
          </cell>
          <cell r="M3438">
            <v>-65.2</v>
          </cell>
        </row>
        <row r="3439">
          <cell r="C3439" t="str">
            <v>Vĩnh Long 2 MBA AT2 (phía 110kV)</v>
          </cell>
          <cell r="F3439">
            <v>-87.5</v>
          </cell>
          <cell r="H3439">
            <v>-81</v>
          </cell>
          <cell r="I3439">
            <v>-73.8</v>
          </cell>
          <cell r="J3439">
            <v>-87.5</v>
          </cell>
          <cell r="K3439">
            <v>-75.3</v>
          </cell>
          <cell r="L3439">
            <v>-63.5</v>
          </cell>
          <cell r="M3439">
            <v>-66.400000000000006</v>
          </cell>
        </row>
        <row r="3440">
          <cell r="C3440" t="str">
            <v>500kV 572 Vĩnh Tân - 572 Vĩnh Tân 4</v>
          </cell>
          <cell r="F3440">
            <v>-848.2</v>
          </cell>
          <cell r="H3440">
            <v>-843.6</v>
          </cell>
          <cell r="I3440">
            <v>-843.6</v>
          </cell>
          <cell r="J3440">
            <v>-645.5</v>
          </cell>
          <cell r="K3440">
            <v>-848.2</v>
          </cell>
          <cell r="L3440">
            <v>-583.6</v>
          </cell>
          <cell r="M3440">
            <v>-681.8</v>
          </cell>
        </row>
        <row r="3441">
          <cell r="C3441" t="str">
            <v>Vĩnh Tân MBA AT1 (phía 500kV)</v>
          </cell>
          <cell r="F3441">
            <v>-632.1</v>
          </cell>
          <cell r="H3441">
            <v>-615.70000000000005</v>
          </cell>
          <cell r="I3441">
            <v>-425.8</v>
          </cell>
          <cell r="J3441">
            <v>-632.1</v>
          </cell>
          <cell r="K3441">
            <v>-524.9</v>
          </cell>
          <cell r="L3441">
            <v>-542</v>
          </cell>
          <cell r="M3441">
            <v>-540.6</v>
          </cell>
        </row>
        <row r="3442">
          <cell r="C3442" t="str">
            <v>Vĩnh Tân MBA AT2 (phía 500kV)</v>
          </cell>
          <cell r="F3442">
            <v>-587</v>
          </cell>
          <cell r="H3442">
            <v>-586.6</v>
          </cell>
          <cell r="I3442">
            <v>-407.5</v>
          </cell>
          <cell r="J3442">
            <v>-587</v>
          </cell>
          <cell r="K3442">
            <v>-486.6</v>
          </cell>
          <cell r="L3442">
            <v>-505.4</v>
          </cell>
          <cell r="M3442">
            <v>-500.1</v>
          </cell>
        </row>
        <row r="3443">
          <cell r="C3443" t="str">
            <v>Vĩnh Tân MBA AT1 (phía 220kV)</v>
          </cell>
          <cell r="F3443">
            <v>644</v>
          </cell>
          <cell r="H3443">
            <v>627.4</v>
          </cell>
          <cell r="I3443">
            <v>435.8</v>
          </cell>
          <cell r="J3443">
            <v>644</v>
          </cell>
          <cell r="K3443">
            <v>535.29999999999995</v>
          </cell>
          <cell r="L3443">
            <v>555.1</v>
          </cell>
          <cell r="M3443">
            <v>551.79999999999995</v>
          </cell>
        </row>
        <row r="3444">
          <cell r="C3444" t="str">
            <v>Vĩnh Tân MBA AT2 (phía 220kV)</v>
          </cell>
          <cell r="F3444">
            <v>588.4</v>
          </cell>
          <cell r="H3444">
            <v>588</v>
          </cell>
          <cell r="I3444">
            <v>407.1</v>
          </cell>
          <cell r="J3444">
            <v>588.4</v>
          </cell>
          <cell r="K3444">
            <v>489.3</v>
          </cell>
          <cell r="L3444">
            <v>505.8</v>
          </cell>
          <cell r="M3444">
            <v>502.2</v>
          </cell>
        </row>
        <row r="3445">
          <cell r="C3445" t="str">
            <v>220kV 271 Vĩnh Tân - 273 Quán Thẻ</v>
          </cell>
          <cell r="F3445">
            <v>-311.39999999999998</v>
          </cell>
          <cell r="H3445">
            <v>-311.39999999999998</v>
          </cell>
          <cell r="I3445">
            <v>-222.6</v>
          </cell>
          <cell r="J3445">
            <v>-307.2</v>
          </cell>
          <cell r="K3445">
            <v>-274.2</v>
          </cell>
          <cell r="L3445">
            <v>-276</v>
          </cell>
          <cell r="M3445">
            <v>-273.60000000000002</v>
          </cell>
        </row>
        <row r="3446">
          <cell r="C3446" t="str">
            <v>220kV 281 Vĩnh Tân - NMĐ Vĩnh Tân 2 MBA T1 (phía 220kV)</v>
          </cell>
          <cell r="F3446">
            <v>-576</v>
          </cell>
          <cell r="H3446">
            <v>-571.79999999999995</v>
          </cell>
          <cell r="I3446">
            <v>-561.6</v>
          </cell>
          <cell r="J3446">
            <v>-576</v>
          </cell>
          <cell r="K3446">
            <v>-560.4</v>
          </cell>
          <cell r="L3446">
            <v>-544.79999999999995</v>
          </cell>
          <cell r="M3446">
            <v>-447</v>
          </cell>
        </row>
        <row r="3447">
          <cell r="C3447" t="str">
            <v>220kV 272 Vĩnh Tân - 273 Thuận Nam 500</v>
          </cell>
          <cell r="F3447">
            <v>-214.2</v>
          </cell>
          <cell r="H3447">
            <v>-214.2</v>
          </cell>
          <cell r="I3447">
            <v>-166.2</v>
          </cell>
          <cell r="J3447">
            <v>-210</v>
          </cell>
          <cell r="K3447">
            <v>-184.8</v>
          </cell>
          <cell r="L3447">
            <v>-193.8</v>
          </cell>
          <cell r="M3447">
            <v>-204</v>
          </cell>
        </row>
        <row r="3448">
          <cell r="C3448" t="str">
            <v>220kV 282 Vĩnh Tân - NMĐ Vĩnh Tân 2 MBA TD21 (phía 220kV)</v>
          </cell>
          <cell r="E3448">
            <v>0</v>
          </cell>
          <cell r="F3448">
            <v>0</v>
          </cell>
          <cell r="H3448">
            <v>0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</row>
        <row r="3449">
          <cell r="C3449" t="str">
            <v>220kV 273 Vĩnh Tân - 273 Phan Rí 2</v>
          </cell>
          <cell r="F3449">
            <v>428.4</v>
          </cell>
          <cell r="H3449">
            <v>344.4</v>
          </cell>
          <cell r="I3449">
            <v>277.8</v>
          </cell>
          <cell r="J3449">
            <v>247.8</v>
          </cell>
          <cell r="K3449">
            <v>290.39999999999998</v>
          </cell>
          <cell r="L3449">
            <v>428.4</v>
          </cell>
          <cell r="M3449">
            <v>249.6</v>
          </cell>
        </row>
        <row r="3450">
          <cell r="C3450" t="str">
            <v>220kV 283 Vĩnh Tân - NMĐ Vĩnh Tân 2 MBA T2 (phía 220kV)</v>
          </cell>
          <cell r="F3450">
            <v>-577.20000000000005</v>
          </cell>
          <cell r="H3450">
            <v>-576</v>
          </cell>
          <cell r="I3450">
            <v>-563.4</v>
          </cell>
          <cell r="J3450">
            <v>-577.20000000000005</v>
          </cell>
          <cell r="K3450">
            <v>-568.20000000000005</v>
          </cell>
          <cell r="L3450">
            <v>-550.20000000000005</v>
          </cell>
          <cell r="M3450">
            <v>-453</v>
          </cell>
        </row>
        <row r="3451">
          <cell r="C3451" t="str">
            <v>220kV 274 Vĩnh Tân - 274 Phan Rí 2</v>
          </cell>
          <cell r="F3451">
            <v>348.1</v>
          </cell>
          <cell r="H3451">
            <v>348.1</v>
          </cell>
          <cell r="I3451">
            <v>281.89999999999998</v>
          </cell>
          <cell r="J3451">
            <v>255.4</v>
          </cell>
          <cell r="K3451">
            <v>296.2</v>
          </cell>
          <cell r="L3451">
            <v>279.3</v>
          </cell>
          <cell r="M3451">
            <v>253.5</v>
          </cell>
        </row>
        <row r="3452">
          <cell r="C3452" t="str">
            <v>500kV 571 Vĩnh Tân - 571 Vĩnh Tân 4</v>
          </cell>
          <cell r="F3452">
            <v>-860</v>
          </cell>
          <cell r="H3452">
            <v>-856.4</v>
          </cell>
          <cell r="I3452">
            <v>-854.5</v>
          </cell>
          <cell r="J3452">
            <v>-654.5</v>
          </cell>
          <cell r="K3452">
            <v>-860</v>
          </cell>
          <cell r="L3452">
            <v>-592.70000000000005</v>
          </cell>
          <cell r="M3452">
            <v>-693.6</v>
          </cell>
        </row>
        <row r="3453">
          <cell r="C3453" t="str">
            <v>500kV 573 Vĩnh Tân - 573 Sông Mây</v>
          </cell>
          <cell r="F3453">
            <v>1192.7</v>
          </cell>
          <cell r="H3453">
            <v>1192.7</v>
          </cell>
          <cell r="I3453">
            <v>978.2</v>
          </cell>
          <cell r="J3453">
            <v>1069.0999999999999</v>
          </cell>
          <cell r="K3453">
            <v>1069.0999999999999</v>
          </cell>
          <cell r="L3453">
            <v>862.7</v>
          </cell>
          <cell r="M3453">
            <v>936.4</v>
          </cell>
        </row>
        <row r="3454">
          <cell r="C3454" t="str">
            <v>500kV 574 Vĩnh Tân - 574 Sông Mây</v>
          </cell>
          <cell r="F3454">
            <v>1189.8</v>
          </cell>
          <cell r="H3454">
            <v>1189.8</v>
          </cell>
          <cell r="I3454">
            <v>980.4</v>
          </cell>
          <cell r="J3454">
            <v>1067.9000000000001</v>
          </cell>
          <cell r="K3454">
            <v>1067</v>
          </cell>
          <cell r="L3454">
            <v>862.4</v>
          </cell>
          <cell r="M3454">
            <v>934.5</v>
          </cell>
        </row>
        <row r="3455">
          <cell r="C3455" t="str">
            <v>500kV 586 Vĩnh Tân - MBA T2 (phía 500kV)</v>
          </cell>
          <cell r="F3455">
            <v>-581.79999999999995</v>
          </cell>
          <cell r="H3455">
            <v>-581.79999999999995</v>
          </cell>
          <cell r="I3455">
            <v>-563.6</v>
          </cell>
          <cell r="J3455">
            <v>-563.6</v>
          </cell>
          <cell r="K3455">
            <v>-563.6</v>
          </cell>
          <cell r="L3455">
            <v>-562.70000000000005</v>
          </cell>
          <cell r="M3455">
            <v>-561.79999999999995</v>
          </cell>
        </row>
        <row r="3456">
          <cell r="C3456" t="str">
            <v>500kV 578 Vĩnh Tân - 587 Thuận Nam</v>
          </cell>
          <cell r="F3456">
            <v>-652</v>
          </cell>
          <cell r="H3456">
            <v>-642</v>
          </cell>
          <cell r="I3456">
            <v>-457</v>
          </cell>
          <cell r="J3456">
            <v>-652</v>
          </cell>
          <cell r="K3456">
            <v>-552</v>
          </cell>
          <cell r="L3456">
            <v>-564</v>
          </cell>
          <cell r="M3456">
            <v>-562</v>
          </cell>
        </row>
        <row r="3457">
          <cell r="C3457" t="str">
            <v>500kV 575 Vĩnh Tân - 584 Sông Mây</v>
          </cell>
          <cell r="F3457">
            <v>1150</v>
          </cell>
          <cell r="H3457">
            <v>1150</v>
          </cell>
          <cell r="I3457">
            <v>946</v>
          </cell>
          <cell r="J3457">
            <v>1032</v>
          </cell>
          <cell r="K3457">
            <v>1032</v>
          </cell>
          <cell r="L3457">
            <v>834</v>
          </cell>
          <cell r="M3457">
            <v>904</v>
          </cell>
        </row>
        <row r="3458">
          <cell r="C3458" t="str">
            <v>500kV 576 Vĩnh Tân - 572 Tân Uyên</v>
          </cell>
          <cell r="F3458">
            <v>1075</v>
          </cell>
          <cell r="H3458">
            <v>1075</v>
          </cell>
          <cell r="I3458">
            <v>889</v>
          </cell>
          <cell r="J3458">
            <v>971</v>
          </cell>
          <cell r="K3458">
            <v>966</v>
          </cell>
          <cell r="L3458">
            <v>783</v>
          </cell>
          <cell r="M3458">
            <v>833</v>
          </cell>
        </row>
        <row r="3459">
          <cell r="C3459" t="str">
            <v>500kV 577 Vĩnh Tân - 584 Thuận Nam</v>
          </cell>
          <cell r="F3459">
            <v>-545</v>
          </cell>
          <cell r="H3459">
            <v>-532</v>
          </cell>
          <cell r="I3459">
            <v>-377</v>
          </cell>
          <cell r="J3459">
            <v>-545</v>
          </cell>
          <cell r="K3459">
            <v>-468</v>
          </cell>
          <cell r="L3459">
            <v>-468</v>
          </cell>
          <cell r="M3459">
            <v>-470</v>
          </cell>
        </row>
        <row r="3460">
          <cell r="C3460" t="str">
            <v>110kV 171 Vĩnh Thạnh - 174 Thạnh Đông</v>
          </cell>
          <cell r="F3460">
            <v>-26.8</v>
          </cell>
          <cell r="H3460">
            <v>-25.5</v>
          </cell>
          <cell r="I3460">
            <v>-24.1</v>
          </cell>
          <cell r="J3460">
            <v>-26.6</v>
          </cell>
          <cell r="K3460">
            <v>-20.6</v>
          </cell>
          <cell r="L3460">
            <v>-25.8</v>
          </cell>
          <cell r="M3460">
            <v>-26.8</v>
          </cell>
        </row>
        <row r="3461">
          <cell r="C3461" t="str">
            <v>110kV 172 Vĩnh Thạnh - 173 Long Xuyên 2</v>
          </cell>
          <cell r="E3461">
            <v>0</v>
          </cell>
          <cell r="F3461">
            <v>0</v>
          </cell>
          <cell r="H3461">
            <v>0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</row>
        <row r="3462">
          <cell r="C3462" t="str">
            <v>Vĩnh Thạnh MBA T2 (phía 110kV)</v>
          </cell>
          <cell r="F3462">
            <v>14.6</v>
          </cell>
          <cell r="H3462">
            <v>13</v>
          </cell>
          <cell r="I3462">
            <v>13</v>
          </cell>
          <cell r="J3462">
            <v>13.3</v>
          </cell>
          <cell r="K3462">
            <v>11.4</v>
          </cell>
          <cell r="L3462">
            <v>13.6</v>
          </cell>
          <cell r="M3462">
            <v>14.6</v>
          </cell>
        </row>
        <row r="3463">
          <cell r="C3463" t="str">
            <v>Vĩnh Thạnh MBA T2 (phía 22kV)</v>
          </cell>
          <cell r="F3463">
            <v>-14.5</v>
          </cell>
          <cell r="H3463">
            <v>-13</v>
          </cell>
          <cell r="I3463">
            <v>-13</v>
          </cell>
          <cell r="J3463">
            <v>-13.4</v>
          </cell>
          <cell r="K3463">
            <v>-11.4</v>
          </cell>
          <cell r="L3463">
            <v>-13.6</v>
          </cell>
          <cell r="M3463">
            <v>-14.5</v>
          </cell>
        </row>
        <row r="3464">
          <cell r="C3464" t="str">
            <v>Vĩnh Thạnh MBA T1 (phía 110kV)</v>
          </cell>
          <cell r="F3464">
            <v>14.3</v>
          </cell>
          <cell r="H3464">
            <v>13.3</v>
          </cell>
          <cell r="I3464">
            <v>11.8</v>
          </cell>
          <cell r="J3464">
            <v>14.3</v>
          </cell>
          <cell r="K3464">
            <v>12.4</v>
          </cell>
          <cell r="L3464">
            <v>13.6</v>
          </cell>
          <cell r="M3464">
            <v>12.9</v>
          </cell>
        </row>
        <row r="3465">
          <cell r="C3465" t="str">
            <v>Vĩnh Thạnh MBA T1 (phía 22kV)</v>
          </cell>
          <cell r="F3465">
            <v>-14.1</v>
          </cell>
          <cell r="H3465">
            <v>-13</v>
          </cell>
          <cell r="I3465">
            <v>-11.6</v>
          </cell>
          <cell r="J3465">
            <v>-14.1</v>
          </cell>
          <cell r="K3465">
            <v>-12.3</v>
          </cell>
          <cell r="L3465">
            <v>-13.7</v>
          </cell>
          <cell r="M3465">
            <v>-12.8</v>
          </cell>
        </row>
        <row r="3466">
          <cell r="C3466" t="str">
            <v>Vĩnh Thuận MBA T2 (phía 110kV)</v>
          </cell>
          <cell r="F3466">
            <v>21.2</v>
          </cell>
          <cell r="H3466">
            <v>19.3</v>
          </cell>
          <cell r="I3466">
            <v>16.8</v>
          </cell>
          <cell r="J3466">
            <v>21.2</v>
          </cell>
          <cell r="K3466">
            <v>18</v>
          </cell>
          <cell r="L3466">
            <v>20.5</v>
          </cell>
          <cell r="M3466">
            <v>19.7</v>
          </cell>
        </row>
        <row r="3467">
          <cell r="C3467" t="str">
            <v>Vĩnh Thuận MBA T2 (phía 22kV)</v>
          </cell>
          <cell r="F3467">
            <v>-21.3</v>
          </cell>
          <cell r="H3467">
            <v>-19.399999999999999</v>
          </cell>
          <cell r="I3467">
            <v>-16.8</v>
          </cell>
          <cell r="J3467">
            <v>-21.3</v>
          </cell>
          <cell r="K3467">
            <v>-18</v>
          </cell>
          <cell r="L3467">
            <v>-20.6</v>
          </cell>
          <cell r="M3467">
            <v>-19.7</v>
          </cell>
        </row>
        <row r="3468">
          <cell r="C3468" t="str">
            <v>110kV 171 Vĩnh Trạch Đông - 175 Bạc Liêu 2</v>
          </cell>
          <cell r="F3468">
            <v>-40.9</v>
          </cell>
          <cell r="H3468">
            <v>33</v>
          </cell>
          <cell r="I3468">
            <v>28.1</v>
          </cell>
          <cell r="J3468">
            <v>-40.9</v>
          </cell>
          <cell r="K3468">
            <v>-16.2</v>
          </cell>
          <cell r="L3468">
            <v>-23.1</v>
          </cell>
          <cell r="M3468">
            <v>30.2</v>
          </cell>
        </row>
        <row r="3469">
          <cell r="C3469" t="str">
            <v>110kV 172 Vĩnh Trạch Đông - 172 Thạnh Trị</v>
          </cell>
          <cell r="F3469">
            <v>44.9</v>
          </cell>
          <cell r="H3469">
            <v>13.7</v>
          </cell>
          <cell r="I3469">
            <v>30.3</v>
          </cell>
          <cell r="J3469">
            <v>44.9</v>
          </cell>
          <cell r="K3469">
            <v>18.2</v>
          </cell>
          <cell r="L3469">
            <v>35.1</v>
          </cell>
          <cell r="M3469">
            <v>19.3</v>
          </cell>
        </row>
        <row r="3470">
          <cell r="C3470" t="str">
            <v>Vĩnh Trạch Đông MBA T2 (phía 110kV)</v>
          </cell>
          <cell r="F3470">
            <v>-28.5</v>
          </cell>
          <cell r="H3470">
            <v>-12.2</v>
          </cell>
          <cell r="I3470">
            <v>-28.5</v>
          </cell>
          <cell r="J3470">
            <v>-12.5</v>
          </cell>
          <cell r="K3470">
            <v>-3.2</v>
          </cell>
          <cell r="L3470">
            <v>-19.899999999999999</v>
          </cell>
          <cell r="M3470">
            <v>-22.5</v>
          </cell>
        </row>
        <row r="3471">
          <cell r="C3471" t="str">
            <v>Vĩnh Trạch Đông MBA T2 (phía 22kV)</v>
          </cell>
          <cell r="F3471">
            <v>28.7</v>
          </cell>
          <cell r="H3471">
            <v>12.2</v>
          </cell>
          <cell r="I3471">
            <v>28.7</v>
          </cell>
          <cell r="J3471">
            <v>12.2</v>
          </cell>
          <cell r="K3471">
            <v>3.1</v>
          </cell>
          <cell r="L3471">
            <v>19.899999999999999</v>
          </cell>
          <cell r="M3471">
            <v>22.3</v>
          </cell>
        </row>
        <row r="3472">
          <cell r="C3472" t="str">
            <v>Vĩnh Trạch Đông MBA T1 (phía 110kV)</v>
          </cell>
          <cell r="F3472">
            <v>-35</v>
          </cell>
          <cell r="H3472">
            <v>-35</v>
          </cell>
          <cell r="I3472">
            <v>-30</v>
          </cell>
          <cell r="J3472">
            <v>-16</v>
          </cell>
          <cell r="K3472">
            <v>-5</v>
          </cell>
          <cell r="L3472">
            <v>-25</v>
          </cell>
          <cell r="M3472">
            <v>-27</v>
          </cell>
        </row>
        <row r="3473">
          <cell r="C3473" t="str">
            <v>Vĩnh Trạch Đông MBA T1 (phía 22kV)</v>
          </cell>
          <cell r="F3473">
            <v>35</v>
          </cell>
          <cell r="H3473">
            <v>35</v>
          </cell>
          <cell r="I3473">
            <v>30</v>
          </cell>
          <cell r="J3473">
            <v>16.5</v>
          </cell>
          <cell r="K3473">
            <v>4.5999999999999996</v>
          </cell>
          <cell r="L3473">
            <v>25.6</v>
          </cell>
          <cell r="M3473">
            <v>27</v>
          </cell>
        </row>
        <row r="3474">
          <cell r="C3474" t="str">
            <v>110kV 171 Vĩnh Trường - 172 Bàu Bèo</v>
          </cell>
          <cell r="F3474">
            <v>-44.2</v>
          </cell>
          <cell r="H3474">
            <v>-42.9</v>
          </cell>
          <cell r="I3474">
            <v>-42</v>
          </cell>
          <cell r="J3474">
            <v>-44.2</v>
          </cell>
          <cell r="K3474">
            <v>-41.6</v>
          </cell>
          <cell r="L3474">
            <v>-23</v>
          </cell>
          <cell r="M3474">
            <v>-19.5</v>
          </cell>
        </row>
        <row r="3475">
          <cell r="C3475" t="str">
            <v>110kV 172 Vĩnh Trường - 173 Tân Định</v>
          </cell>
          <cell r="F3475">
            <v>-58.2</v>
          </cell>
          <cell r="H3475">
            <v>-54.6</v>
          </cell>
          <cell r="I3475">
            <v>-56.4</v>
          </cell>
          <cell r="J3475">
            <v>-58.2</v>
          </cell>
          <cell r="K3475">
            <v>-56.9</v>
          </cell>
          <cell r="L3475">
            <v>-44.9</v>
          </cell>
          <cell r="M3475">
            <v>-30.5</v>
          </cell>
        </row>
        <row r="3476">
          <cell r="C3476" t="str">
            <v>Vĩnh Trường MBA T1 (phía 110kV)</v>
          </cell>
          <cell r="F3476">
            <v>44.1</v>
          </cell>
          <cell r="H3476">
            <v>42.9</v>
          </cell>
          <cell r="I3476">
            <v>42</v>
          </cell>
          <cell r="J3476">
            <v>44.1</v>
          </cell>
          <cell r="K3476">
            <v>41.5</v>
          </cell>
          <cell r="L3476">
            <v>23.1</v>
          </cell>
          <cell r="M3476">
            <v>19.5</v>
          </cell>
        </row>
        <row r="3477">
          <cell r="C3477" t="str">
            <v>Vĩnh Trường MBA T1 (phía 22kV)</v>
          </cell>
          <cell r="F3477">
            <v>-44</v>
          </cell>
          <cell r="H3477">
            <v>-42.8</v>
          </cell>
          <cell r="I3477">
            <v>-42</v>
          </cell>
          <cell r="J3477">
            <v>-44</v>
          </cell>
          <cell r="K3477">
            <v>-41.5</v>
          </cell>
          <cell r="L3477">
            <v>-23.2</v>
          </cell>
          <cell r="M3477">
            <v>-19.600000000000001</v>
          </cell>
        </row>
        <row r="3478">
          <cell r="C3478" t="str">
            <v>Vĩnh Trường MBA T2 (phía 110kV)</v>
          </cell>
          <cell r="F3478">
            <v>58.2</v>
          </cell>
          <cell r="H3478">
            <v>54.6</v>
          </cell>
          <cell r="I3478">
            <v>56.7</v>
          </cell>
          <cell r="J3478">
            <v>58.2</v>
          </cell>
          <cell r="K3478">
            <v>56.9</v>
          </cell>
          <cell r="L3478">
            <v>30.9</v>
          </cell>
          <cell r="M3478">
            <v>30.6</v>
          </cell>
        </row>
        <row r="3479">
          <cell r="C3479" t="str">
            <v>Vĩnh Trường MBA T2 (phía 22kV)</v>
          </cell>
          <cell r="F3479">
            <v>-58.2</v>
          </cell>
          <cell r="H3479">
            <v>-54.8</v>
          </cell>
          <cell r="I3479">
            <v>-56.7</v>
          </cell>
          <cell r="J3479">
            <v>-58.2</v>
          </cell>
          <cell r="K3479">
            <v>-57.1</v>
          </cell>
          <cell r="L3479">
            <v>-31.5</v>
          </cell>
          <cell r="M3479">
            <v>-30.5</v>
          </cell>
        </row>
        <row r="3480">
          <cell r="C3480" t="str">
            <v>110kV 171 Vsip - 171 Vsip 2</v>
          </cell>
          <cell r="E3480">
            <v>0</v>
          </cell>
          <cell r="F3480">
            <v>54.8</v>
          </cell>
          <cell r="H3480">
            <v>54.8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</row>
        <row r="3481">
          <cell r="C3481" t="str">
            <v>110kV 172 Vsip - 175 Bình Hòa</v>
          </cell>
          <cell r="F3481">
            <v>-80</v>
          </cell>
          <cell r="H3481">
            <v>-80</v>
          </cell>
          <cell r="I3481">
            <v>-74.5</v>
          </cell>
          <cell r="J3481">
            <v>-75.599999999999994</v>
          </cell>
          <cell r="K3481">
            <v>-74.2</v>
          </cell>
          <cell r="L3481">
            <v>-51.6</v>
          </cell>
          <cell r="M3481">
            <v>-45</v>
          </cell>
        </row>
        <row r="3482">
          <cell r="C3482" t="str">
            <v>Vsip MBA T1 (phía 110kV)</v>
          </cell>
          <cell r="F3482">
            <v>40.6</v>
          </cell>
          <cell r="H3482">
            <v>39.700000000000003</v>
          </cell>
          <cell r="I3482">
            <v>38.6</v>
          </cell>
          <cell r="J3482">
            <v>40.5</v>
          </cell>
          <cell r="K3482">
            <v>40.6</v>
          </cell>
          <cell r="L3482">
            <v>29.2</v>
          </cell>
          <cell r="M3482">
            <v>27</v>
          </cell>
        </row>
        <row r="3483">
          <cell r="C3483" t="str">
            <v>Vsip MBA T2 (phía 110kV)</v>
          </cell>
          <cell r="F3483">
            <v>35.6</v>
          </cell>
          <cell r="H3483">
            <v>35.6</v>
          </cell>
          <cell r="I3483">
            <v>34.1</v>
          </cell>
          <cell r="J3483">
            <v>34.6</v>
          </cell>
          <cell r="K3483">
            <v>35.4</v>
          </cell>
          <cell r="L3483">
            <v>24.5</v>
          </cell>
          <cell r="M3483">
            <v>23.9</v>
          </cell>
        </row>
        <row r="3484">
          <cell r="C3484" t="str">
            <v>Vsip MBA T1 (phía 22kV)</v>
          </cell>
          <cell r="F3484">
            <v>-40.799999999999997</v>
          </cell>
          <cell r="H3484">
            <v>-39.700000000000003</v>
          </cell>
          <cell r="I3484">
            <v>-38.5</v>
          </cell>
          <cell r="J3484">
            <v>-40.799999999999997</v>
          </cell>
          <cell r="K3484">
            <v>-40.6</v>
          </cell>
          <cell r="L3484">
            <v>-29.3</v>
          </cell>
          <cell r="M3484">
            <v>-27.2</v>
          </cell>
        </row>
        <row r="3485">
          <cell r="C3485" t="str">
            <v>Vsip MBA T2 (phía 22kV)</v>
          </cell>
          <cell r="F3485">
            <v>-35.6</v>
          </cell>
          <cell r="H3485">
            <v>-35.6</v>
          </cell>
          <cell r="I3485">
            <v>-33.799999999999997</v>
          </cell>
          <cell r="J3485">
            <v>-34.5</v>
          </cell>
          <cell r="K3485">
            <v>-35.4</v>
          </cell>
          <cell r="L3485">
            <v>-24.5</v>
          </cell>
          <cell r="M3485">
            <v>-23.4</v>
          </cell>
        </row>
        <row r="3486">
          <cell r="C3486" t="str">
            <v>Vsip MBA T3 (phía 110kV)</v>
          </cell>
          <cell r="F3486">
            <v>39.9</v>
          </cell>
          <cell r="H3486">
            <v>39.9</v>
          </cell>
          <cell r="I3486">
            <v>37.9</v>
          </cell>
          <cell r="J3486">
            <v>38</v>
          </cell>
          <cell r="K3486">
            <v>36.9</v>
          </cell>
          <cell r="L3486">
            <v>24.4</v>
          </cell>
          <cell r="M3486">
            <v>21.8</v>
          </cell>
        </row>
        <row r="3487">
          <cell r="C3487" t="str">
            <v>Vsip MBA T3 (phía 22kV)</v>
          </cell>
          <cell r="F3487">
            <v>-39.700000000000003</v>
          </cell>
          <cell r="H3487">
            <v>-39.700000000000003</v>
          </cell>
          <cell r="I3487">
            <v>-37.799999999999997</v>
          </cell>
          <cell r="J3487">
            <v>-37.4</v>
          </cell>
          <cell r="K3487">
            <v>-36.9</v>
          </cell>
          <cell r="L3487">
            <v>-24.2</v>
          </cell>
          <cell r="M3487">
            <v>-20.8</v>
          </cell>
        </row>
        <row r="3488">
          <cell r="C3488" t="str">
            <v>110kV 171 Vsip 2 - 171 Vsip</v>
          </cell>
          <cell r="E3488">
            <v>0</v>
          </cell>
          <cell r="F3488">
            <v>55</v>
          </cell>
          <cell r="H3488">
            <v>55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</row>
        <row r="3489">
          <cell r="C3489" t="str">
            <v>110kV 172 Vsip 2 - 176 Thuận An</v>
          </cell>
          <cell r="F3489">
            <v>-108.8</v>
          </cell>
          <cell r="H3489">
            <v>-108.8</v>
          </cell>
          <cell r="I3489">
            <v>-72.5</v>
          </cell>
          <cell r="J3489">
            <v>-75.599999999999994</v>
          </cell>
          <cell r="K3489">
            <v>-75.400000000000006</v>
          </cell>
          <cell r="L3489">
            <v>-53.6</v>
          </cell>
          <cell r="M3489">
            <v>-50.8</v>
          </cell>
        </row>
        <row r="3490">
          <cell r="C3490" t="str">
            <v>Vũng Liêm MBA T1 (phía 110kV)</v>
          </cell>
          <cell r="F3490">
            <v>28.3</v>
          </cell>
          <cell r="H3490">
            <v>26.1</v>
          </cell>
          <cell r="I3490">
            <v>23.7</v>
          </cell>
          <cell r="J3490">
            <v>28.3</v>
          </cell>
          <cell r="K3490">
            <v>25.5</v>
          </cell>
          <cell r="L3490">
            <v>25.7</v>
          </cell>
          <cell r="M3490">
            <v>26</v>
          </cell>
        </row>
        <row r="3491">
          <cell r="C3491" t="str">
            <v>Vũng Liêm MBA T1 (phía 22kV)</v>
          </cell>
          <cell r="F3491">
            <v>-27.8</v>
          </cell>
          <cell r="H3491">
            <v>-25.6</v>
          </cell>
          <cell r="I3491">
            <v>-23.3</v>
          </cell>
          <cell r="J3491">
            <v>-27.8</v>
          </cell>
          <cell r="K3491">
            <v>-25.2</v>
          </cell>
          <cell r="L3491">
            <v>-25.3</v>
          </cell>
          <cell r="M3491">
            <v>-25.6</v>
          </cell>
        </row>
        <row r="3492">
          <cell r="C3492" t="str">
            <v>Vũng Liêm MBA T2 (phía 110kV)</v>
          </cell>
          <cell r="F3492">
            <v>15.4</v>
          </cell>
          <cell r="H3492">
            <v>12.8</v>
          </cell>
          <cell r="I3492">
            <v>11.3</v>
          </cell>
          <cell r="J3492">
            <v>13.6</v>
          </cell>
          <cell r="K3492">
            <v>12.2</v>
          </cell>
          <cell r="L3492">
            <v>15.4</v>
          </cell>
          <cell r="M3492">
            <v>12.4</v>
          </cell>
        </row>
        <row r="3493">
          <cell r="C3493" t="str">
            <v>Vũng Liêm MBA T2 (phía 22kV)</v>
          </cell>
          <cell r="F3493">
            <v>-15.4</v>
          </cell>
          <cell r="H3493">
            <v>-12.9</v>
          </cell>
          <cell r="I3493">
            <v>-11.4</v>
          </cell>
          <cell r="J3493">
            <v>-13.5</v>
          </cell>
          <cell r="K3493">
            <v>-12.1</v>
          </cell>
          <cell r="L3493">
            <v>-15.4</v>
          </cell>
          <cell r="M3493">
            <v>-12.4</v>
          </cell>
        </row>
        <row r="3494">
          <cell r="C3494" t="str">
            <v>110kV 172 Vũng Liêm - 173 Vĩnh Long</v>
          </cell>
          <cell r="F3494">
            <v>-41.4</v>
          </cell>
          <cell r="H3494">
            <v>-38.5</v>
          </cell>
          <cell r="I3494">
            <v>-34.700000000000003</v>
          </cell>
          <cell r="J3494">
            <v>-41.4</v>
          </cell>
          <cell r="K3494">
            <v>-37.4</v>
          </cell>
          <cell r="L3494">
            <v>-37.1</v>
          </cell>
          <cell r="M3494">
            <v>-38.1</v>
          </cell>
        </row>
        <row r="3495">
          <cell r="C3495" t="str">
            <v>110kV 171 Vũng Liêm - 171 NMĐ MT Vneco Vĩnh Long</v>
          </cell>
          <cell r="E3495">
            <v>0</v>
          </cell>
          <cell r="F3495">
            <v>0</v>
          </cell>
          <cell r="H3495">
            <v>0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</row>
        <row r="3496">
          <cell r="C3496" t="str">
            <v>110kV 171 Vũng Tàu - 172 Đông Xuyên</v>
          </cell>
          <cell r="F3496">
            <v>-61.1</v>
          </cell>
          <cell r="H3496">
            <v>-61.1</v>
          </cell>
          <cell r="I3496">
            <v>-45</v>
          </cell>
          <cell r="J3496">
            <v>-58</v>
          </cell>
          <cell r="K3496">
            <v>-46.8</v>
          </cell>
          <cell r="L3496">
            <v>-51.4</v>
          </cell>
          <cell r="M3496">
            <v>-52.9</v>
          </cell>
        </row>
        <row r="3497">
          <cell r="C3497" t="str">
            <v>110kV 172 Vũng Tàu - 171 Thắng Tam</v>
          </cell>
          <cell r="F3497">
            <v>-4.8</v>
          </cell>
          <cell r="H3497">
            <v>-2.9</v>
          </cell>
          <cell r="I3497">
            <v>-3.1</v>
          </cell>
          <cell r="J3497">
            <v>-3.7</v>
          </cell>
          <cell r="K3497">
            <v>-4.8</v>
          </cell>
          <cell r="L3497">
            <v>-1.9</v>
          </cell>
          <cell r="M3497">
            <v>-1.3</v>
          </cell>
        </row>
        <row r="3498">
          <cell r="C3498" t="str">
            <v>Vũng Tàu MBA T1 (phía 110kV)</v>
          </cell>
          <cell r="F3498">
            <v>35.200000000000003</v>
          </cell>
          <cell r="H3498">
            <v>35.200000000000003</v>
          </cell>
          <cell r="I3498">
            <v>27.2</v>
          </cell>
          <cell r="J3498">
            <v>33.4</v>
          </cell>
          <cell r="K3498">
            <v>33.200000000000003</v>
          </cell>
          <cell r="L3498">
            <v>29.4</v>
          </cell>
          <cell r="M3498">
            <v>30.2</v>
          </cell>
        </row>
        <row r="3499">
          <cell r="C3499" t="str">
            <v>Vũng Tàu MBA T2 (phía 110kV)</v>
          </cell>
          <cell r="F3499">
            <v>27</v>
          </cell>
          <cell r="H3499">
            <v>27</v>
          </cell>
          <cell r="I3499">
            <v>19.2</v>
          </cell>
          <cell r="J3499">
            <v>25.7</v>
          </cell>
          <cell r="K3499">
            <v>20.399999999999999</v>
          </cell>
          <cell r="L3499">
            <v>22.9</v>
          </cell>
          <cell r="M3499">
            <v>23.9</v>
          </cell>
        </row>
        <row r="3500">
          <cell r="C3500" t="str">
            <v>Vũng Tàu MBA T1 (phía 22kV)</v>
          </cell>
          <cell r="F3500">
            <v>-35</v>
          </cell>
          <cell r="H3500">
            <v>-35</v>
          </cell>
          <cell r="I3500">
            <v>-27.1</v>
          </cell>
          <cell r="J3500">
            <v>-33.200000000000003</v>
          </cell>
          <cell r="K3500">
            <v>-32.9</v>
          </cell>
          <cell r="L3500">
            <v>-29.3</v>
          </cell>
          <cell r="M3500">
            <v>-30</v>
          </cell>
        </row>
        <row r="3501">
          <cell r="C3501" t="str">
            <v>Vũng Tàu MBA T2 (phía 22kV)</v>
          </cell>
          <cell r="F3501">
            <v>-27.1</v>
          </cell>
          <cell r="H3501">
            <v>-27.1</v>
          </cell>
          <cell r="I3501">
            <v>-19.100000000000001</v>
          </cell>
          <cell r="J3501">
            <v>-25.7</v>
          </cell>
          <cell r="K3501">
            <v>-20.6</v>
          </cell>
          <cell r="L3501">
            <v>-22.8</v>
          </cell>
          <cell r="M3501">
            <v>-24</v>
          </cell>
        </row>
        <row r="3502">
          <cell r="C3502" t="str">
            <v>Vũng Tàu 2 MBA AT1 (phía 220kV)</v>
          </cell>
          <cell r="F3502">
            <v>121.4</v>
          </cell>
          <cell r="H3502">
            <v>121.4</v>
          </cell>
          <cell r="I3502">
            <v>54.7</v>
          </cell>
          <cell r="J3502">
            <v>78.900000000000006</v>
          </cell>
          <cell r="K3502">
            <v>86.6</v>
          </cell>
          <cell r="L3502">
            <v>79.3</v>
          </cell>
          <cell r="M3502">
            <v>85.5</v>
          </cell>
        </row>
        <row r="3503">
          <cell r="C3503" t="str">
            <v>Vũng Tàu 2 MBA AT1 (phía 110kV)</v>
          </cell>
          <cell r="F3503">
            <v>-121.3</v>
          </cell>
          <cell r="H3503">
            <v>-121.3</v>
          </cell>
          <cell r="I3503">
            <v>-53.6</v>
          </cell>
          <cell r="J3503">
            <v>-78.3</v>
          </cell>
          <cell r="K3503">
            <v>-85.5</v>
          </cell>
          <cell r="L3503">
            <v>-79.2</v>
          </cell>
          <cell r="M3503">
            <v>-84.2</v>
          </cell>
        </row>
        <row r="3504">
          <cell r="C3504" t="str">
            <v>220kV 273 Vũng Tàu 2 - 272 Tân Thành</v>
          </cell>
          <cell r="F3504">
            <v>-131.69999999999999</v>
          </cell>
          <cell r="H3504">
            <v>-131.69999999999999</v>
          </cell>
          <cell r="I3504">
            <v>-26.9</v>
          </cell>
          <cell r="J3504">
            <v>-83.5</v>
          </cell>
          <cell r="K3504">
            <v>-94.1</v>
          </cell>
          <cell r="L3504">
            <v>-89.5</v>
          </cell>
          <cell r="M3504">
            <v>-94.3</v>
          </cell>
        </row>
        <row r="3505">
          <cell r="C3505" t="str">
            <v>220kV 274 Vũng Tàu 2 - 271 NMĐ Bà Rịa</v>
          </cell>
          <cell r="F3505">
            <v>-109.4</v>
          </cell>
          <cell r="H3505">
            <v>-109.4</v>
          </cell>
          <cell r="I3505">
            <v>-84.6</v>
          </cell>
          <cell r="J3505">
            <v>-95.7</v>
          </cell>
          <cell r="K3505">
            <v>-80.400000000000006</v>
          </cell>
          <cell r="L3505">
            <v>-94.2</v>
          </cell>
          <cell r="M3505">
            <v>-75.8</v>
          </cell>
        </row>
        <row r="3506">
          <cell r="C3506" t="str">
            <v>110kV 174 Vũng Tàu 2 - 171 NMĐ Bà Rịa</v>
          </cell>
          <cell r="F3506">
            <v>51.9</v>
          </cell>
          <cell r="H3506">
            <v>51.9</v>
          </cell>
          <cell r="I3506">
            <v>-20</v>
          </cell>
          <cell r="J3506">
            <v>-27.2</v>
          </cell>
          <cell r="K3506">
            <v>28.2</v>
          </cell>
          <cell r="L3506">
            <v>23.3</v>
          </cell>
          <cell r="M3506">
            <v>30.1</v>
          </cell>
        </row>
        <row r="3507">
          <cell r="C3507" t="str">
            <v>110kV 175 Vũng Tàu 2 - 171 An Ngãi</v>
          </cell>
          <cell r="F3507">
            <v>39.4</v>
          </cell>
          <cell r="H3507">
            <v>39.4</v>
          </cell>
          <cell r="I3507">
            <v>-7.7</v>
          </cell>
          <cell r="J3507">
            <v>-12.2</v>
          </cell>
          <cell r="K3507">
            <v>23.5</v>
          </cell>
          <cell r="L3507">
            <v>21.9</v>
          </cell>
          <cell r="M3507">
            <v>25.4</v>
          </cell>
        </row>
        <row r="3508">
          <cell r="C3508" t="str">
            <v>110kV 179 Vũng Tàu 2 - 172 Thắng Tam</v>
          </cell>
          <cell r="F3508">
            <v>56</v>
          </cell>
          <cell r="H3508">
            <v>56</v>
          </cell>
          <cell r="I3508">
            <v>42.7</v>
          </cell>
          <cell r="J3508">
            <v>52.6</v>
          </cell>
          <cell r="K3508">
            <v>44.7</v>
          </cell>
          <cell r="L3508">
            <v>46.7</v>
          </cell>
          <cell r="M3508">
            <v>47</v>
          </cell>
        </row>
        <row r="3509">
          <cell r="C3509" t="str">
            <v>110kV 180 Vũng Tàu 2 - 171 Đông Xuyên</v>
          </cell>
          <cell r="F3509">
            <v>96</v>
          </cell>
          <cell r="H3509">
            <v>96</v>
          </cell>
          <cell r="I3509">
            <v>74.599999999999994</v>
          </cell>
          <cell r="J3509">
            <v>92.7</v>
          </cell>
          <cell r="K3509">
            <v>83.9</v>
          </cell>
          <cell r="L3509">
            <v>76.7</v>
          </cell>
          <cell r="M3509">
            <v>76.400000000000006</v>
          </cell>
        </row>
        <row r="3510">
          <cell r="C3510" t="str">
            <v>Vũng Tàu 2 MBA AT2 (phía 220kV)</v>
          </cell>
          <cell r="F3510">
            <v>121.6</v>
          </cell>
          <cell r="H3510">
            <v>121.6</v>
          </cell>
          <cell r="I3510">
            <v>55.6</v>
          </cell>
          <cell r="J3510">
            <v>77.7</v>
          </cell>
          <cell r="K3510">
            <v>86</v>
          </cell>
          <cell r="L3510">
            <v>80.7</v>
          </cell>
          <cell r="M3510">
            <v>85.7</v>
          </cell>
        </row>
        <row r="3511">
          <cell r="C3511" t="str">
            <v>Vũng Tàu 2 MBA AT2 (phía 110kV)</v>
          </cell>
          <cell r="F3511">
            <v>-120.2</v>
          </cell>
          <cell r="H3511">
            <v>-120.2</v>
          </cell>
          <cell r="I3511">
            <v>-55.8</v>
          </cell>
          <cell r="J3511">
            <v>-77.7</v>
          </cell>
          <cell r="K3511">
            <v>-85.3</v>
          </cell>
          <cell r="L3511">
            <v>-79.7</v>
          </cell>
          <cell r="M3511">
            <v>-85.5</v>
          </cell>
        </row>
        <row r="3512">
          <cell r="C3512" t="str">
            <v>Xa Lộ MBA T1 (phía 22kV)</v>
          </cell>
          <cell r="E3512">
            <v>0</v>
          </cell>
          <cell r="F3512">
            <v>0</v>
          </cell>
          <cell r="H3512">
            <v>0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</row>
        <row r="3513">
          <cell r="C3513" t="str">
            <v>Xa Lộ MBA T2 (phía 22kV)</v>
          </cell>
          <cell r="F3513">
            <v>-24</v>
          </cell>
          <cell r="H3513">
            <v>-19.2</v>
          </cell>
          <cell r="I3513">
            <v>-10.8</v>
          </cell>
          <cell r="J3513">
            <v>-15.6</v>
          </cell>
          <cell r="K3513">
            <v>-21.8</v>
          </cell>
          <cell r="L3513">
            <v>-10.5</v>
          </cell>
          <cell r="M3513">
            <v>-24</v>
          </cell>
        </row>
        <row r="3514">
          <cell r="C3514" t="str">
            <v>Xa Lộ MBA T3 (phía 22kV)</v>
          </cell>
          <cell r="E3514">
            <v>0</v>
          </cell>
          <cell r="F3514">
            <v>0</v>
          </cell>
          <cell r="H3514">
            <v>0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</row>
        <row r="3515">
          <cell r="C3515" t="str">
            <v>110kV 171 Xa Lộ - 171 An Khánh - 171 Thảo Điền</v>
          </cell>
          <cell r="F3515">
            <v>-34.299999999999997</v>
          </cell>
          <cell r="H3515">
            <v>-27.3</v>
          </cell>
          <cell r="I3515">
            <v>-19.7</v>
          </cell>
          <cell r="J3515">
            <v>-15.6</v>
          </cell>
          <cell r="K3515">
            <v>-18.8</v>
          </cell>
          <cell r="L3515">
            <v>-12</v>
          </cell>
          <cell r="M3515">
            <v>-34.299999999999997</v>
          </cell>
        </row>
        <row r="3516">
          <cell r="C3516" t="str">
            <v>110kV 172 Xa Lộ - 176 Thủ Đức - 171 Vikimco</v>
          </cell>
          <cell r="F3516">
            <v>-76.2</v>
          </cell>
          <cell r="H3516">
            <v>-76.2</v>
          </cell>
          <cell r="I3516">
            <v>-57.3</v>
          </cell>
          <cell r="J3516">
            <v>-60.2</v>
          </cell>
          <cell r="K3516">
            <v>-57.2</v>
          </cell>
          <cell r="L3516">
            <v>-50</v>
          </cell>
          <cell r="M3516">
            <v>-74.599999999999994</v>
          </cell>
        </row>
        <row r="3517">
          <cell r="C3517" t="str">
            <v>110kV 173 Xa Lộ - 172 Tân Sơn Nhất</v>
          </cell>
          <cell r="F3517">
            <v>66.7</v>
          </cell>
          <cell r="H3517">
            <v>48.3</v>
          </cell>
          <cell r="I3517">
            <v>38.700000000000003</v>
          </cell>
          <cell r="J3517">
            <v>40.700000000000003</v>
          </cell>
          <cell r="K3517">
            <v>36.700000000000003</v>
          </cell>
          <cell r="L3517">
            <v>33.5</v>
          </cell>
          <cell r="M3517">
            <v>66.7</v>
          </cell>
        </row>
        <row r="3518">
          <cell r="C3518" t="str">
            <v>110kV 174 Xa Lộ - 173 Đa Kao</v>
          </cell>
          <cell r="E3518">
            <v>0</v>
          </cell>
          <cell r="F3518">
            <v>0</v>
          </cell>
          <cell r="H3518">
            <v>0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</row>
        <row r="3519">
          <cell r="C3519" t="str">
            <v>Xa Lộ MBA T1 (phía 110kV)</v>
          </cell>
          <cell r="F3519">
            <v>36.299999999999997</v>
          </cell>
          <cell r="H3519">
            <v>36.299999999999997</v>
          </cell>
          <cell r="I3519">
            <v>27.7</v>
          </cell>
          <cell r="J3519">
            <v>19.8</v>
          </cell>
          <cell r="K3519">
            <v>17.3</v>
          </cell>
          <cell r="L3519">
            <v>17.8</v>
          </cell>
          <cell r="M3519">
            <v>18.399999999999999</v>
          </cell>
        </row>
        <row r="3520">
          <cell r="C3520" t="str">
            <v>Xa Lộ MBA T2 (phía 110kV)</v>
          </cell>
          <cell r="F3520">
            <v>24.1</v>
          </cell>
          <cell r="H3520">
            <v>19.3</v>
          </cell>
          <cell r="I3520">
            <v>10.8</v>
          </cell>
          <cell r="J3520">
            <v>15.5</v>
          </cell>
          <cell r="K3520">
            <v>21.8</v>
          </cell>
          <cell r="L3520">
            <v>10.5</v>
          </cell>
          <cell r="M3520">
            <v>24.1</v>
          </cell>
        </row>
        <row r="3521">
          <cell r="C3521" t="str">
            <v>Xa Lộ MBA T3 (phía 110kV)</v>
          </cell>
          <cell r="E3521">
            <v>0</v>
          </cell>
          <cell r="F3521">
            <v>0</v>
          </cell>
          <cell r="H3521">
            <v>0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</row>
        <row r="3522">
          <cell r="C3522" t="str">
            <v>XM Sao Mai MBA T1 (phía 110kV)</v>
          </cell>
          <cell r="E3522">
            <v>0</v>
          </cell>
          <cell r="F3522">
            <v>-0.5</v>
          </cell>
          <cell r="H3522">
            <v>-0.5</v>
          </cell>
          <cell r="I3522">
            <v>-0.3</v>
          </cell>
          <cell r="J3522">
            <v>-0.5</v>
          </cell>
          <cell r="K3522">
            <v>0</v>
          </cell>
          <cell r="L3522">
            <v>-0.5</v>
          </cell>
          <cell r="M3522">
            <v>0</v>
          </cell>
        </row>
        <row r="3523">
          <cell r="C3523" t="str">
            <v>XM Sao Mai MBA T1 (phía 6kV)</v>
          </cell>
          <cell r="E3523">
            <v>0</v>
          </cell>
          <cell r="F3523">
            <v>0</v>
          </cell>
          <cell r="H3523">
            <v>0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</row>
        <row r="3524">
          <cell r="C3524" t="str">
            <v>110kV 171 XM Bình Phước - 177 Bình Long 2</v>
          </cell>
          <cell r="F3524">
            <v>-84.9</v>
          </cell>
          <cell r="H3524">
            <v>-84.9</v>
          </cell>
          <cell r="I3524">
            <v>-65.8</v>
          </cell>
          <cell r="J3524">
            <v>-69</v>
          </cell>
          <cell r="K3524">
            <v>-69.3</v>
          </cell>
          <cell r="L3524">
            <v>-60.6</v>
          </cell>
          <cell r="M3524">
            <v>-52.1</v>
          </cell>
        </row>
        <row r="3525">
          <cell r="C3525" t="str">
            <v>XM Bình Phước MBA T1 (phía 110kV)</v>
          </cell>
          <cell r="F3525">
            <v>28</v>
          </cell>
          <cell r="H3525">
            <v>26</v>
          </cell>
          <cell r="I3525">
            <v>26</v>
          </cell>
          <cell r="J3525">
            <v>26</v>
          </cell>
          <cell r="K3525">
            <v>27</v>
          </cell>
          <cell r="L3525">
            <v>25</v>
          </cell>
          <cell r="M3525">
            <v>28</v>
          </cell>
        </row>
        <row r="3526">
          <cell r="C3526" t="str">
            <v>XM Bình Phước MBA T2 (phía 110kV)</v>
          </cell>
          <cell r="E3526">
            <v>0</v>
          </cell>
          <cell r="F3526">
            <v>0</v>
          </cell>
          <cell r="H3526">
            <v>0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</row>
        <row r="3527">
          <cell r="C3527" t="str">
            <v>XM Bình Phước MBA T1 (phía 6kV)</v>
          </cell>
          <cell r="F3527">
            <v>-655</v>
          </cell>
          <cell r="H3527">
            <v>-27</v>
          </cell>
          <cell r="I3527">
            <v>-27</v>
          </cell>
          <cell r="J3527">
            <v>-26</v>
          </cell>
          <cell r="K3527">
            <v>-28</v>
          </cell>
          <cell r="L3527">
            <v>-27</v>
          </cell>
          <cell r="M3527">
            <v>-655</v>
          </cell>
        </row>
        <row r="3528">
          <cell r="C3528" t="str">
            <v>XM Bình Phước MBA T2 (phía 6kV)</v>
          </cell>
          <cell r="E3528">
            <v>0</v>
          </cell>
          <cell r="F3528">
            <v>0</v>
          </cell>
          <cell r="H3528">
            <v>0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</row>
        <row r="3529">
          <cell r="C3529" t="str">
            <v>110kV 172 XM Bình Phước - 172 Chơn Thành</v>
          </cell>
          <cell r="F3529">
            <v>60.8</v>
          </cell>
          <cell r="H3529">
            <v>60.8</v>
          </cell>
          <cell r="I3529">
            <v>42</v>
          </cell>
          <cell r="J3529">
            <v>44.9</v>
          </cell>
          <cell r="K3529">
            <v>48.3</v>
          </cell>
          <cell r="L3529">
            <v>35.9</v>
          </cell>
          <cell r="M3529">
            <v>32.299999999999997</v>
          </cell>
        </row>
        <row r="3530">
          <cell r="C3530" t="str">
            <v>110kV 172 XM Holcim - 176 Kiên Bình</v>
          </cell>
          <cell r="F3530">
            <v>-98.8</v>
          </cell>
          <cell r="H3530">
            <v>-83</v>
          </cell>
          <cell r="I3530">
            <v>-64.099999999999994</v>
          </cell>
          <cell r="J3530">
            <v>-98.8</v>
          </cell>
          <cell r="K3530">
            <v>-63.9</v>
          </cell>
          <cell r="L3530">
            <v>-83.6</v>
          </cell>
          <cell r="M3530">
            <v>59.8</v>
          </cell>
        </row>
        <row r="3531">
          <cell r="C3531" t="str">
            <v>XM Holcim MBA T1 (phía 110kV)</v>
          </cell>
          <cell r="E3531">
            <v>0</v>
          </cell>
          <cell r="F3531">
            <v>0</v>
          </cell>
          <cell r="H3531">
            <v>0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</row>
        <row r="3532">
          <cell r="C3532" t="str">
            <v>XM Holcim MBA T2 (phía 110kV)</v>
          </cell>
          <cell r="F3532">
            <v>25.1</v>
          </cell>
          <cell r="H3532">
            <v>21.9</v>
          </cell>
          <cell r="I3532">
            <v>22.6</v>
          </cell>
          <cell r="J3532">
            <v>22.6</v>
          </cell>
          <cell r="K3532">
            <v>22.2</v>
          </cell>
          <cell r="L3532">
            <v>25.1</v>
          </cell>
          <cell r="M3532">
            <v>23.5</v>
          </cell>
        </row>
        <row r="3533">
          <cell r="C3533" t="str">
            <v>XM Holcim MBA T1 (phía 6kV)</v>
          </cell>
          <cell r="E3533">
            <v>0</v>
          </cell>
          <cell r="F3533">
            <v>0</v>
          </cell>
          <cell r="H3533">
            <v>0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</row>
        <row r="3534">
          <cell r="C3534" t="str">
            <v>XM Holcim MBA T2 (phía 6kV)</v>
          </cell>
          <cell r="F3534">
            <v>-25</v>
          </cell>
          <cell r="H3534">
            <v>-22.2</v>
          </cell>
          <cell r="I3534">
            <v>-22.4</v>
          </cell>
          <cell r="J3534">
            <v>-23</v>
          </cell>
          <cell r="K3534">
            <v>-22.1</v>
          </cell>
          <cell r="L3534">
            <v>-25</v>
          </cell>
          <cell r="M3534">
            <v>-23.2</v>
          </cell>
        </row>
        <row r="3535">
          <cell r="C3535" t="str">
            <v>XM Long An MBA T1 (phía 110kV)</v>
          </cell>
          <cell r="F3535">
            <v>5.0999999999999996</v>
          </cell>
          <cell r="H3535">
            <v>5</v>
          </cell>
          <cell r="I3535">
            <v>5.0999999999999996</v>
          </cell>
          <cell r="J3535">
            <v>4.9000000000000004</v>
          </cell>
          <cell r="K3535">
            <v>0.5</v>
          </cell>
          <cell r="L3535">
            <v>5.0999999999999996</v>
          </cell>
          <cell r="M3535">
            <v>5.0999999999999996</v>
          </cell>
        </row>
        <row r="3536">
          <cell r="C3536" t="str">
            <v>XM Long An MBA T1 (phía 6.6kV)</v>
          </cell>
          <cell r="F3536">
            <v>-5.0999999999999996</v>
          </cell>
          <cell r="H3536">
            <v>-5</v>
          </cell>
          <cell r="I3536">
            <v>-5.0999999999999996</v>
          </cell>
          <cell r="J3536">
            <v>-4.9000000000000004</v>
          </cell>
          <cell r="K3536">
            <v>-0.5</v>
          </cell>
          <cell r="L3536">
            <v>-5</v>
          </cell>
          <cell r="M3536">
            <v>-5</v>
          </cell>
        </row>
        <row r="3537">
          <cell r="C3537" t="str">
            <v>XM Tây Ninh MBA T1 (phía 110kV)</v>
          </cell>
          <cell r="F3537">
            <v>19.8</v>
          </cell>
          <cell r="H3537">
            <v>16.8</v>
          </cell>
          <cell r="I3537">
            <v>17.7</v>
          </cell>
          <cell r="J3537">
            <v>19.8</v>
          </cell>
          <cell r="K3537">
            <v>17.2</v>
          </cell>
          <cell r="L3537">
            <v>18.8</v>
          </cell>
          <cell r="M3537">
            <v>18.8</v>
          </cell>
        </row>
        <row r="3538">
          <cell r="C3538" t="str">
            <v>XM Tây Ninh MBA T1 (phía 6kV)</v>
          </cell>
          <cell r="F3538">
            <v>-19.5</v>
          </cell>
          <cell r="H3538">
            <v>-16.399999999999999</v>
          </cell>
          <cell r="I3538">
            <v>-18.100000000000001</v>
          </cell>
          <cell r="J3538">
            <v>-19.5</v>
          </cell>
          <cell r="K3538">
            <v>-17.100000000000001</v>
          </cell>
          <cell r="L3538">
            <v>-18.3</v>
          </cell>
          <cell r="M3538">
            <v>-18.5</v>
          </cell>
        </row>
        <row r="3539">
          <cell r="C3539" t="str">
            <v>XM Tây Ninh MBA T2 (phía 110kV)</v>
          </cell>
          <cell r="E3539">
            <v>0</v>
          </cell>
          <cell r="F3539">
            <v>0</v>
          </cell>
          <cell r="H3539">
            <v>0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</row>
        <row r="3540">
          <cell r="C3540" t="str">
            <v>XM Tây Ninh MBA T2 (phía 6kV)</v>
          </cell>
          <cell r="E3540">
            <v>0</v>
          </cell>
          <cell r="F3540">
            <v>0</v>
          </cell>
          <cell r="H3540">
            <v>0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</row>
        <row r="3541">
          <cell r="C3541" t="str">
            <v>220kV 271 Xuân Lộc 2 - 275 Long Thành</v>
          </cell>
          <cell r="F3541">
            <v>87.2</v>
          </cell>
          <cell r="H3541">
            <v>75</v>
          </cell>
          <cell r="I3541">
            <v>81.400000000000006</v>
          </cell>
          <cell r="J3541">
            <v>72.099999999999994</v>
          </cell>
          <cell r="K3541">
            <v>87.2</v>
          </cell>
          <cell r="L3541">
            <v>67.400000000000006</v>
          </cell>
          <cell r="M3541">
            <v>78.8</v>
          </cell>
        </row>
        <row r="3542">
          <cell r="C3542" t="str">
            <v>220kV 274 Xuân Lộc 2 - 272 NMĐ Đa Mi</v>
          </cell>
          <cell r="F3542">
            <v>-183.4</v>
          </cell>
          <cell r="H3542">
            <v>-183.4</v>
          </cell>
          <cell r="I3542">
            <v>-171.4</v>
          </cell>
          <cell r="J3542">
            <v>-157.69999999999999</v>
          </cell>
          <cell r="K3542">
            <v>-177.9</v>
          </cell>
          <cell r="L3542">
            <v>-141.80000000000001</v>
          </cell>
          <cell r="M3542">
            <v>-163</v>
          </cell>
        </row>
        <row r="3543">
          <cell r="C3543" t="str">
            <v>Xuân Lộc 2 MBA AT1 (phía 220kV)</v>
          </cell>
          <cell r="F3543">
            <v>111.2</v>
          </cell>
          <cell r="H3543">
            <v>111.2</v>
          </cell>
          <cell r="I3543">
            <v>95.8</v>
          </cell>
          <cell r="J3543">
            <v>103.8</v>
          </cell>
          <cell r="K3543">
            <v>94.8</v>
          </cell>
          <cell r="L3543">
            <v>73.2</v>
          </cell>
          <cell r="M3543">
            <v>87.6</v>
          </cell>
        </row>
        <row r="3544">
          <cell r="C3544" t="str">
            <v>110kV 172 Xuân Lộc 2 - 171 Xuân Trường</v>
          </cell>
          <cell r="F3544">
            <v>91.8</v>
          </cell>
          <cell r="H3544">
            <v>89.4</v>
          </cell>
          <cell r="I3544">
            <v>76.2</v>
          </cell>
          <cell r="J3544">
            <v>84.3</v>
          </cell>
          <cell r="K3544">
            <v>77.900000000000006</v>
          </cell>
          <cell r="L3544">
            <v>61.6</v>
          </cell>
          <cell r="M3544">
            <v>91.8</v>
          </cell>
        </row>
        <row r="3545">
          <cell r="C3545" t="str">
            <v>110kV 174 Xuân Lộc 2 - 171 Cẩm Mỹ</v>
          </cell>
          <cell r="F3545">
            <v>23.1</v>
          </cell>
          <cell r="H3545">
            <v>22.6</v>
          </cell>
          <cell r="I3545">
            <v>20.3</v>
          </cell>
          <cell r="J3545">
            <v>23.1</v>
          </cell>
          <cell r="K3545">
            <v>21.1</v>
          </cell>
          <cell r="L3545">
            <v>20.6</v>
          </cell>
          <cell r="M3545">
            <v>20.8</v>
          </cell>
        </row>
        <row r="3546">
          <cell r="C3546" t="str">
            <v>110kV 175 Xuân Lộc 2 - 172 Long Khánh</v>
          </cell>
          <cell r="F3546">
            <v>120.5</v>
          </cell>
          <cell r="H3546">
            <v>120.5</v>
          </cell>
          <cell r="I3546">
            <v>104.6</v>
          </cell>
          <cell r="J3546">
            <v>119.3</v>
          </cell>
          <cell r="K3546">
            <v>106</v>
          </cell>
          <cell r="L3546">
            <v>78</v>
          </cell>
          <cell r="M3546">
            <v>93.3</v>
          </cell>
        </row>
        <row r="3547">
          <cell r="C3547" t="str">
            <v>Xuân Lộc 2 MBA AT1 (phía 110kV)</v>
          </cell>
          <cell r="F3547">
            <v>-111</v>
          </cell>
          <cell r="H3547">
            <v>-111</v>
          </cell>
          <cell r="I3547">
            <v>-95.9</v>
          </cell>
          <cell r="J3547">
            <v>-103.3</v>
          </cell>
          <cell r="K3547">
            <v>-94.2</v>
          </cell>
          <cell r="L3547">
            <v>-72.400000000000006</v>
          </cell>
          <cell r="M3547">
            <v>-88.1</v>
          </cell>
        </row>
        <row r="3548">
          <cell r="C3548" t="str">
            <v>220kV 273 Xuân Lộc 2 - 272 NMĐ Hàm Thuận</v>
          </cell>
          <cell r="F3548">
            <v>-191.1</v>
          </cell>
          <cell r="H3548">
            <v>-191.1</v>
          </cell>
          <cell r="I3548">
            <v>-178.7</v>
          </cell>
          <cell r="J3548">
            <v>-163.6</v>
          </cell>
          <cell r="K3548">
            <v>-181.5</v>
          </cell>
          <cell r="L3548">
            <v>-143.9</v>
          </cell>
          <cell r="M3548">
            <v>-160.9</v>
          </cell>
        </row>
        <row r="3549">
          <cell r="C3549" t="str">
            <v>Xuân Lộc 2 MBA AT2 (phía 220kV)</v>
          </cell>
          <cell r="F3549">
            <v>114.4</v>
          </cell>
          <cell r="H3549">
            <v>114.4</v>
          </cell>
          <cell r="I3549">
            <v>98.1</v>
          </cell>
          <cell r="J3549">
            <v>106.6</v>
          </cell>
          <cell r="K3549">
            <v>96.6</v>
          </cell>
          <cell r="L3549">
            <v>74.5</v>
          </cell>
          <cell r="M3549">
            <v>90.1</v>
          </cell>
        </row>
        <row r="3550">
          <cell r="C3550" t="str">
            <v>220kV 272 Xuân Lộc 2 - 276 Long Thành</v>
          </cell>
          <cell r="F3550">
            <v>107</v>
          </cell>
          <cell r="H3550">
            <v>93.8</v>
          </cell>
          <cell r="I3550">
            <v>101.2</v>
          </cell>
          <cell r="J3550">
            <v>92.9</v>
          </cell>
          <cell r="K3550">
            <v>107</v>
          </cell>
          <cell r="L3550">
            <v>84.3</v>
          </cell>
          <cell r="M3550">
            <v>96.7</v>
          </cell>
        </row>
        <row r="3551">
          <cell r="C3551" t="str">
            <v>Xuân Lộc 2 MBA AT2 (phía 110kV)</v>
          </cell>
          <cell r="F3551">
            <v>-114.3</v>
          </cell>
          <cell r="H3551">
            <v>-114.3</v>
          </cell>
          <cell r="I3551">
            <v>-98</v>
          </cell>
          <cell r="J3551">
            <v>-106.7</v>
          </cell>
          <cell r="K3551">
            <v>-96.5</v>
          </cell>
          <cell r="L3551">
            <v>-74.3</v>
          </cell>
          <cell r="M3551">
            <v>-90.1</v>
          </cell>
        </row>
        <row r="3552">
          <cell r="C3552" t="str">
            <v>Xuân Thới Sơn MBA T1 (phía 110kV)</v>
          </cell>
          <cell r="E3552">
            <v>0</v>
          </cell>
          <cell r="F3552">
            <v>0</v>
          </cell>
          <cell r="H3552">
            <v>0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</row>
        <row r="3553">
          <cell r="C3553" t="str">
            <v>Xuân Thới Sơn MBA T2 (phía 110kV)</v>
          </cell>
          <cell r="E3553">
            <v>0</v>
          </cell>
          <cell r="F3553">
            <v>0</v>
          </cell>
          <cell r="H3553">
            <v>0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</row>
        <row r="3554">
          <cell r="C3554" t="str">
            <v>Xuân Thới Sơn MBA T1 (phía 22kV)</v>
          </cell>
          <cell r="E3554">
            <v>0</v>
          </cell>
          <cell r="F3554">
            <v>0</v>
          </cell>
          <cell r="H3554">
            <v>0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</row>
        <row r="3555">
          <cell r="C3555" t="str">
            <v>Xuân Thới Sơn MBA T2 (phía 22kV)</v>
          </cell>
          <cell r="E3555">
            <v>0</v>
          </cell>
          <cell r="F3555">
            <v>0</v>
          </cell>
          <cell r="H3555">
            <v>0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</row>
        <row r="3556">
          <cell r="C3556" t="str">
            <v>110kV 171 Xuân Trường - 172 Xuân Lộc 2</v>
          </cell>
          <cell r="F3556">
            <v>-92.2</v>
          </cell>
          <cell r="H3556">
            <v>-90.1</v>
          </cell>
          <cell r="I3556">
            <v>-77.400000000000006</v>
          </cell>
          <cell r="J3556">
            <v>-84.6</v>
          </cell>
          <cell r="K3556">
            <v>-78.099999999999994</v>
          </cell>
          <cell r="L3556">
            <v>-62.6</v>
          </cell>
          <cell r="M3556">
            <v>-92.2</v>
          </cell>
        </row>
        <row r="3557">
          <cell r="C3557" t="str">
            <v>110kV 172 Xuân Trường - 172 Đức Linh</v>
          </cell>
          <cell r="E3557">
            <v>0</v>
          </cell>
          <cell r="F3557">
            <v>-34.5</v>
          </cell>
          <cell r="H3557">
            <v>0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-34.5</v>
          </cell>
        </row>
        <row r="3558">
          <cell r="C3558" t="str">
            <v>Xuân Trường MBA T1 (phía 110kV)</v>
          </cell>
          <cell r="F3558">
            <v>47.9</v>
          </cell>
          <cell r="H3558">
            <v>47.7</v>
          </cell>
          <cell r="I3558">
            <v>39.9</v>
          </cell>
          <cell r="J3558">
            <v>47.9</v>
          </cell>
          <cell r="K3558">
            <v>43.7</v>
          </cell>
          <cell r="L3558">
            <v>34.5</v>
          </cell>
          <cell r="M3558">
            <v>31.7</v>
          </cell>
        </row>
        <row r="3559">
          <cell r="C3559" t="str">
            <v>Xuân Trường MBA T2 (phía 110kV)</v>
          </cell>
          <cell r="F3559">
            <v>42.4</v>
          </cell>
          <cell r="H3559">
            <v>42.4</v>
          </cell>
          <cell r="I3559">
            <v>36.4</v>
          </cell>
          <cell r="J3559">
            <v>35.6</v>
          </cell>
          <cell r="K3559">
            <v>33.4</v>
          </cell>
          <cell r="L3559">
            <v>29.6</v>
          </cell>
          <cell r="M3559">
            <v>27.2</v>
          </cell>
        </row>
        <row r="3560">
          <cell r="C3560" t="str">
            <v>Xuân Trường MBA T1 (phía 22kV)</v>
          </cell>
          <cell r="F3560">
            <v>-48.2</v>
          </cell>
          <cell r="H3560">
            <v>-47.3</v>
          </cell>
          <cell r="I3560">
            <v>-39.5</v>
          </cell>
          <cell r="J3560">
            <v>-48.2</v>
          </cell>
          <cell r="K3560">
            <v>-43.6</v>
          </cell>
          <cell r="L3560">
            <v>-34.5</v>
          </cell>
          <cell r="M3560">
            <v>-31.6</v>
          </cell>
        </row>
        <row r="3561">
          <cell r="C3561" t="str">
            <v>Xuân Trường MBA T2 (phía 22kV)</v>
          </cell>
          <cell r="F3561">
            <v>-43.5</v>
          </cell>
          <cell r="H3561">
            <v>-43.5</v>
          </cell>
          <cell r="I3561">
            <v>-37</v>
          </cell>
          <cell r="J3561">
            <v>-36.5</v>
          </cell>
          <cell r="K3561">
            <v>-34.299999999999997</v>
          </cell>
          <cell r="L3561">
            <v>-30.6</v>
          </cell>
          <cell r="M3561">
            <v>-28</v>
          </cell>
        </row>
        <row r="3562">
          <cell r="C3562" t="str">
            <v>110kV 171 Xuyên Mộc - 172 Long Đất</v>
          </cell>
          <cell r="F3562">
            <v>-40.299999999999997</v>
          </cell>
          <cell r="H3562">
            <v>-40.299999999999997</v>
          </cell>
          <cell r="I3562">
            <v>22.5</v>
          </cell>
          <cell r="J3562">
            <v>20.7</v>
          </cell>
          <cell r="K3562">
            <v>21.4</v>
          </cell>
          <cell r="L3562">
            <v>22.5</v>
          </cell>
          <cell r="M3562">
            <v>24.8</v>
          </cell>
        </row>
        <row r="3563">
          <cell r="C3563" t="str">
            <v>Xuyên Mộc MBA T1 (phía 110kV)</v>
          </cell>
          <cell r="F3563">
            <v>22.8</v>
          </cell>
          <cell r="H3563">
            <v>17.600000000000001</v>
          </cell>
          <cell r="I3563">
            <v>22.8</v>
          </cell>
          <cell r="J3563">
            <v>-17.7</v>
          </cell>
          <cell r="K3563">
            <v>-16</v>
          </cell>
          <cell r="L3563">
            <v>15.3</v>
          </cell>
          <cell r="M3563">
            <v>-17</v>
          </cell>
        </row>
        <row r="3564">
          <cell r="C3564" t="str">
            <v>Xuyên Mộc MBA T1 (phía 22kV)</v>
          </cell>
          <cell r="F3564">
            <v>-22.7</v>
          </cell>
          <cell r="H3564">
            <v>-17.600000000000001</v>
          </cell>
          <cell r="I3564">
            <v>-22.7</v>
          </cell>
          <cell r="J3564">
            <v>17.8</v>
          </cell>
          <cell r="K3564">
            <v>16.100000000000001</v>
          </cell>
          <cell r="L3564">
            <v>-15.3</v>
          </cell>
          <cell r="M3564">
            <v>17</v>
          </cell>
        </row>
        <row r="3565">
          <cell r="C3565" t="str">
            <v>110kV 172 Xuyên Mộc - 172 Thắng Hải</v>
          </cell>
          <cell r="F3565">
            <v>-76.7</v>
          </cell>
          <cell r="H3565">
            <v>-76.7</v>
          </cell>
          <cell r="I3565">
            <v>-70.7</v>
          </cell>
          <cell r="J3565">
            <v>-67.7</v>
          </cell>
          <cell r="K3565">
            <v>-61.3</v>
          </cell>
          <cell r="L3565">
            <v>-62.1</v>
          </cell>
          <cell r="M3565">
            <v>-66.400000000000006</v>
          </cell>
        </row>
        <row r="3566">
          <cell r="C3566" t="str">
            <v>Xuyên Mộc MBA T2 (phía 110kV)</v>
          </cell>
          <cell r="F3566">
            <v>32.5</v>
          </cell>
          <cell r="H3566">
            <v>32.5</v>
          </cell>
          <cell r="I3566">
            <v>27.9</v>
          </cell>
          <cell r="J3566">
            <v>30.5</v>
          </cell>
          <cell r="K3566">
            <v>24.8</v>
          </cell>
          <cell r="L3566">
            <v>24.8</v>
          </cell>
          <cell r="M3566">
            <v>27</v>
          </cell>
        </row>
        <row r="3567">
          <cell r="C3567" t="str">
            <v>Xuyên Mộc MBA T2 (phía 22kV)</v>
          </cell>
          <cell r="F3567">
            <v>-32.5</v>
          </cell>
          <cell r="H3567">
            <v>-32.5</v>
          </cell>
          <cell r="I3567">
            <v>-27.8</v>
          </cell>
          <cell r="J3567">
            <v>-30.4</v>
          </cell>
          <cell r="K3567">
            <v>-24.7</v>
          </cell>
          <cell r="L3567">
            <v>-24.8</v>
          </cell>
          <cell r="M3567">
            <v>-27</v>
          </cell>
        </row>
      </sheetData>
      <sheetData sheetId="2">
        <row r="2">
          <cell r="G2" t="str">
            <v>01-10</v>
          </cell>
          <cell r="H2" t="str">
            <v>02-10</v>
          </cell>
          <cell r="I2" t="str">
            <v>03-10</v>
          </cell>
          <cell r="J2" t="str">
            <v>04-10</v>
          </cell>
          <cell r="K2" t="str">
            <v>05-10</v>
          </cell>
          <cell r="L2" t="str">
            <v>06-10</v>
          </cell>
          <cell r="M2" t="str">
            <v>07-10</v>
          </cell>
        </row>
        <row r="4">
          <cell r="C4" t="str">
            <v>Đường dây/MBA</v>
          </cell>
          <cell r="D4" t="str">
            <v>MC</v>
          </cell>
          <cell r="E4" t="str">
            <v>Min</v>
          </cell>
          <cell r="F4" t="str">
            <v>Max</v>
          </cell>
        </row>
        <row r="5">
          <cell r="C5">
            <v>22</v>
          </cell>
        </row>
        <row r="6">
          <cell r="C6" t="str">
            <v>Amata MBA T1 (phía 110kV)</v>
          </cell>
          <cell r="D6">
            <v>131</v>
          </cell>
          <cell r="E6">
            <v>1.3</v>
          </cell>
          <cell r="F6">
            <v>7.1</v>
          </cell>
          <cell r="G6">
            <v>6.3</v>
          </cell>
          <cell r="H6">
            <v>6.5</v>
          </cell>
          <cell r="I6">
            <v>5.6</v>
          </cell>
          <cell r="J6">
            <v>1.3</v>
          </cell>
          <cell r="K6">
            <v>6.7</v>
          </cell>
          <cell r="L6">
            <v>7.1</v>
          </cell>
          <cell r="M6">
            <v>6.9</v>
          </cell>
        </row>
        <row r="7">
          <cell r="C7" t="str">
            <v>Amata MBA T2 (phía 110kV)</v>
          </cell>
          <cell r="D7">
            <v>132</v>
          </cell>
          <cell r="E7">
            <v>4.4000000000000004</v>
          </cell>
          <cell r="F7">
            <v>11</v>
          </cell>
          <cell r="G7">
            <v>10.4</v>
          </cell>
          <cell r="H7">
            <v>11</v>
          </cell>
          <cell r="I7">
            <v>8.3000000000000007</v>
          </cell>
          <cell r="J7">
            <v>4.4000000000000004</v>
          </cell>
          <cell r="K7">
            <v>10</v>
          </cell>
          <cell r="L7">
            <v>9.8000000000000007</v>
          </cell>
          <cell r="M7">
            <v>9.8000000000000007</v>
          </cell>
        </row>
        <row r="8">
          <cell r="C8" t="str">
            <v>110kV 171 Amata - 172 Amata 2</v>
          </cell>
          <cell r="D8">
            <v>171</v>
          </cell>
          <cell r="E8">
            <v>-4.5</v>
          </cell>
          <cell r="F8">
            <v>-18.600000000000001</v>
          </cell>
          <cell r="G8">
            <v>-17.600000000000001</v>
          </cell>
          <cell r="H8">
            <v>-18.600000000000001</v>
          </cell>
          <cell r="I8">
            <v>-14.4</v>
          </cell>
          <cell r="J8">
            <v>-4.5</v>
          </cell>
          <cell r="K8">
            <v>-17.100000000000001</v>
          </cell>
          <cell r="L8">
            <v>-17.600000000000001</v>
          </cell>
          <cell r="M8">
            <v>-17.399999999999999</v>
          </cell>
        </row>
        <row r="9">
          <cell r="C9" t="str">
            <v>110kV 172 Amata - 172 An Bình</v>
          </cell>
          <cell r="D9">
            <v>172</v>
          </cell>
          <cell r="E9">
            <v>-0.1</v>
          </cell>
          <cell r="F9">
            <v>-0.2</v>
          </cell>
          <cell r="G9">
            <v>-0.2</v>
          </cell>
          <cell r="H9">
            <v>-0.2</v>
          </cell>
          <cell r="I9">
            <v>-0.1</v>
          </cell>
          <cell r="J9">
            <v>-0.2</v>
          </cell>
          <cell r="K9">
            <v>-0.2</v>
          </cell>
          <cell r="L9">
            <v>-0.2</v>
          </cell>
          <cell r="M9">
            <v>-0.2</v>
          </cell>
        </row>
        <row r="10">
          <cell r="C10" t="str">
            <v>Amata MBA T1 (phía 22kV)</v>
          </cell>
          <cell r="D10">
            <v>431</v>
          </cell>
          <cell r="E10">
            <v>-1.3</v>
          </cell>
          <cell r="F10">
            <v>-6.9</v>
          </cell>
          <cell r="G10">
            <v>-6.4</v>
          </cell>
          <cell r="H10">
            <v>-6.5</v>
          </cell>
          <cell r="I10">
            <v>-5.7</v>
          </cell>
          <cell r="J10">
            <v>-1.3</v>
          </cell>
          <cell r="K10">
            <v>-6.7</v>
          </cell>
          <cell r="L10">
            <v>-6.8</v>
          </cell>
          <cell r="M10">
            <v>-6.9</v>
          </cell>
        </row>
        <row r="11">
          <cell r="C11" t="str">
            <v>Amata MBA T2 (phía 22kV)</v>
          </cell>
          <cell r="D11">
            <v>432</v>
          </cell>
          <cell r="E11">
            <v>-3.3</v>
          </cell>
          <cell r="F11">
            <v>-8.9</v>
          </cell>
          <cell r="G11">
            <v>-8.6999999999999993</v>
          </cell>
          <cell r="H11">
            <v>-8.9</v>
          </cell>
          <cell r="I11">
            <v>-6.8</v>
          </cell>
          <cell r="J11">
            <v>-3.3</v>
          </cell>
          <cell r="K11">
            <v>-8.1999999999999993</v>
          </cell>
          <cell r="L11">
            <v>-8</v>
          </cell>
          <cell r="M11">
            <v>-8</v>
          </cell>
        </row>
        <row r="12">
          <cell r="C12" t="str">
            <v>Amata 2 MBA T1 (phía 110kV)</v>
          </cell>
          <cell r="D12">
            <v>131</v>
          </cell>
          <cell r="E12">
            <v>4.8</v>
          </cell>
          <cell r="F12">
            <v>11</v>
          </cell>
          <cell r="G12">
            <v>11</v>
          </cell>
          <cell r="H12">
            <v>9.5</v>
          </cell>
          <cell r="I12">
            <v>8.6</v>
          </cell>
          <cell r="J12">
            <v>4.8</v>
          </cell>
          <cell r="K12">
            <v>10.199999999999999</v>
          </cell>
          <cell r="L12">
            <v>9.6</v>
          </cell>
          <cell r="M12">
            <v>10.1</v>
          </cell>
        </row>
        <row r="13">
          <cell r="C13" t="str">
            <v>Amata 2 MBA T2 (phía 110kV)</v>
          </cell>
          <cell r="D13">
            <v>132</v>
          </cell>
          <cell r="E13">
            <v>4.2</v>
          </cell>
          <cell r="F13">
            <v>11.6</v>
          </cell>
          <cell r="G13">
            <v>11.2</v>
          </cell>
          <cell r="H13">
            <v>11.6</v>
          </cell>
          <cell r="I13">
            <v>10.199999999999999</v>
          </cell>
          <cell r="J13">
            <v>4.2</v>
          </cell>
          <cell r="K13">
            <v>11.3</v>
          </cell>
          <cell r="L13">
            <v>11.4</v>
          </cell>
          <cell r="M13">
            <v>11.4</v>
          </cell>
        </row>
        <row r="14">
          <cell r="C14" t="str">
            <v>110kV 171 Amata 2 - 177 Long Bình</v>
          </cell>
          <cell r="D14">
            <v>171</v>
          </cell>
          <cell r="E14">
            <v>-13.8</v>
          </cell>
          <cell r="F14">
            <v>-40.700000000000003</v>
          </cell>
          <cell r="G14">
            <v>-40.700000000000003</v>
          </cell>
          <cell r="H14">
            <v>-39.700000000000003</v>
          </cell>
          <cell r="I14">
            <v>-33.9</v>
          </cell>
          <cell r="J14">
            <v>-13.8</v>
          </cell>
          <cell r="K14">
            <v>-39.1</v>
          </cell>
          <cell r="L14">
            <v>-39.6</v>
          </cell>
          <cell r="M14">
            <v>-40.4</v>
          </cell>
        </row>
        <row r="15">
          <cell r="C15" t="str">
            <v>110kV 172 Amata 2 - 171 Amata</v>
          </cell>
          <cell r="D15">
            <v>172</v>
          </cell>
          <cell r="E15">
            <v>4.5</v>
          </cell>
          <cell r="F15">
            <v>18.600000000000001</v>
          </cell>
          <cell r="G15">
            <v>17.5</v>
          </cell>
          <cell r="H15">
            <v>18.600000000000001</v>
          </cell>
          <cell r="I15">
            <v>14.3</v>
          </cell>
          <cell r="J15">
            <v>4.5</v>
          </cell>
          <cell r="K15">
            <v>16.8</v>
          </cell>
          <cell r="L15">
            <v>17.3</v>
          </cell>
          <cell r="M15">
            <v>17.2</v>
          </cell>
        </row>
        <row r="16">
          <cell r="C16" t="str">
            <v>Amata 2 MBA T1 (phía 22kV)</v>
          </cell>
          <cell r="D16">
            <v>431</v>
          </cell>
          <cell r="E16">
            <v>-4.5</v>
          </cell>
          <cell r="F16">
            <v>-9.5</v>
          </cell>
          <cell r="G16">
            <v>-9.5</v>
          </cell>
          <cell r="H16">
            <v>-8.5</v>
          </cell>
          <cell r="I16">
            <v>-7.8</v>
          </cell>
          <cell r="J16">
            <v>-4.5</v>
          </cell>
          <cell r="K16">
            <v>-9</v>
          </cell>
          <cell r="L16">
            <v>-8.5</v>
          </cell>
          <cell r="M16">
            <v>-9</v>
          </cell>
        </row>
        <row r="17">
          <cell r="C17" t="str">
            <v>Amata 2 MBA T2 (phía 22kV)</v>
          </cell>
          <cell r="D17">
            <v>432</v>
          </cell>
          <cell r="E17">
            <v>-3.5</v>
          </cell>
          <cell r="F17">
            <v>-9.1</v>
          </cell>
          <cell r="G17">
            <v>-8.6999999999999993</v>
          </cell>
          <cell r="H17">
            <v>-9</v>
          </cell>
          <cell r="I17">
            <v>-8</v>
          </cell>
          <cell r="J17">
            <v>-3.5</v>
          </cell>
          <cell r="K17">
            <v>-8.8000000000000007</v>
          </cell>
          <cell r="L17">
            <v>-9.1</v>
          </cell>
          <cell r="M17">
            <v>-9</v>
          </cell>
        </row>
        <row r="18">
          <cell r="C18" t="str">
            <v>An Biên MBA T2 (phía 110kV)</v>
          </cell>
          <cell r="D18">
            <v>132</v>
          </cell>
          <cell r="E18">
            <v>-2</v>
          </cell>
          <cell r="F18">
            <v>4.2</v>
          </cell>
          <cell r="G18">
            <v>4.2</v>
          </cell>
          <cell r="H18">
            <v>2.9</v>
          </cell>
          <cell r="I18">
            <v>-2.5</v>
          </cell>
          <cell r="J18">
            <v>-2</v>
          </cell>
          <cell r="K18">
            <v>-2.2000000000000002</v>
          </cell>
          <cell r="L18">
            <v>-2.2000000000000002</v>
          </cell>
          <cell r="M18">
            <v>-2.2000000000000002</v>
          </cell>
        </row>
        <row r="19">
          <cell r="C19" t="str">
            <v>110kV 171 An Biên - 171 Minh Phong</v>
          </cell>
          <cell r="D19">
            <v>171</v>
          </cell>
          <cell r="E19">
            <v>2.9</v>
          </cell>
          <cell r="F19">
            <v>-5.3</v>
          </cell>
          <cell r="G19">
            <v>-5.3</v>
          </cell>
          <cell r="H19">
            <v>-3.5</v>
          </cell>
          <cell r="I19">
            <v>4</v>
          </cell>
          <cell r="J19">
            <v>2.9</v>
          </cell>
          <cell r="K19">
            <v>2.9</v>
          </cell>
          <cell r="L19">
            <v>3.8</v>
          </cell>
          <cell r="M19">
            <v>3.8</v>
          </cell>
        </row>
        <row r="20">
          <cell r="C20" t="str">
            <v>110kV 172 An Biên - 132 Vĩnh Thuận</v>
          </cell>
          <cell r="D20">
            <v>172</v>
          </cell>
          <cell r="E20">
            <v>-1.2</v>
          </cell>
          <cell r="F20">
            <v>1.6</v>
          </cell>
          <cell r="G20">
            <v>-1.3</v>
          </cell>
          <cell r="H20">
            <v>-1.2</v>
          </cell>
          <cell r="I20">
            <v>1.6</v>
          </cell>
          <cell r="J20">
            <v>1.3</v>
          </cell>
          <cell r="K20">
            <v>1.3</v>
          </cell>
          <cell r="L20">
            <v>-1.2</v>
          </cell>
          <cell r="M20">
            <v>-1.3</v>
          </cell>
        </row>
        <row r="21">
          <cell r="C21" t="str">
            <v>An Biên MBA T2 (phía 22kV)</v>
          </cell>
          <cell r="D21">
            <v>432</v>
          </cell>
          <cell r="E21">
            <v>2.7</v>
          </cell>
          <cell r="F21">
            <v>3.6</v>
          </cell>
          <cell r="G21">
            <v>3.4</v>
          </cell>
          <cell r="H21">
            <v>2.7</v>
          </cell>
          <cell r="I21">
            <v>3.6</v>
          </cell>
          <cell r="J21">
            <v>3.3</v>
          </cell>
          <cell r="K21">
            <v>3.4</v>
          </cell>
          <cell r="L21">
            <v>3.4</v>
          </cell>
          <cell r="M21">
            <v>3.3</v>
          </cell>
        </row>
        <row r="22">
          <cell r="C22" t="str">
            <v>An Bình MBA T1 (phía 110kV)</v>
          </cell>
          <cell r="D22">
            <v>131</v>
          </cell>
          <cell r="E22">
            <v>4.0999999999999996</v>
          </cell>
          <cell r="F22">
            <v>7.6</v>
          </cell>
          <cell r="G22">
            <v>7.1</v>
          </cell>
          <cell r="H22">
            <v>7.6</v>
          </cell>
          <cell r="I22">
            <v>4.0999999999999996</v>
          </cell>
          <cell r="J22">
            <v>-6.9</v>
          </cell>
          <cell r="K22">
            <v>5.8</v>
          </cell>
          <cell r="L22">
            <v>7.1</v>
          </cell>
          <cell r="M22">
            <v>7</v>
          </cell>
        </row>
        <row r="23">
          <cell r="C23" t="str">
            <v>An Bình MBA T2 (phía 110kV)</v>
          </cell>
          <cell r="D23">
            <v>132</v>
          </cell>
          <cell r="E23">
            <v>-3.6</v>
          </cell>
          <cell r="F23">
            <v>9.1999999999999993</v>
          </cell>
          <cell r="G23">
            <v>9.1999999999999993</v>
          </cell>
          <cell r="H23">
            <v>9</v>
          </cell>
          <cell r="I23">
            <v>-3.6</v>
          </cell>
          <cell r="J23">
            <v>-7.1</v>
          </cell>
          <cell r="K23">
            <v>8.1</v>
          </cell>
          <cell r="L23">
            <v>7.6</v>
          </cell>
          <cell r="M23">
            <v>7.9</v>
          </cell>
        </row>
        <row r="24">
          <cell r="C24" t="str">
            <v>110kV 171 An Bình - 176 Long Bình</v>
          </cell>
          <cell r="D24">
            <v>171</v>
          </cell>
          <cell r="E24">
            <v>-6.7</v>
          </cell>
          <cell r="F24">
            <v>-15</v>
          </cell>
          <cell r="G24">
            <v>-15</v>
          </cell>
          <cell r="H24">
            <v>-14.6</v>
          </cell>
          <cell r="I24">
            <v>-6.7</v>
          </cell>
          <cell r="J24">
            <v>14</v>
          </cell>
          <cell r="K24">
            <v>-11.7</v>
          </cell>
          <cell r="L24">
            <v>-13.6</v>
          </cell>
          <cell r="M24">
            <v>-12.6</v>
          </cell>
        </row>
        <row r="25">
          <cell r="C25" t="str">
            <v>110kV 172 An Bình - 172 Amata</v>
          </cell>
          <cell r="D25">
            <v>172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C26" t="str">
            <v>An Bình MBA T1 (phía 22kV)</v>
          </cell>
          <cell r="D26">
            <v>431</v>
          </cell>
          <cell r="E26">
            <v>1.8</v>
          </cell>
          <cell r="F26">
            <v>7.6</v>
          </cell>
          <cell r="G26">
            <v>-3.4</v>
          </cell>
          <cell r="H26">
            <v>-4.2</v>
          </cell>
          <cell r="I26">
            <v>1.8</v>
          </cell>
          <cell r="J26">
            <v>7.6</v>
          </cell>
          <cell r="K26">
            <v>5.7</v>
          </cell>
          <cell r="L26">
            <v>-3.7</v>
          </cell>
          <cell r="M26">
            <v>-3.6</v>
          </cell>
        </row>
        <row r="27">
          <cell r="C27" t="str">
            <v>An Bình MBA T2 (phía 22kV)</v>
          </cell>
          <cell r="D27">
            <v>432</v>
          </cell>
          <cell r="E27">
            <v>-4.0999999999999996</v>
          </cell>
          <cell r="F27">
            <v>7.6</v>
          </cell>
          <cell r="G27">
            <v>-5.2</v>
          </cell>
          <cell r="H27">
            <v>-4.5999999999999996</v>
          </cell>
          <cell r="I27">
            <v>4.7</v>
          </cell>
          <cell r="J27">
            <v>7.6</v>
          </cell>
          <cell r="K27">
            <v>4.2</v>
          </cell>
          <cell r="L27">
            <v>-4.2</v>
          </cell>
          <cell r="M27">
            <v>-4.0999999999999996</v>
          </cell>
        </row>
        <row r="28">
          <cell r="C28" t="str">
            <v>An Châu MBA T1 (phía 110kV)</v>
          </cell>
          <cell r="D28">
            <v>131</v>
          </cell>
          <cell r="E28">
            <v>2.4</v>
          </cell>
          <cell r="F28">
            <v>4.3</v>
          </cell>
          <cell r="G28">
            <v>2.6</v>
          </cell>
          <cell r="H28">
            <v>-3.4</v>
          </cell>
          <cell r="I28">
            <v>3.4</v>
          </cell>
          <cell r="J28">
            <v>2.4</v>
          </cell>
          <cell r="K28">
            <v>2.6</v>
          </cell>
          <cell r="L28">
            <v>3.4</v>
          </cell>
          <cell r="M28">
            <v>4.3</v>
          </cell>
        </row>
        <row r="29">
          <cell r="C29" t="str">
            <v>An Châu MBA T2 (phía 110kV)</v>
          </cell>
          <cell r="D29">
            <v>132</v>
          </cell>
          <cell r="E29">
            <v>-2.2000000000000002</v>
          </cell>
          <cell r="F29">
            <v>-3</v>
          </cell>
          <cell r="G29">
            <v>-2.2000000000000002</v>
          </cell>
          <cell r="H29">
            <v>-2.4</v>
          </cell>
          <cell r="I29">
            <v>-2.2999999999999998</v>
          </cell>
          <cell r="J29">
            <v>-3</v>
          </cell>
          <cell r="K29">
            <v>-2.9</v>
          </cell>
          <cell r="L29">
            <v>-2.2000000000000002</v>
          </cell>
          <cell r="M29">
            <v>-2.2000000000000002</v>
          </cell>
        </row>
        <row r="30">
          <cell r="C30" t="str">
            <v>110kV 171 An Châu - 171 Cái Dầu</v>
          </cell>
          <cell r="D30">
            <v>171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C31" t="str">
            <v>110kV 172 An Châu - 176 Long Xuyên 2</v>
          </cell>
          <cell r="D31">
            <v>172</v>
          </cell>
          <cell r="E31">
            <v>2.9</v>
          </cell>
          <cell r="F31">
            <v>5.0999999999999996</v>
          </cell>
          <cell r="G31">
            <v>3.7</v>
          </cell>
          <cell r="H31">
            <v>4.5999999999999996</v>
          </cell>
          <cell r="I31">
            <v>5.0999999999999996</v>
          </cell>
          <cell r="J31">
            <v>3.6</v>
          </cell>
          <cell r="K31">
            <v>4.5999999999999996</v>
          </cell>
          <cell r="L31">
            <v>2.9</v>
          </cell>
          <cell r="M31">
            <v>4.0999999999999996</v>
          </cell>
        </row>
        <row r="32">
          <cell r="C32" t="str">
            <v>An Châu MBA T1 (phía 22kV)</v>
          </cell>
          <cell r="D32">
            <v>431</v>
          </cell>
          <cell r="E32">
            <v>2.7</v>
          </cell>
          <cell r="F32">
            <v>4.5999999999999996</v>
          </cell>
          <cell r="G32">
            <v>3.1</v>
          </cell>
          <cell r="H32">
            <v>4.5999999999999996</v>
          </cell>
          <cell r="I32">
            <v>4.4000000000000004</v>
          </cell>
          <cell r="J32">
            <v>2.7</v>
          </cell>
          <cell r="K32">
            <v>2.9</v>
          </cell>
          <cell r="L32">
            <v>3.4</v>
          </cell>
          <cell r="M32">
            <v>4</v>
          </cell>
        </row>
        <row r="33">
          <cell r="C33" t="str">
            <v>An Châu MBA T2 (phía 22kV)</v>
          </cell>
          <cell r="D33">
            <v>432</v>
          </cell>
          <cell r="E33">
            <v>2.5</v>
          </cell>
          <cell r="F33">
            <v>3.2</v>
          </cell>
          <cell r="G33">
            <v>2.6</v>
          </cell>
          <cell r="H33">
            <v>2.8</v>
          </cell>
          <cell r="I33">
            <v>2.8</v>
          </cell>
          <cell r="J33">
            <v>3.2</v>
          </cell>
          <cell r="K33">
            <v>3.1</v>
          </cell>
          <cell r="L33">
            <v>2.5</v>
          </cell>
          <cell r="M33">
            <v>2.6</v>
          </cell>
        </row>
        <row r="34">
          <cell r="C34" t="str">
            <v>An Hòa MBA T1 (phía 110kV)</v>
          </cell>
          <cell r="D34">
            <v>131</v>
          </cell>
          <cell r="E34">
            <v>2.2000000000000002</v>
          </cell>
          <cell r="F34">
            <v>-6</v>
          </cell>
          <cell r="G34">
            <v>-4.0999999999999996</v>
          </cell>
          <cell r="H34">
            <v>-6</v>
          </cell>
          <cell r="I34">
            <v>-2.9</v>
          </cell>
          <cell r="J34">
            <v>-4.2</v>
          </cell>
          <cell r="K34">
            <v>-3.3</v>
          </cell>
          <cell r="L34">
            <v>4</v>
          </cell>
          <cell r="M34">
            <v>2.2000000000000002</v>
          </cell>
        </row>
        <row r="35">
          <cell r="C35" t="str">
            <v>An Hòa MBA T2 (phía 110kV)</v>
          </cell>
          <cell r="D35">
            <v>132</v>
          </cell>
          <cell r="E35">
            <v>3</v>
          </cell>
          <cell r="F35">
            <v>-5.0999999999999996</v>
          </cell>
          <cell r="G35">
            <v>3.4</v>
          </cell>
          <cell r="H35">
            <v>4.0999999999999996</v>
          </cell>
          <cell r="I35">
            <v>3</v>
          </cell>
          <cell r="J35">
            <v>-3.2</v>
          </cell>
          <cell r="K35">
            <v>3.4</v>
          </cell>
          <cell r="L35">
            <v>-5.0999999999999996</v>
          </cell>
          <cell r="M35">
            <v>-4.3</v>
          </cell>
        </row>
        <row r="36">
          <cell r="C36" t="str">
            <v>110kV 171 An Hòa - 173 Sa Đéc 2</v>
          </cell>
          <cell r="D36">
            <v>171</v>
          </cell>
          <cell r="E36">
            <v>4.0999999999999996</v>
          </cell>
          <cell r="F36">
            <v>6.3</v>
          </cell>
          <cell r="G36">
            <v>-4.2</v>
          </cell>
          <cell r="H36">
            <v>-5.9</v>
          </cell>
          <cell r="I36">
            <v>4.5</v>
          </cell>
          <cell r="J36">
            <v>6.3</v>
          </cell>
          <cell r="K36">
            <v>5.0999999999999996</v>
          </cell>
          <cell r="L36">
            <v>4.0999999999999996</v>
          </cell>
          <cell r="M36">
            <v>-4.3</v>
          </cell>
        </row>
        <row r="37">
          <cell r="C37" t="str">
            <v>110kV 172 An Hòa - 171 Thạnh Hưng</v>
          </cell>
          <cell r="D37">
            <v>172</v>
          </cell>
          <cell r="E37">
            <v>0</v>
          </cell>
          <cell r="F37">
            <v>-1.3</v>
          </cell>
          <cell r="G37">
            <v>0</v>
          </cell>
          <cell r="H37">
            <v>0</v>
          </cell>
          <cell r="I37">
            <v>0</v>
          </cell>
          <cell r="J37">
            <v>-1.3</v>
          </cell>
          <cell r="K37">
            <v>0</v>
          </cell>
          <cell r="L37">
            <v>0</v>
          </cell>
          <cell r="M37">
            <v>0</v>
          </cell>
        </row>
        <row r="38">
          <cell r="C38" t="str">
            <v>An Hòa MBA T1 (phía 22kV)</v>
          </cell>
          <cell r="D38">
            <v>431</v>
          </cell>
          <cell r="E38">
            <v>2.7</v>
          </cell>
          <cell r="F38">
            <v>6.7</v>
          </cell>
          <cell r="G38">
            <v>5</v>
          </cell>
          <cell r="H38">
            <v>6.7</v>
          </cell>
          <cell r="I38">
            <v>3.2</v>
          </cell>
          <cell r="J38">
            <v>4.5</v>
          </cell>
          <cell r="K38">
            <v>3.6</v>
          </cell>
          <cell r="L38">
            <v>-3</v>
          </cell>
          <cell r="M38">
            <v>2.7</v>
          </cell>
        </row>
        <row r="39">
          <cell r="C39" t="str">
            <v>An Hòa MBA T2 (phía 22kV)</v>
          </cell>
          <cell r="D39">
            <v>432</v>
          </cell>
          <cell r="E39">
            <v>2.7</v>
          </cell>
          <cell r="F39">
            <v>6.2</v>
          </cell>
          <cell r="G39">
            <v>2.7</v>
          </cell>
          <cell r="H39">
            <v>-3</v>
          </cell>
          <cell r="I39">
            <v>3.4</v>
          </cell>
          <cell r="J39">
            <v>4</v>
          </cell>
          <cell r="K39">
            <v>3.6</v>
          </cell>
          <cell r="L39">
            <v>6.2</v>
          </cell>
          <cell r="M39">
            <v>5.4</v>
          </cell>
        </row>
        <row r="40">
          <cell r="C40" t="str">
            <v>An Khánh MBA T1 (phía 110kV)</v>
          </cell>
          <cell r="D40">
            <v>131</v>
          </cell>
          <cell r="E40">
            <v>2</v>
          </cell>
          <cell r="F40">
            <v>3.4</v>
          </cell>
          <cell r="G40">
            <v>3.4</v>
          </cell>
          <cell r="H40">
            <v>3.4</v>
          </cell>
          <cell r="I40">
            <v>2.4</v>
          </cell>
          <cell r="J40">
            <v>2</v>
          </cell>
          <cell r="K40">
            <v>3.3</v>
          </cell>
          <cell r="L40">
            <v>3.2</v>
          </cell>
          <cell r="M40">
            <v>2.8</v>
          </cell>
        </row>
        <row r="41">
          <cell r="C41" t="str">
            <v>An Khánh MBA T2 (phía 110kV)</v>
          </cell>
          <cell r="D41">
            <v>132</v>
          </cell>
          <cell r="E41">
            <v>-1.8</v>
          </cell>
          <cell r="F41">
            <v>-2.1</v>
          </cell>
          <cell r="G41">
            <v>-2</v>
          </cell>
          <cell r="H41">
            <v>-1.9</v>
          </cell>
          <cell r="I41">
            <v>-2</v>
          </cell>
          <cell r="J41">
            <v>-2.1</v>
          </cell>
          <cell r="K41">
            <v>-1.8</v>
          </cell>
          <cell r="L41">
            <v>-1.9</v>
          </cell>
          <cell r="M41">
            <v>-1.9</v>
          </cell>
        </row>
        <row r="42">
          <cell r="C42" t="str">
            <v>110kV 171 An Khánh - 171 Thảo Điền - 173 Xa Lộ</v>
          </cell>
          <cell r="D42">
            <v>171</v>
          </cell>
          <cell r="E42">
            <v>-1.9</v>
          </cell>
          <cell r="F42">
            <v>-3.4</v>
          </cell>
          <cell r="G42">
            <v>-3.4</v>
          </cell>
          <cell r="H42">
            <v>-3.4</v>
          </cell>
          <cell r="I42">
            <v>-2.4</v>
          </cell>
          <cell r="J42">
            <v>-1.9</v>
          </cell>
          <cell r="K42">
            <v>-3.2</v>
          </cell>
          <cell r="L42">
            <v>-3.2</v>
          </cell>
          <cell r="M42">
            <v>-2.6</v>
          </cell>
        </row>
        <row r="43">
          <cell r="C43" t="str">
            <v>110kV 172 An Khánh - 172 Việt Thành</v>
          </cell>
          <cell r="D43">
            <v>172</v>
          </cell>
          <cell r="E43">
            <v>2</v>
          </cell>
          <cell r="F43">
            <v>2.1</v>
          </cell>
          <cell r="G43">
            <v>2.1</v>
          </cell>
          <cell r="H43">
            <v>2</v>
          </cell>
          <cell r="I43">
            <v>2.1</v>
          </cell>
          <cell r="J43">
            <v>2</v>
          </cell>
          <cell r="K43">
            <v>2</v>
          </cell>
          <cell r="L43">
            <v>2</v>
          </cell>
          <cell r="M43">
            <v>2</v>
          </cell>
        </row>
        <row r="44">
          <cell r="C44" t="str">
            <v>An Khánh MBA T1 (phía 22kV)</v>
          </cell>
          <cell r="D44">
            <v>431</v>
          </cell>
          <cell r="E44">
            <v>1.2</v>
          </cell>
          <cell r="F44">
            <v>-2.2999999999999998</v>
          </cell>
          <cell r="G44">
            <v>-2.2000000000000002</v>
          </cell>
          <cell r="H44">
            <v>-1.9</v>
          </cell>
          <cell r="I44">
            <v>-1.4</v>
          </cell>
          <cell r="J44">
            <v>1.2</v>
          </cell>
          <cell r="K44">
            <v>-1.8</v>
          </cell>
          <cell r="L44">
            <v>-2.2999999999999998</v>
          </cell>
          <cell r="M44">
            <v>-1.6</v>
          </cell>
        </row>
        <row r="45">
          <cell r="C45" t="str">
            <v>An Khánh MBA T2 (phía 22kV)</v>
          </cell>
          <cell r="D45">
            <v>432</v>
          </cell>
          <cell r="E45">
            <v>2</v>
          </cell>
          <cell r="F45">
            <v>2.4</v>
          </cell>
          <cell r="G45">
            <v>2.2000000000000002</v>
          </cell>
          <cell r="H45">
            <v>2.2000000000000002</v>
          </cell>
          <cell r="I45">
            <v>2.2999999999999998</v>
          </cell>
          <cell r="J45">
            <v>2.4</v>
          </cell>
          <cell r="K45">
            <v>2</v>
          </cell>
          <cell r="L45">
            <v>2.2000000000000002</v>
          </cell>
          <cell r="M45">
            <v>2.2999999999999998</v>
          </cell>
        </row>
        <row r="46">
          <cell r="C46" t="str">
            <v>An Long MBA T1 (phía 110kV)</v>
          </cell>
          <cell r="D46">
            <v>131</v>
          </cell>
          <cell r="E46">
            <v>1.2</v>
          </cell>
          <cell r="F46">
            <v>-2.6</v>
          </cell>
          <cell r="G46">
            <v>-2.2000000000000002</v>
          </cell>
          <cell r="H46">
            <v>1.4</v>
          </cell>
          <cell r="I46">
            <v>-2.6</v>
          </cell>
          <cell r="J46">
            <v>-1.3</v>
          </cell>
          <cell r="K46">
            <v>-2.2000000000000002</v>
          </cell>
          <cell r="L46">
            <v>-1.5</v>
          </cell>
          <cell r="M46">
            <v>1.2</v>
          </cell>
        </row>
        <row r="47">
          <cell r="C47" t="str">
            <v>110kV 171 An Long - 171 Hồng Ngự</v>
          </cell>
          <cell r="D47">
            <v>171</v>
          </cell>
          <cell r="E47">
            <v>-3.1</v>
          </cell>
          <cell r="F47">
            <v>-4.0999999999999996</v>
          </cell>
          <cell r="G47">
            <v>-4.0999999999999996</v>
          </cell>
          <cell r="H47">
            <v>-4.0999999999999996</v>
          </cell>
          <cell r="I47">
            <v>-4.0999999999999996</v>
          </cell>
          <cell r="J47">
            <v>-3.1</v>
          </cell>
          <cell r="K47">
            <v>-3.8</v>
          </cell>
          <cell r="L47">
            <v>3.6</v>
          </cell>
          <cell r="M47">
            <v>-4</v>
          </cell>
        </row>
        <row r="48">
          <cell r="C48" t="str">
            <v>110kV 172 An Long - 171 Trần Quốc Toản</v>
          </cell>
          <cell r="D48">
            <v>172</v>
          </cell>
          <cell r="E48">
            <v>4.4000000000000004</v>
          </cell>
          <cell r="F48">
            <v>6.1</v>
          </cell>
          <cell r="G48">
            <v>6.1</v>
          </cell>
          <cell r="H48">
            <v>4.5</v>
          </cell>
          <cell r="I48">
            <v>4.4000000000000004</v>
          </cell>
          <cell r="J48">
            <v>4.5</v>
          </cell>
          <cell r="K48">
            <v>4.9000000000000004</v>
          </cell>
          <cell r="L48">
            <v>4.5</v>
          </cell>
          <cell r="M48">
            <v>4.7</v>
          </cell>
        </row>
        <row r="49">
          <cell r="C49" t="str">
            <v>An Long MBA T1 (phía 22kV)</v>
          </cell>
          <cell r="D49">
            <v>431</v>
          </cell>
          <cell r="E49">
            <v>3</v>
          </cell>
          <cell r="F49">
            <v>3.9</v>
          </cell>
          <cell r="G49">
            <v>3.5</v>
          </cell>
          <cell r="H49">
            <v>3</v>
          </cell>
          <cell r="I49">
            <v>3.9</v>
          </cell>
          <cell r="J49">
            <v>3.1</v>
          </cell>
          <cell r="K49">
            <v>3.5</v>
          </cell>
          <cell r="L49">
            <v>3.3</v>
          </cell>
          <cell r="M49">
            <v>3</v>
          </cell>
        </row>
        <row r="50">
          <cell r="C50" t="str">
            <v>An Long Tụ Bù Ngang 101</v>
          </cell>
          <cell r="D50" t="str">
            <v>T101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C51" t="str">
            <v>An Ngãi MBA T1 (phía 110kV)</v>
          </cell>
          <cell r="D51">
            <v>131</v>
          </cell>
          <cell r="E51">
            <v>3</v>
          </cell>
          <cell r="F51">
            <v>5.5</v>
          </cell>
          <cell r="G51">
            <v>5</v>
          </cell>
          <cell r="H51">
            <v>4.7</v>
          </cell>
          <cell r="I51">
            <v>5.5</v>
          </cell>
          <cell r="J51">
            <v>3.9</v>
          </cell>
          <cell r="K51">
            <v>3.9</v>
          </cell>
          <cell r="L51">
            <v>3.7</v>
          </cell>
          <cell r="M51">
            <v>3</v>
          </cell>
        </row>
        <row r="52">
          <cell r="C52" t="str">
            <v>110kV 171 An Ngãi - 175 Vũng Tàu 2</v>
          </cell>
          <cell r="D52">
            <v>171</v>
          </cell>
          <cell r="E52">
            <v>12</v>
          </cell>
          <cell r="F52">
            <v>21.2</v>
          </cell>
          <cell r="G52">
            <v>21.2</v>
          </cell>
          <cell r="H52">
            <v>15.7</v>
          </cell>
          <cell r="I52">
            <v>18.100000000000001</v>
          </cell>
          <cell r="J52">
            <v>12</v>
          </cell>
          <cell r="K52">
            <v>-14.8</v>
          </cell>
          <cell r="L52">
            <v>20.2</v>
          </cell>
          <cell r="M52">
            <v>-16.3</v>
          </cell>
        </row>
        <row r="53">
          <cell r="C53" t="str">
            <v>110kV 172 An Ngãi - 172 NMĐ Bà Rịa</v>
          </cell>
          <cell r="D53">
            <v>172</v>
          </cell>
          <cell r="E53">
            <v>-13.2</v>
          </cell>
          <cell r="F53">
            <v>-21.8</v>
          </cell>
          <cell r="G53">
            <v>-21.8</v>
          </cell>
          <cell r="H53">
            <v>-15.9</v>
          </cell>
          <cell r="I53">
            <v>-20.8</v>
          </cell>
          <cell r="J53">
            <v>-13.2</v>
          </cell>
          <cell r="K53">
            <v>-13.5</v>
          </cell>
          <cell r="L53">
            <v>-20.100000000000001</v>
          </cell>
          <cell r="M53">
            <v>16.7</v>
          </cell>
        </row>
        <row r="54">
          <cell r="C54" t="str">
            <v>An Ngãi MBA T1 (phía 22kV)</v>
          </cell>
          <cell r="D54">
            <v>431</v>
          </cell>
          <cell r="E54">
            <v>-1.9</v>
          </cell>
          <cell r="F54">
            <v>-3.2</v>
          </cell>
          <cell r="G54">
            <v>-2.5</v>
          </cell>
          <cell r="H54">
            <v>-2.9</v>
          </cell>
          <cell r="I54">
            <v>-3.2</v>
          </cell>
          <cell r="J54">
            <v>-1.9</v>
          </cell>
          <cell r="K54">
            <v>2.5</v>
          </cell>
          <cell r="L54">
            <v>2.6</v>
          </cell>
          <cell r="M54">
            <v>2.9</v>
          </cell>
        </row>
        <row r="55">
          <cell r="C55" t="str">
            <v>An Nghĩa MBA T2 (phía 110kV)</v>
          </cell>
          <cell r="D55">
            <v>132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</row>
        <row r="56">
          <cell r="C56" t="str">
            <v>110kV 171 An Nghĩa - 172 Cần Giờ</v>
          </cell>
          <cell r="D56">
            <v>171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C57" t="str">
            <v>110kV 172 An Nghĩa - 177 Nhà Bè</v>
          </cell>
          <cell r="D57">
            <v>172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C58" t="str">
            <v>An Nghĩa MBA T2 (phía 22kV)</v>
          </cell>
          <cell r="D58">
            <v>432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C59" t="str">
            <v>An Phú MBA T2 (phía 110kV)</v>
          </cell>
          <cell r="D59">
            <v>132</v>
          </cell>
          <cell r="E59">
            <v>1.5</v>
          </cell>
          <cell r="F59">
            <v>2.1</v>
          </cell>
          <cell r="G59">
            <v>1.8</v>
          </cell>
          <cell r="H59">
            <v>1.7</v>
          </cell>
          <cell r="I59">
            <v>1.8</v>
          </cell>
          <cell r="J59">
            <v>1.7</v>
          </cell>
          <cell r="K59">
            <v>2.1</v>
          </cell>
          <cell r="L59">
            <v>1.5</v>
          </cell>
          <cell r="M59">
            <v>1.6</v>
          </cell>
        </row>
        <row r="60">
          <cell r="C60" t="str">
            <v>An Phú MBA T2 (phía 22kV)</v>
          </cell>
          <cell r="D60">
            <v>432</v>
          </cell>
          <cell r="E60">
            <v>3.5</v>
          </cell>
          <cell r="F60">
            <v>3.8</v>
          </cell>
          <cell r="G60">
            <v>3.6</v>
          </cell>
          <cell r="H60">
            <v>3.6</v>
          </cell>
          <cell r="I60">
            <v>3.6</v>
          </cell>
          <cell r="J60">
            <v>3.5</v>
          </cell>
          <cell r="K60">
            <v>3.6</v>
          </cell>
          <cell r="L60">
            <v>3.6</v>
          </cell>
          <cell r="M60">
            <v>3.8</v>
          </cell>
        </row>
        <row r="61">
          <cell r="C61" t="str">
            <v>An Phước MBA T1 (phía 110kV)</v>
          </cell>
          <cell r="D61">
            <v>131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C62" t="str">
            <v>An Phước MBA T2 (phía 110kV)</v>
          </cell>
          <cell r="D62">
            <v>132</v>
          </cell>
          <cell r="E62">
            <v>-4.3</v>
          </cell>
          <cell r="F62">
            <v>8.1</v>
          </cell>
          <cell r="G62">
            <v>6</v>
          </cell>
          <cell r="H62">
            <v>5.7</v>
          </cell>
          <cell r="I62">
            <v>-4.3</v>
          </cell>
          <cell r="J62">
            <v>-4.5</v>
          </cell>
          <cell r="K62">
            <v>6.2</v>
          </cell>
          <cell r="L62">
            <v>7.4</v>
          </cell>
          <cell r="M62">
            <v>8.1</v>
          </cell>
        </row>
        <row r="63">
          <cell r="C63" t="str">
            <v>110kV 171 An Phước - 181 Long Thành</v>
          </cell>
          <cell r="D63">
            <v>171</v>
          </cell>
          <cell r="E63">
            <v>9.6999999999999993</v>
          </cell>
          <cell r="F63">
            <v>-28.1</v>
          </cell>
          <cell r="G63">
            <v>-26.7</v>
          </cell>
          <cell r="H63">
            <v>-26.3</v>
          </cell>
          <cell r="I63">
            <v>-21.9</v>
          </cell>
          <cell r="J63">
            <v>9.6999999999999993</v>
          </cell>
          <cell r="K63">
            <v>-25.9</v>
          </cell>
          <cell r="L63">
            <v>-27.7</v>
          </cell>
          <cell r="M63">
            <v>-28.1</v>
          </cell>
        </row>
        <row r="64">
          <cell r="C64" t="str">
            <v>110kV 172 An Phước - 171 Tam Phước</v>
          </cell>
          <cell r="D64">
            <v>172</v>
          </cell>
          <cell r="E64">
            <v>-7.8</v>
          </cell>
          <cell r="F64">
            <v>20.5</v>
          </cell>
          <cell r="G64">
            <v>18.2</v>
          </cell>
          <cell r="H64">
            <v>18.5</v>
          </cell>
          <cell r="I64">
            <v>20.5</v>
          </cell>
          <cell r="J64">
            <v>-7.8</v>
          </cell>
          <cell r="K64">
            <v>18.5</v>
          </cell>
          <cell r="L64">
            <v>18.899999999999999</v>
          </cell>
          <cell r="M64">
            <v>18.8</v>
          </cell>
        </row>
        <row r="65">
          <cell r="C65" t="str">
            <v>An Phước MBA T1 (phía 22kV)</v>
          </cell>
          <cell r="D65">
            <v>431</v>
          </cell>
          <cell r="E65">
            <v>1.6</v>
          </cell>
          <cell r="F65">
            <v>3</v>
          </cell>
          <cell r="G65">
            <v>-2.6</v>
          </cell>
          <cell r="H65">
            <v>2.7</v>
          </cell>
          <cell r="I65">
            <v>3</v>
          </cell>
          <cell r="J65">
            <v>2.7</v>
          </cell>
          <cell r="K65">
            <v>-1.7</v>
          </cell>
          <cell r="L65">
            <v>1.7</v>
          </cell>
          <cell r="M65">
            <v>1.6</v>
          </cell>
        </row>
        <row r="66">
          <cell r="C66" t="str">
            <v>An Phước MBA T2 (phía 22kV)</v>
          </cell>
          <cell r="D66">
            <v>432</v>
          </cell>
          <cell r="E66">
            <v>-3.4</v>
          </cell>
          <cell r="F66">
            <v>-5.4</v>
          </cell>
          <cell r="G66">
            <v>-3.4</v>
          </cell>
          <cell r="H66">
            <v>3.9</v>
          </cell>
          <cell r="I66">
            <v>4.9000000000000004</v>
          </cell>
          <cell r="J66">
            <v>5.0999999999999996</v>
          </cell>
          <cell r="K66">
            <v>-3.5</v>
          </cell>
          <cell r="L66">
            <v>-4.5999999999999996</v>
          </cell>
          <cell r="M66">
            <v>-5.4</v>
          </cell>
        </row>
        <row r="67">
          <cell r="C67" t="str">
            <v>An Tây MBA T1 (phía 110kV)</v>
          </cell>
          <cell r="D67">
            <v>131</v>
          </cell>
          <cell r="E67">
            <v>-6.7</v>
          </cell>
          <cell r="F67">
            <v>10.3</v>
          </cell>
          <cell r="G67">
            <v>9.6999999999999993</v>
          </cell>
          <cell r="H67">
            <v>9.4</v>
          </cell>
          <cell r="I67">
            <v>7.7</v>
          </cell>
          <cell r="J67">
            <v>-6.7</v>
          </cell>
          <cell r="K67">
            <v>8.6</v>
          </cell>
          <cell r="L67">
            <v>9.6999999999999993</v>
          </cell>
          <cell r="M67">
            <v>10.3</v>
          </cell>
        </row>
        <row r="68">
          <cell r="C68" t="str">
            <v>An Tây MBA T2 (phía 110kV)</v>
          </cell>
          <cell r="D68">
            <v>132</v>
          </cell>
          <cell r="E68">
            <v>5.3</v>
          </cell>
          <cell r="F68">
            <v>-9.6</v>
          </cell>
          <cell r="G68">
            <v>-9.6</v>
          </cell>
          <cell r="H68">
            <v>7.9</v>
          </cell>
          <cell r="I68">
            <v>7</v>
          </cell>
          <cell r="J68">
            <v>5.3</v>
          </cell>
          <cell r="K68">
            <v>8</v>
          </cell>
          <cell r="L68">
            <v>7.7</v>
          </cell>
          <cell r="M68">
            <v>8.9</v>
          </cell>
        </row>
        <row r="69">
          <cell r="C69" t="str">
            <v>110kV 171 An Tây - 177 Mỹ Phước</v>
          </cell>
          <cell r="D69">
            <v>171</v>
          </cell>
          <cell r="E69">
            <v>-5.0999999999999996</v>
          </cell>
          <cell r="F69">
            <v>-8.1999999999999993</v>
          </cell>
          <cell r="G69">
            <v>-8.1999999999999993</v>
          </cell>
          <cell r="H69">
            <v>-8</v>
          </cell>
          <cell r="I69">
            <v>-6.5</v>
          </cell>
          <cell r="J69">
            <v>-5.0999999999999996</v>
          </cell>
          <cell r="K69">
            <v>-7.5</v>
          </cell>
          <cell r="L69">
            <v>-7.9</v>
          </cell>
          <cell r="M69">
            <v>-8</v>
          </cell>
        </row>
        <row r="70">
          <cell r="C70" t="str">
            <v>110kV 172 An Tây - 178 Mỹ Phước</v>
          </cell>
          <cell r="D70">
            <v>172</v>
          </cell>
          <cell r="E70">
            <v>-4.7</v>
          </cell>
          <cell r="F70">
            <v>-8.1999999999999993</v>
          </cell>
          <cell r="G70">
            <v>-8.1999999999999993</v>
          </cell>
          <cell r="H70">
            <v>-7.6</v>
          </cell>
          <cell r="I70">
            <v>-6.2</v>
          </cell>
          <cell r="J70">
            <v>-4.7</v>
          </cell>
          <cell r="K70">
            <v>-7.3</v>
          </cell>
          <cell r="L70">
            <v>-7.9</v>
          </cell>
          <cell r="M70">
            <v>-7.7</v>
          </cell>
        </row>
        <row r="71">
          <cell r="C71" t="str">
            <v>An Tây MBA T1 (phía 22kV)</v>
          </cell>
          <cell r="D71">
            <v>431</v>
          </cell>
          <cell r="E71">
            <v>5.6</v>
          </cell>
          <cell r="F71">
            <v>8.5</v>
          </cell>
          <cell r="G71">
            <v>5.6</v>
          </cell>
          <cell r="H71">
            <v>7.2</v>
          </cell>
          <cell r="I71">
            <v>7.9</v>
          </cell>
          <cell r="J71">
            <v>8.5</v>
          </cell>
          <cell r="K71">
            <v>6.9</v>
          </cell>
          <cell r="L71">
            <v>6.8</v>
          </cell>
          <cell r="M71">
            <v>8.1</v>
          </cell>
        </row>
        <row r="72">
          <cell r="C72" t="str">
            <v>An Tây MBA T2 (phía 22kV)</v>
          </cell>
          <cell r="D72">
            <v>432</v>
          </cell>
          <cell r="E72">
            <v>3.5</v>
          </cell>
          <cell r="F72">
            <v>11.1</v>
          </cell>
          <cell r="G72">
            <v>11.1</v>
          </cell>
          <cell r="H72">
            <v>9.4</v>
          </cell>
          <cell r="I72">
            <v>3.5</v>
          </cell>
          <cell r="J72">
            <v>4.3</v>
          </cell>
          <cell r="K72">
            <v>8.1999999999999993</v>
          </cell>
          <cell r="L72">
            <v>9.1</v>
          </cell>
          <cell r="M72">
            <v>8.9</v>
          </cell>
        </row>
        <row r="73">
          <cell r="C73" t="str">
            <v>An Thạnh MBA T1 (phía 110kV)</v>
          </cell>
          <cell r="D73">
            <v>131</v>
          </cell>
          <cell r="E73">
            <v>-4.3</v>
          </cell>
          <cell r="F73">
            <v>7.9</v>
          </cell>
          <cell r="G73">
            <v>-4.3</v>
          </cell>
          <cell r="H73">
            <v>7</v>
          </cell>
          <cell r="I73">
            <v>6.5</v>
          </cell>
          <cell r="J73">
            <v>-4.5999999999999996</v>
          </cell>
          <cell r="K73">
            <v>6.1</v>
          </cell>
          <cell r="L73">
            <v>7.9</v>
          </cell>
          <cell r="M73">
            <v>5.0999999999999996</v>
          </cell>
        </row>
        <row r="74">
          <cell r="C74" t="str">
            <v>An Thạnh MBA T2 (phía 110kV)</v>
          </cell>
          <cell r="D74">
            <v>132</v>
          </cell>
          <cell r="E74">
            <v>0</v>
          </cell>
          <cell r="F74">
            <v>-5.2</v>
          </cell>
          <cell r="G74">
            <v>0.9</v>
          </cell>
          <cell r="H74">
            <v>1.8</v>
          </cell>
          <cell r="I74">
            <v>0</v>
          </cell>
          <cell r="J74">
            <v>-5.2</v>
          </cell>
          <cell r="K74">
            <v>0</v>
          </cell>
          <cell r="L74">
            <v>0</v>
          </cell>
          <cell r="M74">
            <v>2.2000000000000002</v>
          </cell>
        </row>
        <row r="75">
          <cell r="C75" t="str">
            <v>110kV 172 An Thạnh - 172 NMĐ MT Solar Park 1</v>
          </cell>
          <cell r="D75">
            <v>172</v>
          </cell>
          <cell r="E75">
            <v>2.2000000000000002</v>
          </cell>
          <cell r="F75">
            <v>15.4</v>
          </cell>
          <cell r="G75">
            <v>15.4</v>
          </cell>
          <cell r="H75">
            <v>10.3</v>
          </cell>
          <cell r="I75">
            <v>13.1</v>
          </cell>
          <cell r="J75">
            <v>12.2</v>
          </cell>
          <cell r="K75">
            <v>9.3000000000000007</v>
          </cell>
          <cell r="L75">
            <v>14.7</v>
          </cell>
          <cell r="M75">
            <v>2.2000000000000002</v>
          </cell>
        </row>
        <row r="76">
          <cell r="C76" t="str">
            <v>110kV 174 An Thạnh - 171 NMĐ MT Solar Park 1</v>
          </cell>
          <cell r="D76">
            <v>174</v>
          </cell>
          <cell r="E76">
            <v>2.2000000000000002</v>
          </cell>
          <cell r="F76">
            <v>15.3</v>
          </cell>
          <cell r="G76">
            <v>15.3</v>
          </cell>
          <cell r="H76">
            <v>10.199999999999999</v>
          </cell>
          <cell r="I76">
            <v>13.1</v>
          </cell>
          <cell r="J76">
            <v>12.4</v>
          </cell>
          <cell r="K76">
            <v>9.1999999999999993</v>
          </cell>
          <cell r="L76">
            <v>14.8</v>
          </cell>
          <cell r="M76">
            <v>2.2000000000000002</v>
          </cell>
        </row>
        <row r="77">
          <cell r="C77" t="str">
            <v>An Thạnh MBA T1 (phía 22kV)</v>
          </cell>
          <cell r="D77">
            <v>431</v>
          </cell>
          <cell r="E77">
            <v>-4.5999999999999996</v>
          </cell>
          <cell r="F77">
            <v>6.1</v>
          </cell>
          <cell r="G77">
            <v>6.1</v>
          </cell>
          <cell r="H77">
            <v>-4.7</v>
          </cell>
          <cell r="I77">
            <v>-4.5999999999999996</v>
          </cell>
          <cell r="J77">
            <v>5.0999999999999996</v>
          </cell>
          <cell r="K77">
            <v>5.5</v>
          </cell>
          <cell r="L77">
            <v>-5.5</v>
          </cell>
          <cell r="M77">
            <v>5.4</v>
          </cell>
        </row>
        <row r="78">
          <cell r="C78" t="str">
            <v>An Thạnh MBA T2 (phía 22kV)</v>
          </cell>
          <cell r="D78">
            <v>432</v>
          </cell>
          <cell r="E78">
            <v>0</v>
          </cell>
          <cell r="F78">
            <v>5.6</v>
          </cell>
          <cell r="G78">
            <v>0</v>
          </cell>
          <cell r="H78">
            <v>0</v>
          </cell>
          <cell r="I78">
            <v>0</v>
          </cell>
          <cell r="J78">
            <v>5.6</v>
          </cell>
          <cell r="K78">
            <v>0</v>
          </cell>
          <cell r="L78">
            <v>2</v>
          </cell>
          <cell r="M78">
            <v>0</v>
          </cell>
        </row>
        <row r="79">
          <cell r="C79" t="str">
            <v>An Xuyên MBA T1 (phía 110kV)</v>
          </cell>
          <cell r="D79">
            <v>131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</row>
        <row r="80">
          <cell r="C80" t="str">
            <v>An Xuyên MBA T2 (phía 110kV)</v>
          </cell>
          <cell r="D80">
            <v>132</v>
          </cell>
          <cell r="E80">
            <v>1.4</v>
          </cell>
          <cell r="F80">
            <v>5.6</v>
          </cell>
          <cell r="G80">
            <v>5.6</v>
          </cell>
          <cell r="H80">
            <v>2.5</v>
          </cell>
          <cell r="I80">
            <v>1.6</v>
          </cell>
          <cell r="J80">
            <v>1.4</v>
          </cell>
          <cell r="K80">
            <v>3.3</v>
          </cell>
          <cell r="L80">
            <v>2.8</v>
          </cell>
          <cell r="M80">
            <v>2.8</v>
          </cell>
        </row>
        <row r="81">
          <cell r="C81" t="str">
            <v>110kV 171 An Xuyên - 172 Cà Mau 2</v>
          </cell>
          <cell r="D81">
            <v>171</v>
          </cell>
          <cell r="E81">
            <v>2.7</v>
          </cell>
          <cell r="F81">
            <v>-6.3</v>
          </cell>
          <cell r="G81">
            <v>-6.3</v>
          </cell>
          <cell r="H81">
            <v>-4</v>
          </cell>
          <cell r="I81">
            <v>2.7</v>
          </cell>
          <cell r="J81">
            <v>4.7</v>
          </cell>
          <cell r="K81">
            <v>-5.4</v>
          </cell>
          <cell r="L81">
            <v>-4.5999999999999996</v>
          </cell>
          <cell r="M81">
            <v>-4.4000000000000004</v>
          </cell>
        </row>
        <row r="82">
          <cell r="C82" t="str">
            <v>110kV 172 An Xuyên - 171 Hồng Dân</v>
          </cell>
          <cell r="D82">
            <v>172</v>
          </cell>
          <cell r="E82">
            <v>2.4</v>
          </cell>
          <cell r="F82">
            <v>-4.4000000000000004</v>
          </cell>
          <cell r="G82">
            <v>-3.7</v>
          </cell>
          <cell r="H82">
            <v>-3.6</v>
          </cell>
          <cell r="I82">
            <v>-2.5</v>
          </cell>
          <cell r="J82">
            <v>-4.2</v>
          </cell>
          <cell r="K82">
            <v>2.4</v>
          </cell>
          <cell r="L82">
            <v>-3.5</v>
          </cell>
          <cell r="M82">
            <v>-4.4000000000000004</v>
          </cell>
        </row>
        <row r="83">
          <cell r="C83" t="str">
            <v>An Xuyên MBA T1 (phía 22kV)</v>
          </cell>
          <cell r="D83">
            <v>431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</row>
        <row r="84">
          <cell r="C84" t="str">
            <v>An Xuyên MBA T2 (phía 22kV)</v>
          </cell>
          <cell r="D84">
            <v>432</v>
          </cell>
          <cell r="E84">
            <v>1.6</v>
          </cell>
          <cell r="F84">
            <v>-3</v>
          </cell>
          <cell r="G84">
            <v>-3</v>
          </cell>
          <cell r="H84">
            <v>2.2000000000000002</v>
          </cell>
          <cell r="I84">
            <v>1.6</v>
          </cell>
          <cell r="J84">
            <v>2.2000000000000002</v>
          </cell>
          <cell r="K84">
            <v>-2.2999999999999998</v>
          </cell>
          <cell r="L84">
            <v>2.2000000000000002</v>
          </cell>
          <cell r="M84">
            <v>2.2999999999999998</v>
          </cell>
        </row>
        <row r="85">
          <cell r="C85" t="str">
            <v>Bà Quẹo MBA T1 (phía 110kV)</v>
          </cell>
          <cell r="D85">
            <v>131</v>
          </cell>
          <cell r="E85">
            <v>2.9</v>
          </cell>
          <cell r="F85">
            <v>4.5999999999999996</v>
          </cell>
          <cell r="G85">
            <v>4.5999999999999996</v>
          </cell>
          <cell r="H85">
            <v>4.3</v>
          </cell>
          <cell r="I85">
            <v>3.2</v>
          </cell>
          <cell r="J85">
            <v>3.3</v>
          </cell>
          <cell r="K85">
            <v>4.0999999999999996</v>
          </cell>
          <cell r="L85">
            <v>4.5</v>
          </cell>
          <cell r="M85">
            <v>2.9</v>
          </cell>
        </row>
        <row r="86">
          <cell r="C86" t="str">
            <v>Bà Quẹo MBA T2 (phía 110kV)</v>
          </cell>
          <cell r="D86">
            <v>132</v>
          </cell>
          <cell r="E86">
            <v>-4</v>
          </cell>
          <cell r="F86">
            <v>-4.5</v>
          </cell>
          <cell r="G86">
            <v>-4.2</v>
          </cell>
          <cell r="H86">
            <v>-4</v>
          </cell>
          <cell r="I86">
            <v>-4.0999999999999996</v>
          </cell>
          <cell r="J86">
            <v>-4.0999999999999996</v>
          </cell>
          <cell r="K86">
            <v>-4.2</v>
          </cell>
          <cell r="L86">
            <v>-4.5</v>
          </cell>
          <cell r="M86">
            <v>-4.0999999999999996</v>
          </cell>
        </row>
        <row r="87">
          <cell r="C87" t="str">
            <v>Bà Quẹo MBA T3 (phía 110kV)</v>
          </cell>
          <cell r="D87">
            <v>133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C88" t="str">
            <v>110kV 171 Bà Quẹo - 171 Tân Bình 2</v>
          </cell>
          <cell r="D88">
            <v>171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C89" t="str">
            <v>110kV 172 Bà Quẹo - 171 Bình Tân</v>
          </cell>
          <cell r="D89">
            <v>172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C90" t="str">
            <v>110kV 174 Bà Quẹo - 171 Chợ Lớn - 171 Trường Đua</v>
          </cell>
          <cell r="D90">
            <v>174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C91" t="str">
            <v>Bà Quẹo MBA T1 (phía 22kV)</v>
          </cell>
          <cell r="D91">
            <v>431</v>
          </cell>
          <cell r="E91">
            <v>2</v>
          </cell>
          <cell r="F91">
            <v>-2.8</v>
          </cell>
          <cell r="G91">
            <v>-2.8</v>
          </cell>
          <cell r="H91">
            <v>-2.2999999999999998</v>
          </cell>
          <cell r="I91">
            <v>2</v>
          </cell>
          <cell r="J91">
            <v>2.2000000000000002</v>
          </cell>
          <cell r="K91">
            <v>-2.2000000000000002</v>
          </cell>
          <cell r="L91">
            <v>2.4</v>
          </cell>
          <cell r="M91">
            <v>2.2000000000000002</v>
          </cell>
        </row>
        <row r="92">
          <cell r="C92" t="str">
            <v>Bà Quẹo MBA T2 (phía 22kV)</v>
          </cell>
          <cell r="D92">
            <v>432</v>
          </cell>
          <cell r="E92">
            <v>4.3</v>
          </cell>
          <cell r="F92">
            <v>5.0999999999999996</v>
          </cell>
          <cell r="G92">
            <v>4.4000000000000004</v>
          </cell>
          <cell r="H92">
            <v>4.4000000000000004</v>
          </cell>
          <cell r="I92">
            <v>4.3</v>
          </cell>
          <cell r="J92">
            <v>4.5999999999999996</v>
          </cell>
          <cell r="K92">
            <v>4.9000000000000004</v>
          </cell>
          <cell r="L92">
            <v>5.0999999999999996</v>
          </cell>
          <cell r="M92">
            <v>4.4000000000000004</v>
          </cell>
        </row>
        <row r="93">
          <cell r="C93" t="str">
            <v>Bà Quẹo MBA T3 (phía 22kV)</v>
          </cell>
          <cell r="D93">
            <v>433</v>
          </cell>
          <cell r="E93">
            <v>4.8</v>
          </cell>
          <cell r="F93">
            <v>5.8</v>
          </cell>
          <cell r="G93">
            <v>4.9000000000000004</v>
          </cell>
          <cell r="H93">
            <v>5</v>
          </cell>
          <cell r="I93">
            <v>5.2</v>
          </cell>
          <cell r="J93">
            <v>5.4</v>
          </cell>
          <cell r="K93">
            <v>5.8</v>
          </cell>
          <cell r="L93">
            <v>5.6</v>
          </cell>
          <cell r="M93">
            <v>4.8</v>
          </cell>
        </row>
        <row r="94">
          <cell r="C94" t="str">
            <v>Bà Rịa MBA T1 (phía 110kV)</v>
          </cell>
          <cell r="D94">
            <v>131</v>
          </cell>
          <cell r="E94">
            <v>4.2</v>
          </cell>
          <cell r="F94">
            <v>7.4</v>
          </cell>
          <cell r="G94">
            <v>6.4</v>
          </cell>
          <cell r="H94">
            <v>6.8</v>
          </cell>
          <cell r="I94">
            <v>7.4</v>
          </cell>
          <cell r="J94">
            <v>4.4000000000000004</v>
          </cell>
          <cell r="K94">
            <v>6.6</v>
          </cell>
          <cell r="L94">
            <v>5.6</v>
          </cell>
          <cell r="M94">
            <v>4.2</v>
          </cell>
        </row>
        <row r="95">
          <cell r="C95" t="str">
            <v>110kV 171 Bà Rịa - 171 Long Đất</v>
          </cell>
          <cell r="D95">
            <v>171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C96" t="str">
            <v>110kV 172 Bà Rịa - 175 NMĐ Bà Rịa</v>
          </cell>
          <cell r="D96">
            <v>172</v>
          </cell>
          <cell r="E96">
            <v>11.8</v>
          </cell>
          <cell r="F96">
            <v>14.1</v>
          </cell>
          <cell r="G96">
            <v>-11.9</v>
          </cell>
          <cell r="H96">
            <v>12</v>
          </cell>
          <cell r="I96">
            <v>11.8</v>
          </cell>
          <cell r="J96">
            <v>13</v>
          </cell>
          <cell r="K96">
            <v>14.1</v>
          </cell>
          <cell r="L96">
            <v>13.2</v>
          </cell>
          <cell r="M96">
            <v>13</v>
          </cell>
        </row>
        <row r="97">
          <cell r="C97" t="str">
            <v>110kV 173 Bà Rịa - 172 Châu Đức</v>
          </cell>
          <cell r="D97">
            <v>173</v>
          </cell>
          <cell r="E97">
            <v>-10.199999999999999</v>
          </cell>
          <cell r="F97">
            <v>-12.6</v>
          </cell>
          <cell r="G97">
            <v>-10.199999999999999</v>
          </cell>
          <cell r="H97">
            <v>-11.1</v>
          </cell>
          <cell r="I97">
            <v>-11</v>
          </cell>
          <cell r="J97">
            <v>-12.6</v>
          </cell>
          <cell r="K97">
            <v>-12.1</v>
          </cell>
          <cell r="L97">
            <v>-11.2</v>
          </cell>
          <cell r="M97">
            <v>-11.1</v>
          </cell>
        </row>
        <row r="98">
          <cell r="C98" t="str">
            <v>Bà Rịa MBA T1 (phía 22kV)</v>
          </cell>
          <cell r="D98">
            <v>431</v>
          </cell>
          <cell r="E98">
            <v>2.1</v>
          </cell>
          <cell r="F98">
            <v>-4</v>
          </cell>
          <cell r="G98">
            <v>-3.3</v>
          </cell>
          <cell r="H98">
            <v>-3.9</v>
          </cell>
          <cell r="I98">
            <v>-3.8</v>
          </cell>
          <cell r="J98">
            <v>2.1</v>
          </cell>
          <cell r="K98">
            <v>-4</v>
          </cell>
          <cell r="L98">
            <v>-3.1</v>
          </cell>
          <cell r="M98">
            <v>2.6</v>
          </cell>
        </row>
        <row r="99">
          <cell r="C99" t="str">
            <v>Ba Tri MBA T1 (phía 110kV)</v>
          </cell>
          <cell r="D99">
            <v>131</v>
          </cell>
          <cell r="E99">
            <v>1.1000000000000001</v>
          </cell>
          <cell r="F99">
            <v>2.1</v>
          </cell>
          <cell r="G99">
            <v>-1.4</v>
          </cell>
          <cell r="H99">
            <v>2.1</v>
          </cell>
          <cell r="I99">
            <v>-1.6</v>
          </cell>
          <cell r="J99">
            <v>-1.5</v>
          </cell>
          <cell r="K99">
            <v>1.5</v>
          </cell>
          <cell r="L99">
            <v>-1.3</v>
          </cell>
          <cell r="M99">
            <v>1.1000000000000001</v>
          </cell>
        </row>
        <row r="100">
          <cell r="C100" t="str">
            <v>Ba Tri MBA T2 (phía 110kV)</v>
          </cell>
          <cell r="D100">
            <v>132</v>
          </cell>
          <cell r="E100">
            <v>1.7</v>
          </cell>
          <cell r="F100">
            <v>2.4</v>
          </cell>
          <cell r="G100">
            <v>2.4</v>
          </cell>
          <cell r="H100">
            <v>2.2000000000000002</v>
          </cell>
          <cell r="I100">
            <v>2.1</v>
          </cell>
          <cell r="J100">
            <v>2.2000000000000002</v>
          </cell>
          <cell r="K100">
            <v>1.7</v>
          </cell>
          <cell r="L100">
            <v>1.7</v>
          </cell>
          <cell r="M100">
            <v>2.4</v>
          </cell>
        </row>
        <row r="101">
          <cell r="C101" t="str">
            <v>110kV 171 Ba Tri - 171 Giồng Trôm</v>
          </cell>
          <cell r="D101">
            <v>171</v>
          </cell>
          <cell r="E101">
            <v>-1.9</v>
          </cell>
          <cell r="F101">
            <v>-3.5</v>
          </cell>
          <cell r="G101">
            <v>-3.2</v>
          </cell>
          <cell r="H101">
            <v>-3.2</v>
          </cell>
          <cell r="I101">
            <v>-3.5</v>
          </cell>
          <cell r="J101">
            <v>-1.9</v>
          </cell>
          <cell r="K101">
            <v>-2.6</v>
          </cell>
          <cell r="L101">
            <v>-1.9</v>
          </cell>
          <cell r="M101">
            <v>-2.1</v>
          </cell>
        </row>
        <row r="102">
          <cell r="C102" t="str">
            <v>Ba Tri MBA T1 (phía 22kV)</v>
          </cell>
          <cell r="D102">
            <v>431</v>
          </cell>
          <cell r="E102">
            <v>1.3</v>
          </cell>
          <cell r="F102">
            <v>1.9</v>
          </cell>
          <cell r="G102">
            <v>1.8</v>
          </cell>
          <cell r="H102">
            <v>-1.6</v>
          </cell>
          <cell r="I102">
            <v>1.9</v>
          </cell>
          <cell r="J102">
            <v>1.8</v>
          </cell>
          <cell r="K102">
            <v>1.4</v>
          </cell>
          <cell r="L102">
            <v>1.6</v>
          </cell>
          <cell r="M102">
            <v>1.3</v>
          </cell>
        </row>
        <row r="103">
          <cell r="C103" t="str">
            <v>Ba Tri MBA T2 (phía 22kV)</v>
          </cell>
          <cell r="D103">
            <v>432</v>
          </cell>
          <cell r="E103">
            <v>-1.2</v>
          </cell>
          <cell r="F103">
            <v>-1.9</v>
          </cell>
          <cell r="G103">
            <v>-1.9</v>
          </cell>
          <cell r="H103">
            <v>-1.6</v>
          </cell>
          <cell r="I103">
            <v>-1.7</v>
          </cell>
          <cell r="J103">
            <v>-1.7</v>
          </cell>
          <cell r="K103">
            <v>-1.3</v>
          </cell>
          <cell r="L103">
            <v>-1.2</v>
          </cell>
          <cell r="M103">
            <v>-1.8</v>
          </cell>
        </row>
        <row r="104">
          <cell r="C104" t="str">
            <v>Bạc Liêu MBA T1 (phía 110kV)</v>
          </cell>
          <cell r="D104">
            <v>131</v>
          </cell>
          <cell r="E104">
            <v>-2.6</v>
          </cell>
          <cell r="F104">
            <v>5.5</v>
          </cell>
          <cell r="G104">
            <v>3.4</v>
          </cell>
          <cell r="H104">
            <v>-3.8</v>
          </cell>
          <cell r="I104">
            <v>4.4000000000000004</v>
          </cell>
          <cell r="J104">
            <v>-2.6</v>
          </cell>
          <cell r="K104">
            <v>5.5</v>
          </cell>
          <cell r="L104">
            <v>-3.1</v>
          </cell>
          <cell r="M104">
            <v>3.8</v>
          </cell>
        </row>
        <row r="105">
          <cell r="C105" t="str">
            <v>Bạc Liêu MBA T2 (phía 110kV)</v>
          </cell>
          <cell r="D105">
            <v>132</v>
          </cell>
          <cell r="E105">
            <v>1.8</v>
          </cell>
          <cell r="F105">
            <v>5.5</v>
          </cell>
          <cell r="G105">
            <v>5.5</v>
          </cell>
          <cell r="H105">
            <v>-2.2999999999999998</v>
          </cell>
          <cell r="I105">
            <v>3.7</v>
          </cell>
          <cell r="J105">
            <v>1.8</v>
          </cell>
          <cell r="K105">
            <v>4.5999999999999996</v>
          </cell>
          <cell r="L105">
            <v>2.5</v>
          </cell>
          <cell r="M105">
            <v>3.6</v>
          </cell>
        </row>
        <row r="106">
          <cell r="C106" t="str">
            <v>110kV 171 Bạc Liêu - 174 Bạc Liêu 2</v>
          </cell>
          <cell r="D106">
            <v>171</v>
          </cell>
          <cell r="E106">
            <v>1.8</v>
          </cell>
          <cell r="F106">
            <v>-4.5999999999999996</v>
          </cell>
          <cell r="G106">
            <v>-3.9</v>
          </cell>
          <cell r="H106">
            <v>3.3</v>
          </cell>
          <cell r="I106">
            <v>-3</v>
          </cell>
          <cell r="J106">
            <v>1.8</v>
          </cell>
          <cell r="K106">
            <v>-4.5999999999999996</v>
          </cell>
          <cell r="L106">
            <v>3.3</v>
          </cell>
          <cell r="M106">
            <v>3.6</v>
          </cell>
        </row>
        <row r="107">
          <cell r="C107" t="str">
            <v>110kV 172 Bạc Liêu - 173 Bạc Liêu 2</v>
          </cell>
          <cell r="D107">
            <v>172</v>
          </cell>
          <cell r="E107">
            <v>-1.7</v>
          </cell>
          <cell r="F107">
            <v>-5.4</v>
          </cell>
          <cell r="G107">
            <v>-4.8</v>
          </cell>
          <cell r="H107">
            <v>3</v>
          </cell>
          <cell r="I107">
            <v>-4.3</v>
          </cell>
          <cell r="J107">
            <v>-1.7</v>
          </cell>
          <cell r="K107">
            <v>-5.4</v>
          </cell>
          <cell r="L107">
            <v>-2.8</v>
          </cell>
          <cell r="M107">
            <v>-4.0999999999999996</v>
          </cell>
        </row>
        <row r="108">
          <cell r="C108" t="str">
            <v>Bạc Liêu MBA T1 (phía 22kV)</v>
          </cell>
          <cell r="D108">
            <v>431</v>
          </cell>
          <cell r="E108">
            <v>4.5999999999999996</v>
          </cell>
          <cell r="F108">
            <v>5.5</v>
          </cell>
          <cell r="G108">
            <v>5.5</v>
          </cell>
          <cell r="H108">
            <v>4.8</v>
          </cell>
          <cell r="I108">
            <v>5.2</v>
          </cell>
          <cell r="J108">
            <v>4.5999999999999996</v>
          </cell>
          <cell r="K108">
            <v>5.0999999999999996</v>
          </cell>
          <cell r="L108">
            <v>5.2</v>
          </cell>
          <cell r="M108">
            <v>5.5</v>
          </cell>
        </row>
        <row r="109">
          <cell r="C109" t="str">
            <v>Bạc Liêu MBA T2 (phía 22kV)</v>
          </cell>
          <cell r="D109">
            <v>432</v>
          </cell>
          <cell r="E109">
            <v>2.8</v>
          </cell>
          <cell r="F109">
            <v>4</v>
          </cell>
          <cell r="G109">
            <v>2.9</v>
          </cell>
          <cell r="H109">
            <v>3.4</v>
          </cell>
          <cell r="I109">
            <v>3.3</v>
          </cell>
          <cell r="J109">
            <v>2.8</v>
          </cell>
          <cell r="K109">
            <v>3.8</v>
          </cell>
          <cell r="L109">
            <v>3.7</v>
          </cell>
          <cell r="M109">
            <v>4</v>
          </cell>
        </row>
        <row r="110">
          <cell r="C110" t="str">
            <v>Bạc Liêu 2 MBA AT1 (phía 110kV)</v>
          </cell>
          <cell r="D110">
            <v>131</v>
          </cell>
          <cell r="E110">
            <v>7.4</v>
          </cell>
          <cell r="F110">
            <v>18</v>
          </cell>
          <cell r="G110">
            <v>-9.8000000000000007</v>
          </cell>
          <cell r="H110">
            <v>9.1</v>
          </cell>
          <cell r="I110">
            <v>18</v>
          </cell>
          <cell r="J110">
            <v>7.4</v>
          </cell>
          <cell r="K110">
            <v>12</v>
          </cell>
          <cell r="L110">
            <v>15.3</v>
          </cell>
          <cell r="M110">
            <v>17.5</v>
          </cell>
        </row>
        <row r="111">
          <cell r="C111" t="str">
            <v>Bạc Liêu 2 MBA AT2 (phía 110kV)</v>
          </cell>
          <cell r="D111">
            <v>132</v>
          </cell>
          <cell r="E111">
            <v>4.8</v>
          </cell>
          <cell r="F111">
            <v>20.5</v>
          </cell>
          <cell r="G111">
            <v>-8.1</v>
          </cell>
          <cell r="H111">
            <v>20.5</v>
          </cell>
          <cell r="I111">
            <v>8.6</v>
          </cell>
          <cell r="J111">
            <v>4.8</v>
          </cell>
          <cell r="K111">
            <v>6.2</v>
          </cell>
          <cell r="L111">
            <v>11</v>
          </cell>
          <cell r="M111">
            <v>13.9</v>
          </cell>
        </row>
        <row r="112">
          <cell r="C112" t="str">
            <v>110kV 172 Bạc Liêu 2 - 172 Giá Rai</v>
          </cell>
          <cell r="D112">
            <v>172</v>
          </cell>
          <cell r="E112">
            <v>-5.0999999999999996</v>
          </cell>
          <cell r="F112">
            <v>12.2</v>
          </cell>
          <cell r="G112">
            <v>12.2</v>
          </cell>
          <cell r="H112">
            <v>-6.2</v>
          </cell>
          <cell r="I112">
            <v>-7.1</v>
          </cell>
          <cell r="J112">
            <v>-6.5</v>
          </cell>
          <cell r="K112">
            <v>-5.0999999999999996</v>
          </cell>
          <cell r="L112">
            <v>-6.1</v>
          </cell>
          <cell r="M112">
            <v>-6.1</v>
          </cell>
        </row>
        <row r="113">
          <cell r="C113" t="str">
            <v>110kV 173 Bạc Liêu 2 - 172 Bạc Liêu</v>
          </cell>
          <cell r="D113">
            <v>173</v>
          </cell>
          <cell r="E113">
            <v>1.9</v>
          </cell>
          <cell r="F113">
            <v>4.8</v>
          </cell>
          <cell r="G113">
            <v>4.5</v>
          </cell>
          <cell r="H113">
            <v>-2.6</v>
          </cell>
          <cell r="I113">
            <v>4.2</v>
          </cell>
          <cell r="J113">
            <v>1.9</v>
          </cell>
          <cell r="K113">
            <v>4.8</v>
          </cell>
          <cell r="L113">
            <v>2.2999999999999998</v>
          </cell>
          <cell r="M113">
            <v>3.5</v>
          </cell>
        </row>
        <row r="114">
          <cell r="C114" t="str">
            <v>110kV 174 Bạc Liêu 2 - 171 Bạc Liêu</v>
          </cell>
          <cell r="D114">
            <v>174</v>
          </cell>
          <cell r="E114">
            <v>-1.9</v>
          </cell>
          <cell r="F114">
            <v>-3.4</v>
          </cell>
          <cell r="G114">
            <v>3.3</v>
          </cell>
          <cell r="H114">
            <v>-3.4</v>
          </cell>
          <cell r="I114">
            <v>-3.4</v>
          </cell>
          <cell r="J114">
            <v>-1.9</v>
          </cell>
          <cell r="K114">
            <v>3.4</v>
          </cell>
          <cell r="L114">
            <v>-3.4</v>
          </cell>
          <cell r="M114">
            <v>-3.2</v>
          </cell>
        </row>
        <row r="115">
          <cell r="C115" t="str">
            <v>110kV 175 Bạc Liêu 2 - 171 Vĩnh Trạch Đông</v>
          </cell>
          <cell r="D115">
            <v>175</v>
          </cell>
          <cell r="E115">
            <v>-7</v>
          </cell>
          <cell r="F115">
            <v>-12.3</v>
          </cell>
          <cell r="G115">
            <v>-7</v>
          </cell>
          <cell r="H115">
            <v>-9.6</v>
          </cell>
          <cell r="I115">
            <v>10.199999999999999</v>
          </cell>
          <cell r="J115">
            <v>-7.5</v>
          </cell>
          <cell r="K115">
            <v>-12.3</v>
          </cell>
          <cell r="L115">
            <v>-10.3</v>
          </cell>
          <cell r="M115">
            <v>-9.4</v>
          </cell>
        </row>
        <row r="116">
          <cell r="C116" t="str">
            <v>Bạc Liêu 2 MBA AT1 (phía 220kV)</v>
          </cell>
          <cell r="D116">
            <v>231</v>
          </cell>
          <cell r="E116">
            <v>-6.3</v>
          </cell>
          <cell r="F116">
            <v>-16.100000000000001</v>
          </cell>
          <cell r="G116">
            <v>15.7</v>
          </cell>
          <cell r="H116">
            <v>-6.3</v>
          </cell>
          <cell r="I116">
            <v>-16.100000000000001</v>
          </cell>
          <cell r="J116">
            <v>-7</v>
          </cell>
          <cell r="K116">
            <v>-9.1</v>
          </cell>
          <cell r="L116">
            <v>-12.3</v>
          </cell>
          <cell r="M116">
            <v>-15</v>
          </cell>
        </row>
        <row r="117">
          <cell r="C117" t="str">
            <v>Bạc Liêu 2 MBA AT2 (phía 220kV)</v>
          </cell>
          <cell r="D117">
            <v>232</v>
          </cell>
          <cell r="E117">
            <v>-5</v>
          </cell>
          <cell r="F117">
            <v>-18.100000000000001</v>
          </cell>
          <cell r="G117">
            <v>13.5</v>
          </cell>
          <cell r="H117">
            <v>-18.100000000000001</v>
          </cell>
          <cell r="I117">
            <v>7.3</v>
          </cell>
          <cell r="J117">
            <v>-5</v>
          </cell>
          <cell r="K117">
            <v>9</v>
          </cell>
          <cell r="L117">
            <v>-8.8000000000000007</v>
          </cell>
          <cell r="M117">
            <v>-11.6</v>
          </cell>
        </row>
        <row r="118">
          <cell r="C118" t="str">
            <v>220kV 271 Bạc Liêu 2 - 274 NMĐ Cà Mau</v>
          </cell>
          <cell r="D118">
            <v>271</v>
          </cell>
          <cell r="E118">
            <v>7.6</v>
          </cell>
          <cell r="F118">
            <v>-18.399999999999999</v>
          </cell>
          <cell r="G118">
            <v>-18.399999999999999</v>
          </cell>
          <cell r="H118">
            <v>10.199999999999999</v>
          </cell>
          <cell r="I118">
            <v>10.9</v>
          </cell>
          <cell r="J118">
            <v>7.6</v>
          </cell>
          <cell r="K118">
            <v>-12.6</v>
          </cell>
          <cell r="L118">
            <v>11.2</v>
          </cell>
          <cell r="M118">
            <v>11.4</v>
          </cell>
        </row>
        <row r="119">
          <cell r="C119" t="str">
            <v>220kV 272 Bạc Liêu 2 - 284 NMĐ Cà Mau</v>
          </cell>
          <cell r="D119">
            <v>272</v>
          </cell>
          <cell r="E119">
            <v>7.2</v>
          </cell>
          <cell r="F119">
            <v>-18.8</v>
          </cell>
          <cell r="G119">
            <v>-18.8</v>
          </cell>
          <cell r="H119">
            <v>9.9</v>
          </cell>
          <cell r="I119">
            <v>11.2</v>
          </cell>
          <cell r="J119">
            <v>7.2</v>
          </cell>
          <cell r="K119">
            <v>-13.2</v>
          </cell>
          <cell r="L119">
            <v>11.4</v>
          </cell>
          <cell r="M119">
            <v>11.3</v>
          </cell>
        </row>
        <row r="120">
          <cell r="C120" t="str">
            <v>220kV 273 Bạc Liêu 2 - 271 Sóc Trăng 2</v>
          </cell>
          <cell r="D120">
            <v>273</v>
          </cell>
          <cell r="E120">
            <v>-11.1</v>
          </cell>
          <cell r="F120">
            <v>22.3</v>
          </cell>
          <cell r="G120">
            <v>-13.8</v>
          </cell>
          <cell r="H120">
            <v>20.399999999999999</v>
          </cell>
          <cell r="I120">
            <v>15.1</v>
          </cell>
          <cell r="J120">
            <v>-11.1</v>
          </cell>
          <cell r="K120">
            <v>22.3</v>
          </cell>
          <cell r="L120">
            <v>17.3</v>
          </cell>
          <cell r="M120">
            <v>14.7</v>
          </cell>
        </row>
        <row r="121">
          <cell r="C121" t="str">
            <v>Bắc Sơn MBA T1 (phía 110kV)</v>
          </cell>
          <cell r="D121">
            <v>131</v>
          </cell>
          <cell r="E121">
            <v>1.3</v>
          </cell>
          <cell r="F121">
            <v>-4.5</v>
          </cell>
          <cell r="G121">
            <v>-3.1</v>
          </cell>
          <cell r="H121">
            <v>3.4</v>
          </cell>
          <cell r="I121">
            <v>3.5</v>
          </cell>
          <cell r="J121">
            <v>-4.4000000000000004</v>
          </cell>
          <cell r="K121">
            <v>-4.5</v>
          </cell>
          <cell r="L121">
            <v>2.5</v>
          </cell>
          <cell r="M121">
            <v>1.3</v>
          </cell>
        </row>
        <row r="122">
          <cell r="C122" t="str">
            <v>Bắc Sơn MBA T2 (phía 110kV)</v>
          </cell>
          <cell r="D122">
            <v>132</v>
          </cell>
          <cell r="E122">
            <v>-3.6</v>
          </cell>
          <cell r="F122">
            <v>7.6</v>
          </cell>
          <cell r="G122">
            <v>7.6</v>
          </cell>
          <cell r="H122">
            <v>6.5</v>
          </cell>
          <cell r="I122">
            <v>6.2</v>
          </cell>
          <cell r="J122">
            <v>-3.6</v>
          </cell>
          <cell r="K122">
            <v>4.9000000000000004</v>
          </cell>
          <cell r="L122">
            <v>6.8</v>
          </cell>
          <cell r="M122">
            <v>4.4000000000000004</v>
          </cell>
        </row>
        <row r="123">
          <cell r="C123" t="str">
            <v>110kV 171 Bắc Sơn - 172 Tân Hòa</v>
          </cell>
          <cell r="D123">
            <v>171</v>
          </cell>
          <cell r="E123">
            <v>-10.6</v>
          </cell>
          <cell r="F123">
            <v>17.2</v>
          </cell>
          <cell r="G123">
            <v>17.2</v>
          </cell>
          <cell r="H123">
            <v>15</v>
          </cell>
          <cell r="I123">
            <v>12.3</v>
          </cell>
          <cell r="J123">
            <v>-10.6</v>
          </cell>
          <cell r="K123">
            <v>15.9</v>
          </cell>
          <cell r="L123">
            <v>16.7</v>
          </cell>
          <cell r="M123">
            <v>15.1</v>
          </cell>
        </row>
        <row r="124">
          <cell r="C124" t="str">
            <v>110kV 172 Bắc Sơn - 171 Sông Mây</v>
          </cell>
          <cell r="D124">
            <v>172</v>
          </cell>
          <cell r="E124">
            <v>6.4</v>
          </cell>
          <cell r="F124">
            <v>-8.5</v>
          </cell>
          <cell r="G124">
            <v>-8.5</v>
          </cell>
          <cell r="H124">
            <v>-8.3000000000000007</v>
          </cell>
          <cell r="I124">
            <v>-7</v>
          </cell>
          <cell r="J124">
            <v>6.4</v>
          </cell>
          <cell r="K124">
            <v>-7.5</v>
          </cell>
          <cell r="L124">
            <v>-8.3000000000000007</v>
          </cell>
          <cell r="M124">
            <v>-8.3000000000000007</v>
          </cell>
        </row>
        <row r="125">
          <cell r="C125" t="str">
            <v>110kV 174 Bắc Sơn - 173 Sông Mây</v>
          </cell>
          <cell r="D125">
            <v>174</v>
          </cell>
          <cell r="E125">
            <v>8.9</v>
          </cell>
          <cell r="F125">
            <v>-16.600000000000001</v>
          </cell>
          <cell r="G125">
            <v>-16.600000000000001</v>
          </cell>
          <cell r="H125">
            <v>-16.2</v>
          </cell>
          <cell r="I125">
            <v>-14.3</v>
          </cell>
          <cell r="J125">
            <v>8.9</v>
          </cell>
          <cell r="K125">
            <v>-15</v>
          </cell>
          <cell r="L125">
            <v>-16.2</v>
          </cell>
          <cell r="M125">
            <v>-15.9</v>
          </cell>
        </row>
        <row r="126">
          <cell r="C126" t="str">
            <v>Bắc Sơn MBA T1 (phía 22kV)</v>
          </cell>
          <cell r="D126">
            <v>431</v>
          </cell>
          <cell r="E126">
            <v>-1</v>
          </cell>
          <cell r="F126">
            <v>3.8</v>
          </cell>
          <cell r="G126">
            <v>2.6</v>
          </cell>
          <cell r="H126">
            <v>-3</v>
          </cell>
          <cell r="I126">
            <v>-2.9</v>
          </cell>
          <cell r="J126">
            <v>3.7</v>
          </cell>
          <cell r="K126">
            <v>3.8</v>
          </cell>
          <cell r="L126">
            <v>-2.2000000000000002</v>
          </cell>
          <cell r="M126">
            <v>-1</v>
          </cell>
        </row>
        <row r="127">
          <cell r="C127" t="str">
            <v>Bắc Sơn MBA T2 (phía 22kV)</v>
          </cell>
          <cell r="D127">
            <v>432</v>
          </cell>
          <cell r="E127">
            <v>-3</v>
          </cell>
          <cell r="F127">
            <v>-5.5</v>
          </cell>
          <cell r="G127">
            <v>-5.5</v>
          </cell>
          <cell r="H127">
            <v>-4.5</v>
          </cell>
          <cell r="I127">
            <v>-4.0999999999999996</v>
          </cell>
          <cell r="J127">
            <v>3.8</v>
          </cell>
          <cell r="K127">
            <v>4.0999999999999996</v>
          </cell>
          <cell r="L127">
            <v>-4.7</v>
          </cell>
          <cell r="M127">
            <v>-3</v>
          </cell>
        </row>
        <row r="128">
          <cell r="C128" t="str">
            <v>Bảo Lâm MBA T1 (phía 110kV)</v>
          </cell>
          <cell r="D128">
            <v>131</v>
          </cell>
          <cell r="E128">
            <v>1.4</v>
          </cell>
          <cell r="F128">
            <v>2.8</v>
          </cell>
          <cell r="G128">
            <v>2.8</v>
          </cell>
          <cell r="H128">
            <v>2.8</v>
          </cell>
          <cell r="I128">
            <v>2.5</v>
          </cell>
          <cell r="J128">
            <v>1.4</v>
          </cell>
          <cell r="K128">
            <v>2.2000000000000002</v>
          </cell>
          <cell r="L128">
            <v>2.1</v>
          </cell>
          <cell r="M128">
            <v>1.6</v>
          </cell>
        </row>
        <row r="129">
          <cell r="C129" t="str">
            <v>110kV 171 Bảo Lâm - 174 Bảo Lộc</v>
          </cell>
          <cell r="D129">
            <v>171</v>
          </cell>
          <cell r="E129">
            <v>1.6</v>
          </cell>
          <cell r="F129">
            <v>2.5</v>
          </cell>
          <cell r="G129">
            <v>2.5</v>
          </cell>
          <cell r="H129">
            <v>2</v>
          </cell>
          <cell r="I129">
            <v>-1.6</v>
          </cell>
          <cell r="J129">
            <v>1.6</v>
          </cell>
          <cell r="K129">
            <v>2</v>
          </cell>
          <cell r="L129">
            <v>2.2999999999999998</v>
          </cell>
          <cell r="M129">
            <v>2</v>
          </cell>
        </row>
        <row r="130">
          <cell r="C130" t="str">
            <v>110kV 172 Bảo Lâm - 172 NMĐ Bauxit Lâm Đồng</v>
          </cell>
          <cell r="D130">
            <v>172</v>
          </cell>
          <cell r="E130">
            <v>-1.6</v>
          </cell>
          <cell r="F130">
            <v>-1.9</v>
          </cell>
          <cell r="G130">
            <v>-1.7</v>
          </cell>
          <cell r="H130">
            <v>-1.7</v>
          </cell>
          <cell r="I130">
            <v>-1.8</v>
          </cell>
          <cell r="J130">
            <v>-1.9</v>
          </cell>
          <cell r="K130">
            <v>-1.8</v>
          </cell>
          <cell r="L130">
            <v>-1.6</v>
          </cell>
          <cell r="M130">
            <v>-1.6</v>
          </cell>
        </row>
        <row r="131">
          <cell r="C131" t="str">
            <v>Bảo Lâm MBA T1 (phía 22kV)</v>
          </cell>
          <cell r="D131">
            <v>431</v>
          </cell>
          <cell r="E131">
            <v>-1.4</v>
          </cell>
          <cell r="F131">
            <v>-2.8</v>
          </cell>
          <cell r="G131">
            <v>-2.7</v>
          </cell>
          <cell r="H131">
            <v>-2.8</v>
          </cell>
          <cell r="I131">
            <v>-2.5</v>
          </cell>
          <cell r="J131">
            <v>-1.4</v>
          </cell>
          <cell r="K131">
            <v>-2.2000000000000002</v>
          </cell>
          <cell r="L131">
            <v>-2.1</v>
          </cell>
          <cell r="M131">
            <v>-1.6</v>
          </cell>
        </row>
        <row r="132">
          <cell r="C132" t="str">
            <v>Bảo Lộc MBA AT1 (phía 110kV)</v>
          </cell>
          <cell r="D132">
            <v>131</v>
          </cell>
          <cell r="E132">
            <v>-8.1</v>
          </cell>
          <cell r="F132">
            <v>-20.3</v>
          </cell>
          <cell r="G132">
            <v>-19.8</v>
          </cell>
          <cell r="H132">
            <v>-14.2</v>
          </cell>
          <cell r="I132">
            <v>-20</v>
          </cell>
          <cell r="J132">
            <v>-17.100000000000001</v>
          </cell>
          <cell r="K132">
            <v>-8.1</v>
          </cell>
          <cell r="L132">
            <v>-20.3</v>
          </cell>
          <cell r="M132">
            <v>-14.6</v>
          </cell>
        </row>
        <row r="133">
          <cell r="C133" t="str">
            <v>Bảo Lộc MBA AT2 (phía 110kV)</v>
          </cell>
          <cell r="D133">
            <v>132</v>
          </cell>
          <cell r="E133">
            <v>-14.3</v>
          </cell>
          <cell r="F133">
            <v>-29.6</v>
          </cell>
          <cell r="G133">
            <v>-28</v>
          </cell>
          <cell r="H133">
            <v>-21.7</v>
          </cell>
          <cell r="I133">
            <v>-28.4</v>
          </cell>
          <cell r="J133">
            <v>-26.5</v>
          </cell>
          <cell r="K133">
            <v>-14.3</v>
          </cell>
          <cell r="L133">
            <v>-29.6</v>
          </cell>
          <cell r="M133">
            <v>-22.9</v>
          </cell>
        </row>
        <row r="134">
          <cell r="C134" t="str">
            <v>Bảo Lộc MBA T4 (phía 110kV)</v>
          </cell>
          <cell r="D134">
            <v>134</v>
          </cell>
          <cell r="E134">
            <v>1.9</v>
          </cell>
          <cell r="F134">
            <v>6.4</v>
          </cell>
          <cell r="G134">
            <v>6.2</v>
          </cell>
          <cell r="H134">
            <v>6.4</v>
          </cell>
          <cell r="I134">
            <v>5.7</v>
          </cell>
          <cell r="J134">
            <v>1.9</v>
          </cell>
          <cell r="K134">
            <v>6.1</v>
          </cell>
          <cell r="L134">
            <v>6.1</v>
          </cell>
          <cell r="M134">
            <v>5.3</v>
          </cell>
        </row>
        <row r="135">
          <cell r="C135" t="str">
            <v>110kV 171 Bảo Lộc - 171 NMĐ Đa M'bri</v>
          </cell>
          <cell r="D135">
            <v>171</v>
          </cell>
          <cell r="E135">
            <v>-3.1</v>
          </cell>
          <cell r="F135">
            <v>-5</v>
          </cell>
          <cell r="G135">
            <v>-3.1</v>
          </cell>
          <cell r="H135">
            <v>-3.9</v>
          </cell>
          <cell r="I135">
            <v>-4.7</v>
          </cell>
          <cell r="J135">
            <v>-5</v>
          </cell>
          <cell r="K135">
            <v>-4.7</v>
          </cell>
          <cell r="L135">
            <v>-4.0999999999999996</v>
          </cell>
          <cell r="M135">
            <v>-4.3</v>
          </cell>
        </row>
        <row r="136">
          <cell r="C136" t="str">
            <v>110kV 172 Bảo Lộc - 171 Di Linh 1</v>
          </cell>
          <cell r="D136">
            <v>172</v>
          </cell>
          <cell r="E136">
            <v>17.899999999999999</v>
          </cell>
          <cell r="F136">
            <v>44.6</v>
          </cell>
          <cell r="G136">
            <v>41.5</v>
          </cell>
          <cell r="H136">
            <v>33.200000000000003</v>
          </cell>
          <cell r="I136">
            <v>41</v>
          </cell>
          <cell r="J136">
            <v>40.700000000000003</v>
          </cell>
          <cell r="K136">
            <v>17.899999999999999</v>
          </cell>
          <cell r="L136">
            <v>44.6</v>
          </cell>
          <cell r="M136">
            <v>34.4</v>
          </cell>
        </row>
        <row r="137">
          <cell r="C137" t="str">
            <v>110kV 173 Bảo Lộc - 171 NMĐ Bảo Lộc</v>
          </cell>
          <cell r="D137">
            <v>173</v>
          </cell>
          <cell r="E137">
            <v>1.9</v>
          </cell>
          <cell r="F137">
            <v>2.5</v>
          </cell>
          <cell r="G137">
            <v>1.9</v>
          </cell>
          <cell r="H137">
            <v>2.1</v>
          </cell>
          <cell r="I137">
            <v>1.9</v>
          </cell>
          <cell r="J137">
            <v>1.9</v>
          </cell>
          <cell r="K137">
            <v>2.2000000000000002</v>
          </cell>
          <cell r="L137">
            <v>2.5</v>
          </cell>
          <cell r="M137">
            <v>1.9</v>
          </cell>
        </row>
        <row r="138">
          <cell r="C138" t="str">
            <v>110kV 174 Bảo Lộc - 171 Bảo Lâm</v>
          </cell>
          <cell r="D138">
            <v>174</v>
          </cell>
          <cell r="E138">
            <v>-5.2</v>
          </cell>
          <cell r="F138">
            <v>-7.1</v>
          </cell>
          <cell r="G138">
            <v>-7.1</v>
          </cell>
          <cell r="H138">
            <v>-5.6</v>
          </cell>
          <cell r="I138">
            <v>-6.8</v>
          </cell>
          <cell r="J138">
            <v>-5.2</v>
          </cell>
          <cell r="K138">
            <v>-5.9</v>
          </cell>
          <cell r="L138">
            <v>-6.1</v>
          </cell>
          <cell r="M138">
            <v>-5.9</v>
          </cell>
        </row>
        <row r="139">
          <cell r="C139" t="str">
            <v>Bảo Lộc MBA AT1 (phía 220kV)</v>
          </cell>
          <cell r="D139">
            <v>231</v>
          </cell>
          <cell r="E139">
            <v>8.9</v>
          </cell>
          <cell r="F139">
            <v>21.8</v>
          </cell>
          <cell r="G139">
            <v>20.7</v>
          </cell>
          <cell r="H139">
            <v>15.6</v>
          </cell>
          <cell r="I139">
            <v>21.2</v>
          </cell>
          <cell r="J139">
            <v>19.600000000000001</v>
          </cell>
          <cell r="K139">
            <v>8.9</v>
          </cell>
          <cell r="L139">
            <v>21.8</v>
          </cell>
          <cell r="M139">
            <v>15.9</v>
          </cell>
        </row>
        <row r="140">
          <cell r="C140" t="str">
            <v>Bảo Lộc MBA AT2 (phía 220kV)</v>
          </cell>
          <cell r="D140">
            <v>232</v>
          </cell>
          <cell r="E140">
            <v>16.2</v>
          </cell>
          <cell r="F140">
            <v>33.1</v>
          </cell>
          <cell r="G140">
            <v>30.2</v>
          </cell>
          <cell r="H140">
            <v>23.5</v>
          </cell>
          <cell r="I140">
            <v>32.200000000000003</v>
          </cell>
          <cell r="J140">
            <v>29.6</v>
          </cell>
          <cell r="K140">
            <v>16.2</v>
          </cell>
          <cell r="L140">
            <v>33.1</v>
          </cell>
          <cell r="M140">
            <v>24.8</v>
          </cell>
        </row>
        <row r="141">
          <cell r="C141" t="str">
            <v>220kV 272 Bảo Lộc - 274 NMĐ Hàm Thuận</v>
          </cell>
          <cell r="D141">
            <v>272</v>
          </cell>
          <cell r="E141">
            <v>-20.8</v>
          </cell>
          <cell r="F141">
            <v>-40.1</v>
          </cell>
          <cell r="G141">
            <v>-40.1</v>
          </cell>
          <cell r="H141">
            <v>-20.8</v>
          </cell>
          <cell r="I141">
            <v>-31.6</v>
          </cell>
          <cell r="J141">
            <v>-25.4</v>
          </cell>
          <cell r="K141">
            <v>-29.2</v>
          </cell>
          <cell r="L141">
            <v>-36.299999999999997</v>
          </cell>
          <cell r="M141">
            <v>-27.7</v>
          </cell>
        </row>
        <row r="142">
          <cell r="C142" t="str">
            <v>220kV 273 Bảo Lộc - 274 Phan Thiết 2</v>
          </cell>
          <cell r="D142">
            <v>273</v>
          </cell>
          <cell r="E142">
            <v>6.1</v>
          </cell>
          <cell r="F142">
            <v>-13.1</v>
          </cell>
          <cell r="G142">
            <v>6.1</v>
          </cell>
          <cell r="H142">
            <v>-9.3000000000000007</v>
          </cell>
          <cell r="I142">
            <v>-11.8</v>
          </cell>
          <cell r="J142">
            <v>-10.6</v>
          </cell>
          <cell r="K142">
            <v>-6.7</v>
          </cell>
          <cell r="L142">
            <v>-13.1</v>
          </cell>
          <cell r="M142">
            <v>-11.8</v>
          </cell>
        </row>
        <row r="143">
          <cell r="C143" t="str">
            <v>220kV 274 Bảo Lộc - 274 Sông Mây</v>
          </cell>
          <cell r="D143">
            <v>274</v>
          </cell>
          <cell r="E143">
            <v>-17.600000000000001</v>
          </cell>
          <cell r="F143">
            <v>-30.4</v>
          </cell>
          <cell r="G143">
            <v>-25.9</v>
          </cell>
          <cell r="H143">
            <v>-26.6</v>
          </cell>
          <cell r="I143">
            <v>-25.3</v>
          </cell>
          <cell r="J143">
            <v>-26.6</v>
          </cell>
          <cell r="K143">
            <v>-20.8</v>
          </cell>
          <cell r="L143">
            <v>-17.600000000000001</v>
          </cell>
          <cell r="M143">
            <v>-30.4</v>
          </cell>
        </row>
        <row r="144">
          <cell r="C144" t="str">
            <v>220kV 275 Bảo Lộc - 272 Di Linh</v>
          </cell>
          <cell r="D144">
            <v>275</v>
          </cell>
          <cell r="E144">
            <v>19.7</v>
          </cell>
          <cell r="F144">
            <v>30.2</v>
          </cell>
          <cell r="G144">
            <v>21.6</v>
          </cell>
          <cell r="H144">
            <v>19.7</v>
          </cell>
          <cell r="I144">
            <v>30.2</v>
          </cell>
          <cell r="J144">
            <v>29</v>
          </cell>
          <cell r="K144">
            <v>27.4</v>
          </cell>
          <cell r="L144">
            <v>24.2</v>
          </cell>
          <cell r="M144">
            <v>22.9</v>
          </cell>
        </row>
        <row r="145">
          <cell r="C145" t="str">
            <v>220kV 276 Bảo Lộc - 271 Di Linh</v>
          </cell>
          <cell r="D145">
            <v>276</v>
          </cell>
          <cell r="E145">
            <v>20</v>
          </cell>
          <cell r="F145">
            <v>31.5</v>
          </cell>
          <cell r="G145">
            <v>22.6</v>
          </cell>
          <cell r="H145">
            <v>20</v>
          </cell>
          <cell r="I145">
            <v>31.5</v>
          </cell>
          <cell r="J145">
            <v>29.6</v>
          </cell>
          <cell r="K145">
            <v>27.1</v>
          </cell>
          <cell r="L145">
            <v>24.4</v>
          </cell>
          <cell r="M145">
            <v>22.7</v>
          </cell>
        </row>
        <row r="146">
          <cell r="C146" t="str">
            <v>Bảo Lộc MBA T4 (phía 22kV)</v>
          </cell>
          <cell r="D146">
            <v>434</v>
          </cell>
          <cell r="E146">
            <v>-4.4000000000000004</v>
          </cell>
          <cell r="F146">
            <v>-6.4</v>
          </cell>
          <cell r="G146">
            <v>-5.6</v>
          </cell>
          <cell r="H146">
            <v>-6</v>
          </cell>
          <cell r="I146">
            <v>-6.4</v>
          </cell>
          <cell r="J146">
            <v>-6.1</v>
          </cell>
          <cell r="K146">
            <v>-6</v>
          </cell>
          <cell r="L146">
            <v>-5.7</v>
          </cell>
          <cell r="M146">
            <v>-4.4000000000000004</v>
          </cell>
        </row>
        <row r="147">
          <cell r="C147" t="str">
            <v>Bàu Bèo MBA T1 (phía 110kV)</v>
          </cell>
          <cell r="D147">
            <v>131</v>
          </cell>
          <cell r="E147">
            <v>2.2999999999999998</v>
          </cell>
          <cell r="F147">
            <v>-5.2</v>
          </cell>
          <cell r="G147">
            <v>4.7</v>
          </cell>
          <cell r="H147">
            <v>-4.5999999999999996</v>
          </cell>
          <cell r="I147">
            <v>3.5</v>
          </cell>
          <cell r="J147">
            <v>2.2999999999999998</v>
          </cell>
          <cell r="K147">
            <v>4.3</v>
          </cell>
          <cell r="L147">
            <v>-5.2</v>
          </cell>
          <cell r="M147">
            <v>4.2</v>
          </cell>
        </row>
        <row r="148">
          <cell r="C148" t="str">
            <v>Bàu Bèo MBA T2 (phía 110kV)</v>
          </cell>
          <cell r="D148">
            <v>132</v>
          </cell>
          <cell r="E148">
            <v>3.8</v>
          </cell>
          <cell r="F148">
            <v>-9.5</v>
          </cell>
          <cell r="G148">
            <v>-5.5</v>
          </cell>
          <cell r="H148">
            <v>-5.0999999999999996</v>
          </cell>
          <cell r="I148">
            <v>3.8</v>
          </cell>
          <cell r="J148">
            <v>-9.5</v>
          </cell>
          <cell r="K148">
            <v>-7.3</v>
          </cell>
          <cell r="L148">
            <v>-6.2</v>
          </cell>
          <cell r="M148">
            <v>-4.9000000000000004</v>
          </cell>
        </row>
        <row r="149">
          <cell r="C149" t="str">
            <v>110kV 171 Bàu Bèo - 174 Tân Định</v>
          </cell>
          <cell r="D149">
            <v>171</v>
          </cell>
          <cell r="E149">
            <v>-6.9</v>
          </cell>
          <cell r="F149">
            <v>11.4</v>
          </cell>
          <cell r="G149">
            <v>-8.5</v>
          </cell>
          <cell r="H149">
            <v>-7.5</v>
          </cell>
          <cell r="I149">
            <v>-6.9</v>
          </cell>
          <cell r="J149">
            <v>11.4</v>
          </cell>
          <cell r="K149">
            <v>9.1999999999999993</v>
          </cell>
          <cell r="L149">
            <v>8.1</v>
          </cell>
          <cell r="M149">
            <v>-7.4</v>
          </cell>
        </row>
        <row r="150">
          <cell r="C150" t="str">
            <v>110kV 172 Bàu Bèo - 171 Vĩnh Trường</v>
          </cell>
          <cell r="D150">
            <v>172</v>
          </cell>
          <cell r="E150">
            <v>-0.2</v>
          </cell>
          <cell r="F150">
            <v>-0.2</v>
          </cell>
          <cell r="G150">
            <v>-0.2</v>
          </cell>
          <cell r="H150">
            <v>-0.2</v>
          </cell>
          <cell r="I150">
            <v>-0.2</v>
          </cell>
          <cell r="J150">
            <v>-0.2</v>
          </cell>
          <cell r="K150">
            <v>-0.2</v>
          </cell>
          <cell r="L150">
            <v>-0.2</v>
          </cell>
          <cell r="M150">
            <v>-0.2</v>
          </cell>
        </row>
        <row r="151">
          <cell r="C151" t="str">
            <v>Bàu Bèo MBA T1 (phía 22kV)</v>
          </cell>
          <cell r="D151">
            <v>431</v>
          </cell>
          <cell r="E151">
            <v>2.6</v>
          </cell>
          <cell r="F151">
            <v>6.8</v>
          </cell>
          <cell r="G151">
            <v>6</v>
          </cell>
          <cell r="H151">
            <v>6.6</v>
          </cell>
          <cell r="I151">
            <v>5.7</v>
          </cell>
          <cell r="J151">
            <v>2.6</v>
          </cell>
          <cell r="K151">
            <v>5.2</v>
          </cell>
          <cell r="L151">
            <v>6.8</v>
          </cell>
          <cell r="M151">
            <v>5.7</v>
          </cell>
        </row>
        <row r="152">
          <cell r="C152" t="str">
            <v>Bàu Bèo MBA T2 (phía 22kV)</v>
          </cell>
          <cell r="D152">
            <v>432</v>
          </cell>
          <cell r="E152">
            <v>4.5999999999999996</v>
          </cell>
          <cell r="F152">
            <v>9.9</v>
          </cell>
          <cell r="G152">
            <v>6.1</v>
          </cell>
          <cell r="H152">
            <v>7.6</v>
          </cell>
          <cell r="I152">
            <v>4.5999999999999996</v>
          </cell>
          <cell r="J152">
            <v>9.9</v>
          </cell>
          <cell r="K152">
            <v>7.8</v>
          </cell>
          <cell r="L152">
            <v>8.4</v>
          </cell>
          <cell r="M152">
            <v>7.7</v>
          </cell>
        </row>
        <row r="153">
          <cell r="C153" t="str">
            <v>Bàu Đưng MBA T1 (phía 110kV)</v>
          </cell>
          <cell r="D153">
            <v>131</v>
          </cell>
          <cell r="E153">
            <v>-0.4</v>
          </cell>
          <cell r="F153">
            <v>-0.9</v>
          </cell>
          <cell r="G153">
            <v>0.6</v>
          </cell>
          <cell r="H153">
            <v>-0.4</v>
          </cell>
          <cell r="I153">
            <v>-0.9</v>
          </cell>
          <cell r="J153">
            <v>-0.9</v>
          </cell>
          <cell r="K153">
            <v>-0.8</v>
          </cell>
          <cell r="L153">
            <v>-0.8</v>
          </cell>
          <cell r="M153">
            <v>-0.8</v>
          </cell>
        </row>
        <row r="154">
          <cell r="C154" t="str">
            <v>110kV 171 Bàu Đưng - 181 Củ Chi 2</v>
          </cell>
          <cell r="D154">
            <v>171</v>
          </cell>
          <cell r="E154">
            <v>0</v>
          </cell>
          <cell r="F154">
            <v>1</v>
          </cell>
          <cell r="G154">
            <v>1</v>
          </cell>
          <cell r="H154">
            <v>0</v>
          </cell>
          <cell r="I154">
            <v>1</v>
          </cell>
          <cell r="J154">
            <v>1</v>
          </cell>
          <cell r="K154">
            <v>1</v>
          </cell>
          <cell r="L154">
            <v>1</v>
          </cell>
          <cell r="M154">
            <v>1</v>
          </cell>
        </row>
        <row r="155">
          <cell r="C155" t="str">
            <v>110kV 172 Bàu Đưng - 182 Củ Chi 2</v>
          </cell>
          <cell r="D155">
            <v>172</v>
          </cell>
          <cell r="E155">
            <v>0.2</v>
          </cell>
          <cell r="F155">
            <v>0.2</v>
          </cell>
          <cell r="G155">
            <v>0.2</v>
          </cell>
          <cell r="H155">
            <v>0.2</v>
          </cell>
          <cell r="I155">
            <v>0.2</v>
          </cell>
          <cell r="J155">
            <v>0.2</v>
          </cell>
          <cell r="K155">
            <v>0.2</v>
          </cell>
          <cell r="L155">
            <v>0.2</v>
          </cell>
          <cell r="M155">
            <v>0.2</v>
          </cell>
        </row>
        <row r="156">
          <cell r="C156" t="str">
            <v>Bàu Đưng MBA T1 (phía 22kV)</v>
          </cell>
          <cell r="D156">
            <v>431</v>
          </cell>
          <cell r="E156">
            <v>1.5</v>
          </cell>
          <cell r="F156">
            <v>1.7</v>
          </cell>
          <cell r="G156">
            <v>1.6</v>
          </cell>
          <cell r="H156">
            <v>1.5</v>
          </cell>
          <cell r="I156">
            <v>1.6</v>
          </cell>
          <cell r="J156">
            <v>1.6</v>
          </cell>
          <cell r="K156">
            <v>1.7</v>
          </cell>
          <cell r="L156">
            <v>1.7</v>
          </cell>
          <cell r="M156">
            <v>1.6</v>
          </cell>
        </row>
        <row r="157">
          <cell r="C157" t="str">
            <v>Bàu Sen MBA AT1 (phía 110kV)</v>
          </cell>
          <cell r="D157">
            <v>131</v>
          </cell>
          <cell r="E157">
            <v>-46.8</v>
          </cell>
          <cell r="F157">
            <v>-56.5</v>
          </cell>
          <cell r="G157">
            <v>-52.8</v>
          </cell>
          <cell r="H157">
            <v>-46.8</v>
          </cell>
          <cell r="I157">
            <v>-46.8</v>
          </cell>
          <cell r="J157">
            <v>-48.4</v>
          </cell>
          <cell r="K157">
            <v>-54</v>
          </cell>
          <cell r="L157">
            <v>-56.5</v>
          </cell>
          <cell r="M157">
            <v>-53.9</v>
          </cell>
        </row>
        <row r="158">
          <cell r="C158" t="str">
            <v>Bàu Sen MBA AT2 (phía 110kV)</v>
          </cell>
          <cell r="D158">
            <v>132</v>
          </cell>
          <cell r="E158">
            <v>-38.5</v>
          </cell>
          <cell r="F158">
            <v>-48.2</v>
          </cell>
          <cell r="G158">
            <v>-48.2</v>
          </cell>
          <cell r="H158">
            <v>-38.5</v>
          </cell>
          <cell r="I158">
            <v>-42.4</v>
          </cell>
          <cell r="J158">
            <v>-43.2</v>
          </cell>
          <cell r="K158">
            <v>-48.1</v>
          </cell>
          <cell r="L158">
            <v>-48.2</v>
          </cell>
          <cell r="M158">
            <v>-46.5</v>
          </cell>
        </row>
        <row r="159">
          <cell r="C159" t="str">
            <v>110kV 177 Bàu Sen - 172 Ông Kèo</v>
          </cell>
          <cell r="D159">
            <v>177</v>
          </cell>
          <cell r="E159">
            <v>12.2</v>
          </cell>
          <cell r="F159">
            <v>22.5</v>
          </cell>
          <cell r="G159">
            <v>19.899999999999999</v>
          </cell>
          <cell r="H159">
            <v>13.2</v>
          </cell>
          <cell r="I159">
            <v>12.2</v>
          </cell>
          <cell r="J159">
            <v>22</v>
          </cell>
          <cell r="K159">
            <v>19.100000000000001</v>
          </cell>
          <cell r="L159">
            <v>20.9</v>
          </cell>
          <cell r="M159">
            <v>22.5</v>
          </cell>
        </row>
        <row r="160">
          <cell r="C160" t="str">
            <v>110kV 178 Bàu Sen - 171 Hyosung 2</v>
          </cell>
          <cell r="D160">
            <v>178</v>
          </cell>
          <cell r="E160">
            <v>27.4</v>
          </cell>
          <cell r="F160">
            <v>36.1</v>
          </cell>
          <cell r="G160">
            <v>30.9</v>
          </cell>
          <cell r="H160">
            <v>27.4</v>
          </cell>
          <cell r="I160">
            <v>28.9</v>
          </cell>
          <cell r="J160">
            <v>36.1</v>
          </cell>
          <cell r="K160">
            <v>29.7</v>
          </cell>
          <cell r="L160">
            <v>30.6</v>
          </cell>
          <cell r="M160">
            <v>28.8</v>
          </cell>
        </row>
        <row r="161">
          <cell r="C161" t="str">
            <v>110kV 179 Bàu Sen - 171 Hyosung</v>
          </cell>
          <cell r="D161">
            <v>179</v>
          </cell>
          <cell r="E161">
            <v>27.6</v>
          </cell>
          <cell r="F161">
            <v>30.4</v>
          </cell>
          <cell r="G161">
            <v>30.4</v>
          </cell>
          <cell r="H161">
            <v>27.6</v>
          </cell>
          <cell r="I161">
            <v>28.8</v>
          </cell>
          <cell r="J161">
            <v>28.7</v>
          </cell>
          <cell r="K161">
            <v>29.7</v>
          </cell>
          <cell r="L161">
            <v>30.3</v>
          </cell>
          <cell r="M161">
            <v>29</v>
          </cell>
        </row>
        <row r="162">
          <cell r="C162" t="str">
            <v>110kV 180 Bàu Sen - 171 Phú Thạnh</v>
          </cell>
          <cell r="D162">
            <v>180</v>
          </cell>
          <cell r="E162">
            <v>18.600000000000001</v>
          </cell>
          <cell r="F162">
            <v>22.7</v>
          </cell>
          <cell r="G162">
            <v>22.4</v>
          </cell>
          <cell r="H162">
            <v>18.600000000000001</v>
          </cell>
          <cell r="I162">
            <v>20.7</v>
          </cell>
          <cell r="J162">
            <v>20.6</v>
          </cell>
          <cell r="K162">
            <v>22.7</v>
          </cell>
          <cell r="L162">
            <v>22.4</v>
          </cell>
          <cell r="M162">
            <v>21.4</v>
          </cell>
        </row>
        <row r="163">
          <cell r="C163" t="str">
            <v>Bàu Sen MBA AT1 (phía 220kV)</v>
          </cell>
          <cell r="D163">
            <v>231</v>
          </cell>
          <cell r="E163">
            <v>57</v>
          </cell>
          <cell r="F163">
            <v>67.3</v>
          </cell>
          <cell r="G163">
            <v>64.3</v>
          </cell>
          <cell r="H163">
            <v>59.6</v>
          </cell>
          <cell r="I163">
            <v>57</v>
          </cell>
          <cell r="J163">
            <v>57.2</v>
          </cell>
          <cell r="K163">
            <v>63.3</v>
          </cell>
          <cell r="L163">
            <v>64.8</v>
          </cell>
          <cell r="M163">
            <v>67.3</v>
          </cell>
        </row>
        <row r="164">
          <cell r="C164" t="str">
            <v>Bàu Sen MBA AT2 (phía 220kV)</v>
          </cell>
          <cell r="D164">
            <v>232</v>
          </cell>
          <cell r="E164">
            <v>50.7</v>
          </cell>
          <cell r="F164">
            <v>64</v>
          </cell>
          <cell r="G164">
            <v>58.7</v>
          </cell>
          <cell r="H164">
            <v>50.7</v>
          </cell>
          <cell r="I164">
            <v>52.1</v>
          </cell>
          <cell r="J164">
            <v>51.3</v>
          </cell>
          <cell r="K164">
            <v>64</v>
          </cell>
          <cell r="L164">
            <v>58.5</v>
          </cell>
          <cell r="M164">
            <v>59.4</v>
          </cell>
        </row>
        <row r="165">
          <cell r="C165" t="str">
            <v>220kV 273 Bàu Sen - 275 NMĐ Nhơn Trạch 1&amp;2</v>
          </cell>
          <cell r="D165">
            <v>273</v>
          </cell>
          <cell r="E165">
            <v>-55</v>
          </cell>
          <cell r="F165">
            <v>-65</v>
          </cell>
          <cell r="G165">
            <v>-62</v>
          </cell>
          <cell r="H165">
            <v>-55.8</v>
          </cell>
          <cell r="I165">
            <v>-55.5</v>
          </cell>
          <cell r="J165">
            <v>-55</v>
          </cell>
          <cell r="K165">
            <v>-60.3</v>
          </cell>
          <cell r="L165">
            <v>-62.7</v>
          </cell>
          <cell r="M165">
            <v>-65</v>
          </cell>
        </row>
        <row r="166">
          <cell r="C166" t="str">
            <v>220kV 274 Bàu Sen - 276 NMĐ Nhơn Trạch 1&amp;2</v>
          </cell>
          <cell r="D166">
            <v>274</v>
          </cell>
          <cell r="E166">
            <v>-54.1</v>
          </cell>
          <cell r="F166">
            <v>-64.2</v>
          </cell>
          <cell r="G166">
            <v>-61.7</v>
          </cell>
          <cell r="H166">
            <v>-55</v>
          </cell>
          <cell r="I166">
            <v>-54.5</v>
          </cell>
          <cell r="J166">
            <v>-54.1</v>
          </cell>
          <cell r="K166">
            <v>-60.5</v>
          </cell>
          <cell r="L166">
            <v>-62.1</v>
          </cell>
          <cell r="M166">
            <v>-64.2</v>
          </cell>
        </row>
        <row r="167">
          <cell r="C167" t="str">
            <v>Bàu Xéo MBA T1 (phía 110kV)</v>
          </cell>
          <cell r="D167">
            <v>131</v>
          </cell>
          <cell r="E167">
            <v>-1.9</v>
          </cell>
          <cell r="F167">
            <v>7.7</v>
          </cell>
          <cell r="G167">
            <v>7.1</v>
          </cell>
          <cell r="H167">
            <v>7.6</v>
          </cell>
          <cell r="I167">
            <v>7.2</v>
          </cell>
          <cell r="J167">
            <v>-1.9</v>
          </cell>
          <cell r="K167">
            <v>7.7</v>
          </cell>
          <cell r="L167">
            <v>7.2</v>
          </cell>
          <cell r="M167">
            <v>6.9</v>
          </cell>
        </row>
        <row r="168">
          <cell r="C168" t="str">
            <v>Bàu Xéo MBA T2 (phía 110kV)</v>
          </cell>
          <cell r="D168">
            <v>132</v>
          </cell>
          <cell r="E168">
            <v>-1.8</v>
          </cell>
          <cell r="F168">
            <v>12.3</v>
          </cell>
          <cell r="G168">
            <v>4.0999999999999996</v>
          </cell>
          <cell r="H168">
            <v>4.3</v>
          </cell>
          <cell r="I168">
            <v>3.9</v>
          </cell>
          <cell r="J168">
            <v>-1.8</v>
          </cell>
          <cell r="K168">
            <v>3.8</v>
          </cell>
          <cell r="L168">
            <v>11.5</v>
          </cell>
          <cell r="M168">
            <v>12.3</v>
          </cell>
        </row>
        <row r="169">
          <cell r="C169" t="str">
            <v>110kV 171 Bàu Xéo - 175 Sông Mây - 176 Sông Mây</v>
          </cell>
          <cell r="D169">
            <v>171</v>
          </cell>
          <cell r="E169">
            <v>2.5</v>
          </cell>
          <cell r="F169">
            <v>9.3000000000000007</v>
          </cell>
          <cell r="G169">
            <v>6</v>
          </cell>
          <cell r="H169">
            <v>6.5</v>
          </cell>
          <cell r="I169">
            <v>6.1</v>
          </cell>
          <cell r="J169">
            <v>2.5</v>
          </cell>
          <cell r="K169">
            <v>8.1</v>
          </cell>
          <cell r="L169">
            <v>9.3000000000000007</v>
          </cell>
          <cell r="M169">
            <v>8.9</v>
          </cell>
        </row>
        <row r="170">
          <cell r="C170" t="str">
            <v>110kV 172 Bàu Xéo - 172 Dầu Giây</v>
          </cell>
          <cell r="D170">
            <v>172</v>
          </cell>
          <cell r="E170">
            <v>-0.9</v>
          </cell>
          <cell r="F170">
            <v>-4.7</v>
          </cell>
          <cell r="G170">
            <v>-3.8</v>
          </cell>
          <cell r="H170">
            <v>-4.3</v>
          </cell>
          <cell r="I170">
            <v>-3.4</v>
          </cell>
          <cell r="J170">
            <v>-0.9</v>
          </cell>
          <cell r="K170">
            <v>-3.8</v>
          </cell>
          <cell r="L170">
            <v>-2.9</v>
          </cell>
          <cell r="M170">
            <v>-4.7</v>
          </cell>
        </row>
        <row r="171">
          <cell r="C171" t="str">
            <v>Bàu Xéo MBA T1 (phía 22kV)</v>
          </cell>
          <cell r="D171">
            <v>431</v>
          </cell>
          <cell r="E171">
            <v>1.5</v>
          </cell>
          <cell r="F171">
            <v>-5.4</v>
          </cell>
          <cell r="G171">
            <v>-4.8</v>
          </cell>
          <cell r="H171">
            <v>-5.4</v>
          </cell>
          <cell r="I171">
            <v>-4.5999999999999996</v>
          </cell>
          <cell r="J171">
            <v>1.5</v>
          </cell>
          <cell r="K171">
            <v>-5.4</v>
          </cell>
          <cell r="L171">
            <v>-5.2</v>
          </cell>
          <cell r="M171">
            <v>-5.0999999999999996</v>
          </cell>
        </row>
        <row r="172">
          <cell r="C172" t="str">
            <v>Bàu Xéo MBA T2 (phía 22kV)</v>
          </cell>
          <cell r="D172">
            <v>432</v>
          </cell>
          <cell r="E172">
            <v>1.8</v>
          </cell>
          <cell r="F172">
            <v>-10.9</v>
          </cell>
          <cell r="G172">
            <v>-3.1</v>
          </cell>
          <cell r="H172">
            <v>-3.2</v>
          </cell>
          <cell r="I172">
            <v>-3.1</v>
          </cell>
          <cell r="J172">
            <v>1.8</v>
          </cell>
          <cell r="K172">
            <v>-3</v>
          </cell>
          <cell r="L172">
            <v>-9.3000000000000007</v>
          </cell>
          <cell r="M172">
            <v>-10.9</v>
          </cell>
        </row>
        <row r="173">
          <cell r="C173" t="str">
            <v>Bến Cát MBA T1 (phía 110kV)</v>
          </cell>
          <cell r="D173">
            <v>131</v>
          </cell>
          <cell r="E173">
            <v>-8.4</v>
          </cell>
          <cell r="F173">
            <v>-13.4</v>
          </cell>
          <cell r="G173">
            <v>-13.4</v>
          </cell>
          <cell r="H173">
            <v>-10.6</v>
          </cell>
          <cell r="I173">
            <v>-8.6999999999999993</v>
          </cell>
          <cell r="J173">
            <v>-9.3000000000000007</v>
          </cell>
          <cell r="K173">
            <v>-8.4</v>
          </cell>
          <cell r="L173">
            <v>-9.9</v>
          </cell>
          <cell r="M173">
            <v>-8.8000000000000007</v>
          </cell>
        </row>
        <row r="174">
          <cell r="C174" t="str">
            <v>Bến Cát MBA T2 (phía 110kV)</v>
          </cell>
          <cell r="D174">
            <v>132</v>
          </cell>
          <cell r="E174">
            <v>7.3</v>
          </cell>
          <cell r="F174">
            <v>15.7</v>
          </cell>
          <cell r="G174">
            <v>7.3</v>
          </cell>
          <cell r="H174">
            <v>10.8</v>
          </cell>
          <cell r="I174">
            <v>14.2</v>
          </cell>
          <cell r="J174">
            <v>8.1999999999999993</v>
          </cell>
          <cell r="K174">
            <v>11.8</v>
          </cell>
          <cell r="L174">
            <v>15.7</v>
          </cell>
          <cell r="M174">
            <v>12.8</v>
          </cell>
        </row>
        <row r="175">
          <cell r="C175" t="str">
            <v>110kV 171 Bến Cát - 172 Kumho - 131 Vina Kraft</v>
          </cell>
          <cell r="D175">
            <v>171</v>
          </cell>
          <cell r="E175">
            <v>9.6</v>
          </cell>
          <cell r="F175">
            <v>17.7</v>
          </cell>
          <cell r="G175">
            <v>17.7</v>
          </cell>
          <cell r="H175">
            <v>17.100000000000001</v>
          </cell>
          <cell r="I175">
            <v>11</v>
          </cell>
          <cell r="J175">
            <v>9.6</v>
          </cell>
          <cell r="K175">
            <v>-12.3</v>
          </cell>
          <cell r="L175">
            <v>-14.1</v>
          </cell>
          <cell r="M175">
            <v>-12.5</v>
          </cell>
        </row>
        <row r="176">
          <cell r="C176" t="str">
            <v>110kV 172 Bến Cát - 179 Tân Định</v>
          </cell>
          <cell r="D176">
            <v>172</v>
          </cell>
          <cell r="E176">
            <v>0</v>
          </cell>
          <cell r="F176">
            <v>-8.1999999999999993</v>
          </cell>
          <cell r="G176">
            <v>0</v>
          </cell>
          <cell r="H176">
            <v>0</v>
          </cell>
          <cell r="I176">
            <v>0</v>
          </cell>
          <cell r="J176">
            <v>-8.1999999999999993</v>
          </cell>
          <cell r="K176">
            <v>0</v>
          </cell>
          <cell r="L176">
            <v>0</v>
          </cell>
          <cell r="M176">
            <v>0</v>
          </cell>
        </row>
        <row r="177">
          <cell r="C177" t="str">
            <v>Bến Cát MBA T1 (phía 22kV)</v>
          </cell>
          <cell r="D177">
            <v>431</v>
          </cell>
          <cell r="E177">
            <v>10.6</v>
          </cell>
          <cell r="F177">
            <v>14.4</v>
          </cell>
          <cell r="G177">
            <v>14.4</v>
          </cell>
          <cell r="H177">
            <v>12.3</v>
          </cell>
          <cell r="I177">
            <v>10.9</v>
          </cell>
          <cell r="J177">
            <v>10.8</v>
          </cell>
          <cell r="K177">
            <v>10.6</v>
          </cell>
          <cell r="L177">
            <v>11.6</v>
          </cell>
          <cell r="M177">
            <v>10.8</v>
          </cell>
        </row>
        <row r="178">
          <cell r="C178" t="str">
            <v>Bến Cát MBA T2 (phía 22kV)</v>
          </cell>
          <cell r="D178">
            <v>432</v>
          </cell>
          <cell r="E178">
            <v>5.8</v>
          </cell>
          <cell r="F178">
            <v>-10.7</v>
          </cell>
          <cell r="G178">
            <v>7.2</v>
          </cell>
          <cell r="H178">
            <v>7.8</v>
          </cell>
          <cell r="I178">
            <v>-9.6</v>
          </cell>
          <cell r="J178">
            <v>5.8</v>
          </cell>
          <cell r="K178">
            <v>8</v>
          </cell>
          <cell r="L178">
            <v>-10.7</v>
          </cell>
          <cell r="M178">
            <v>-8.4</v>
          </cell>
        </row>
        <row r="179">
          <cell r="C179" t="str">
            <v>Bến Cát 2 MBA AT1 (phía 110kV)</v>
          </cell>
          <cell r="D179">
            <v>131</v>
          </cell>
          <cell r="E179">
            <v>-3.9</v>
          </cell>
          <cell r="F179">
            <v>-11.5</v>
          </cell>
          <cell r="G179">
            <v>-9.1999999999999993</v>
          </cell>
          <cell r="H179">
            <v>-9.6999999999999993</v>
          </cell>
          <cell r="I179">
            <v>-9.6999999999999993</v>
          </cell>
          <cell r="J179">
            <v>-3.9</v>
          </cell>
          <cell r="K179">
            <v>-10.1</v>
          </cell>
          <cell r="L179">
            <v>-10.6</v>
          </cell>
          <cell r="M179">
            <v>-11.5</v>
          </cell>
        </row>
        <row r="180">
          <cell r="C180" t="str">
            <v>Bến Cát 2 MBA AT2 (phía 110kV)</v>
          </cell>
          <cell r="D180">
            <v>132</v>
          </cell>
          <cell r="E180">
            <v>-3.9</v>
          </cell>
          <cell r="F180">
            <v>-10.7</v>
          </cell>
          <cell r="G180">
            <v>-9.5</v>
          </cell>
          <cell r="H180">
            <v>-9.3000000000000007</v>
          </cell>
          <cell r="I180">
            <v>-9.6999999999999993</v>
          </cell>
          <cell r="J180">
            <v>-3.9</v>
          </cell>
          <cell r="K180">
            <v>-10.1</v>
          </cell>
          <cell r="L180">
            <v>-10.4</v>
          </cell>
          <cell r="M180">
            <v>-10.7</v>
          </cell>
        </row>
        <row r="181">
          <cell r="C181" t="str">
            <v>110kV 173 Bến Cát 2 - 175 Mỹ Phước</v>
          </cell>
          <cell r="D181">
            <v>173</v>
          </cell>
          <cell r="E181">
            <v>-0.6</v>
          </cell>
          <cell r="F181">
            <v>-1</v>
          </cell>
          <cell r="G181">
            <v>-1</v>
          </cell>
          <cell r="H181">
            <v>-1</v>
          </cell>
          <cell r="I181">
            <v>-0.6</v>
          </cell>
          <cell r="J181">
            <v>-1</v>
          </cell>
          <cell r="K181">
            <v>-0.6</v>
          </cell>
          <cell r="L181">
            <v>-0.6</v>
          </cell>
          <cell r="M181">
            <v>-0.6</v>
          </cell>
        </row>
        <row r="182">
          <cell r="C182" t="str">
            <v>110kV 177 Bến Cát 2 - 171 Lai Hưng</v>
          </cell>
          <cell r="D182">
            <v>177</v>
          </cell>
          <cell r="E182">
            <v>8.5</v>
          </cell>
          <cell r="F182">
            <v>23.3</v>
          </cell>
          <cell r="G182">
            <v>20.2</v>
          </cell>
          <cell r="H182">
            <v>20.6</v>
          </cell>
          <cell r="I182">
            <v>21.5</v>
          </cell>
          <cell r="J182">
            <v>8.5</v>
          </cell>
          <cell r="K182">
            <v>22.5</v>
          </cell>
          <cell r="L182">
            <v>21.4</v>
          </cell>
          <cell r="M182">
            <v>23.3</v>
          </cell>
        </row>
        <row r="183">
          <cell r="C183" t="str">
            <v>Bến Cát 2 MBA AT1 (phía 220kV)</v>
          </cell>
          <cell r="D183">
            <v>231</v>
          </cell>
          <cell r="E183">
            <v>4.4000000000000004</v>
          </cell>
          <cell r="F183">
            <v>13</v>
          </cell>
          <cell r="G183">
            <v>11.5</v>
          </cell>
          <cell r="H183">
            <v>12.3</v>
          </cell>
          <cell r="I183">
            <v>11.7</v>
          </cell>
          <cell r="J183">
            <v>4.4000000000000004</v>
          </cell>
          <cell r="K183">
            <v>12.4</v>
          </cell>
          <cell r="L183">
            <v>12.7</v>
          </cell>
          <cell r="M183">
            <v>13</v>
          </cell>
        </row>
        <row r="184">
          <cell r="C184" t="str">
            <v>Bến Cát 2 MBA AT2 (phía 220kV)</v>
          </cell>
          <cell r="D184">
            <v>232</v>
          </cell>
          <cell r="E184">
            <v>4.9000000000000004</v>
          </cell>
          <cell r="F184">
            <v>12.7</v>
          </cell>
          <cell r="G184">
            <v>11.3</v>
          </cell>
          <cell r="H184">
            <v>11.8</v>
          </cell>
          <cell r="I184">
            <v>11.6</v>
          </cell>
          <cell r="J184">
            <v>4.9000000000000004</v>
          </cell>
          <cell r="K184">
            <v>12.3</v>
          </cell>
          <cell r="L184">
            <v>12.3</v>
          </cell>
          <cell r="M184">
            <v>12.7</v>
          </cell>
        </row>
        <row r="185">
          <cell r="C185" t="str">
            <v>220kV 271 Bến Cát 2 - 271 Mỹ Phước</v>
          </cell>
          <cell r="D185">
            <v>271</v>
          </cell>
          <cell r="E185">
            <v>-23</v>
          </cell>
          <cell r="F185">
            <v>-35.700000000000003</v>
          </cell>
          <cell r="G185">
            <v>-25.5</v>
          </cell>
          <cell r="H185">
            <v>-23</v>
          </cell>
          <cell r="I185">
            <v>-29.6</v>
          </cell>
          <cell r="J185">
            <v>-28.9</v>
          </cell>
          <cell r="K185">
            <v>-35.700000000000003</v>
          </cell>
          <cell r="L185">
            <v>-31.8</v>
          </cell>
          <cell r="M185">
            <v>-33.4</v>
          </cell>
        </row>
        <row r="186">
          <cell r="C186" t="str">
            <v>220kV 272 Bến Cát 2 - 272 Mỹ Phước</v>
          </cell>
          <cell r="D186">
            <v>272</v>
          </cell>
          <cell r="E186">
            <v>-23.1</v>
          </cell>
          <cell r="F186">
            <v>-35.700000000000003</v>
          </cell>
          <cell r="G186">
            <v>-25.6</v>
          </cell>
          <cell r="H186">
            <v>-23.1</v>
          </cell>
          <cell r="I186">
            <v>-29.8</v>
          </cell>
          <cell r="J186">
            <v>-30</v>
          </cell>
          <cell r="K186">
            <v>-35.700000000000003</v>
          </cell>
          <cell r="L186">
            <v>-31.6</v>
          </cell>
          <cell r="M186">
            <v>-33.4</v>
          </cell>
        </row>
        <row r="187">
          <cell r="C187" t="str">
            <v>220kV 273 Bến Cát 2 - 275 Bình Long 2</v>
          </cell>
          <cell r="D187">
            <v>273</v>
          </cell>
          <cell r="E187">
            <v>14.7</v>
          </cell>
          <cell r="F187">
            <v>28.9</v>
          </cell>
          <cell r="G187">
            <v>15.4</v>
          </cell>
          <cell r="H187">
            <v>14.7</v>
          </cell>
          <cell r="I187">
            <v>26.4</v>
          </cell>
          <cell r="J187">
            <v>28.9</v>
          </cell>
          <cell r="K187">
            <v>26</v>
          </cell>
          <cell r="L187">
            <v>26.9</v>
          </cell>
          <cell r="M187">
            <v>27.4</v>
          </cell>
        </row>
        <row r="188">
          <cell r="C188" t="str">
            <v>220kV 274 Bến Cát 2 - 276 Bình Long 2</v>
          </cell>
          <cell r="D188">
            <v>274</v>
          </cell>
          <cell r="E188">
            <v>14.6</v>
          </cell>
          <cell r="F188">
            <v>28.9</v>
          </cell>
          <cell r="G188">
            <v>15.6</v>
          </cell>
          <cell r="H188">
            <v>14.6</v>
          </cell>
          <cell r="I188">
            <v>26.4</v>
          </cell>
          <cell r="J188">
            <v>28.9</v>
          </cell>
          <cell r="K188">
            <v>25.4</v>
          </cell>
          <cell r="L188">
            <v>26.9</v>
          </cell>
          <cell r="M188">
            <v>27.8</v>
          </cell>
        </row>
        <row r="189">
          <cell r="C189" t="str">
            <v>Bến Cầu MBA T1 (phía 110kV)</v>
          </cell>
          <cell r="D189">
            <v>131</v>
          </cell>
          <cell r="E189">
            <v>0.7</v>
          </cell>
          <cell r="F189">
            <v>-5.2</v>
          </cell>
          <cell r="G189">
            <v>-5.0999999999999996</v>
          </cell>
          <cell r="H189">
            <v>-4.8</v>
          </cell>
          <cell r="I189">
            <v>1.4</v>
          </cell>
          <cell r="J189">
            <v>0.7</v>
          </cell>
          <cell r="K189">
            <v>-5.2</v>
          </cell>
          <cell r="L189">
            <v>-4.9000000000000004</v>
          </cell>
          <cell r="M189">
            <v>-3.4</v>
          </cell>
        </row>
        <row r="190">
          <cell r="C190" t="str">
            <v>Bến Cầu MBA T2 (phía 110kV)</v>
          </cell>
          <cell r="D190">
            <v>132</v>
          </cell>
          <cell r="E190">
            <v>-2</v>
          </cell>
          <cell r="F190">
            <v>-2.9</v>
          </cell>
          <cell r="G190">
            <v>-2</v>
          </cell>
          <cell r="H190">
            <v>-2.2999999999999998</v>
          </cell>
          <cell r="I190">
            <v>-2.6</v>
          </cell>
          <cell r="J190">
            <v>-2.6</v>
          </cell>
          <cell r="K190">
            <v>-2.9</v>
          </cell>
          <cell r="L190">
            <v>-2.9</v>
          </cell>
          <cell r="M190">
            <v>-2.9</v>
          </cell>
        </row>
        <row r="191">
          <cell r="C191" t="str">
            <v>110kV 171 Bến Cầu - 171 Thạnh Đức</v>
          </cell>
          <cell r="D191">
            <v>171</v>
          </cell>
          <cell r="E191">
            <v>-5</v>
          </cell>
          <cell r="F191">
            <v>-7.1</v>
          </cell>
          <cell r="G191">
            <v>-7.1</v>
          </cell>
          <cell r="H191">
            <v>-5</v>
          </cell>
          <cell r="I191">
            <v>-6.2</v>
          </cell>
          <cell r="J191">
            <v>-5.5</v>
          </cell>
          <cell r="K191">
            <v>-6.5</v>
          </cell>
          <cell r="L191">
            <v>-5.7</v>
          </cell>
          <cell r="M191">
            <v>-5.6</v>
          </cell>
        </row>
        <row r="192">
          <cell r="C192" t="str">
            <v>110kV 172 Bến Cầu - 171 NMĐ MT HTG</v>
          </cell>
          <cell r="D192">
            <v>172</v>
          </cell>
          <cell r="E192">
            <v>6.6</v>
          </cell>
          <cell r="F192">
            <v>12.5</v>
          </cell>
          <cell r="G192">
            <v>12.5</v>
          </cell>
          <cell r="H192">
            <v>6.6</v>
          </cell>
          <cell r="I192">
            <v>6.6</v>
          </cell>
          <cell r="J192">
            <v>7.6</v>
          </cell>
          <cell r="K192">
            <v>8.9</v>
          </cell>
          <cell r="L192">
            <v>8.4</v>
          </cell>
          <cell r="M192">
            <v>7.5</v>
          </cell>
        </row>
        <row r="193">
          <cell r="C193" t="str">
            <v>Bến Cầu MBA T1 (phía 22kV)</v>
          </cell>
          <cell r="D193">
            <v>431</v>
          </cell>
          <cell r="E193">
            <v>-0.6</v>
          </cell>
          <cell r="F193">
            <v>5.4</v>
          </cell>
          <cell r="G193">
            <v>5.3</v>
          </cell>
          <cell r="H193">
            <v>5.0999999999999996</v>
          </cell>
          <cell r="I193">
            <v>-1.3</v>
          </cell>
          <cell r="J193">
            <v>-0.6</v>
          </cell>
          <cell r="K193">
            <v>5.4</v>
          </cell>
          <cell r="L193">
            <v>5.2</v>
          </cell>
          <cell r="M193">
            <v>3.9</v>
          </cell>
        </row>
        <row r="194">
          <cell r="C194" t="str">
            <v>Bến Cầu MBA T2 (phía 22kV)</v>
          </cell>
          <cell r="D194">
            <v>432</v>
          </cell>
          <cell r="E194">
            <v>2.5</v>
          </cell>
          <cell r="F194">
            <v>3.5</v>
          </cell>
          <cell r="G194">
            <v>2.5</v>
          </cell>
          <cell r="H194">
            <v>3</v>
          </cell>
          <cell r="I194">
            <v>3.5</v>
          </cell>
          <cell r="J194">
            <v>3.5</v>
          </cell>
          <cell r="K194">
            <v>3.4</v>
          </cell>
          <cell r="L194">
            <v>3.5</v>
          </cell>
          <cell r="M194">
            <v>3.5</v>
          </cell>
        </row>
        <row r="195">
          <cell r="C195" t="str">
            <v>Bến lức MBA T1 (phía 110kV)</v>
          </cell>
          <cell r="D195">
            <v>131</v>
          </cell>
          <cell r="E195">
            <v>-2.8</v>
          </cell>
          <cell r="F195">
            <v>-5.4</v>
          </cell>
          <cell r="G195">
            <v>-5.4</v>
          </cell>
          <cell r="H195">
            <v>-4.5</v>
          </cell>
          <cell r="I195">
            <v>-3.2</v>
          </cell>
          <cell r="J195">
            <v>-2.8</v>
          </cell>
          <cell r="K195">
            <v>-4.5</v>
          </cell>
          <cell r="L195">
            <v>-4.7</v>
          </cell>
          <cell r="M195">
            <v>-3.1</v>
          </cell>
        </row>
        <row r="196">
          <cell r="C196" t="str">
            <v>Bến Lức MBA T2 (phía 110kV)</v>
          </cell>
          <cell r="D196">
            <v>132</v>
          </cell>
          <cell r="E196">
            <v>-1.7</v>
          </cell>
          <cell r="F196">
            <v>-3.2</v>
          </cell>
          <cell r="G196">
            <v>-2</v>
          </cell>
          <cell r="H196">
            <v>-1.7</v>
          </cell>
          <cell r="I196">
            <v>-2.1</v>
          </cell>
          <cell r="J196">
            <v>-2.9</v>
          </cell>
          <cell r="K196">
            <v>-3.2</v>
          </cell>
          <cell r="L196">
            <v>-2.1</v>
          </cell>
          <cell r="M196">
            <v>-2</v>
          </cell>
        </row>
        <row r="197">
          <cell r="C197" t="str">
            <v>110kV 171 Bến Lức - 177 Long An 2 - 171 Chung Shing - 171 Formosa Taffecta</v>
          </cell>
          <cell r="D197">
            <v>171</v>
          </cell>
          <cell r="E197">
            <v>-3.7</v>
          </cell>
          <cell r="F197">
            <v>6.3</v>
          </cell>
          <cell r="G197">
            <v>6.3</v>
          </cell>
          <cell r="H197">
            <v>5.2</v>
          </cell>
          <cell r="I197">
            <v>4.9000000000000004</v>
          </cell>
          <cell r="J197">
            <v>5.7</v>
          </cell>
          <cell r="K197">
            <v>5.9</v>
          </cell>
          <cell r="L197">
            <v>6.1</v>
          </cell>
          <cell r="M197">
            <v>-3.7</v>
          </cell>
        </row>
        <row r="198">
          <cell r="C198" t="str">
            <v>110kV 172 Bến Lức - 172 Rạch Chanh - 176 Phú Lâm - 171 Ching Luh</v>
          </cell>
          <cell r="D198">
            <v>172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</row>
        <row r="199">
          <cell r="C199" t="str">
            <v>Bến Lức MBA T1 (phía 22kV)</v>
          </cell>
          <cell r="D199">
            <v>431</v>
          </cell>
          <cell r="E199">
            <v>3.4</v>
          </cell>
          <cell r="F199">
            <v>6.1</v>
          </cell>
          <cell r="G199">
            <v>6.1</v>
          </cell>
          <cell r="H199">
            <v>5.5</v>
          </cell>
          <cell r="I199">
            <v>4.3</v>
          </cell>
          <cell r="J199">
            <v>3.4</v>
          </cell>
          <cell r="K199">
            <v>5.2</v>
          </cell>
          <cell r="L199">
            <v>5.5</v>
          </cell>
          <cell r="M199">
            <v>4.3</v>
          </cell>
        </row>
        <row r="200">
          <cell r="C200" t="str">
            <v>Bến Lức MBA T2 (phía 22kV)</v>
          </cell>
          <cell r="D200">
            <v>432</v>
          </cell>
          <cell r="E200">
            <v>2.9</v>
          </cell>
          <cell r="F200">
            <v>3.9</v>
          </cell>
          <cell r="G200">
            <v>2.9</v>
          </cell>
          <cell r="H200">
            <v>2.9</v>
          </cell>
          <cell r="I200">
            <v>3.7</v>
          </cell>
          <cell r="J200">
            <v>3.6</v>
          </cell>
          <cell r="K200">
            <v>3.9</v>
          </cell>
          <cell r="L200">
            <v>2.9</v>
          </cell>
          <cell r="M200">
            <v>3.4</v>
          </cell>
        </row>
        <row r="201">
          <cell r="C201" t="str">
            <v>Bến Thành MBA T1 (phía 110kV)</v>
          </cell>
          <cell r="D201">
            <v>131</v>
          </cell>
          <cell r="E201">
            <v>0.2</v>
          </cell>
          <cell r="F201">
            <v>13.8</v>
          </cell>
          <cell r="G201">
            <v>13.5</v>
          </cell>
          <cell r="H201">
            <v>13.8</v>
          </cell>
          <cell r="I201">
            <v>9</v>
          </cell>
          <cell r="J201">
            <v>0.2</v>
          </cell>
          <cell r="K201">
            <v>13.4</v>
          </cell>
          <cell r="L201">
            <v>13.1</v>
          </cell>
          <cell r="M201">
            <v>11.3</v>
          </cell>
        </row>
        <row r="202">
          <cell r="C202" t="str">
            <v>Bến Thành MBA T2 (phía 110kV)</v>
          </cell>
          <cell r="D202">
            <v>132</v>
          </cell>
          <cell r="E202">
            <v>8.6999999999999993</v>
          </cell>
          <cell r="F202">
            <v>14.1</v>
          </cell>
          <cell r="G202">
            <v>13.9</v>
          </cell>
          <cell r="H202">
            <v>14.1</v>
          </cell>
          <cell r="I202">
            <v>8.6999999999999993</v>
          </cell>
          <cell r="J202">
            <v>8.8000000000000007</v>
          </cell>
          <cell r="K202">
            <v>12.1</v>
          </cell>
          <cell r="L202">
            <v>11.9</v>
          </cell>
          <cell r="M202">
            <v>10.6</v>
          </cell>
        </row>
        <row r="203">
          <cell r="C203" t="str">
            <v>110kV 171 Bến Thành - 173 Tao Đàn</v>
          </cell>
          <cell r="D203">
            <v>171</v>
          </cell>
          <cell r="E203">
            <v>0</v>
          </cell>
          <cell r="F203">
            <v>-4.8</v>
          </cell>
          <cell r="G203">
            <v>0</v>
          </cell>
          <cell r="H203">
            <v>0</v>
          </cell>
          <cell r="I203">
            <v>-4.8</v>
          </cell>
          <cell r="J203">
            <v>-3.1</v>
          </cell>
          <cell r="K203">
            <v>0</v>
          </cell>
          <cell r="L203">
            <v>0</v>
          </cell>
          <cell r="M203">
            <v>0</v>
          </cell>
        </row>
        <row r="204">
          <cell r="C204" t="str">
            <v>110kV 172 Bến Thành - 174 Tao Đàn</v>
          </cell>
          <cell r="D204">
            <v>172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</row>
        <row r="205">
          <cell r="C205" t="str">
            <v>110kV 174 Bến Thành - 174 Quận 8</v>
          </cell>
          <cell r="D205">
            <v>174</v>
          </cell>
          <cell r="E205">
            <v>-10.3</v>
          </cell>
          <cell r="F205">
            <v>-31.4</v>
          </cell>
          <cell r="G205">
            <v>-31</v>
          </cell>
          <cell r="H205">
            <v>-31.4</v>
          </cell>
          <cell r="I205">
            <v>-20</v>
          </cell>
          <cell r="J205">
            <v>-10.3</v>
          </cell>
          <cell r="K205">
            <v>-28.9</v>
          </cell>
          <cell r="L205">
            <v>-28.2</v>
          </cell>
          <cell r="M205">
            <v>-24.9</v>
          </cell>
        </row>
        <row r="206">
          <cell r="C206" t="str">
            <v>Bến Thành MBA T1 (phía 22kV)</v>
          </cell>
          <cell r="D206">
            <v>431</v>
          </cell>
          <cell r="E206">
            <v>-0.9</v>
          </cell>
          <cell r="F206">
            <v>-8.6</v>
          </cell>
          <cell r="G206">
            <v>-8.5</v>
          </cell>
          <cell r="H206">
            <v>-8.6</v>
          </cell>
          <cell r="I206">
            <v>-5.7</v>
          </cell>
          <cell r="J206">
            <v>-0.9</v>
          </cell>
          <cell r="K206">
            <v>8.3000000000000007</v>
          </cell>
          <cell r="L206">
            <v>8.1999999999999993</v>
          </cell>
          <cell r="M206">
            <v>7.4</v>
          </cell>
        </row>
        <row r="207">
          <cell r="C207" t="str">
            <v>Bến Thành MBA T2 (phía 22kV)</v>
          </cell>
          <cell r="D207">
            <v>432</v>
          </cell>
          <cell r="E207">
            <v>-4.5999999999999996</v>
          </cell>
          <cell r="F207">
            <v>-9</v>
          </cell>
          <cell r="G207">
            <v>-8.9</v>
          </cell>
          <cell r="H207">
            <v>-9</v>
          </cell>
          <cell r="I207">
            <v>-5.7</v>
          </cell>
          <cell r="J207">
            <v>-4.5999999999999996</v>
          </cell>
          <cell r="K207">
            <v>-8.1999999999999993</v>
          </cell>
          <cell r="L207">
            <v>-7.8</v>
          </cell>
          <cell r="M207">
            <v>-7.3</v>
          </cell>
        </row>
        <row r="208">
          <cell r="C208" t="str">
            <v>Bến Tre MBA T1 (phía 110kV)</v>
          </cell>
          <cell r="D208">
            <v>131</v>
          </cell>
          <cell r="E208">
            <v>-3.1</v>
          </cell>
          <cell r="F208">
            <v>6.9</v>
          </cell>
          <cell r="G208">
            <v>6.4</v>
          </cell>
          <cell r="H208">
            <v>6.9</v>
          </cell>
          <cell r="I208">
            <v>4.5999999999999996</v>
          </cell>
          <cell r="J208">
            <v>-5.3</v>
          </cell>
          <cell r="K208">
            <v>-3.1</v>
          </cell>
          <cell r="L208">
            <v>5.8</v>
          </cell>
          <cell r="M208">
            <v>4.5</v>
          </cell>
        </row>
        <row r="209">
          <cell r="C209" t="str">
            <v>Bến Tre MBA T2 (phía 110kV)</v>
          </cell>
          <cell r="D209">
            <v>132</v>
          </cell>
          <cell r="E209">
            <v>2.9</v>
          </cell>
          <cell r="F209">
            <v>6.8</v>
          </cell>
          <cell r="G209">
            <v>3.7</v>
          </cell>
          <cell r="H209">
            <v>5.5</v>
          </cell>
          <cell r="I209">
            <v>4</v>
          </cell>
          <cell r="J209">
            <v>2.9</v>
          </cell>
          <cell r="K209">
            <v>6</v>
          </cell>
          <cell r="L209">
            <v>6.8</v>
          </cell>
          <cell r="M209">
            <v>3.6</v>
          </cell>
        </row>
        <row r="210">
          <cell r="C210" t="str">
            <v>110kV 171 Bến Tre - 179 Mỹ Tho 2</v>
          </cell>
          <cell r="D210">
            <v>171</v>
          </cell>
          <cell r="E210">
            <v>-0.7</v>
          </cell>
          <cell r="F210">
            <v>-0.7</v>
          </cell>
          <cell r="G210">
            <v>-0.7</v>
          </cell>
          <cell r="H210">
            <v>-0.7</v>
          </cell>
          <cell r="I210">
            <v>-0.7</v>
          </cell>
          <cell r="J210">
            <v>-0.7</v>
          </cell>
          <cell r="K210">
            <v>-0.7</v>
          </cell>
          <cell r="L210">
            <v>-0.7</v>
          </cell>
          <cell r="M210">
            <v>-0.7</v>
          </cell>
        </row>
        <row r="211">
          <cell r="C211" t="str">
            <v>110kV 172 Bến Tre - 174 Bến Tre 2</v>
          </cell>
          <cell r="D211">
            <v>172</v>
          </cell>
          <cell r="E211">
            <v>-4.9000000000000004</v>
          </cell>
          <cell r="F211">
            <v>-9.3000000000000007</v>
          </cell>
          <cell r="G211">
            <v>-6.3</v>
          </cell>
          <cell r="H211">
            <v>-9.3000000000000007</v>
          </cell>
          <cell r="I211">
            <v>-7.6</v>
          </cell>
          <cell r="J211">
            <v>6.1</v>
          </cell>
          <cell r="K211">
            <v>-6.6</v>
          </cell>
          <cell r="L211">
            <v>-6.5</v>
          </cell>
          <cell r="M211">
            <v>-4.9000000000000004</v>
          </cell>
        </row>
        <row r="212">
          <cell r="C212" t="str">
            <v>Bến Tre MBA T1 (phía 22kV)</v>
          </cell>
          <cell r="D212">
            <v>431</v>
          </cell>
          <cell r="E212">
            <v>-2.7</v>
          </cell>
          <cell r="F212">
            <v>5.7</v>
          </cell>
          <cell r="G212">
            <v>-3.9</v>
          </cell>
          <cell r="H212">
            <v>5.7</v>
          </cell>
          <cell r="I212">
            <v>3.8</v>
          </cell>
          <cell r="J212">
            <v>5.5</v>
          </cell>
          <cell r="K212">
            <v>3.4</v>
          </cell>
          <cell r="L212">
            <v>5.4</v>
          </cell>
          <cell r="M212">
            <v>-2.7</v>
          </cell>
        </row>
        <row r="213">
          <cell r="C213" t="str">
            <v>Bến Tre MBA T2 (phía 22kV)</v>
          </cell>
          <cell r="D213">
            <v>432</v>
          </cell>
          <cell r="E213">
            <v>3.8</v>
          </cell>
          <cell r="F213">
            <v>5.5</v>
          </cell>
          <cell r="G213">
            <v>4.9000000000000004</v>
          </cell>
          <cell r="H213">
            <v>5.0999999999999996</v>
          </cell>
          <cell r="I213">
            <v>5.5</v>
          </cell>
          <cell r="J213">
            <v>3.8</v>
          </cell>
          <cell r="K213">
            <v>4.5</v>
          </cell>
          <cell r="L213">
            <v>3.8</v>
          </cell>
          <cell r="M213">
            <v>4.7</v>
          </cell>
        </row>
        <row r="214">
          <cell r="C214" t="str">
            <v>Bến Tre 2 MBA AT1 (phía 110kV)</v>
          </cell>
          <cell r="D214">
            <v>131</v>
          </cell>
          <cell r="E214">
            <v>-6.9</v>
          </cell>
          <cell r="F214">
            <v>-11.2</v>
          </cell>
          <cell r="G214">
            <v>-9</v>
          </cell>
          <cell r="H214">
            <v>-11.2</v>
          </cell>
          <cell r="I214">
            <v>-9.6999999999999993</v>
          </cell>
          <cell r="J214">
            <v>-6.9</v>
          </cell>
          <cell r="K214">
            <v>-8.6999999999999993</v>
          </cell>
          <cell r="L214">
            <v>-9.9</v>
          </cell>
          <cell r="M214">
            <v>-8.9</v>
          </cell>
        </row>
        <row r="215">
          <cell r="C215" t="str">
            <v>Bến Tre 2 MBA AT2 (phía 110kV)</v>
          </cell>
          <cell r="D215">
            <v>132</v>
          </cell>
          <cell r="E215">
            <v>-3.6</v>
          </cell>
          <cell r="F215">
            <v>5.2</v>
          </cell>
          <cell r="G215">
            <v>4.4000000000000004</v>
          </cell>
          <cell r="H215">
            <v>4.3</v>
          </cell>
          <cell r="I215">
            <v>4.5999999999999996</v>
          </cell>
          <cell r="J215">
            <v>5.2</v>
          </cell>
          <cell r="K215">
            <v>4.4000000000000004</v>
          </cell>
          <cell r="L215">
            <v>-3.6</v>
          </cell>
          <cell r="M215">
            <v>3.7</v>
          </cell>
        </row>
        <row r="216">
          <cell r="C216" t="str">
            <v>110kV 172 Bến Tre 2 - 174 Mỏ Cày 2</v>
          </cell>
          <cell r="D216">
            <v>172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</row>
        <row r="217">
          <cell r="C217" t="str">
            <v>110kV 174 Bến Tre 2 - 172 Bến Tre</v>
          </cell>
          <cell r="D217">
            <v>174</v>
          </cell>
          <cell r="E217">
            <v>4.3</v>
          </cell>
          <cell r="F217">
            <v>8.6999999999999993</v>
          </cell>
          <cell r="G217">
            <v>5.9</v>
          </cell>
          <cell r="H217">
            <v>8.6999999999999993</v>
          </cell>
          <cell r="I217">
            <v>6.5</v>
          </cell>
          <cell r="J217">
            <v>-6.6</v>
          </cell>
          <cell r="K217">
            <v>4.5</v>
          </cell>
          <cell r="L217">
            <v>4.5</v>
          </cell>
          <cell r="M217">
            <v>4.3</v>
          </cell>
        </row>
        <row r="218">
          <cell r="C218" t="str">
            <v>110kV 175 Bến Tre 2 - 172 Giồng Trôm</v>
          </cell>
          <cell r="D218">
            <v>175</v>
          </cell>
          <cell r="E218">
            <v>5.4</v>
          </cell>
          <cell r="F218">
            <v>6.9</v>
          </cell>
          <cell r="G218">
            <v>6.3</v>
          </cell>
          <cell r="H218">
            <v>6.5</v>
          </cell>
          <cell r="I218">
            <v>5.8</v>
          </cell>
          <cell r="J218">
            <v>6.2</v>
          </cell>
          <cell r="K218">
            <v>5.4</v>
          </cell>
          <cell r="L218">
            <v>6.9</v>
          </cell>
          <cell r="M218">
            <v>5.4</v>
          </cell>
        </row>
        <row r="219">
          <cell r="C219" t="str">
            <v>110kV 176 Bến Tre 2 - 171 Giao Long</v>
          </cell>
          <cell r="D219">
            <v>176</v>
          </cell>
          <cell r="E219">
            <v>0.9</v>
          </cell>
          <cell r="F219">
            <v>2.8</v>
          </cell>
          <cell r="G219">
            <v>-1.1000000000000001</v>
          </cell>
          <cell r="H219">
            <v>-1.2</v>
          </cell>
          <cell r="I219">
            <v>2.8</v>
          </cell>
          <cell r="J219">
            <v>0.9</v>
          </cell>
          <cell r="K219">
            <v>-1.4</v>
          </cell>
          <cell r="L219">
            <v>1.3</v>
          </cell>
          <cell r="M219">
            <v>1.4</v>
          </cell>
        </row>
        <row r="220">
          <cell r="C220" t="str">
            <v>110kV 177 Bến Tre 2 - 172 Giao Long</v>
          </cell>
          <cell r="D220">
            <v>177</v>
          </cell>
          <cell r="E220">
            <v>0.8</v>
          </cell>
          <cell r="F220">
            <v>2.7</v>
          </cell>
          <cell r="G220">
            <v>-1.2</v>
          </cell>
          <cell r="H220">
            <v>-1.3</v>
          </cell>
          <cell r="I220">
            <v>2.7</v>
          </cell>
          <cell r="J220">
            <v>0.8</v>
          </cell>
          <cell r="K220">
            <v>-1.5</v>
          </cell>
          <cell r="L220">
            <v>1.2</v>
          </cell>
          <cell r="M220">
            <v>1.3</v>
          </cell>
        </row>
        <row r="221">
          <cell r="C221" t="str">
            <v>Bến Tre 2 MBA AT1 (phía 220kV)</v>
          </cell>
          <cell r="D221">
            <v>231</v>
          </cell>
          <cell r="E221">
            <v>9.5</v>
          </cell>
          <cell r="F221">
            <v>14</v>
          </cell>
          <cell r="G221">
            <v>12.8</v>
          </cell>
          <cell r="H221">
            <v>14</v>
          </cell>
          <cell r="I221">
            <v>12.2</v>
          </cell>
          <cell r="J221">
            <v>9.5</v>
          </cell>
          <cell r="K221">
            <v>10.7</v>
          </cell>
          <cell r="L221">
            <v>12.9</v>
          </cell>
          <cell r="M221">
            <v>11.4</v>
          </cell>
        </row>
        <row r="222">
          <cell r="C222" t="str">
            <v>Bến Tre 2 MBA AT2 (phía 220kV)</v>
          </cell>
          <cell r="D222">
            <v>232</v>
          </cell>
          <cell r="E222">
            <v>-3.7</v>
          </cell>
          <cell r="F222">
            <v>6.8</v>
          </cell>
          <cell r="G222">
            <v>5.5</v>
          </cell>
          <cell r="H222">
            <v>6.8</v>
          </cell>
          <cell r="I222">
            <v>4.8</v>
          </cell>
          <cell r="J222">
            <v>-3.7</v>
          </cell>
          <cell r="K222">
            <v>4.7</v>
          </cell>
          <cell r="L222">
            <v>5.8</v>
          </cell>
          <cell r="M222">
            <v>4.5999999999999996</v>
          </cell>
        </row>
        <row r="223">
          <cell r="C223" t="str">
            <v>220kV 272 Bến Tre 2 - 272 Mỹ Tho 2</v>
          </cell>
          <cell r="D223">
            <v>272</v>
          </cell>
          <cell r="E223">
            <v>-24.6</v>
          </cell>
          <cell r="F223">
            <v>-71.3</v>
          </cell>
          <cell r="G223">
            <v>-48.3</v>
          </cell>
          <cell r="H223">
            <v>-71.3</v>
          </cell>
          <cell r="I223">
            <v>36.9</v>
          </cell>
          <cell r="J223">
            <v>-24.6</v>
          </cell>
          <cell r="K223">
            <v>35.200000000000003</v>
          </cell>
          <cell r="L223">
            <v>37.799999999999997</v>
          </cell>
          <cell r="M223">
            <v>28.6</v>
          </cell>
        </row>
        <row r="224">
          <cell r="C224" t="str">
            <v>220kV 273 Bến Tre 2 - 271 Mỹ Tho 2</v>
          </cell>
          <cell r="D224">
            <v>273</v>
          </cell>
          <cell r="E224">
            <v>0</v>
          </cell>
          <cell r="F224">
            <v>4.7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4.7</v>
          </cell>
        </row>
        <row r="225">
          <cell r="C225" t="str">
            <v>220kV 275 Bến Tre 2 - 273 Mỏ Cày 2</v>
          </cell>
          <cell r="D225">
            <v>275</v>
          </cell>
          <cell r="E225">
            <v>12.1</v>
          </cell>
          <cell r="F225">
            <v>30.9</v>
          </cell>
          <cell r="G225">
            <v>19.5</v>
          </cell>
          <cell r="H225">
            <v>30.9</v>
          </cell>
          <cell r="I225">
            <v>-25.2</v>
          </cell>
          <cell r="J225">
            <v>12.1</v>
          </cell>
          <cell r="K225">
            <v>-23.8</v>
          </cell>
          <cell r="L225">
            <v>-23.7</v>
          </cell>
          <cell r="M225">
            <v>-20.5</v>
          </cell>
        </row>
        <row r="226">
          <cell r="C226" t="str">
            <v>220kV 276 Bến Tre 2 - 274 Mỏ Cày 2</v>
          </cell>
          <cell r="D226">
            <v>276</v>
          </cell>
          <cell r="E226">
            <v>12.3</v>
          </cell>
          <cell r="F226">
            <v>31.4</v>
          </cell>
          <cell r="G226">
            <v>19.7</v>
          </cell>
          <cell r="H226">
            <v>31.4</v>
          </cell>
          <cell r="I226">
            <v>-24.8</v>
          </cell>
          <cell r="J226">
            <v>12.3</v>
          </cell>
          <cell r="K226">
            <v>-23.5</v>
          </cell>
          <cell r="L226">
            <v>-23.7</v>
          </cell>
          <cell r="M226">
            <v>-19.7</v>
          </cell>
        </row>
        <row r="227">
          <cell r="C227" t="str">
            <v>Biên Hòa MBA T1 (phía 110kV)</v>
          </cell>
          <cell r="D227">
            <v>131</v>
          </cell>
          <cell r="E227">
            <v>1.7</v>
          </cell>
          <cell r="F227">
            <v>5.7</v>
          </cell>
          <cell r="G227">
            <v>5.6</v>
          </cell>
          <cell r="H227">
            <v>5.7</v>
          </cell>
          <cell r="I227">
            <v>1.7</v>
          </cell>
          <cell r="J227">
            <v>2</v>
          </cell>
          <cell r="K227">
            <v>4.9000000000000004</v>
          </cell>
          <cell r="L227">
            <v>5</v>
          </cell>
          <cell r="M227">
            <v>4.5</v>
          </cell>
        </row>
        <row r="228">
          <cell r="C228" t="str">
            <v>Biên Hòa MBA T2 (phía 110kV)</v>
          </cell>
          <cell r="D228">
            <v>132</v>
          </cell>
          <cell r="E228">
            <v>-1.3</v>
          </cell>
          <cell r="F228">
            <v>-3.7</v>
          </cell>
          <cell r="G228">
            <v>-3.2</v>
          </cell>
          <cell r="H228">
            <v>-3.7</v>
          </cell>
          <cell r="I228">
            <v>-2.7</v>
          </cell>
          <cell r="J228">
            <v>-1.3</v>
          </cell>
          <cell r="K228">
            <v>-2.6</v>
          </cell>
          <cell r="L228">
            <v>-3.2</v>
          </cell>
          <cell r="M228">
            <v>-3.2</v>
          </cell>
        </row>
        <row r="229">
          <cell r="C229" t="str">
            <v>110kV 171 Biên Hòa - 171 Tân Mai</v>
          </cell>
          <cell r="D229">
            <v>171</v>
          </cell>
          <cell r="E229">
            <v>-0.5</v>
          </cell>
          <cell r="F229">
            <v>-0.9</v>
          </cell>
          <cell r="G229">
            <v>-0.5</v>
          </cell>
          <cell r="H229">
            <v>-0.7</v>
          </cell>
          <cell r="I229">
            <v>-0.6</v>
          </cell>
          <cell r="J229">
            <v>-0.6</v>
          </cell>
          <cell r="K229">
            <v>-0.9</v>
          </cell>
          <cell r="L229">
            <v>-0.8</v>
          </cell>
          <cell r="M229">
            <v>-0.8</v>
          </cell>
        </row>
        <row r="230">
          <cell r="C230" t="str">
            <v>110kV 172 Biên Hòa - 174 Long Bình</v>
          </cell>
          <cell r="D230">
            <v>172</v>
          </cell>
          <cell r="E230">
            <v>-2.9</v>
          </cell>
          <cell r="F230">
            <v>-8.3000000000000007</v>
          </cell>
          <cell r="G230">
            <v>-7.7</v>
          </cell>
          <cell r="H230">
            <v>-8.3000000000000007</v>
          </cell>
          <cell r="I230">
            <v>-3.8</v>
          </cell>
          <cell r="J230">
            <v>-2.9</v>
          </cell>
          <cell r="K230">
            <v>-6.7</v>
          </cell>
          <cell r="L230">
            <v>-6.7</v>
          </cell>
          <cell r="M230">
            <v>-6.4</v>
          </cell>
        </row>
        <row r="231">
          <cell r="C231" t="str">
            <v>Biên Hòa MBA T1 (phía 22kV)</v>
          </cell>
          <cell r="D231">
            <v>431</v>
          </cell>
          <cell r="E231">
            <v>3.5</v>
          </cell>
          <cell r="F231">
            <v>-4.5</v>
          </cell>
          <cell r="G231">
            <v>-4.2</v>
          </cell>
          <cell r="H231">
            <v>-4.5</v>
          </cell>
          <cell r="I231">
            <v>3.7</v>
          </cell>
          <cell r="J231">
            <v>3.5</v>
          </cell>
          <cell r="K231">
            <v>-4</v>
          </cell>
          <cell r="L231">
            <v>4.2</v>
          </cell>
          <cell r="M231">
            <v>4.2</v>
          </cell>
        </row>
        <row r="232">
          <cell r="C232" t="str">
            <v>Biên Hòa MBA T2 (phía 22kV)</v>
          </cell>
          <cell r="D232">
            <v>432</v>
          </cell>
          <cell r="E232">
            <v>1.1000000000000001</v>
          </cell>
          <cell r="F232">
            <v>4.2</v>
          </cell>
          <cell r="G232">
            <v>3.7</v>
          </cell>
          <cell r="H232">
            <v>4.2</v>
          </cell>
          <cell r="I232">
            <v>3.6</v>
          </cell>
          <cell r="J232">
            <v>1.1000000000000001</v>
          </cell>
          <cell r="K232">
            <v>3.3</v>
          </cell>
          <cell r="L232">
            <v>3.6</v>
          </cell>
          <cell r="M232">
            <v>3.9</v>
          </cell>
        </row>
        <row r="233">
          <cell r="C233" t="str">
            <v>Bình An MBA T1 (phía 110kV)</v>
          </cell>
          <cell r="D233">
            <v>131</v>
          </cell>
          <cell r="E233">
            <v>3.7</v>
          </cell>
          <cell r="F233">
            <v>-6.7</v>
          </cell>
          <cell r="G233">
            <v>-5.7</v>
          </cell>
          <cell r="H233">
            <v>-5.6</v>
          </cell>
          <cell r="I233">
            <v>-6.7</v>
          </cell>
          <cell r="J233">
            <v>3.7</v>
          </cell>
          <cell r="K233">
            <v>-5.8</v>
          </cell>
          <cell r="L233">
            <v>-5.5</v>
          </cell>
          <cell r="M233">
            <v>-5.9</v>
          </cell>
        </row>
        <row r="234">
          <cell r="C234" t="str">
            <v>Bình An MBA T2 (phía 110kV)</v>
          </cell>
          <cell r="D234">
            <v>132</v>
          </cell>
          <cell r="E234">
            <v>-3.8</v>
          </cell>
          <cell r="F234">
            <v>-8</v>
          </cell>
          <cell r="G234">
            <v>-7.1</v>
          </cell>
          <cell r="H234">
            <v>-7.6</v>
          </cell>
          <cell r="I234">
            <v>-8</v>
          </cell>
          <cell r="J234">
            <v>-3.8</v>
          </cell>
          <cell r="K234">
            <v>-6.8</v>
          </cell>
          <cell r="L234">
            <v>-6.3</v>
          </cell>
          <cell r="M234">
            <v>-5.6</v>
          </cell>
        </row>
        <row r="235">
          <cell r="C235" t="str">
            <v>110kV 171 Bình An - 171 Đồng Nai - 171 Đông Hòa - 171 Long Bình</v>
          </cell>
          <cell r="D235">
            <v>171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</row>
        <row r="236">
          <cell r="C236" t="str">
            <v>110kV 172 Bình An - 172 Thủ Đức Bắc</v>
          </cell>
          <cell r="D236">
            <v>172</v>
          </cell>
          <cell r="E236">
            <v>5.9</v>
          </cell>
          <cell r="F236">
            <v>9.3000000000000007</v>
          </cell>
          <cell r="G236">
            <v>8.5</v>
          </cell>
          <cell r="H236">
            <v>8.6999999999999993</v>
          </cell>
          <cell r="I236">
            <v>9.3000000000000007</v>
          </cell>
          <cell r="J236">
            <v>5.9</v>
          </cell>
          <cell r="K236">
            <v>7.1</v>
          </cell>
          <cell r="L236">
            <v>6.9</v>
          </cell>
          <cell r="M236">
            <v>5.9</v>
          </cell>
        </row>
        <row r="237">
          <cell r="C237" t="str">
            <v>Bình An MBA T1 (phía 22kV)</v>
          </cell>
          <cell r="D237">
            <v>431</v>
          </cell>
          <cell r="E237">
            <v>3.5</v>
          </cell>
          <cell r="F237">
            <v>7.6</v>
          </cell>
          <cell r="G237">
            <v>6.8</v>
          </cell>
          <cell r="H237">
            <v>6.6</v>
          </cell>
          <cell r="I237">
            <v>7.6</v>
          </cell>
          <cell r="J237">
            <v>3.5</v>
          </cell>
          <cell r="K237">
            <v>6.8</v>
          </cell>
          <cell r="L237">
            <v>6.5</v>
          </cell>
          <cell r="M237">
            <v>7</v>
          </cell>
        </row>
        <row r="238">
          <cell r="C238" t="str">
            <v>Bình An MBA T2 (phía 22kV)</v>
          </cell>
          <cell r="D238">
            <v>432</v>
          </cell>
          <cell r="E238">
            <v>4.3</v>
          </cell>
          <cell r="F238">
            <v>9</v>
          </cell>
          <cell r="G238">
            <v>8.4</v>
          </cell>
          <cell r="H238">
            <v>8.8000000000000007</v>
          </cell>
          <cell r="I238">
            <v>9</v>
          </cell>
          <cell r="J238">
            <v>4.3</v>
          </cell>
          <cell r="K238">
            <v>8</v>
          </cell>
          <cell r="L238">
            <v>7.7</v>
          </cell>
          <cell r="M238">
            <v>6.8</v>
          </cell>
        </row>
        <row r="239">
          <cell r="C239" t="str">
            <v>Bình Chánh MBA AT1 (phía 110kV)</v>
          </cell>
          <cell r="D239">
            <v>131</v>
          </cell>
          <cell r="E239">
            <v>13.5</v>
          </cell>
          <cell r="F239">
            <v>-47</v>
          </cell>
          <cell r="G239">
            <v>-22.3</v>
          </cell>
          <cell r="H239">
            <v>13.5</v>
          </cell>
          <cell r="I239">
            <v>-47</v>
          </cell>
          <cell r="J239">
            <v>27.4</v>
          </cell>
          <cell r="K239">
            <v>15.5</v>
          </cell>
          <cell r="L239">
            <v>-27.2</v>
          </cell>
          <cell r="M239">
            <v>-29.9</v>
          </cell>
        </row>
        <row r="240">
          <cell r="C240" t="str">
            <v>Bình Chánh MBA AT2 (phía 110kV)</v>
          </cell>
          <cell r="D240">
            <v>132</v>
          </cell>
          <cell r="E240">
            <v>13.7</v>
          </cell>
          <cell r="F240">
            <v>-47.6</v>
          </cell>
          <cell r="G240">
            <v>-22.5</v>
          </cell>
          <cell r="H240">
            <v>13.7</v>
          </cell>
          <cell r="I240">
            <v>-47.6</v>
          </cell>
          <cell r="J240">
            <v>28</v>
          </cell>
          <cell r="K240">
            <v>15.9</v>
          </cell>
          <cell r="L240">
            <v>-27.5</v>
          </cell>
          <cell r="M240">
            <v>-30.3</v>
          </cell>
        </row>
        <row r="241">
          <cell r="C241" t="str">
            <v>Bình Chánh MBA T4 (phía 110kV)</v>
          </cell>
          <cell r="D241">
            <v>134</v>
          </cell>
          <cell r="E241">
            <v>3.5</v>
          </cell>
          <cell r="F241">
            <v>-4.2</v>
          </cell>
          <cell r="G241">
            <v>3.7</v>
          </cell>
          <cell r="H241">
            <v>3.5</v>
          </cell>
          <cell r="I241">
            <v>-3.6</v>
          </cell>
          <cell r="J241">
            <v>-4.2</v>
          </cell>
          <cell r="K241">
            <v>-4.2</v>
          </cell>
          <cell r="L241">
            <v>-3.7</v>
          </cell>
          <cell r="M241">
            <v>-3.6</v>
          </cell>
        </row>
        <row r="242">
          <cell r="C242" t="str">
            <v>110kV 171 Bình Chánh - 182 Nhà Bè</v>
          </cell>
          <cell r="D242">
            <v>171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</row>
        <row r="243">
          <cell r="C243" t="str">
            <v>110kV 172 Bình Chánh - 181 Nhà Bè</v>
          </cell>
          <cell r="D243">
            <v>172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C244" t="str">
            <v>110kV 175 Bình Chánh - 175 Phú Định</v>
          </cell>
          <cell r="D244">
            <v>175</v>
          </cell>
          <cell r="E244">
            <v>19.3</v>
          </cell>
          <cell r="F244">
            <v>49.7</v>
          </cell>
          <cell r="G244">
            <v>21.8</v>
          </cell>
          <cell r="H244">
            <v>19.7</v>
          </cell>
          <cell r="I244">
            <v>49.7</v>
          </cell>
          <cell r="J244">
            <v>-21.2</v>
          </cell>
          <cell r="K244">
            <v>19.3</v>
          </cell>
          <cell r="L244">
            <v>29.7</v>
          </cell>
          <cell r="M244">
            <v>31.8</v>
          </cell>
        </row>
        <row r="245">
          <cell r="C245" t="str">
            <v>110kV 176 Bình Chánh - 176 Phú Định</v>
          </cell>
          <cell r="D245">
            <v>176</v>
          </cell>
          <cell r="E245">
            <v>18.8</v>
          </cell>
          <cell r="F245">
            <v>49.4</v>
          </cell>
          <cell r="G245">
            <v>-22.2</v>
          </cell>
          <cell r="H245">
            <v>19.100000000000001</v>
          </cell>
          <cell r="I245">
            <v>49.4</v>
          </cell>
          <cell r="J245">
            <v>-21.9</v>
          </cell>
          <cell r="K245">
            <v>18.8</v>
          </cell>
          <cell r="L245">
            <v>29.1</v>
          </cell>
          <cell r="M245">
            <v>31.6</v>
          </cell>
        </row>
        <row r="246">
          <cell r="C246" t="str">
            <v>110kV 177 Bình Chánh - 171 Nam Sài Gòn 2</v>
          </cell>
          <cell r="D246">
            <v>177</v>
          </cell>
          <cell r="E246">
            <v>-4</v>
          </cell>
          <cell r="F246">
            <v>-6.8</v>
          </cell>
          <cell r="G246">
            <v>-4.4000000000000004</v>
          </cell>
          <cell r="H246">
            <v>-6.8</v>
          </cell>
          <cell r="I246">
            <v>-4.3</v>
          </cell>
          <cell r="J246">
            <v>-5</v>
          </cell>
          <cell r="K246">
            <v>-5.3</v>
          </cell>
          <cell r="L246">
            <v>-4.0999999999999996</v>
          </cell>
          <cell r="M246">
            <v>-4</v>
          </cell>
        </row>
        <row r="247">
          <cell r="C247" t="str">
            <v>110kV 178 Bình Chánh - 172 Nam Sài Gòn 2</v>
          </cell>
          <cell r="D247">
            <v>178</v>
          </cell>
          <cell r="E247">
            <v>-4.0999999999999996</v>
          </cell>
          <cell r="F247">
            <v>-6.8</v>
          </cell>
          <cell r="G247">
            <v>-4.4000000000000004</v>
          </cell>
          <cell r="H247">
            <v>-6.8</v>
          </cell>
          <cell r="I247">
            <v>-4.4000000000000004</v>
          </cell>
          <cell r="J247">
            <v>-5.0999999999999996</v>
          </cell>
          <cell r="K247">
            <v>-5.2</v>
          </cell>
          <cell r="L247">
            <v>-4.0999999999999996</v>
          </cell>
          <cell r="M247">
            <v>-4.0999999999999996</v>
          </cell>
        </row>
        <row r="248">
          <cell r="C248" t="str">
            <v>Bình Chánh MBA AT1 (phía 220kV)</v>
          </cell>
          <cell r="D248">
            <v>231</v>
          </cell>
          <cell r="E248">
            <v>14.8</v>
          </cell>
          <cell r="F248">
            <v>52.3</v>
          </cell>
          <cell r="G248">
            <v>26.8</v>
          </cell>
          <cell r="H248">
            <v>17</v>
          </cell>
          <cell r="I248">
            <v>52.3</v>
          </cell>
          <cell r="J248">
            <v>-25.4</v>
          </cell>
          <cell r="K248">
            <v>14.8</v>
          </cell>
          <cell r="L248">
            <v>31.7</v>
          </cell>
          <cell r="M248">
            <v>34</v>
          </cell>
        </row>
        <row r="249">
          <cell r="C249" t="str">
            <v>Bình Chánh MBA AT2 (phía 220kV)</v>
          </cell>
          <cell r="D249">
            <v>232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</row>
        <row r="250">
          <cell r="C250" t="str">
            <v>220kV 271 Bình Chánh - 276 Nhà Bè</v>
          </cell>
          <cell r="D250">
            <v>271</v>
          </cell>
          <cell r="E250">
            <v>48.9</v>
          </cell>
          <cell r="F250">
            <v>-122.2</v>
          </cell>
          <cell r="G250">
            <v>-68.400000000000006</v>
          </cell>
          <cell r="H250">
            <v>-71.599999999999994</v>
          </cell>
          <cell r="I250">
            <v>-93</v>
          </cell>
          <cell r="J250">
            <v>48.9</v>
          </cell>
          <cell r="K250">
            <v>-72.7</v>
          </cell>
          <cell r="L250">
            <v>68.400000000000006</v>
          </cell>
          <cell r="M250">
            <v>-122.2</v>
          </cell>
        </row>
        <row r="251">
          <cell r="C251" t="str">
            <v>220kV 272 Bình Chánh - 275 Nhà Bè</v>
          </cell>
          <cell r="D251">
            <v>272</v>
          </cell>
          <cell r="E251">
            <v>38.1</v>
          </cell>
          <cell r="F251">
            <v>71.099999999999994</v>
          </cell>
          <cell r="G251">
            <v>57.4</v>
          </cell>
          <cell r="H251">
            <v>71.099999999999994</v>
          </cell>
          <cell r="I251">
            <v>63.2</v>
          </cell>
          <cell r="J251">
            <v>-44</v>
          </cell>
          <cell r="K251">
            <v>-48.5</v>
          </cell>
          <cell r="L251">
            <v>68.3</v>
          </cell>
          <cell r="M251">
            <v>38.1</v>
          </cell>
        </row>
        <row r="252">
          <cell r="C252" t="str">
            <v>220kV 274 Bình Chánh - 275 Phú Lâm</v>
          </cell>
          <cell r="D252">
            <v>274</v>
          </cell>
          <cell r="E252">
            <v>33.799999999999997</v>
          </cell>
          <cell r="F252">
            <v>-83.1</v>
          </cell>
          <cell r="G252">
            <v>55.2</v>
          </cell>
          <cell r="H252">
            <v>-53.6</v>
          </cell>
          <cell r="I252">
            <v>60.5</v>
          </cell>
          <cell r="J252">
            <v>33.799999999999997</v>
          </cell>
          <cell r="K252">
            <v>74</v>
          </cell>
          <cell r="L252">
            <v>-83.1</v>
          </cell>
          <cell r="M252">
            <v>53.7</v>
          </cell>
        </row>
        <row r="253">
          <cell r="C253" t="str">
            <v>220kV 275 Bình Chánh - 276 Phú Lâm</v>
          </cell>
          <cell r="D253">
            <v>275</v>
          </cell>
          <cell r="E253">
            <v>22.3</v>
          </cell>
          <cell r="F253">
            <v>-72.8</v>
          </cell>
          <cell r="G253">
            <v>-52.2</v>
          </cell>
          <cell r="H253">
            <v>-51.5</v>
          </cell>
          <cell r="I253">
            <v>50.8</v>
          </cell>
          <cell r="J253">
            <v>34.9</v>
          </cell>
          <cell r="K253">
            <v>43.1</v>
          </cell>
          <cell r="L253">
            <v>-72.8</v>
          </cell>
          <cell r="M253">
            <v>22.3</v>
          </cell>
        </row>
        <row r="254">
          <cell r="C254" t="str">
            <v>220kV 276 Bình Chánh - 271 Quận 8</v>
          </cell>
          <cell r="D254">
            <v>276</v>
          </cell>
          <cell r="E254">
            <v>-21.2</v>
          </cell>
          <cell r="F254">
            <v>45.1</v>
          </cell>
          <cell r="G254">
            <v>45.1</v>
          </cell>
          <cell r="H254">
            <v>34.799999999999997</v>
          </cell>
          <cell r="I254">
            <v>-39.9</v>
          </cell>
          <cell r="J254">
            <v>-21.2</v>
          </cell>
          <cell r="K254">
            <v>-41.5</v>
          </cell>
          <cell r="L254">
            <v>-21.8</v>
          </cell>
          <cell r="M254">
            <v>-39.1</v>
          </cell>
        </row>
        <row r="255">
          <cell r="C255" t="str">
            <v>220kV 277 Bình Chánh - 272 Quận 8</v>
          </cell>
          <cell r="D255">
            <v>277</v>
          </cell>
          <cell r="E255">
            <v>-21.1</v>
          </cell>
          <cell r="F255">
            <v>46.2</v>
          </cell>
          <cell r="G255">
            <v>46.2</v>
          </cell>
          <cell r="H255">
            <v>35.799999999999997</v>
          </cell>
          <cell r="I255">
            <v>-42.8</v>
          </cell>
          <cell r="J255">
            <v>-21.1</v>
          </cell>
          <cell r="K255">
            <v>-42.7</v>
          </cell>
          <cell r="L255">
            <v>-22.7</v>
          </cell>
          <cell r="M255">
            <v>-40.700000000000003</v>
          </cell>
        </row>
        <row r="256">
          <cell r="C256" t="str">
            <v>Bình Chánh MBA T4 (phía 22kV)</v>
          </cell>
          <cell r="D256">
            <v>434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</row>
        <row r="257">
          <cell r="C257" t="str">
            <v>Bình Đại MBA T1 (phía 110kV)</v>
          </cell>
          <cell r="D257">
            <v>131</v>
          </cell>
          <cell r="E257">
            <v>2.4</v>
          </cell>
          <cell r="F257">
            <v>3.1</v>
          </cell>
          <cell r="G257">
            <v>2.8</v>
          </cell>
          <cell r="H257">
            <v>2.4</v>
          </cell>
          <cell r="I257">
            <v>-2.7</v>
          </cell>
          <cell r="J257">
            <v>3.1</v>
          </cell>
          <cell r="K257">
            <v>2.6</v>
          </cell>
          <cell r="L257">
            <v>3</v>
          </cell>
          <cell r="M257">
            <v>3</v>
          </cell>
        </row>
        <row r="258">
          <cell r="C258" t="str">
            <v>Bình Đại MBA T2 (phía 110kV)</v>
          </cell>
          <cell r="D258">
            <v>132</v>
          </cell>
          <cell r="E258">
            <v>0.9</v>
          </cell>
          <cell r="F258">
            <v>-2.2000000000000002</v>
          </cell>
          <cell r="G258">
            <v>-1.9</v>
          </cell>
          <cell r="H258">
            <v>1</v>
          </cell>
          <cell r="I258">
            <v>1.1000000000000001</v>
          </cell>
          <cell r="J258">
            <v>-2.2000000000000002</v>
          </cell>
          <cell r="K258">
            <v>1.1000000000000001</v>
          </cell>
          <cell r="L258">
            <v>1.1000000000000001</v>
          </cell>
          <cell r="M258">
            <v>0.9</v>
          </cell>
        </row>
        <row r="259">
          <cell r="C259" t="str">
            <v>110kV 171 Bình Đại - 173 Giồng Trôm</v>
          </cell>
          <cell r="D259">
            <v>171</v>
          </cell>
          <cell r="E259">
            <v>-2.8</v>
          </cell>
          <cell r="F259">
            <v>-3.5</v>
          </cell>
          <cell r="G259">
            <v>-3.3</v>
          </cell>
          <cell r="H259">
            <v>-3.1</v>
          </cell>
          <cell r="I259">
            <v>-3.2</v>
          </cell>
          <cell r="J259">
            <v>-2.8</v>
          </cell>
          <cell r="K259">
            <v>-3.1</v>
          </cell>
          <cell r="L259">
            <v>-3.5</v>
          </cell>
          <cell r="M259">
            <v>-3.3</v>
          </cell>
        </row>
        <row r="260">
          <cell r="C260" t="str">
            <v>Bình Đại MBA T1 (phía 22kV)</v>
          </cell>
          <cell r="D260">
            <v>431</v>
          </cell>
          <cell r="E260">
            <v>-2.2999999999999998</v>
          </cell>
          <cell r="F260">
            <v>3.5</v>
          </cell>
          <cell r="G260">
            <v>2.8</v>
          </cell>
          <cell r="H260">
            <v>2.4</v>
          </cell>
          <cell r="I260">
            <v>3.5</v>
          </cell>
          <cell r="J260">
            <v>2.8</v>
          </cell>
          <cell r="K260">
            <v>2.6</v>
          </cell>
          <cell r="L260">
            <v>2.6</v>
          </cell>
          <cell r="M260">
            <v>-2.2999999999999998</v>
          </cell>
        </row>
        <row r="261">
          <cell r="C261" t="str">
            <v>Bình Đại MBA T2 (phía 22kV)</v>
          </cell>
          <cell r="D261">
            <v>432</v>
          </cell>
          <cell r="E261">
            <v>-0.7</v>
          </cell>
          <cell r="F261">
            <v>2.4</v>
          </cell>
          <cell r="G261">
            <v>2.1</v>
          </cell>
          <cell r="H261">
            <v>-0.8</v>
          </cell>
          <cell r="I261">
            <v>-0.9</v>
          </cell>
          <cell r="J261">
            <v>2.4</v>
          </cell>
          <cell r="K261">
            <v>-0.8</v>
          </cell>
          <cell r="L261">
            <v>-0.9</v>
          </cell>
          <cell r="M261">
            <v>-0.7</v>
          </cell>
        </row>
        <row r="262">
          <cell r="C262" t="str">
            <v>Bình Đức MBA T1 (phía 110kV)</v>
          </cell>
          <cell r="D262">
            <v>131</v>
          </cell>
          <cell r="E262">
            <v>-2.4</v>
          </cell>
          <cell r="F262">
            <v>5.2</v>
          </cell>
          <cell r="G262">
            <v>3.5</v>
          </cell>
          <cell r="H262">
            <v>3.8</v>
          </cell>
          <cell r="I262">
            <v>-2.4</v>
          </cell>
          <cell r="J262">
            <v>-3.4</v>
          </cell>
          <cell r="K262">
            <v>5</v>
          </cell>
          <cell r="L262">
            <v>5.2</v>
          </cell>
          <cell r="M262">
            <v>4.2</v>
          </cell>
        </row>
        <row r="263">
          <cell r="C263" t="str">
            <v>Bình Đức MBA T2 (phía 110kV)</v>
          </cell>
          <cell r="D263">
            <v>132</v>
          </cell>
          <cell r="E263">
            <v>-2.8</v>
          </cell>
          <cell r="F263">
            <v>-4.4000000000000004</v>
          </cell>
          <cell r="G263">
            <v>3.4</v>
          </cell>
          <cell r="H263">
            <v>-3.3</v>
          </cell>
          <cell r="I263">
            <v>-3.3</v>
          </cell>
          <cell r="J263">
            <v>-3.7</v>
          </cell>
          <cell r="K263">
            <v>-4.0999999999999996</v>
          </cell>
          <cell r="L263">
            <v>-2.8</v>
          </cell>
          <cell r="M263">
            <v>-4.4000000000000004</v>
          </cell>
        </row>
        <row r="264">
          <cell r="C264" t="str">
            <v>110kV 171 Bình Đức - 180 Mỹ Tho 2</v>
          </cell>
          <cell r="D264">
            <v>171</v>
          </cell>
          <cell r="E264">
            <v>5.9</v>
          </cell>
          <cell r="F264">
            <v>7.9</v>
          </cell>
          <cell r="G264">
            <v>-7.4</v>
          </cell>
          <cell r="H264">
            <v>-6</v>
          </cell>
          <cell r="I264">
            <v>6.5</v>
          </cell>
          <cell r="J264">
            <v>7.9</v>
          </cell>
          <cell r="K264">
            <v>7.5</v>
          </cell>
          <cell r="L264">
            <v>5.9</v>
          </cell>
          <cell r="M264">
            <v>6</v>
          </cell>
        </row>
        <row r="265">
          <cell r="C265" t="str">
            <v>110kV 172 Bình Đức - 171 Chợ Gạo</v>
          </cell>
          <cell r="D265">
            <v>172</v>
          </cell>
          <cell r="E265">
            <v>-3.2</v>
          </cell>
          <cell r="F265">
            <v>-5.0999999999999996</v>
          </cell>
          <cell r="G265">
            <v>5.0999999999999996</v>
          </cell>
          <cell r="H265">
            <v>4</v>
          </cell>
          <cell r="I265">
            <v>-3.4</v>
          </cell>
          <cell r="J265">
            <v>3.2</v>
          </cell>
          <cell r="K265">
            <v>4.8</v>
          </cell>
          <cell r="L265">
            <v>-5.0999999999999996</v>
          </cell>
          <cell r="M265">
            <v>-3.2</v>
          </cell>
        </row>
        <row r="266">
          <cell r="C266" t="str">
            <v>Bình Đức MBA T1 (phía 22kV)</v>
          </cell>
          <cell r="D266">
            <v>431</v>
          </cell>
          <cell r="E266">
            <v>2.6</v>
          </cell>
          <cell r="F266">
            <v>4.9000000000000004</v>
          </cell>
          <cell r="G266">
            <v>4.9000000000000004</v>
          </cell>
          <cell r="H266">
            <v>2.6</v>
          </cell>
          <cell r="I266">
            <v>3.2</v>
          </cell>
          <cell r="J266">
            <v>4</v>
          </cell>
          <cell r="K266">
            <v>3.9</v>
          </cell>
          <cell r="L266">
            <v>2.8</v>
          </cell>
          <cell r="M266">
            <v>3.2</v>
          </cell>
        </row>
        <row r="267">
          <cell r="C267" t="str">
            <v>Bình Đức MBA T2 (phía 22kV)</v>
          </cell>
          <cell r="D267">
            <v>432</v>
          </cell>
          <cell r="E267">
            <v>3.5</v>
          </cell>
          <cell r="F267">
            <v>6.1</v>
          </cell>
          <cell r="G267">
            <v>3.5</v>
          </cell>
          <cell r="H267">
            <v>4.8</v>
          </cell>
          <cell r="I267">
            <v>5</v>
          </cell>
          <cell r="J267">
            <v>4.5</v>
          </cell>
          <cell r="K267">
            <v>5.5</v>
          </cell>
          <cell r="L267">
            <v>4.5999999999999996</v>
          </cell>
          <cell r="M267">
            <v>6.1</v>
          </cell>
        </row>
        <row r="268">
          <cell r="C268" t="str">
            <v>Bình Hòa MBA AT1 (phía 110kV)</v>
          </cell>
          <cell r="D268">
            <v>131</v>
          </cell>
          <cell r="E268">
            <v>10.8</v>
          </cell>
          <cell r="F268">
            <v>17.8</v>
          </cell>
          <cell r="G268">
            <v>10.8</v>
          </cell>
          <cell r="H268">
            <v>11.7</v>
          </cell>
          <cell r="I268">
            <v>17.600000000000001</v>
          </cell>
          <cell r="J268">
            <v>12.4</v>
          </cell>
          <cell r="K268">
            <v>17.8</v>
          </cell>
          <cell r="L268">
            <v>16.399999999999999</v>
          </cell>
          <cell r="M268">
            <v>17.600000000000001</v>
          </cell>
        </row>
        <row r="269">
          <cell r="C269" t="str">
            <v>Bình Hòa MBA AT2 (phía 110kV)</v>
          </cell>
          <cell r="D269">
            <v>132</v>
          </cell>
          <cell r="E269">
            <v>13.3</v>
          </cell>
          <cell r="F269">
            <v>20.100000000000001</v>
          </cell>
          <cell r="G269">
            <v>13.3</v>
          </cell>
          <cell r="H269">
            <v>13.5</v>
          </cell>
          <cell r="I269">
            <v>20.100000000000001</v>
          </cell>
          <cell r="J269">
            <v>13.4</v>
          </cell>
          <cell r="K269">
            <v>19.8</v>
          </cell>
          <cell r="L269">
            <v>20.100000000000001</v>
          </cell>
          <cell r="M269">
            <v>19</v>
          </cell>
        </row>
        <row r="270">
          <cell r="C270" t="str">
            <v>Bình Hòa MBA T3 (phía 110kV)</v>
          </cell>
          <cell r="D270">
            <v>133</v>
          </cell>
          <cell r="E270">
            <v>-5.0999999999999996</v>
          </cell>
          <cell r="F270">
            <v>20.2</v>
          </cell>
          <cell r="G270">
            <v>17</v>
          </cell>
          <cell r="H270">
            <v>17.3</v>
          </cell>
          <cell r="I270">
            <v>20.2</v>
          </cell>
          <cell r="J270">
            <v>-5.0999999999999996</v>
          </cell>
          <cell r="K270">
            <v>16.2</v>
          </cell>
          <cell r="L270">
            <v>16.8</v>
          </cell>
          <cell r="M270">
            <v>16.600000000000001</v>
          </cell>
        </row>
        <row r="271">
          <cell r="C271" t="str">
            <v>Bình Hòa MBA T4 (phía 110kV)</v>
          </cell>
          <cell r="D271">
            <v>134</v>
          </cell>
          <cell r="E271">
            <v>7.8</v>
          </cell>
          <cell r="F271">
            <v>11.4</v>
          </cell>
          <cell r="G271">
            <v>7.8</v>
          </cell>
          <cell r="H271">
            <v>8.1999999999999993</v>
          </cell>
          <cell r="I271">
            <v>11.4</v>
          </cell>
          <cell r="J271">
            <v>-8.4</v>
          </cell>
          <cell r="K271">
            <v>-8.3000000000000007</v>
          </cell>
          <cell r="L271">
            <v>7.8</v>
          </cell>
          <cell r="M271">
            <v>9</v>
          </cell>
        </row>
        <row r="272">
          <cell r="C272" t="str">
            <v>Bình Hòa MBA AT5 (phía 110kV)</v>
          </cell>
          <cell r="D272">
            <v>135</v>
          </cell>
          <cell r="E272">
            <v>-25</v>
          </cell>
          <cell r="F272">
            <v>37</v>
          </cell>
          <cell r="G272">
            <v>-29</v>
          </cell>
          <cell r="H272">
            <v>-31</v>
          </cell>
          <cell r="I272">
            <v>29</v>
          </cell>
          <cell r="J272">
            <v>-25</v>
          </cell>
          <cell r="K272">
            <v>37</v>
          </cell>
          <cell r="L272">
            <v>31</v>
          </cell>
          <cell r="M272">
            <v>33</v>
          </cell>
        </row>
        <row r="273">
          <cell r="C273" t="str">
            <v>110kV 174 Bình Hòa - 172 Hưng Định</v>
          </cell>
          <cell r="D273">
            <v>174</v>
          </cell>
          <cell r="E273">
            <v>-9.1</v>
          </cell>
          <cell r="F273">
            <v>12.8</v>
          </cell>
          <cell r="G273">
            <v>12.8</v>
          </cell>
          <cell r="H273">
            <v>12.1</v>
          </cell>
          <cell r="I273">
            <v>-11.9</v>
          </cell>
          <cell r="J273">
            <v>11.7</v>
          </cell>
          <cell r="K273">
            <v>-11.5</v>
          </cell>
          <cell r="L273">
            <v>10</v>
          </cell>
          <cell r="M273">
            <v>-9.1</v>
          </cell>
        </row>
        <row r="274">
          <cell r="C274" t="str">
            <v>110kV 175 Bình Hòa - 172 Vsip</v>
          </cell>
          <cell r="D274">
            <v>175</v>
          </cell>
          <cell r="E274">
            <v>6.1</v>
          </cell>
          <cell r="F274">
            <v>24.7</v>
          </cell>
          <cell r="G274">
            <v>21.1</v>
          </cell>
          <cell r="H274">
            <v>23.5</v>
          </cell>
          <cell r="I274">
            <v>16.100000000000001</v>
          </cell>
          <cell r="J274">
            <v>6.1</v>
          </cell>
          <cell r="K274">
            <v>24</v>
          </cell>
          <cell r="L274">
            <v>24.7</v>
          </cell>
          <cell r="M274">
            <v>24.2</v>
          </cell>
        </row>
        <row r="275">
          <cell r="C275" t="str">
            <v>110kV 178 Bình Hòa - 171 Tân Đông Hiệp</v>
          </cell>
          <cell r="D275">
            <v>178</v>
          </cell>
          <cell r="E275">
            <v>-8.1999999999999993</v>
          </cell>
          <cell r="F275">
            <v>-15</v>
          </cell>
          <cell r="G275">
            <v>-8.6</v>
          </cell>
          <cell r="H275">
            <v>8.6999999999999993</v>
          </cell>
          <cell r="I275">
            <v>11.9</v>
          </cell>
          <cell r="J275">
            <v>-15</v>
          </cell>
          <cell r="K275">
            <v>-10</v>
          </cell>
          <cell r="L275">
            <v>9</v>
          </cell>
          <cell r="M275">
            <v>-8.1999999999999993</v>
          </cell>
        </row>
        <row r="276">
          <cell r="C276" t="str">
            <v>110kV 179 Bình Hòa - 172 Thuận Giao</v>
          </cell>
          <cell r="D276">
            <v>179</v>
          </cell>
          <cell r="E276">
            <v>-7</v>
          </cell>
          <cell r="F276">
            <v>13.2</v>
          </cell>
          <cell r="G276">
            <v>13.2</v>
          </cell>
          <cell r="H276">
            <v>12.2</v>
          </cell>
          <cell r="I276">
            <v>9.6</v>
          </cell>
          <cell r="J276">
            <v>-7</v>
          </cell>
          <cell r="K276">
            <v>-10.1</v>
          </cell>
          <cell r="L276">
            <v>7.9</v>
          </cell>
          <cell r="M276">
            <v>8.3000000000000007</v>
          </cell>
        </row>
        <row r="277">
          <cell r="C277" t="str">
            <v>110kV 180 Bình Hòa - 172 Khánh Bình</v>
          </cell>
          <cell r="D277">
            <v>180</v>
          </cell>
          <cell r="E277">
            <v>6.3</v>
          </cell>
          <cell r="F277">
            <v>16.2</v>
          </cell>
          <cell r="G277">
            <v>15.8</v>
          </cell>
          <cell r="H277">
            <v>16.2</v>
          </cell>
          <cell r="I277">
            <v>12.7</v>
          </cell>
          <cell r="J277">
            <v>6.3</v>
          </cell>
          <cell r="K277">
            <v>14</v>
          </cell>
          <cell r="L277">
            <v>15.7</v>
          </cell>
          <cell r="M277">
            <v>15.4</v>
          </cell>
        </row>
        <row r="278">
          <cell r="C278" t="str">
            <v>Bình Hòa MBA AT1 (phía 220kV)</v>
          </cell>
          <cell r="D278">
            <v>231</v>
          </cell>
          <cell r="E278">
            <v>18.899999999999999</v>
          </cell>
          <cell r="F278">
            <v>33.4</v>
          </cell>
          <cell r="G278">
            <v>25.2</v>
          </cell>
          <cell r="H278">
            <v>23.4</v>
          </cell>
          <cell r="I278">
            <v>18.899999999999999</v>
          </cell>
          <cell r="J278">
            <v>19.2</v>
          </cell>
          <cell r="K278">
            <v>26</v>
          </cell>
          <cell r="L278">
            <v>33.4</v>
          </cell>
          <cell r="M278">
            <v>21.8</v>
          </cell>
        </row>
        <row r="279">
          <cell r="C279" t="str">
            <v>Bình Hòa MBA AT2 (phía 220kV)</v>
          </cell>
          <cell r="D279">
            <v>232</v>
          </cell>
          <cell r="E279">
            <v>14</v>
          </cell>
          <cell r="F279">
            <v>31.8</v>
          </cell>
          <cell r="G279">
            <v>24.5</v>
          </cell>
          <cell r="H279">
            <v>21.8</v>
          </cell>
          <cell r="I279">
            <v>16.5</v>
          </cell>
          <cell r="J279">
            <v>14</v>
          </cell>
          <cell r="K279">
            <v>22.4</v>
          </cell>
          <cell r="L279">
            <v>31.8</v>
          </cell>
          <cell r="M279">
            <v>19.7</v>
          </cell>
        </row>
        <row r="280">
          <cell r="C280" t="str">
            <v>Bình Hòa MBA AT5 (phía 220kV)</v>
          </cell>
          <cell r="D280">
            <v>235</v>
          </cell>
          <cell r="E280">
            <v>29.5</v>
          </cell>
          <cell r="F280">
            <v>38.5</v>
          </cell>
          <cell r="G280">
            <v>34.5</v>
          </cell>
          <cell r="H280">
            <v>38.5</v>
          </cell>
          <cell r="I280">
            <v>35.5</v>
          </cell>
          <cell r="J280">
            <v>29.5</v>
          </cell>
          <cell r="K280">
            <v>36.5</v>
          </cell>
          <cell r="L280">
            <v>38.5</v>
          </cell>
          <cell r="M280">
            <v>34.5</v>
          </cell>
        </row>
        <row r="281">
          <cell r="C281" t="str">
            <v>220kV 271 Bình Hòa - 271 Thuận An</v>
          </cell>
          <cell r="D281">
            <v>271</v>
          </cell>
          <cell r="E281">
            <v>-29.8</v>
          </cell>
          <cell r="F281">
            <v>-74.8</v>
          </cell>
          <cell r="G281">
            <v>-45.1</v>
          </cell>
          <cell r="H281">
            <v>-47</v>
          </cell>
          <cell r="I281">
            <v>-30.9</v>
          </cell>
          <cell r="J281">
            <v>-29.8</v>
          </cell>
          <cell r="K281">
            <v>-50.2</v>
          </cell>
          <cell r="L281">
            <v>-74.8</v>
          </cell>
          <cell r="M281">
            <v>-74</v>
          </cell>
        </row>
        <row r="282">
          <cell r="C282" t="str">
            <v>220kV 272 Bình Hòa - 274 Thuận An</v>
          </cell>
          <cell r="D282">
            <v>272</v>
          </cell>
          <cell r="E282">
            <v>-34</v>
          </cell>
          <cell r="F282">
            <v>-83.3</v>
          </cell>
          <cell r="G282">
            <v>-52.5</v>
          </cell>
          <cell r="H282">
            <v>-70</v>
          </cell>
          <cell r="I282">
            <v>-34</v>
          </cell>
          <cell r="J282">
            <v>-43.7</v>
          </cell>
          <cell r="K282">
            <v>-59.3</v>
          </cell>
          <cell r="L282">
            <v>-83.3</v>
          </cell>
          <cell r="M282">
            <v>-76.900000000000006</v>
          </cell>
        </row>
        <row r="283">
          <cell r="C283" t="str">
            <v>220kV 273 Bình Hòa - 273 Tân Định</v>
          </cell>
          <cell r="D283">
            <v>273</v>
          </cell>
          <cell r="E283">
            <v>-42</v>
          </cell>
          <cell r="F283">
            <v>62.1</v>
          </cell>
          <cell r="G283">
            <v>-53.4</v>
          </cell>
          <cell r="H283">
            <v>-50.2</v>
          </cell>
          <cell r="I283">
            <v>-42</v>
          </cell>
          <cell r="J283">
            <v>50.6</v>
          </cell>
          <cell r="K283">
            <v>62.1</v>
          </cell>
          <cell r="L283">
            <v>59.1</v>
          </cell>
          <cell r="M283">
            <v>58.6</v>
          </cell>
        </row>
        <row r="284">
          <cell r="C284" t="str">
            <v>220kV 274 Bình Hòa - 274 Tân Định</v>
          </cell>
          <cell r="D284">
            <v>274</v>
          </cell>
          <cell r="E284">
            <v>38.6</v>
          </cell>
          <cell r="F284">
            <v>68.2</v>
          </cell>
          <cell r="G284">
            <v>59.3</v>
          </cell>
          <cell r="H284">
            <v>61.1</v>
          </cell>
          <cell r="I284">
            <v>44.5</v>
          </cell>
          <cell r="J284">
            <v>38.6</v>
          </cell>
          <cell r="K284">
            <v>67.900000000000006</v>
          </cell>
          <cell r="L284">
            <v>68.2</v>
          </cell>
          <cell r="M284">
            <v>56.8</v>
          </cell>
        </row>
        <row r="285">
          <cell r="C285" t="str">
            <v>220kV 275 Bình Hòa - 273 NMĐ Trị An</v>
          </cell>
          <cell r="D285">
            <v>275</v>
          </cell>
          <cell r="E285">
            <v>-24.3</v>
          </cell>
          <cell r="F285">
            <v>-41</v>
          </cell>
          <cell r="G285">
            <v>-24.3</v>
          </cell>
          <cell r="H285">
            <v>-24.6</v>
          </cell>
          <cell r="I285">
            <v>-27.7</v>
          </cell>
          <cell r="J285">
            <v>-30.9</v>
          </cell>
          <cell r="K285">
            <v>-26.1</v>
          </cell>
          <cell r="L285">
            <v>-33.9</v>
          </cell>
          <cell r="M285">
            <v>-41</v>
          </cell>
        </row>
        <row r="286">
          <cell r="C286" t="str">
            <v>220kV 276 Bình Hòa - 272 NMĐ Trị An</v>
          </cell>
          <cell r="D286">
            <v>276</v>
          </cell>
          <cell r="E286">
            <v>-25.9</v>
          </cell>
          <cell r="F286">
            <v>-36.799999999999997</v>
          </cell>
          <cell r="G286">
            <v>-25.9</v>
          </cell>
          <cell r="H286">
            <v>-26.9</v>
          </cell>
          <cell r="I286">
            <v>-33.1</v>
          </cell>
          <cell r="J286">
            <v>-32.200000000000003</v>
          </cell>
          <cell r="K286">
            <v>-29.9</v>
          </cell>
          <cell r="L286">
            <v>-36.6</v>
          </cell>
          <cell r="M286">
            <v>-36.799999999999997</v>
          </cell>
        </row>
        <row r="287">
          <cell r="C287" t="str">
            <v>Bình Hòa MBA T3 (phía 22kV)</v>
          </cell>
          <cell r="D287">
            <v>433</v>
          </cell>
          <cell r="E287">
            <v>5.7</v>
          </cell>
          <cell r="F287">
            <v>-13.6</v>
          </cell>
          <cell r="G287">
            <v>-11.7</v>
          </cell>
          <cell r="H287">
            <v>-12.3</v>
          </cell>
          <cell r="I287">
            <v>-13.6</v>
          </cell>
          <cell r="J287">
            <v>5.7</v>
          </cell>
          <cell r="K287">
            <v>-11.5</v>
          </cell>
          <cell r="L287">
            <v>-11.3</v>
          </cell>
          <cell r="M287">
            <v>-11.3</v>
          </cell>
        </row>
        <row r="288">
          <cell r="C288" t="str">
            <v>Bình Hòa MBA T4 (phía 22kV)</v>
          </cell>
          <cell r="D288">
            <v>434</v>
          </cell>
          <cell r="E288">
            <v>-4</v>
          </cell>
          <cell r="F288">
            <v>-9.1999999999999993</v>
          </cell>
          <cell r="G288">
            <v>-4</v>
          </cell>
          <cell r="H288">
            <v>-5.3</v>
          </cell>
          <cell r="I288">
            <v>6.9</v>
          </cell>
          <cell r="J288">
            <v>-9.1999999999999993</v>
          </cell>
          <cell r="K288">
            <v>-9</v>
          </cell>
          <cell r="L288">
            <v>-6.1</v>
          </cell>
          <cell r="M288">
            <v>-5.9</v>
          </cell>
        </row>
        <row r="289">
          <cell r="C289" t="str">
            <v>Bình Hòa Tụ Bù Ngang 101</v>
          </cell>
          <cell r="D289" t="str">
            <v>T101</v>
          </cell>
          <cell r="E289">
            <v>0</v>
          </cell>
          <cell r="F289">
            <v>-52.2</v>
          </cell>
          <cell r="G289">
            <v>-51.5</v>
          </cell>
          <cell r="H289">
            <v>-52.2</v>
          </cell>
          <cell r="I289">
            <v>-52.1</v>
          </cell>
          <cell r="J289">
            <v>0</v>
          </cell>
          <cell r="K289">
            <v>-50.7</v>
          </cell>
          <cell r="L289">
            <v>-50.2</v>
          </cell>
          <cell r="M289">
            <v>-50.5</v>
          </cell>
        </row>
        <row r="290">
          <cell r="C290" t="str">
            <v>Bình Hòa Tụ Bù Ngang 103</v>
          </cell>
          <cell r="D290" t="str">
            <v>T103</v>
          </cell>
          <cell r="E290">
            <v>0</v>
          </cell>
          <cell r="F290">
            <v>393.2</v>
          </cell>
          <cell r="G290">
            <v>393.2</v>
          </cell>
          <cell r="H290">
            <v>393.2</v>
          </cell>
          <cell r="I290">
            <v>393.2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</row>
        <row r="291">
          <cell r="C291" t="str">
            <v>Bình Lợi MBA T2 (phía 110kV)</v>
          </cell>
          <cell r="D291">
            <v>132</v>
          </cell>
          <cell r="E291">
            <v>4.4000000000000004</v>
          </cell>
          <cell r="F291">
            <v>5.9</v>
          </cell>
          <cell r="G291">
            <v>5.9</v>
          </cell>
          <cell r="H291">
            <v>5.9</v>
          </cell>
          <cell r="I291">
            <v>5.4</v>
          </cell>
          <cell r="J291">
            <v>4.4000000000000004</v>
          </cell>
          <cell r="K291">
            <v>5.7</v>
          </cell>
          <cell r="L291">
            <v>5.7</v>
          </cell>
          <cell r="M291">
            <v>5.3</v>
          </cell>
        </row>
        <row r="292">
          <cell r="C292" t="str">
            <v>110kV 171 Bình Lợi - 171 Tân Sơn Nhất</v>
          </cell>
          <cell r="D292">
            <v>171</v>
          </cell>
          <cell r="E292">
            <v>-4.0999999999999996</v>
          </cell>
          <cell r="F292">
            <v>8.8000000000000007</v>
          </cell>
          <cell r="G292">
            <v>8.8000000000000007</v>
          </cell>
          <cell r="H292">
            <v>7.9</v>
          </cell>
          <cell r="I292">
            <v>-4.7</v>
          </cell>
          <cell r="J292">
            <v>-4.0999999999999996</v>
          </cell>
          <cell r="K292">
            <v>8.1999999999999993</v>
          </cell>
          <cell r="L292">
            <v>8.3000000000000007</v>
          </cell>
          <cell r="M292">
            <v>7.1</v>
          </cell>
        </row>
        <row r="293">
          <cell r="C293" t="str">
            <v>110kV 172 Bình Lợi - 180 Hiệp Bình Phước</v>
          </cell>
          <cell r="D293">
            <v>172</v>
          </cell>
          <cell r="E293">
            <v>-7.3</v>
          </cell>
          <cell r="F293">
            <v>-14.7</v>
          </cell>
          <cell r="G293">
            <v>-14.7</v>
          </cell>
          <cell r="H293">
            <v>-14</v>
          </cell>
          <cell r="I293">
            <v>-9.4</v>
          </cell>
          <cell r="J293">
            <v>-7.3</v>
          </cell>
          <cell r="K293">
            <v>-13.8</v>
          </cell>
          <cell r="L293">
            <v>-13.5</v>
          </cell>
          <cell r="M293">
            <v>-12.5</v>
          </cell>
        </row>
        <row r="294">
          <cell r="C294" t="str">
            <v>Bình Lợi MBA T2 (phía 22kV)</v>
          </cell>
          <cell r="D294">
            <v>432</v>
          </cell>
          <cell r="E294">
            <v>1.8</v>
          </cell>
          <cell r="F294">
            <v>-2.6</v>
          </cell>
          <cell r="G294">
            <v>-2.6</v>
          </cell>
          <cell r="H294">
            <v>-2.5</v>
          </cell>
          <cell r="I294">
            <v>-2</v>
          </cell>
          <cell r="J294">
            <v>1.8</v>
          </cell>
          <cell r="K294">
            <v>-2.6</v>
          </cell>
          <cell r="L294">
            <v>-2.5</v>
          </cell>
          <cell r="M294">
            <v>-2.2999999999999998</v>
          </cell>
        </row>
        <row r="295">
          <cell r="C295" t="str">
            <v>Bình Long 110kV MBA T1 (phía 110kV)</v>
          </cell>
          <cell r="D295">
            <v>131</v>
          </cell>
          <cell r="E295">
            <v>4.4000000000000004</v>
          </cell>
          <cell r="F295">
            <v>9</v>
          </cell>
          <cell r="G295">
            <v>4.8</v>
          </cell>
          <cell r="H295">
            <v>4.8</v>
          </cell>
          <cell r="I295">
            <v>5</v>
          </cell>
          <cell r="J295">
            <v>4.7</v>
          </cell>
          <cell r="K295">
            <v>5</v>
          </cell>
          <cell r="L295">
            <v>9</v>
          </cell>
          <cell r="M295">
            <v>4.4000000000000004</v>
          </cell>
        </row>
        <row r="296">
          <cell r="C296" t="str">
            <v>Bình Long 110kV MBA T2 (phía 110kV)</v>
          </cell>
          <cell r="D296">
            <v>132</v>
          </cell>
          <cell r="E296">
            <v>2.7</v>
          </cell>
          <cell r="F296">
            <v>-5.4</v>
          </cell>
          <cell r="G296">
            <v>3.3</v>
          </cell>
          <cell r="H296">
            <v>2.7</v>
          </cell>
          <cell r="I296">
            <v>-3</v>
          </cell>
          <cell r="J296">
            <v>3.1</v>
          </cell>
          <cell r="K296">
            <v>-3.2</v>
          </cell>
          <cell r="L296">
            <v>-3</v>
          </cell>
          <cell r="M296">
            <v>-5.4</v>
          </cell>
        </row>
        <row r="297">
          <cell r="C297" t="str">
            <v>110kV 171 Bình Long - (171-7) XM Tây Ninh</v>
          </cell>
          <cell r="D297">
            <v>171</v>
          </cell>
          <cell r="E297">
            <v>4.2</v>
          </cell>
          <cell r="F297">
            <v>6.5</v>
          </cell>
          <cell r="G297">
            <v>5</v>
          </cell>
          <cell r="H297">
            <v>4.4000000000000004</v>
          </cell>
          <cell r="I297">
            <v>4.2</v>
          </cell>
          <cell r="J297">
            <v>4.5</v>
          </cell>
          <cell r="K297">
            <v>4.5999999999999996</v>
          </cell>
          <cell r="L297">
            <v>6.5</v>
          </cell>
          <cell r="M297">
            <v>5.9</v>
          </cell>
        </row>
        <row r="298">
          <cell r="C298" t="str">
            <v>110kV 172 Bình Long - 175 Bình Long 2</v>
          </cell>
          <cell r="D298">
            <v>172</v>
          </cell>
          <cell r="E298">
            <v>5.6</v>
          </cell>
          <cell r="F298">
            <v>-12.7</v>
          </cell>
          <cell r="G298">
            <v>-8.4</v>
          </cell>
          <cell r="H298">
            <v>-8.4</v>
          </cell>
          <cell r="I298">
            <v>-8.6999999999999993</v>
          </cell>
          <cell r="J298">
            <v>5.6</v>
          </cell>
          <cell r="K298">
            <v>-7.8</v>
          </cell>
          <cell r="L298">
            <v>-12.7</v>
          </cell>
          <cell r="M298">
            <v>-7</v>
          </cell>
        </row>
        <row r="299">
          <cell r="C299" t="str">
            <v>110kV 173 Bình Long - 173 Tây Ninh 2</v>
          </cell>
          <cell r="D299">
            <v>173</v>
          </cell>
          <cell r="E299">
            <v>-2.8</v>
          </cell>
          <cell r="F299">
            <v>-2.8</v>
          </cell>
          <cell r="G299">
            <v>-2.8</v>
          </cell>
          <cell r="H299">
            <v>-2.8</v>
          </cell>
          <cell r="I299">
            <v>-2.8</v>
          </cell>
          <cell r="J299">
            <v>-2.8</v>
          </cell>
          <cell r="K299">
            <v>-2.8</v>
          </cell>
          <cell r="L299">
            <v>-2.8</v>
          </cell>
          <cell r="M299">
            <v>-2.8</v>
          </cell>
        </row>
        <row r="300">
          <cell r="C300" t="str">
            <v>Bình Long 110kV MBA T1 (phía 22kV)</v>
          </cell>
          <cell r="D300">
            <v>431</v>
          </cell>
          <cell r="E300">
            <v>3.9</v>
          </cell>
          <cell r="F300">
            <v>-6.7</v>
          </cell>
          <cell r="G300">
            <v>3.9</v>
          </cell>
          <cell r="H300">
            <v>4.2</v>
          </cell>
          <cell r="I300">
            <v>4.8</v>
          </cell>
          <cell r="J300">
            <v>5.5</v>
          </cell>
          <cell r="K300">
            <v>4.0999999999999996</v>
          </cell>
          <cell r="L300">
            <v>-6.7</v>
          </cell>
          <cell r="M300">
            <v>4.5999999999999996</v>
          </cell>
        </row>
        <row r="301">
          <cell r="C301" t="str">
            <v>Bình Long 110kV MBA T2 (phía 22kV)</v>
          </cell>
          <cell r="D301">
            <v>432</v>
          </cell>
          <cell r="E301">
            <v>4.3</v>
          </cell>
          <cell r="F301">
            <v>6.1</v>
          </cell>
          <cell r="G301">
            <v>4.3</v>
          </cell>
          <cell r="H301">
            <v>4.5999999999999996</v>
          </cell>
          <cell r="I301">
            <v>4.9000000000000004</v>
          </cell>
          <cell r="J301">
            <v>4.5999999999999996</v>
          </cell>
          <cell r="K301">
            <v>4.9000000000000004</v>
          </cell>
          <cell r="L301">
            <v>5.4</v>
          </cell>
          <cell r="M301">
            <v>6.1</v>
          </cell>
        </row>
        <row r="302">
          <cell r="C302" t="str">
            <v>Bình Long 2 MBA AT1 (phía 110kV)</v>
          </cell>
          <cell r="D302">
            <v>131</v>
          </cell>
          <cell r="E302">
            <v>12.5</v>
          </cell>
          <cell r="F302">
            <v>-35</v>
          </cell>
          <cell r="G302">
            <v>-23.4</v>
          </cell>
          <cell r="H302">
            <v>-19.5</v>
          </cell>
          <cell r="I302">
            <v>-35</v>
          </cell>
          <cell r="J302">
            <v>12.5</v>
          </cell>
          <cell r="K302">
            <v>-34.200000000000003</v>
          </cell>
          <cell r="L302">
            <v>-21.4</v>
          </cell>
          <cell r="M302">
            <v>-21.9</v>
          </cell>
        </row>
        <row r="303">
          <cell r="C303" t="str">
            <v>Bình Long 2 MBA AT2 (phía 110kV)</v>
          </cell>
          <cell r="D303">
            <v>132</v>
          </cell>
          <cell r="E303">
            <v>-15</v>
          </cell>
          <cell r="F303">
            <v>-48.4</v>
          </cell>
          <cell r="G303">
            <v>-46.1</v>
          </cell>
          <cell r="H303">
            <v>-39.6</v>
          </cell>
          <cell r="I303">
            <v>-47.5</v>
          </cell>
          <cell r="J303">
            <v>-15</v>
          </cell>
          <cell r="K303">
            <v>-48.4</v>
          </cell>
          <cell r="L303">
            <v>-34.299999999999997</v>
          </cell>
          <cell r="M303">
            <v>-33.700000000000003</v>
          </cell>
        </row>
        <row r="304">
          <cell r="C304" t="str">
            <v>110kV 171 Bình Long 2 - 172 NMĐ Thác Mơ</v>
          </cell>
          <cell r="D304">
            <v>171</v>
          </cell>
          <cell r="E304">
            <v>8.3000000000000007</v>
          </cell>
          <cell r="F304">
            <v>24</v>
          </cell>
          <cell r="G304">
            <v>20.7</v>
          </cell>
          <cell r="H304">
            <v>20.100000000000001</v>
          </cell>
          <cell r="I304">
            <v>22.9</v>
          </cell>
          <cell r="J304">
            <v>8.3000000000000007</v>
          </cell>
          <cell r="K304">
            <v>24</v>
          </cell>
          <cell r="L304">
            <v>22.2</v>
          </cell>
          <cell r="M304">
            <v>22.3</v>
          </cell>
        </row>
        <row r="305">
          <cell r="C305" t="str">
            <v>110kV 172 Bình Long 2 - 172 Lộc Ninh</v>
          </cell>
          <cell r="D305">
            <v>172</v>
          </cell>
          <cell r="E305">
            <v>9.8000000000000007</v>
          </cell>
          <cell r="F305">
            <v>21.4</v>
          </cell>
          <cell r="G305">
            <v>14.8</v>
          </cell>
          <cell r="H305">
            <v>19.2</v>
          </cell>
          <cell r="I305">
            <v>15.9</v>
          </cell>
          <cell r="J305">
            <v>9.8000000000000007</v>
          </cell>
          <cell r="K305">
            <v>21.4</v>
          </cell>
          <cell r="L305">
            <v>18.600000000000001</v>
          </cell>
          <cell r="M305">
            <v>18.7</v>
          </cell>
        </row>
        <row r="306">
          <cell r="C306" t="str">
            <v>110kV 173 Bình Long 2 - 172 &amp; 174 NMĐ Cần Đơn</v>
          </cell>
          <cell r="D306">
            <v>173</v>
          </cell>
          <cell r="E306">
            <v>5.4</v>
          </cell>
          <cell r="F306">
            <v>9.6999999999999993</v>
          </cell>
          <cell r="G306">
            <v>9.6999999999999993</v>
          </cell>
          <cell r="H306">
            <v>6</v>
          </cell>
          <cell r="I306">
            <v>5.4</v>
          </cell>
          <cell r="J306">
            <v>6.3</v>
          </cell>
          <cell r="K306">
            <v>6.8</v>
          </cell>
          <cell r="L306">
            <v>5.5</v>
          </cell>
          <cell r="M306">
            <v>6.7</v>
          </cell>
        </row>
        <row r="307">
          <cell r="C307" t="str">
            <v>110kV 174 Bình Long 2 - 174 Lộc Ninh</v>
          </cell>
          <cell r="D307">
            <v>174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</row>
        <row r="308">
          <cell r="C308" t="str">
            <v>110kV 175 Bình Long 2 - 172 Bình Long</v>
          </cell>
          <cell r="D308">
            <v>175</v>
          </cell>
          <cell r="E308">
            <v>-5.9</v>
          </cell>
          <cell r="F308">
            <v>13.2</v>
          </cell>
          <cell r="G308">
            <v>9.3000000000000007</v>
          </cell>
          <cell r="H308">
            <v>8.1999999999999993</v>
          </cell>
          <cell r="I308">
            <v>8.6999999999999993</v>
          </cell>
          <cell r="J308">
            <v>-5.9</v>
          </cell>
          <cell r="K308">
            <v>8.1</v>
          </cell>
          <cell r="L308">
            <v>13.2</v>
          </cell>
          <cell r="M308">
            <v>7.2</v>
          </cell>
        </row>
        <row r="309">
          <cell r="C309" t="str">
            <v>110kV 176 Bình Long 2 - 171 Minh Hưng</v>
          </cell>
          <cell r="D309">
            <v>176</v>
          </cell>
          <cell r="E309">
            <v>3.9</v>
          </cell>
          <cell r="F309">
            <v>5.0999999999999996</v>
          </cell>
          <cell r="G309">
            <v>4.4000000000000004</v>
          </cell>
          <cell r="H309">
            <v>5.0999999999999996</v>
          </cell>
          <cell r="I309">
            <v>4.5</v>
          </cell>
          <cell r="J309">
            <v>-4.3</v>
          </cell>
          <cell r="K309">
            <v>4.3</v>
          </cell>
          <cell r="L309">
            <v>4.4000000000000004</v>
          </cell>
          <cell r="M309">
            <v>3.9</v>
          </cell>
        </row>
        <row r="310">
          <cell r="C310" t="str">
            <v>110kV 177 Bình Long 2 - 171 XM Bình Phước</v>
          </cell>
          <cell r="D310">
            <v>177</v>
          </cell>
          <cell r="E310">
            <v>0.7</v>
          </cell>
          <cell r="F310">
            <v>14.6</v>
          </cell>
          <cell r="G310">
            <v>14.6</v>
          </cell>
          <cell r="H310">
            <v>4.2</v>
          </cell>
          <cell r="I310">
            <v>4.2</v>
          </cell>
          <cell r="J310">
            <v>4.2</v>
          </cell>
          <cell r="K310">
            <v>0.7</v>
          </cell>
          <cell r="L310">
            <v>0.7</v>
          </cell>
          <cell r="M310">
            <v>0.7</v>
          </cell>
        </row>
        <row r="311">
          <cell r="C311" t="str">
            <v>110kV 178 Bình Long 2 - 171 NMĐ Srok Phu Miêng</v>
          </cell>
          <cell r="D311">
            <v>178</v>
          </cell>
          <cell r="E311">
            <v>-0.8</v>
          </cell>
          <cell r="F311">
            <v>2.2999999999999998</v>
          </cell>
          <cell r="G311">
            <v>1.5</v>
          </cell>
          <cell r="H311">
            <v>2.2999999999999998</v>
          </cell>
          <cell r="I311">
            <v>-0.8</v>
          </cell>
          <cell r="J311">
            <v>-1.6</v>
          </cell>
          <cell r="K311">
            <v>1.1000000000000001</v>
          </cell>
          <cell r="L311">
            <v>1</v>
          </cell>
          <cell r="M311">
            <v>1</v>
          </cell>
        </row>
        <row r="312">
          <cell r="C312" t="str">
            <v>Bình Long 2 MBA AT1 (phía 220kV)</v>
          </cell>
          <cell r="D312">
            <v>231</v>
          </cell>
          <cell r="E312">
            <v>-8.6999999999999993</v>
          </cell>
          <cell r="F312">
            <v>36.200000000000003</v>
          </cell>
          <cell r="G312">
            <v>35.700000000000003</v>
          </cell>
          <cell r="H312">
            <v>29.5</v>
          </cell>
          <cell r="I312">
            <v>36.200000000000003</v>
          </cell>
          <cell r="J312">
            <v>-8.6999999999999993</v>
          </cell>
          <cell r="K312">
            <v>35.799999999999997</v>
          </cell>
          <cell r="L312">
            <v>25.2</v>
          </cell>
          <cell r="M312">
            <v>22.7</v>
          </cell>
        </row>
        <row r="313">
          <cell r="C313" t="str">
            <v>Bình Long 2 MBA AT2 (phía 220kV)</v>
          </cell>
          <cell r="D313">
            <v>232</v>
          </cell>
          <cell r="E313">
            <v>19.600000000000001</v>
          </cell>
          <cell r="F313">
            <v>49.6</v>
          </cell>
          <cell r="G313">
            <v>47.6</v>
          </cell>
          <cell r="H313">
            <v>41.7</v>
          </cell>
          <cell r="I313">
            <v>48.6</v>
          </cell>
          <cell r="J313">
            <v>19.600000000000001</v>
          </cell>
          <cell r="K313">
            <v>49.6</v>
          </cell>
          <cell r="L313">
            <v>38.9</v>
          </cell>
          <cell r="M313">
            <v>34.6</v>
          </cell>
        </row>
        <row r="314">
          <cell r="C314" t="str">
            <v>220kV 271 Bình Long 2 - 274 NMĐ MT Dầu Tiếng 1</v>
          </cell>
          <cell r="D314">
            <v>271</v>
          </cell>
          <cell r="E314">
            <v>-37.299999999999997</v>
          </cell>
          <cell r="F314">
            <v>-60.5</v>
          </cell>
          <cell r="G314">
            <v>-52.3</v>
          </cell>
          <cell r="H314">
            <v>-58.2</v>
          </cell>
          <cell r="I314">
            <v>-52.7</v>
          </cell>
          <cell r="J314">
            <v>-37.299999999999997</v>
          </cell>
          <cell r="K314">
            <v>-60.5</v>
          </cell>
          <cell r="L314">
            <v>-57.1</v>
          </cell>
          <cell r="M314">
            <v>-54.2</v>
          </cell>
        </row>
        <row r="315">
          <cell r="C315" t="str">
            <v>220kV 272 Bình Long 2 - 272 NMĐ MT Dầu Tiếng 1</v>
          </cell>
          <cell r="D315">
            <v>272</v>
          </cell>
          <cell r="E315">
            <v>-37.799999999999997</v>
          </cell>
          <cell r="F315">
            <v>-60.6</v>
          </cell>
          <cell r="G315">
            <v>-53</v>
          </cell>
          <cell r="H315">
            <v>-58.7</v>
          </cell>
          <cell r="I315">
            <v>-52.9</v>
          </cell>
          <cell r="J315">
            <v>-37.799999999999997</v>
          </cell>
          <cell r="K315">
            <v>-60.6</v>
          </cell>
          <cell r="L315">
            <v>-57.4</v>
          </cell>
          <cell r="M315">
            <v>-53.7</v>
          </cell>
        </row>
        <row r="316">
          <cell r="C316" t="str">
            <v>220kV 273 Bình Long 2 - 272 Đắk Nông</v>
          </cell>
          <cell r="D316">
            <v>273</v>
          </cell>
          <cell r="E316">
            <v>45.7</v>
          </cell>
          <cell r="F316">
            <v>61.8</v>
          </cell>
          <cell r="G316">
            <v>45.7</v>
          </cell>
          <cell r="H316">
            <v>53.6</v>
          </cell>
          <cell r="I316">
            <v>51.3</v>
          </cell>
          <cell r="J316">
            <v>59.5</v>
          </cell>
          <cell r="K316">
            <v>52.3</v>
          </cell>
          <cell r="L316">
            <v>51.3</v>
          </cell>
          <cell r="M316">
            <v>61.8</v>
          </cell>
        </row>
        <row r="317">
          <cell r="C317" t="str">
            <v>220kV 274 Bình Long 2 - 271 Đắk Nông</v>
          </cell>
          <cell r="D317">
            <v>274</v>
          </cell>
          <cell r="E317">
            <v>45.6</v>
          </cell>
          <cell r="F317">
            <v>67.900000000000006</v>
          </cell>
          <cell r="G317">
            <v>45.6</v>
          </cell>
          <cell r="H317">
            <v>53.1</v>
          </cell>
          <cell r="I317">
            <v>51.4</v>
          </cell>
          <cell r="J317">
            <v>67.900000000000006</v>
          </cell>
          <cell r="K317">
            <v>51.8</v>
          </cell>
          <cell r="L317">
            <v>50.2</v>
          </cell>
          <cell r="M317">
            <v>61.9</v>
          </cell>
        </row>
        <row r="318">
          <cell r="C318" t="str">
            <v>220kV 275 Bình Long 2 - 273 Bến Cát 2</v>
          </cell>
          <cell r="D318">
            <v>275</v>
          </cell>
          <cell r="E318">
            <v>-17.5</v>
          </cell>
          <cell r="F318">
            <v>-32.6</v>
          </cell>
          <cell r="G318">
            <v>-20.399999999999999</v>
          </cell>
          <cell r="H318">
            <v>-17.5</v>
          </cell>
          <cell r="I318">
            <v>-29.6</v>
          </cell>
          <cell r="J318">
            <v>-32.6</v>
          </cell>
          <cell r="K318">
            <v>-24.9</v>
          </cell>
          <cell r="L318">
            <v>-28.2</v>
          </cell>
          <cell r="M318">
            <v>-27.3</v>
          </cell>
        </row>
        <row r="319">
          <cell r="C319" t="str">
            <v>220kV 276 Bình Long 2 - 274 Bến Cát 2</v>
          </cell>
          <cell r="D319">
            <v>276</v>
          </cell>
          <cell r="E319">
            <v>-17.399999999999999</v>
          </cell>
          <cell r="F319">
            <v>-33.200000000000003</v>
          </cell>
          <cell r="G319">
            <v>-20.6</v>
          </cell>
          <cell r="H319">
            <v>-17.399999999999999</v>
          </cell>
          <cell r="I319">
            <v>-29.7</v>
          </cell>
          <cell r="J319">
            <v>-33.200000000000003</v>
          </cell>
          <cell r="K319">
            <v>-25</v>
          </cell>
          <cell r="L319">
            <v>-28.6</v>
          </cell>
          <cell r="M319">
            <v>-27.4</v>
          </cell>
        </row>
        <row r="320">
          <cell r="C320" t="str">
            <v>Bình Minh MBA T1 (phía 110kV)</v>
          </cell>
          <cell r="D320">
            <v>131</v>
          </cell>
          <cell r="E320">
            <v>-1.2</v>
          </cell>
          <cell r="F320">
            <v>2.2999999999999998</v>
          </cell>
          <cell r="G320">
            <v>1.8</v>
          </cell>
          <cell r="H320">
            <v>1.7</v>
          </cell>
          <cell r="I320">
            <v>1.2</v>
          </cell>
          <cell r="J320">
            <v>-1.2</v>
          </cell>
          <cell r="K320">
            <v>2.2999999999999998</v>
          </cell>
          <cell r="L320">
            <v>-1.9</v>
          </cell>
          <cell r="M320">
            <v>1.6</v>
          </cell>
        </row>
        <row r="321">
          <cell r="C321" t="str">
            <v>Bình Minh MBA T2 (phía 110kV)</v>
          </cell>
          <cell r="D321">
            <v>132</v>
          </cell>
          <cell r="E321">
            <v>1</v>
          </cell>
          <cell r="F321">
            <v>2</v>
          </cell>
          <cell r="G321">
            <v>1.2</v>
          </cell>
          <cell r="H321">
            <v>1</v>
          </cell>
          <cell r="I321">
            <v>1.5</v>
          </cell>
          <cell r="J321">
            <v>1</v>
          </cell>
          <cell r="K321">
            <v>1.3</v>
          </cell>
          <cell r="L321">
            <v>2</v>
          </cell>
          <cell r="M321">
            <v>1.4</v>
          </cell>
        </row>
        <row r="322">
          <cell r="C322" t="str">
            <v>110kV 171 Bình Minh - 174 Sông Hậu</v>
          </cell>
          <cell r="D322">
            <v>171</v>
          </cell>
          <cell r="E322">
            <v>2.4</v>
          </cell>
          <cell r="F322">
            <v>4.2</v>
          </cell>
          <cell r="G322">
            <v>2.4</v>
          </cell>
          <cell r="H322">
            <v>2.7</v>
          </cell>
          <cell r="I322">
            <v>2.8</v>
          </cell>
          <cell r="J322">
            <v>3.4</v>
          </cell>
          <cell r="K322">
            <v>4.2</v>
          </cell>
          <cell r="L322">
            <v>3.2</v>
          </cell>
          <cell r="M322">
            <v>2.4</v>
          </cell>
        </row>
        <row r="323">
          <cell r="C323" t="str">
            <v>110kV 172 Bình Minh - 171 Cầu Kè</v>
          </cell>
          <cell r="D323">
            <v>172</v>
          </cell>
          <cell r="E323">
            <v>-1.5</v>
          </cell>
          <cell r="F323">
            <v>-1.6</v>
          </cell>
          <cell r="G323">
            <v>-1.5</v>
          </cell>
          <cell r="H323">
            <v>-1.5</v>
          </cell>
          <cell r="I323">
            <v>-1.5</v>
          </cell>
          <cell r="J323">
            <v>-1.5</v>
          </cell>
          <cell r="K323">
            <v>-1.6</v>
          </cell>
          <cell r="L323">
            <v>-1.5</v>
          </cell>
          <cell r="M323">
            <v>-1.5</v>
          </cell>
        </row>
        <row r="324">
          <cell r="C324" t="str">
            <v>Bình Minh MBA T1 (phía 22kV)</v>
          </cell>
          <cell r="D324">
            <v>431</v>
          </cell>
          <cell r="E324">
            <v>2.9</v>
          </cell>
          <cell r="F324">
            <v>3.2</v>
          </cell>
          <cell r="G324">
            <v>2.9</v>
          </cell>
          <cell r="H324">
            <v>3.2</v>
          </cell>
          <cell r="I324">
            <v>3.1</v>
          </cell>
          <cell r="J324">
            <v>3.1</v>
          </cell>
          <cell r="K324">
            <v>3.2</v>
          </cell>
          <cell r="L324">
            <v>3.1</v>
          </cell>
          <cell r="M324">
            <v>3.1</v>
          </cell>
        </row>
        <row r="325">
          <cell r="C325" t="str">
            <v>Bình Minh MBA T2 (phía 22kV)</v>
          </cell>
          <cell r="D325">
            <v>432</v>
          </cell>
          <cell r="E325">
            <v>0.8</v>
          </cell>
          <cell r="F325">
            <v>-1.4</v>
          </cell>
          <cell r="G325">
            <v>0.8</v>
          </cell>
          <cell r="H325">
            <v>1</v>
          </cell>
          <cell r="I325">
            <v>-1.1000000000000001</v>
          </cell>
          <cell r="J325">
            <v>0.9</v>
          </cell>
          <cell r="K325">
            <v>0.8</v>
          </cell>
          <cell r="L325">
            <v>-1.4</v>
          </cell>
          <cell r="M325">
            <v>1.2</v>
          </cell>
        </row>
        <row r="326">
          <cell r="C326" t="str">
            <v>Bình Phú MBA T1 (phía 110kV)</v>
          </cell>
          <cell r="D326">
            <v>131</v>
          </cell>
          <cell r="E326">
            <v>5.5</v>
          </cell>
          <cell r="F326">
            <v>11.6</v>
          </cell>
          <cell r="G326">
            <v>11.4</v>
          </cell>
          <cell r="H326">
            <v>11.5</v>
          </cell>
          <cell r="I326">
            <v>8.5</v>
          </cell>
          <cell r="J326">
            <v>5.5</v>
          </cell>
          <cell r="K326">
            <v>8.6</v>
          </cell>
          <cell r="L326">
            <v>11.6</v>
          </cell>
          <cell r="M326">
            <v>8.6999999999999993</v>
          </cell>
        </row>
        <row r="327">
          <cell r="C327" t="str">
            <v>Bình Phú MBA T2 (phía 110kV)</v>
          </cell>
          <cell r="D327">
            <v>132</v>
          </cell>
          <cell r="E327">
            <v>3.2</v>
          </cell>
          <cell r="F327">
            <v>5.9</v>
          </cell>
          <cell r="G327">
            <v>5.9</v>
          </cell>
          <cell r="H327">
            <v>-5.6</v>
          </cell>
          <cell r="I327">
            <v>3.2</v>
          </cell>
          <cell r="J327">
            <v>3.2</v>
          </cell>
          <cell r="K327">
            <v>3.2</v>
          </cell>
          <cell r="L327">
            <v>3.2</v>
          </cell>
          <cell r="M327">
            <v>3.2</v>
          </cell>
        </row>
        <row r="328">
          <cell r="C328" t="str">
            <v>110kV 171 Bình Phú - 172 Phú Định</v>
          </cell>
          <cell r="D328">
            <v>171</v>
          </cell>
          <cell r="E328">
            <v>-5.3</v>
          </cell>
          <cell r="F328">
            <v>-8.4</v>
          </cell>
          <cell r="G328">
            <v>-6.2</v>
          </cell>
          <cell r="H328">
            <v>-8.4</v>
          </cell>
          <cell r="I328">
            <v>-8.4</v>
          </cell>
          <cell r="J328">
            <v>-5.3</v>
          </cell>
          <cell r="K328">
            <v>-5.4</v>
          </cell>
          <cell r="L328">
            <v>-8.4</v>
          </cell>
          <cell r="M328">
            <v>-5.4</v>
          </cell>
        </row>
        <row r="329">
          <cell r="C329" t="str">
            <v>110kV 172 Bình Phú - 174 Phú Lâm</v>
          </cell>
          <cell r="D329">
            <v>172</v>
          </cell>
          <cell r="E329">
            <v>-5.2</v>
          </cell>
          <cell r="F329">
            <v>-8.4</v>
          </cell>
          <cell r="G329">
            <v>-6.2</v>
          </cell>
          <cell r="H329">
            <v>-8.1999999999999993</v>
          </cell>
          <cell r="I329">
            <v>-8.1999999999999993</v>
          </cell>
          <cell r="J329">
            <v>-5.2</v>
          </cell>
          <cell r="K329">
            <v>-8.4</v>
          </cell>
          <cell r="L329">
            <v>-8.4</v>
          </cell>
          <cell r="M329">
            <v>-8.3000000000000007</v>
          </cell>
        </row>
        <row r="330">
          <cell r="C330" t="str">
            <v>Bình Phú MBA T1 (phía 22kV)</v>
          </cell>
          <cell r="D330">
            <v>431</v>
          </cell>
          <cell r="E330">
            <v>-2.1</v>
          </cell>
          <cell r="F330">
            <v>-7.5</v>
          </cell>
          <cell r="G330">
            <v>-7.5</v>
          </cell>
          <cell r="H330">
            <v>-7</v>
          </cell>
          <cell r="I330">
            <v>-7.1</v>
          </cell>
          <cell r="J330">
            <v>-2.1</v>
          </cell>
          <cell r="K330">
            <v>-7.2</v>
          </cell>
          <cell r="L330">
            <v>-7.2</v>
          </cell>
          <cell r="M330">
            <v>-7.2</v>
          </cell>
        </row>
        <row r="331">
          <cell r="C331" t="str">
            <v>Bình Phú MBA T2 (phía 22kV)</v>
          </cell>
          <cell r="D331">
            <v>432</v>
          </cell>
          <cell r="E331">
            <v>0.9</v>
          </cell>
          <cell r="F331">
            <v>6.1</v>
          </cell>
          <cell r="G331">
            <v>-5</v>
          </cell>
          <cell r="H331">
            <v>6.1</v>
          </cell>
          <cell r="I331">
            <v>-3.3</v>
          </cell>
          <cell r="J331">
            <v>0.9</v>
          </cell>
          <cell r="K331">
            <v>-3.6</v>
          </cell>
          <cell r="L331">
            <v>-4.2</v>
          </cell>
          <cell r="M331">
            <v>-4</v>
          </cell>
        </row>
        <row r="332">
          <cell r="C332" t="str">
            <v>Bình Sơn MBA T1 (phía 110kV)</v>
          </cell>
          <cell r="D332">
            <v>131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</row>
        <row r="333">
          <cell r="C333" t="str">
            <v>Bình Sơn MBA T2 (phía 110kV)</v>
          </cell>
          <cell r="D333">
            <v>132</v>
          </cell>
          <cell r="E333">
            <v>-3.3</v>
          </cell>
          <cell r="F333">
            <v>9.3000000000000007</v>
          </cell>
          <cell r="G333">
            <v>9</v>
          </cell>
          <cell r="H333">
            <v>9.3000000000000007</v>
          </cell>
          <cell r="I333">
            <v>7.9</v>
          </cell>
          <cell r="J333">
            <v>-3.3</v>
          </cell>
          <cell r="K333">
            <v>8.3000000000000007</v>
          </cell>
          <cell r="L333">
            <v>9.1</v>
          </cell>
          <cell r="M333">
            <v>6.4</v>
          </cell>
        </row>
        <row r="334">
          <cell r="C334" t="str">
            <v>110kV 171 Bình Sơn - 171 Gò Dầu</v>
          </cell>
          <cell r="D334">
            <v>171</v>
          </cell>
          <cell r="E334">
            <v>-12.6</v>
          </cell>
          <cell r="F334">
            <v>-29</v>
          </cell>
          <cell r="G334">
            <v>-29</v>
          </cell>
          <cell r="H334">
            <v>-25.2</v>
          </cell>
          <cell r="I334">
            <v>-21.3</v>
          </cell>
          <cell r="J334">
            <v>-12.6</v>
          </cell>
          <cell r="K334">
            <v>-21.9</v>
          </cell>
          <cell r="L334">
            <v>-25.4</v>
          </cell>
          <cell r="M334">
            <v>-17.399999999999999</v>
          </cell>
        </row>
        <row r="335">
          <cell r="C335" t="str">
            <v>110kV 172 Bình Sơn - 182 Long Thành</v>
          </cell>
          <cell r="D335">
            <v>172</v>
          </cell>
          <cell r="E335">
            <v>13.1</v>
          </cell>
          <cell r="F335">
            <v>20.7</v>
          </cell>
          <cell r="G335">
            <v>20.7</v>
          </cell>
          <cell r="H335">
            <v>16.7</v>
          </cell>
          <cell r="I335">
            <v>14.5</v>
          </cell>
          <cell r="J335">
            <v>13.2</v>
          </cell>
          <cell r="K335">
            <v>14.4</v>
          </cell>
          <cell r="L335">
            <v>17.399999999999999</v>
          </cell>
          <cell r="M335">
            <v>13.1</v>
          </cell>
        </row>
        <row r="336">
          <cell r="C336" t="str">
            <v>Bình Sơn MBA T1 (phía 22kV)</v>
          </cell>
          <cell r="D336">
            <v>431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</row>
        <row r="337">
          <cell r="C337" t="str">
            <v>Bình Sơn MBA T2 (phía 22kV)</v>
          </cell>
          <cell r="D337">
            <v>432</v>
          </cell>
          <cell r="E337">
            <v>-3.2</v>
          </cell>
          <cell r="F337">
            <v>-4.9000000000000004</v>
          </cell>
          <cell r="G337">
            <v>-4.9000000000000004</v>
          </cell>
          <cell r="H337">
            <v>-4.9000000000000004</v>
          </cell>
          <cell r="I337">
            <v>-3.2</v>
          </cell>
          <cell r="J337">
            <v>4.7</v>
          </cell>
          <cell r="K337">
            <v>-4.9000000000000004</v>
          </cell>
          <cell r="L337">
            <v>-4.9000000000000004</v>
          </cell>
          <cell r="M337">
            <v>-4.4000000000000004</v>
          </cell>
        </row>
        <row r="338">
          <cell r="C338" t="str">
            <v>Bình Tân MBA AT1 (phía 110kV)</v>
          </cell>
          <cell r="D338">
            <v>131</v>
          </cell>
          <cell r="E338">
            <v>16.5</v>
          </cell>
          <cell r="F338">
            <v>-39.299999999999997</v>
          </cell>
          <cell r="G338">
            <v>-39.299999999999997</v>
          </cell>
          <cell r="H338">
            <v>-36.5</v>
          </cell>
          <cell r="I338">
            <v>-35.1</v>
          </cell>
          <cell r="J338">
            <v>16.5</v>
          </cell>
          <cell r="K338">
            <v>-34.799999999999997</v>
          </cell>
          <cell r="L338">
            <v>-34.9</v>
          </cell>
          <cell r="M338">
            <v>-33.799999999999997</v>
          </cell>
        </row>
        <row r="339">
          <cell r="C339" t="str">
            <v>Bình Tân MBA AT2 (phía 110kV)</v>
          </cell>
          <cell r="D339">
            <v>132</v>
          </cell>
          <cell r="E339">
            <v>16.399999999999999</v>
          </cell>
          <cell r="F339">
            <v>-39.5</v>
          </cell>
          <cell r="G339">
            <v>-39.5</v>
          </cell>
          <cell r="H339">
            <v>-37.299999999999997</v>
          </cell>
          <cell r="I339">
            <v>-36.1</v>
          </cell>
          <cell r="J339">
            <v>16.399999999999999</v>
          </cell>
          <cell r="K339">
            <v>-34.6</v>
          </cell>
          <cell r="L339">
            <v>-34.9</v>
          </cell>
          <cell r="M339">
            <v>-34</v>
          </cell>
        </row>
        <row r="340">
          <cell r="C340" t="str">
            <v>Bình Tân MBA T4 (phía 110kV)</v>
          </cell>
          <cell r="D340">
            <v>134</v>
          </cell>
          <cell r="E340">
            <v>-4</v>
          </cell>
          <cell r="F340">
            <v>12.5</v>
          </cell>
          <cell r="G340">
            <v>12.4</v>
          </cell>
          <cell r="H340">
            <v>12.5</v>
          </cell>
          <cell r="I340">
            <v>11.3</v>
          </cell>
          <cell r="J340">
            <v>-4</v>
          </cell>
          <cell r="K340">
            <v>10.199999999999999</v>
          </cell>
          <cell r="L340">
            <v>10.7</v>
          </cell>
          <cell r="M340">
            <v>12</v>
          </cell>
        </row>
        <row r="341">
          <cell r="C341" t="str">
            <v>Bình Tân MBA T5 (phía 110kV)</v>
          </cell>
          <cell r="D341">
            <v>135</v>
          </cell>
          <cell r="E341">
            <v>3.9</v>
          </cell>
          <cell r="F341">
            <v>12.1</v>
          </cell>
          <cell r="G341">
            <v>11.9</v>
          </cell>
          <cell r="H341">
            <v>11.5</v>
          </cell>
          <cell r="I341">
            <v>12.1</v>
          </cell>
          <cell r="J341">
            <v>3.9</v>
          </cell>
          <cell r="K341">
            <v>9.5</v>
          </cell>
          <cell r="L341">
            <v>9.9</v>
          </cell>
          <cell r="M341">
            <v>9.8000000000000007</v>
          </cell>
        </row>
        <row r="342">
          <cell r="C342" t="str">
            <v>Bình Tân MBA T6 (phía 110kV)</v>
          </cell>
          <cell r="D342">
            <v>136</v>
          </cell>
          <cell r="E342">
            <v>1.4</v>
          </cell>
          <cell r="F342">
            <v>-3.7</v>
          </cell>
          <cell r="G342">
            <v>-3</v>
          </cell>
          <cell r="H342">
            <v>-3.1</v>
          </cell>
          <cell r="I342">
            <v>-3.2</v>
          </cell>
          <cell r="J342">
            <v>1.4</v>
          </cell>
          <cell r="K342">
            <v>-3.6</v>
          </cell>
          <cell r="L342">
            <v>-3.6</v>
          </cell>
          <cell r="M342">
            <v>-3.7</v>
          </cell>
        </row>
        <row r="343">
          <cell r="C343" t="str">
            <v>110kV 171 Bình Tân - 172 Bà Quẹo</v>
          </cell>
          <cell r="D343">
            <v>171</v>
          </cell>
          <cell r="E343">
            <v>-14.4</v>
          </cell>
          <cell r="F343">
            <v>-17.100000000000001</v>
          </cell>
          <cell r="G343">
            <v>-14.5</v>
          </cell>
          <cell r="H343">
            <v>-14.4</v>
          </cell>
          <cell r="I343">
            <v>-15.2</v>
          </cell>
          <cell r="J343">
            <v>-15.7</v>
          </cell>
          <cell r="K343">
            <v>-17.100000000000001</v>
          </cell>
          <cell r="L343">
            <v>-15.9</v>
          </cell>
          <cell r="M343">
            <v>-14.7</v>
          </cell>
        </row>
        <row r="344">
          <cell r="C344" t="str">
            <v>110kV 172 Bình Tân - 172 Bình Trị Đông</v>
          </cell>
          <cell r="D344">
            <v>172</v>
          </cell>
          <cell r="E344">
            <v>9.3000000000000007</v>
          </cell>
          <cell r="F344">
            <v>28.9</v>
          </cell>
          <cell r="G344">
            <v>28.9</v>
          </cell>
          <cell r="H344">
            <v>27.2</v>
          </cell>
          <cell r="I344">
            <v>26.7</v>
          </cell>
          <cell r="J344">
            <v>9.3000000000000007</v>
          </cell>
          <cell r="K344">
            <v>28.2</v>
          </cell>
          <cell r="L344">
            <v>28.3</v>
          </cell>
          <cell r="M344">
            <v>27.5</v>
          </cell>
        </row>
        <row r="345">
          <cell r="C345" t="str">
            <v>110kV 175 Bình Tân - 172 Vĩnh Lộc</v>
          </cell>
          <cell r="D345">
            <v>175</v>
          </cell>
          <cell r="E345">
            <v>3</v>
          </cell>
          <cell r="F345">
            <v>11.6</v>
          </cell>
          <cell r="G345">
            <v>11.6</v>
          </cell>
          <cell r="H345">
            <v>9.6999999999999993</v>
          </cell>
          <cell r="I345">
            <v>9.1</v>
          </cell>
          <cell r="J345">
            <v>3</v>
          </cell>
          <cell r="K345">
            <v>8.6999999999999993</v>
          </cell>
          <cell r="L345">
            <v>8.5</v>
          </cell>
          <cell r="M345">
            <v>9.3000000000000007</v>
          </cell>
        </row>
        <row r="346">
          <cell r="C346" t="str">
            <v>110kV 176 Bình Tân - 172 Tân Bình 3</v>
          </cell>
          <cell r="D346">
            <v>176</v>
          </cell>
          <cell r="E346">
            <v>-10.7</v>
          </cell>
          <cell r="F346">
            <v>-12.1</v>
          </cell>
          <cell r="G346">
            <v>-11.3</v>
          </cell>
          <cell r="H346">
            <v>-10.7</v>
          </cell>
          <cell r="I346">
            <v>-10.9</v>
          </cell>
          <cell r="J346">
            <v>-10.8</v>
          </cell>
          <cell r="K346">
            <v>-11.7</v>
          </cell>
          <cell r="L346">
            <v>-12.1</v>
          </cell>
          <cell r="M346">
            <v>-11</v>
          </cell>
        </row>
        <row r="347">
          <cell r="C347" t="str">
            <v>Bình Tân MBA AT1 (phía 220kV)</v>
          </cell>
          <cell r="D347">
            <v>231</v>
          </cell>
          <cell r="E347">
            <v>13.3</v>
          </cell>
          <cell r="F347">
            <v>53.2</v>
          </cell>
          <cell r="G347">
            <v>53.2</v>
          </cell>
          <cell r="H347">
            <v>50.9</v>
          </cell>
          <cell r="I347">
            <v>48.8</v>
          </cell>
          <cell r="J347">
            <v>13.3</v>
          </cell>
          <cell r="K347">
            <v>49.3</v>
          </cell>
          <cell r="L347">
            <v>46.1</v>
          </cell>
          <cell r="M347">
            <v>46.4</v>
          </cell>
        </row>
        <row r="348">
          <cell r="C348" t="str">
            <v>Bình Tân MBA AT2 (phía 220kV)</v>
          </cell>
          <cell r="D348">
            <v>232</v>
          </cell>
          <cell r="E348">
            <v>12.2</v>
          </cell>
          <cell r="F348">
            <v>56.7</v>
          </cell>
          <cell r="G348">
            <v>56.7</v>
          </cell>
          <cell r="H348">
            <v>53.5</v>
          </cell>
          <cell r="I348">
            <v>52.8</v>
          </cell>
          <cell r="J348">
            <v>12.2</v>
          </cell>
          <cell r="K348">
            <v>50</v>
          </cell>
          <cell r="L348">
            <v>48.5</v>
          </cell>
          <cell r="M348">
            <v>48.3</v>
          </cell>
        </row>
        <row r="349">
          <cell r="C349" t="str">
            <v>220kV 273 Bình Tân - 282 Cầu Bông</v>
          </cell>
          <cell r="D349">
            <v>273</v>
          </cell>
          <cell r="E349">
            <v>27.9</v>
          </cell>
          <cell r="F349">
            <v>38.299999999999997</v>
          </cell>
          <cell r="G349">
            <v>-29</v>
          </cell>
          <cell r="H349">
            <v>-32.6</v>
          </cell>
          <cell r="I349">
            <v>29.5</v>
          </cell>
          <cell r="J349">
            <v>27.9</v>
          </cell>
          <cell r="K349">
            <v>32.1</v>
          </cell>
          <cell r="L349">
            <v>37.6</v>
          </cell>
          <cell r="M349">
            <v>38.299999999999997</v>
          </cell>
        </row>
        <row r="350">
          <cell r="C350" t="str">
            <v>220kV 274 Bình Tân - 281 Cầu Bông</v>
          </cell>
          <cell r="D350">
            <v>274</v>
          </cell>
          <cell r="E350">
            <v>-28.7</v>
          </cell>
          <cell r="F350">
            <v>42.4</v>
          </cell>
          <cell r="G350">
            <v>-28.7</v>
          </cell>
          <cell r="H350">
            <v>-32.9</v>
          </cell>
          <cell r="I350">
            <v>29.4</v>
          </cell>
          <cell r="J350">
            <v>42.4</v>
          </cell>
          <cell r="K350">
            <v>37.6</v>
          </cell>
          <cell r="L350">
            <v>35.799999999999997</v>
          </cell>
          <cell r="M350">
            <v>38.6</v>
          </cell>
        </row>
        <row r="351">
          <cell r="C351" t="str">
            <v>220kV 275 Bình Tân - 272 Phú Lâm</v>
          </cell>
          <cell r="D351">
            <v>275</v>
          </cell>
          <cell r="E351">
            <v>-36</v>
          </cell>
          <cell r="F351">
            <v>-62.6</v>
          </cell>
          <cell r="G351">
            <v>-36.5</v>
          </cell>
          <cell r="H351">
            <v>-47</v>
          </cell>
          <cell r="I351">
            <v>-40.1</v>
          </cell>
          <cell r="J351">
            <v>-36</v>
          </cell>
          <cell r="K351">
            <v>-39.5</v>
          </cell>
          <cell r="L351">
            <v>-62.6</v>
          </cell>
          <cell r="M351">
            <v>-39.299999999999997</v>
          </cell>
        </row>
        <row r="352">
          <cell r="C352" t="str">
            <v>220kV 276 Bình Tân - 271 Phú Lâm</v>
          </cell>
          <cell r="D352">
            <v>276</v>
          </cell>
          <cell r="E352">
            <v>-20.2</v>
          </cell>
          <cell r="F352">
            <v>-99.9</v>
          </cell>
          <cell r="G352">
            <v>-52.4</v>
          </cell>
          <cell r="H352">
            <v>-58.8</v>
          </cell>
          <cell r="I352">
            <v>-68.8</v>
          </cell>
          <cell r="J352">
            <v>-20.2</v>
          </cell>
          <cell r="K352">
            <v>-61</v>
          </cell>
          <cell r="L352">
            <v>-99.9</v>
          </cell>
          <cell r="M352">
            <v>-64.900000000000006</v>
          </cell>
        </row>
        <row r="353">
          <cell r="C353" t="str">
            <v>Bình Tân MBA T4 (phía 22kV)</v>
          </cell>
          <cell r="D353">
            <v>434</v>
          </cell>
          <cell r="E353">
            <v>4.8</v>
          </cell>
          <cell r="F353">
            <v>-8.4</v>
          </cell>
          <cell r="G353">
            <v>-8.4</v>
          </cell>
          <cell r="H353">
            <v>-7.2</v>
          </cell>
          <cell r="I353">
            <v>-7.1</v>
          </cell>
          <cell r="J353">
            <v>4.8</v>
          </cell>
          <cell r="K353">
            <v>-7.3</v>
          </cell>
          <cell r="L353">
            <v>-7.2</v>
          </cell>
          <cell r="M353">
            <v>-6.7</v>
          </cell>
        </row>
        <row r="354">
          <cell r="C354" t="str">
            <v>Bình Tân MBA T5 (phía 22kV)</v>
          </cell>
          <cell r="D354">
            <v>435</v>
          </cell>
          <cell r="E354">
            <v>3.2</v>
          </cell>
          <cell r="F354">
            <v>-8.5</v>
          </cell>
          <cell r="G354">
            <v>-7.3</v>
          </cell>
          <cell r="H354">
            <v>-6</v>
          </cell>
          <cell r="I354">
            <v>-8.5</v>
          </cell>
          <cell r="J354">
            <v>3.2</v>
          </cell>
          <cell r="K354">
            <v>-7.4</v>
          </cell>
          <cell r="L354">
            <v>-6.4</v>
          </cell>
          <cell r="M354">
            <v>-6.1</v>
          </cell>
        </row>
        <row r="355">
          <cell r="C355" t="str">
            <v>Bình Tân MBA T6 (phía 22kV)</v>
          </cell>
          <cell r="D355">
            <v>436</v>
          </cell>
          <cell r="E355">
            <v>2.5</v>
          </cell>
          <cell r="F355">
            <v>3.2</v>
          </cell>
          <cell r="G355">
            <v>2.9</v>
          </cell>
          <cell r="H355">
            <v>3.1</v>
          </cell>
          <cell r="I355">
            <v>2.5</v>
          </cell>
          <cell r="J355">
            <v>-2.7</v>
          </cell>
          <cell r="K355">
            <v>3.2</v>
          </cell>
          <cell r="L355">
            <v>2.9</v>
          </cell>
          <cell r="M355">
            <v>2.8</v>
          </cell>
        </row>
        <row r="356">
          <cell r="C356" t="str">
            <v>Bình Thạnh MBA T1 (phía 110kV)</v>
          </cell>
          <cell r="D356">
            <v>131</v>
          </cell>
          <cell r="E356">
            <v>2.4</v>
          </cell>
          <cell r="F356">
            <v>3.4</v>
          </cell>
          <cell r="G356">
            <v>2.5</v>
          </cell>
          <cell r="H356">
            <v>3.4</v>
          </cell>
          <cell r="I356">
            <v>2.7</v>
          </cell>
          <cell r="J356">
            <v>2.8</v>
          </cell>
          <cell r="K356">
            <v>2.4</v>
          </cell>
          <cell r="L356">
            <v>2.4</v>
          </cell>
          <cell r="M356">
            <v>2.6</v>
          </cell>
        </row>
        <row r="357">
          <cell r="C357" t="str">
            <v>Bình Thạnh MBA T1 (phía 22kV)</v>
          </cell>
          <cell r="D357">
            <v>431</v>
          </cell>
          <cell r="E357">
            <v>2.6</v>
          </cell>
          <cell r="F357">
            <v>2.9</v>
          </cell>
          <cell r="G357">
            <v>2.8</v>
          </cell>
          <cell r="H357">
            <v>2.9</v>
          </cell>
          <cell r="I357">
            <v>2.6</v>
          </cell>
          <cell r="J357">
            <v>2.8</v>
          </cell>
          <cell r="K357">
            <v>2.8</v>
          </cell>
          <cell r="L357">
            <v>2.8</v>
          </cell>
          <cell r="M357">
            <v>2.8</v>
          </cell>
        </row>
        <row r="358">
          <cell r="C358" t="str">
            <v>Bình Thủy MBA T1 (phía 110kV)</v>
          </cell>
          <cell r="D358">
            <v>131</v>
          </cell>
          <cell r="E358">
            <v>4</v>
          </cell>
          <cell r="F358">
            <v>6.8</v>
          </cell>
          <cell r="G358">
            <v>4.8</v>
          </cell>
          <cell r="H358">
            <v>5.7</v>
          </cell>
          <cell r="I358">
            <v>4</v>
          </cell>
          <cell r="J358">
            <v>-5.3</v>
          </cell>
          <cell r="K358">
            <v>6</v>
          </cell>
          <cell r="L358">
            <v>6</v>
          </cell>
          <cell r="M358">
            <v>6.8</v>
          </cell>
        </row>
        <row r="359">
          <cell r="C359" t="str">
            <v>Bình Thủy MBA T1 (phía 22kV)</v>
          </cell>
          <cell r="D359">
            <v>431</v>
          </cell>
          <cell r="E359">
            <v>4.3</v>
          </cell>
          <cell r="F359">
            <v>6.2</v>
          </cell>
          <cell r="G359">
            <v>4.5999999999999996</v>
          </cell>
          <cell r="H359">
            <v>4.5</v>
          </cell>
          <cell r="I359">
            <v>5.2</v>
          </cell>
          <cell r="J359">
            <v>6.2</v>
          </cell>
          <cell r="K359">
            <v>4.3</v>
          </cell>
          <cell r="L359">
            <v>4.7</v>
          </cell>
          <cell r="M359">
            <v>4.9000000000000004</v>
          </cell>
        </row>
        <row r="360">
          <cell r="C360" t="str">
            <v>Bình Trị Đông MBA T1 (phía 110kV)</v>
          </cell>
          <cell r="D360">
            <v>131</v>
          </cell>
          <cell r="E360">
            <v>-1.5</v>
          </cell>
          <cell r="F360">
            <v>10.9</v>
          </cell>
          <cell r="G360">
            <v>10.9</v>
          </cell>
          <cell r="H360">
            <v>9.6</v>
          </cell>
          <cell r="I360">
            <v>9.3000000000000007</v>
          </cell>
          <cell r="J360">
            <v>-1.5</v>
          </cell>
          <cell r="K360">
            <v>9.9</v>
          </cell>
          <cell r="L360">
            <v>10.7</v>
          </cell>
          <cell r="M360">
            <v>10.199999999999999</v>
          </cell>
        </row>
        <row r="361">
          <cell r="C361" t="str">
            <v>Bình Trị Đông MBA T2 (phía 110kV)</v>
          </cell>
          <cell r="D361">
            <v>132</v>
          </cell>
          <cell r="E361">
            <v>7</v>
          </cell>
          <cell r="F361">
            <v>15.3</v>
          </cell>
          <cell r="G361">
            <v>15</v>
          </cell>
          <cell r="H361">
            <v>15</v>
          </cell>
          <cell r="I361">
            <v>14.8</v>
          </cell>
          <cell r="J361">
            <v>7</v>
          </cell>
          <cell r="K361">
            <v>15.3</v>
          </cell>
          <cell r="L361">
            <v>15.1</v>
          </cell>
          <cell r="M361">
            <v>15.1</v>
          </cell>
        </row>
        <row r="362">
          <cell r="C362" t="str">
            <v>110kV 171 Bình Trị Đông - 177 Phú Lâm - 172 Pou Yuen</v>
          </cell>
          <cell r="D362">
            <v>171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C363" t="str">
            <v>110kV 172 Bình Trị Đông - 172 Bình Tân</v>
          </cell>
          <cell r="D363">
            <v>172</v>
          </cell>
          <cell r="E363">
            <v>-5.2</v>
          </cell>
          <cell r="F363">
            <v>-24.3</v>
          </cell>
          <cell r="G363">
            <v>-24.3</v>
          </cell>
          <cell r="H363">
            <v>-23</v>
          </cell>
          <cell r="I363">
            <v>-22.4</v>
          </cell>
          <cell r="J363">
            <v>-5.2</v>
          </cell>
          <cell r="K363">
            <v>-23.7</v>
          </cell>
          <cell r="L363">
            <v>-24</v>
          </cell>
          <cell r="M363">
            <v>-23.4</v>
          </cell>
        </row>
        <row r="364">
          <cell r="C364" t="str">
            <v>Bình Trị Đông MBA T1 (phía 22kV)</v>
          </cell>
          <cell r="D364">
            <v>431</v>
          </cell>
          <cell r="E364">
            <v>2.4</v>
          </cell>
          <cell r="F364">
            <v>-8</v>
          </cell>
          <cell r="G364">
            <v>-8</v>
          </cell>
          <cell r="H364">
            <v>-7.5</v>
          </cell>
          <cell r="I364">
            <v>-7</v>
          </cell>
          <cell r="J364">
            <v>2.4</v>
          </cell>
          <cell r="K364">
            <v>-7.6</v>
          </cell>
          <cell r="L364">
            <v>-7.9</v>
          </cell>
          <cell r="M364">
            <v>-7.6</v>
          </cell>
        </row>
        <row r="365">
          <cell r="C365" t="str">
            <v>Bình Trị Đông MBA T2 (phía 22kV)</v>
          </cell>
          <cell r="D365">
            <v>434</v>
          </cell>
          <cell r="E365">
            <v>2.6</v>
          </cell>
          <cell r="F365">
            <v>-11</v>
          </cell>
          <cell r="G365">
            <v>-10.6</v>
          </cell>
          <cell r="H365">
            <v>-10.5</v>
          </cell>
          <cell r="I365">
            <v>-10.6</v>
          </cell>
          <cell r="J365">
            <v>2.6</v>
          </cell>
          <cell r="K365">
            <v>-11</v>
          </cell>
          <cell r="L365">
            <v>-10.9</v>
          </cell>
          <cell r="M365">
            <v>-10.6</v>
          </cell>
        </row>
        <row r="366">
          <cell r="C366" t="str">
            <v>110kV 171 Bình Triệu - 171 Thanh Đa</v>
          </cell>
          <cell r="D366">
            <v>171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C367" t="str">
            <v>110kV 172 Bình Triệu - 174 Hiệp Bình Phước</v>
          </cell>
          <cell r="D367">
            <v>172</v>
          </cell>
          <cell r="E367">
            <v>-4.8</v>
          </cell>
          <cell r="F367">
            <v>-8.5</v>
          </cell>
          <cell r="G367">
            <v>-7.2</v>
          </cell>
          <cell r="H367">
            <v>-7.7</v>
          </cell>
          <cell r="I367">
            <v>-5.0999999999999996</v>
          </cell>
          <cell r="J367">
            <v>-4.8</v>
          </cell>
          <cell r="K367">
            <v>-7.1</v>
          </cell>
          <cell r="L367">
            <v>-5.8</v>
          </cell>
          <cell r="M367">
            <v>-8.5</v>
          </cell>
        </row>
        <row r="368">
          <cell r="C368" t="str">
            <v>110kV 173 Bình Triệu - 171 Hỏa Xa</v>
          </cell>
          <cell r="D368">
            <v>173</v>
          </cell>
          <cell r="E368">
            <v>3.7</v>
          </cell>
          <cell r="F368">
            <v>6.2</v>
          </cell>
          <cell r="G368">
            <v>6.1</v>
          </cell>
          <cell r="H368">
            <v>6</v>
          </cell>
          <cell r="I368">
            <v>4.0999999999999996</v>
          </cell>
          <cell r="J368">
            <v>3.7</v>
          </cell>
          <cell r="K368">
            <v>6.2</v>
          </cell>
          <cell r="L368">
            <v>4.9000000000000004</v>
          </cell>
          <cell r="M368">
            <v>3.7</v>
          </cell>
        </row>
        <row r="369">
          <cell r="C369" t="str">
            <v>Bình Triệu MBA T1 (phía 22kV)</v>
          </cell>
          <cell r="D369">
            <v>431</v>
          </cell>
          <cell r="E369">
            <v>3</v>
          </cell>
          <cell r="F369">
            <v>3.3</v>
          </cell>
          <cell r="G369">
            <v>3.2</v>
          </cell>
          <cell r="H369">
            <v>3</v>
          </cell>
          <cell r="I369">
            <v>3.1</v>
          </cell>
          <cell r="J369">
            <v>3.2</v>
          </cell>
          <cell r="K369">
            <v>3.3</v>
          </cell>
          <cell r="L369">
            <v>3.2</v>
          </cell>
          <cell r="M369">
            <v>3</v>
          </cell>
        </row>
        <row r="370">
          <cell r="C370" t="str">
            <v>Bù Đăng MBA T1 (phía 110kV)</v>
          </cell>
          <cell r="D370">
            <v>131</v>
          </cell>
          <cell r="E370">
            <v>1.9</v>
          </cell>
          <cell r="F370">
            <v>2.5</v>
          </cell>
          <cell r="G370">
            <v>-2.2999999999999998</v>
          </cell>
          <cell r="H370">
            <v>2.4</v>
          </cell>
          <cell r="I370">
            <v>2.5</v>
          </cell>
          <cell r="J370">
            <v>2</v>
          </cell>
          <cell r="K370">
            <v>2.2999999999999998</v>
          </cell>
          <cell r="L370">
            <v>-2.2000000000000002</v>
          </cell>
          <cell r="M370">
            <v>1.9</v>
          </cell>
        </row>
        <row r="371">
          <cell r="C371" t="str">
            <v>Bù Đăng MBA T2 (phía 110kV)</v>
          </cell>
          <cell r="D371">
            <v>132</v>
          </cell>
          <cell r="E371">
            <v>-0.8</v>
          </cell>
          <cell r="F371">
            <v>-0.9</v>
          </cell>
          <cell r="G371">
            <v>-0.9</v>
          </cell>
          <cell r="H371">
            <v>-0.8</v>
          </cell>
          <cell r="I371">
            <v>-0.8</v>
          </cell>
          <cell r="J371">
            <v>-0.8</v>
          </cell>
          <cell r="K371">
            <v>-0.8</v>
          </cell>
          <cell r="L371">
            <v>-0.8</v>
          </cell>
          <cell r="M371">
            <v>-0.8</v>
          </cell>
        </row>
        <row r="372">
          <cell r="C372" t="str">
            <v>110kV 171 Bù Đăng - 174 NMĐ Thác Mơ - 171 trạm cắt Đăk Glun</v>
          </cell>
          <cell r="D372">
            <v>171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C373" t="str">
            <v>110kV 172 Bù Đăng - 173 NMĐ Đắk R'lấp</v>
          </cell>
          <cell r="D373">
            <v>172</v>
          </cell>
          <cell r="E373">
            <v>1.9</v>
          </cell>
          <cell r="F373">
            <v>3</v>
          </cell>
          <cell r="G373">
            <v>3</v>
          </cell>
          <cell r="H373">
            <v>2.8</v>
          </cell>
          <cell r="I373">
            <v>-2.1</v>
          </cell>
          <cell r="J373">
            <v>1.9</v>
          </cell>
          <cell r="K373">
            <v>2.6</v>
          </cell>
          <cell r="L373">
            <v>2.9</v>
          </cell>
          <cell r="M373">
            <v>2.2999999999999998</v>
          </cell>
        </row>
        <row r="374">
          <cell r="C374" t="str">
            <v>Bù Đăng MBA T1 (phía 22kV)</v>
          </cell>
          <cell r="D374">
            <v>431</v>
          </cell>
          <cell r="E374">
            <v>1.7</v>
          </cell>
          <cell r="F374">
            <v>2.4</v>
          </cell>
          <cell r="G374">
            <v>2.4</v>
          </cell>
          <cell r="H374">
            <v>-2.2999999999999998</v>
          </cell>
          <cell r="I374">
            <v>-2.2999999999999998</v>
          </cell>
          <cell r="J374">
            <v>-2</v>
          </cell>
          <cell r="K374">
            <v>-2.2000000000000002</v>
          </cell>
          <cell r="L374">
            <v>2.2000000000000002</v>
          </cell>
          <cell r="M374">
            <v>1.7</v>
          </cell>
        </row>
        <row r="375">
          <cell r="C375" t="str">
            <v>Bù Đăng MBA T2 (phía 22kV)</v>
          </cell>
          <cell r="D375">
            <v>432</v>
          </cell>
          <cell r="E375">
            <v>0.8</v>
          </cell>
          <cell r="F375">
            <v>0.9</v>
          </cell>
          <cell r="G375">
            <v>0.9</v>
          </cell>
          <cell r="H375">
            <v>0.9</v>
          </cell>
          <cell r="I375">
            <v>0.8</v>
          </cell>
          <cell r="J375">
            <v>0.8</v>
          </cell>
          <cell r="K375">
            <v>0.8</v>
          </cell>
          <cell r="L375">
            <v>0.9</v>
          </cell>
          <cell r="M375">
            <v>0.9</v>
          </cell>
        </row>
        <row r="376">
          <cell r="C376" t="str">
            <v>Bù Đốp MBA T2 (phía 110kV)</v>
          </cell>
          <cell r="D376">
            <v>132</v>
          </cell>
          <cell r="E376">
            <v>3.6</v>
          </cell>
          <cell r="F376">
            <v>6.1</v>
          </cell>
          <cell r="G376">
            <v>-3.8</v>
          </cell>
          <cell r="H376">
            <v>4.0999999999999996</v>
          </cell>
          <cell r="I376">
            <v>4.4000000000000004</v>
          </cell>
          <cell r="J376">
            <v>4.2</v>
          </cell>
          <cell r="K376">
            <v>6.1</v>
          </cell>
          <cell r="L376">
            <v>3.6</v>
          </cell>
          <cell r="M376">
            <v>4</v>
          </cell>
        </row>
        <row r="377">
          <cell r="C377" t="str">
            <v>110kV 171 Bù Đốp - 171 &amp; 173 NMĐ Cần Đơn</v>
          </cell>
          <cell r="D377">
            <v>171</v>
          </cell>
          <cell r="E377">
            <v>5.7</v>
          </cell>
          <cell r="F377">
            <v>9.1999999999999993</v>
          </cell>
          <cell r="G377">
            <v>9.1999999999999993</v>
          </cell>
          <cell r="H377">
            <v>9</v>
          </cell>
          <cell r="I377">
            <v>6.1</v>
          </cell>
          <cell r="J377">
            <v>6.9</v>
          </cell>
          <cell r="K377">
            <v>5.7</v>
          </cell>
          <cell r="L377">
            <v>7.7</v>
          </cell>
          <cell r="M377">
            <v>8.4</v>
          </cell>
        </row>
        <row r="378">
          <cell r="C378" t="str">
            <v>110kV 172 Bù Đốp - 173 Lộc Ninh</v>
          </cell>
          <cell r="D378">
            <v>172</v>
          </cell>
          <cell r="E378">
            <v>-6.2</v>
          </cell>
          <cell r="F378">
            <v>-8.1</v>
          </cell>
          <cell r="G378">
            <v>-7.9</v>
          </cell>
          <cell r="H378">
            <v>-8.1</v>
          </cell>
          <cell r="I378">
            <v>-6.2</v>
          </cell>
          <cell r="J378">
            <v>-7.3</v>
          </cell>
          <cell r="K378">
            <v>-7.6</v>
          </cell>
          <cell r="L378">
            <v>-7.2</v>
          </cell>
          <cell r="M378">
            <v>-6.9</v>
          </cell>
        </row>
        <row r="379">
          <cell r="C379" t="str">
            <v>Bù Đốp MBA T2 (phía 22kV)</v>
          </cell>
          <cell r="D379">
            <v>432</v>
          </cell>
          <cell r="E379">
            <v>3.2</v>
          </cell>
          <cell r="F379">
            <v>-4.9000000000000004</v>
          </cell>
          <cell r="G379">
            <v>4.4000000000000004</v>
          </cell>
          <cell r="H379">
            <v>-3.3</v>
          </cell>
          <cell r="I379">
            <v>3.6</v>
          </cell>
          <cell r="J379">
            <v>3.2</v>
          </cell>
          <cell r="K379">
            <v>-4.9000000000000004</v>
          </cell>
          <cell r="L379">
            <v>3.9</v>
          </cell>
          <cell r="M379">
            <v>4.0999999999999996</v>
          </cell>
        </row>
        <row r="380">
          <cell r="C380" t="str">
            <v>Cà Mau MBA T1 (phía 110kV)</v>
          </cell>
          <cell r="D380">
            <v>131</v>
          </cell>
          <cell r="E380">
            <v>2.4</v>
          </cell>
          <cell r="F380">
            <v>5.9</v>
          </cell>
          <cell r="G380">
            <v>4.5</v>
          </cell>
          <cell r="H380">
            <v>4.5</v>
          </cell>
          <cell r="I380">
            <v>5.9</v>
          </cell>
          <cell r="J380">
            <v>4.0999999999999996</v>
          </cell>
          <cell r="K380">
            <v>3.8</v>
          </cell>
          <cell r="L380">
            <v>3.3</v>
          </cell>
          <cell r="M380">
            <v>2.4</v>
          </cell>
        </row>
        <row r="381">
          <cell r="C381" t="str">
            <v>Cà Mau MBA T2 (phía 110kV)</v>
          </cell>
          <cell r="D381">
            <v>132</v>
          </cell>
          <cell r="E381">
            <v>3.5</v>
          </cell>
          <cell r="F381">
            <v>-7.8</v>
          </cell>
          <cell r="G381">
            <v>3.5</v>
          </cell>
          <cell r="H381">
            <v>-4.4000000000000004</v>
          </cell>
          <cell r="I381">
            <v>-5.5</v>
          </cell>
          <cell r="J381">
            <v>-7.8</v>
          </cell>
          <cell r="K381">
            <v>-4.5</v>
          </cell>
          <cell r="L381">
            <v>-4.0999999999999996</v>
          </cell>
          <cell r="M381">
            <v>-3.9</v>
          </cell>
        </row>
        <row r="382">
          <cell r="C382" t="str">
            <v>110kV 171 Cà Mau - 171 Giá Rai</v>
          </cell>
          <cell r="D382">
            <v>171</v>
          </cell>
          <cell r="E382">
            <v>1</v>
          </cell>
          <cell r="F382">
            <v>1</v>
          </cell>
          <cell r="G382">
            <v>-1</v>
          </cell>
          <cell r="H382">
            <v>1</v>
          </cell>
          <cell r="I382">
            <v>1</v>
          </cell>
          <cell r="J382">
            <v>-1</v>
          </cell>
          <cell r="K382">
            <v>1</v>
          </cell>
          <cell r="L382">
            <v>1</v>
          </cell>
          <cell r="M382">
            <v>1</v>
          </cell>
        </row>
        <row r="383">
          <cell r="C383" t="str">
            <v>110kV 172 Cà Mau - 171 Khánh An</v>
          </cell>
          <cell r="D383">
            <v>172</v>
          </cell>
          <cell r="E383">
            <v>-3.8</v>
          </cell>
          <cell r="F383">
            <v>-6.7</v>
          </cell>
          <cell r="G383">
            <v>-3.8</v>
          </cell>
          <cell r="H383">
            <v>-5.7</v>
          </cell>
          <cell r="I383">
            <v>-5</v>
          </cell>
          <cell r="J383">
            <v>-5.9</v>
          </cell>
          <cell r="K383">
            <v>-6.7</v>
          </cell>
          <cell r="L383">
            <v>-5.2</v>
          </cell>
          <cell r="M383">
            <v>-3.8</v>
          </cell>
        </row>
        <row r="384">
          <cell r="C384" t="str">
            <v>Cà Mau MBA T1 (phía 22kV)</v>
          </cell>
          <cell r="D384">
            <v>431</v>
          </cell>
          <cell r="E384">
            <v>0.9</v>
          </cell>
          <cell r="F384">
            <v>3.9</v>
          </cell>
          <cell r="G384">
            <v>3.9</v>
          </cell>
          <cell r="H384">
            <v>-2.9</v>
          </cell>
          <cell r="I384">
            <v>-2.9</v>
          </cell>
          <cell r="J384">
            <v>-2.2000000000000002</v>
          </cell>
          <cell r="K384">
            <v>-2.2999999999999998</v>
          </cell>
          <cell r="L384">
            <v>1.6</v>
          </cell>
          <cell r="M384">
            <v>0.9</v>
          </cell>
        </row>
        <row r="385">
          <cell r="C385" t="str">
            <v>Cà Mau MBA T2 (phía 22kV)</v>
          </cell>
          <cell r="D385">
            <v>432</v>
          </cell>
          <cell r="E385">
            <v>-2.2999999999999998</v>
          </cell>
          <cell r="F385">
            <v>7.9</v>
          </cell>
          <cell r="G385">
            <v>-2.2999999999999998</v>
          </cell>
          <cell r="H385">
            <v>5.7</v>
          </cell>
          <cell r="I385">
            <v>6.5</v>
          </cell>
          <cell r="J385">
            <v>7.9</v>
          </cell>
          <cell r="K385">
            <v>6</v>
          </cell>
          <cell r="L385">
            <v>5.4</v>
          </cell>
          <cell r="M385">
            <v>5.2</v>
          </cell>
        </row>
        <row r="386">
          <cell r="C386" t="str">
            <v>Cà Mau 2 MBA AT1 (phía 110kV)</v>
          </cell>
          <cell r="D386">
            <v>131</v>
          </cell>
          <cell r="E386">
            <v>-5.0999999999999996</v>
          </cell>
          <cell r="F386">
            <v>-13.4</v>
          </cell>
          <cell r="G386">
            <v>-9.1</v>
          </cell>
          <cell r="H386">
            <v>5.8</v>
          </cell>
          <cell r="I386">
            <v>-13.4</v>
          </cell>
          <cell r="J386">
            <v>-5.0999999999999996</v>
          </cell>
          <cell r="K386">
            <v>7.9</v>
          </cell>
          <cell r="L386">
            <v>6.9</v>
          </cell>
          <cell r="M386">
            <v>7.4</v>
          </cell>
        </row>
        <row r="387">
          <cell r="C387" t="str">
            <v>Cà Mau 2 MBA AT2 (phía 110kV)</v>
          </cell>
          <cell r="D387">
            <v>132</v>
          </cell>
          <cell r="E387">
            <v>-5.4</v>
          </cell>
          <cell r="F387">
            <v>-10.199999999999999</v>
          </cell>
          <cell r="G387">
            <v>-10.199999999999999</v>
          </cell>
          <cell r="H387">
            <v>6</v>
          </cell>
          <cell r="I387">
            <v>6.4</v>
          </cell>
          <cell r="J387">
            <v>-5.4</v>
          </cell>
          <cell r="K387">
            <v>8.3000000000000007</v>
          </cell>
          <cell r="L387">
            <v>6.9</v>
          </cell>
          <cell r="M387">
            <v>8</v>
          </cell>
        </row>
        <row r="388">
          <cell r="C388" t="str">
            <v>110kV 171 Cà Mau 2 - 172 Khánh An</v>
          </cell>
          <cell r="D388">
            <v>171</v>
          </cell>
          <cell r="E388">
            <v>-3.7</v>
          </cell>
          <cell r="F388">
            <v>6.2</v>
          </cell>
          <cell r="G388">
            <v>-3.7</v>
          </cell>
          <cell r="H388">
            <v>4.4000000000000004</v>
          </cell>
          <cell r="I388">
            <v>-6.1</v>
          </cell>
          <cell r="J388">
            <v>4.7</v>
          </cell>
          <cell r="K388">
            <v>6.2</v>
          </cell>
          <cell r="L388">
            <v>-6.1</v>
          </cell>
          <cell r="M388">
            <v>-5.5</v>
          </cell>
        </row>
        <row r="389">
          <cell r="C389" t="str">
            <v>110kV 172 Cà Mau 2 - 171 An Xuyên</v>
          </cell>
          <cell r="D389">
            <v>172</v>
          </cell>
          <cell r="E389">
            <v>-2.8</v>
          </cell>
          <cell r="F389">
            <v>8.4</v>
          </cell>
          <cell r="G389">
            <v>8.4</v>
          </cell>
          <cell r="H389">
            <v>5</v>
          </cell>
          <cell r="I389">
            <v>-2.8</v>
          </cell>
          <cell r="J389">
            <v>-4.5999999999999996</v>
          </cell>
          <cell r="K389">
            <v>5.6</v>
          </cell>
          <cell r="L389">
            <v>6</v>
          </cell>
          <cell r="M389">
            <v>5.5</v>
          </cell>
        </row>
        <row r="390">
          <cell r="C390" t="str">
            <v>110kV 173 Cà Mau 2 - 172 Đầm Dơi</v>
          </cell>
          <cell r="D390">
            <v>173</v>
          </cell>
          <cell r="E390">
            <v>2.9</v>
          </cell>
          <cell r="F390">
            <v>7.4</v>
          </cell>
          <cell r="G390">
            <v>7.4</v>
          </cell>
          <cell r="H390">
            <v>-4.0999999999999996</v>
          </cell>
          <cell r="I390">
            <v>5.3</v>
          </cell>
          <cell r="J390">
            <v>2.9</v>
          </cell>
          <cell r="K390">
            <v>-3.5</v>
          </cell>
          <cell r="L390">
            <v>4</v>
          </cell>
          <cell r="M390">
            <v>4.5</v>
          </cell>
        </row>
        <row r="391">
          <cell r="C391" t="str">
            <v>110kV 174 Cà Mau 2 - 171 Trần Văn Thời</v>
          </cell>
          <cell r="D391">
            <v>174</v>
          </cell>
          <cell r="E391">
            <v>2.8</v>
          </cell>
          <cell r="F391">
            <v>5.4</v>
          </cell>
          <cell r="G391">
            <v>5.4</v>
          </cell>
          <cell r="H391">
            <v>2.8</v>
          </cell>
          <cell r="I391">
            <v>3.7</v>
          </cell>
          <cell r="J391">
            <v>3.6</v>
          </cell>
          <cell r="K391">
            <v>4.9000000000000004</v>
          </cell>
          <cell r="L391">
            <v>4.4000000000000004</v>
          </cell>
          <cell r="M391">
            <v>-4.7</v>
          </cell>
        </row>
        <row r="392">
          <cell r="C392" t="str">
            <v>Cà Mau 2 MBA AT1 (phía 220kV)</v>
          </cell>
          <cell r="D392">
            <v>231</v>
          </cell>
          <cell r="E392">
            <v>9.3000000000000007</v>
          </cell>
          <cell r="F392">
            <v>33.9</v>
          </cell>
          <cell r="G392">
            <v>17.7</v>
          </cell>
          <cell r="H392">
            <v>12.5</v>
          </cell>
          <cell r="I392">
            <v>33.9</v>
          </cell>
          <cell r="J392">
            <v>9.3000000000000007</v>
          </cell>
          <cell r="K392">
            <v>13.9</v>
          </cell>
          <cell r="L392">
            <v>12.3</v>
          </cell>
          <cell r="M392">
            <v>12.7</v>
          </cell>
        </row>
        <row r="393">
          <cell r="C393" t="str">
            <v>Cà Mau 2 MBA AT2 (phía 220kV)</v>
          </cell>
          <cell r="D393">
            <v>232</v>
          </cell>
          <cell r="E393">
            <v>8.8000000000000007</v>
          </cell>
          <cell r="F393">
            <v>18.5</v>
          </cell>
          <cell r="G393">
            <v>18.5</v>
          </cell>
          <cell r="H393">
            <v>12.8</v>
          </cell>
          <cell r="I393">
            <v>8.8000000000000007</v>
          </cell>
          <cell r="J393">
            <v>8.9</v>
          </cell>
          <cell r="K393">
            <v>15.4</v>
          </cell>
          <cell r="L393">
            <v>12.1</v>
          </cell>
          <cell r="M393">
            <v>13.2</v>
          </cell>
        </row>
        <row r="394">
          <cell r="C394" t="str">
            <v>220kV 271 Cà Mau 2 - 278 NMĐ Cà Mau</v>
          </cell>
          <cell r="D394">
            <v>271</v>
          </cell>
          <cell r="E394">
            <v>-9.4</v>
          </cell>
          <cell r="F394">
            <v>-18</v>
          </cell>
          <cell r="G394">
            <v>-18</v>
          </cell>
          <cell r="H394">
            <v>-12.5</v>
          </cell>
          <cell r="I394">
            <v>-16.7</v>
          </cell>
          <cell r="J394">
            <v>-9.4</v>
          </cell>
          <cell r="K394">
            <v>-14.4</v>
          </cell>
          <cell r="L394">
            <v>-12.6</v>
          </cell>
          <cell r="M394">
            <v>-13</v>
          </cell>
        </row>
        <row r="395">
          <cell r="C395" t="str">
            <v>220kV 272 Cà Mau 2 - 277 NMĐ Cà Mau</v>
          </cell>
          <cell r="D395">
            <v>272</v>
          </cell>
          <cell r="E395">
            <v>-10.4</v>
          </cell>
          <cell r="F395">
            <v>-19</v>
          </cell>
          <cell r="G395">
            <v>-19</v>
          </cell>
          <cell r="H395">
            <v>-13.4</v>
          </cell>
          <cell r="I395">
            <v>-17.100000000000001</v>
          </cell>
          <cell r="J395">
            <v>-10.4</v>
          </cell>
          <cell r="K395">
            <v>-15.5</v>
          </cell>
          <cell r="L395">
            <v>-13.7</v>
          </cell>
          <cell r="M395">
            <v>-14.2</v>
          </cell>
        </row>
        <row r="396">
          <cell r="C396" t="str">
            <v>Cái Bè MBA T1 (phía 110kV)</v>
          </cell>
          <cell r="D396">
            <v>131</v>
          </cell>
          <cell r="E396">
            <v>-3.4</v>
          </cell>
          <cell r="F396">
            <v>-4.9000000000000004</v>
          </cell>
          <cell r="G396">
            <v>-4.8</v>
          </cell>
          <cell r="H396">
            <v>-4.9000000000000004</v>
          </cell>
          <cell r="I396">
            <v>-3.9</v>
          </cell>
          <cell r="J396">
            <v>-3.4</v>
          </cell>
          <cell r="K396">
            <v>-3.8</v>
          </cell>
          <cell r="L396">
            <v>-4</v>
          </cell>
          <cell r="M396">
            <v>-4.0999999999999996</v>
          </cell>
        </row>
        <row r="397">
          <cell r="C397" t="str">
            <v>Cái Bè MBA T2 (phía 110kV)</v>
          </cell>
          <cell r="D397">
            <v>132</v>
          </cell>
          <cell r="E397">
            <v>-4.4000000000000004</v>
          </cell>
          <cell r="F397">
            <v>-6.8</v>
          </cell>
          <cell r="G397">
            <v>-4.5999999999999996</v>
          </cell>
          <cell r="H397">
            <v>-4.4000000000000004</v>
          </cell>
          <cell r="I397">
            <v>-5</v>
          </cell>
          <cell r="J397">
            <v>-6.1</v>
          </cell>
          <cell r="K397">
            <v>-5.2</v>
          </cell>
          <cell r="L397">
            <v>-5</v>
          </cell>
          <cell r="M397">
            <v>-6.8</v>
          </cell>
        </row>
        <row r="398">
          <cell r="C398" t="str">
            <v>110kV 171 Cái Bè - 173 Mỹ Thuận</v>
          </cell>
          <cell r="D398">
            <v>171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</row>
        <row r="399">
          <cell r="C399" t="str">
            <v>110kV 172 Cái Bè - 175 Cai Lậy</v>
          </cell>
          <cell r="D399">
            <v>172</v>
          </cell>
          <cell r="E399">
            <v>7.7</v>
          </cell>
          <cell r="F399">
            <v>11</v>
          </cell>
          <cell r="G399">
            <v>10</v>
          </cell>
          <cell r="H399">
            <v>10</v>
          </cell>
          <cell r="I399">
            <v>9.6999999999999993</v>
          </cell>
          <cell r="J399">
            <v>7.7</v>
          </cell>
          <cell r="K399">
            <v>9.5</v>
          </cell>
          <cell r="L399">
            <v>9.6</v>
          </cell>
          <cell r="M399">
            <v>11</v>
          </cell>
        </row>
        <row r="400">
          <cell r="C400" t="str">
            <v>Cái Bè MBA T1 (phía 22kV)</v>
          </cell>
          <cell r="D400">
            <v>431</v>
          </cell>
          <cell r="E400">
            <v>3.7</v>
          </cell>
          <cell r="F400">
            <v>5.0999999999999996</v>
          </cell>
          <cell r="G400">
            <v>5.0999999999999996</v>
          </cell>
          <cell r="H400">
            <v>5.0999999999999996</v>
          </cell>
          <cell r="I400">
            <v>4.0999999999999996</v>
          </cell>
          <cell r="J400">
            <v>3.7</v>
          </cell>
          <cell r="K400">
            <v>4</v>
          </cell>
          <cell r="L400">
            <v>4.2</v>
          </cell>
          <cell r="M400">
            <v>4.3</v>
          </cell>
        </row>
        <row r="401">
          <cell r="C401" t="str">
            <v>Cái Bè MBA T2 (phía 22kV)</v>
          </cell>
          <cell r="D401">
            <v>432</v>
          </cell>
          <cell r="E401">
            <v>5.8</v>
          </cell>
          <cell r="F401">
            <v>7.9</v>
          </cell>
          <cell r="G401">
            <v>6.1</v>
          </cell>
          <cell r="H401">
            <v>5.8</v>
          </cell>
          <cell r="I401">
            <v>6.5</v>
          </cell>
          <cell r="J401">
            <v>7.2</v>
          </cell>
          <cell r="K401">
            <v>6.3</v>
          </cell>
          <cell r="L401">
            <v>6.4</v>
          </cell>
          <cell r="M401">
            <v>7.9</v>
          </cell>
        </row>
        <row r="402">
          <cell r="C402" t="str">
            <v>Cái Dầu MBA T1 (phía 110kV)</v>
          </cell>
          <cell r="D402">
            <v>131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</row>
        <row r="403">
          <cell r="C403" t="str">
            <v>Cái Dầu MBA T2 (phía 110kV)</v>
          </cell>
          <cell r="D403">
            <v>132</v>
          </cell>
          <cell r="E403">
            <v>-2.2999999999999998</v>
          </cell>
          <cell r="F403">
            <v>-3</v>
          </cell>
          <cell r="G403">
            <v>2.2999999999999998</v>
          </cell>
          <cell r="H403">
            <v>-2.2999999999999998</v>
          </cell>
          <cell r="I403">
            <v>-2.7</v>
          </cell>
          <cell r="J403">
            <v>-2.4</v>
          </cell>
          <cell r="K403">
            <v>-2.6</v>
          </cell>
          <cell r="L403">
            <v>-3</v>
          </cell>
          <cell r="M403">
            <v>2.7</v>
          </cell>
        </row>
        <row r="404">
          <cell r="C404" t="str">
            <v>110kV 171 Cái Dầu - 171 An Châu</v>
          </cell>
          <cell r="D404">
            <v>171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</row>
        <row r="405">
          <cell r="C405" t="str">
            <v>110kV 172 Cái Dầu - 171 Phú Tân</v>
          </cell>
          <cell r="D405">
            <v>172</v>
          </cell>
          <cell r="E405">
            <v>-3.3</v>
          </cell>
          <cell r="F405">
            <v>7.4</v>
          </cell>
          <cell r="G405">
            <v>7.4</v>
          </cell>
          <cell r="H405">
            <v>6.7</v>
          </cell>
          <cell r="I405">
            <v>4.4000000000000004</v>
          </cell>
          <cell r="J405">
            <v>-3.3</v>
          </cell>
          <cell r="K405">
            <v>-3.7</v>
          </cell>
          <cell r="L405">
            <v>3.6</v>
          </cell>
          <cell r="M405">
            <v>4.8</v>
          </cell>
        </row>
        <row r="406">
          <cell r="C406" t="str">
            <v>110kV 173 Cái Dầu - 171 Châu Đốc 2</v>
          </cell>
          <cell r="D406">
            <v>173</v>
          </cell>
          <cell r="E406">
            <v>5.9</v>
          </cell>
          <cell r="F406">
            <v>-7.7</v>
          </cell>
          <cell r="G406">
            <v>-7.7</v>
          </cell>
          <cell r="H406">
            <v>-7.1</v>
          </cell>
          <cell r="I406">
            <v>6.2</v>
          </cell>
          <cell r="J406">
            <v>5.9</v>
          </cell>
          <cell r="K406">
            <v>6</v>
          </cell>
          <cell r="L406">
            <v>6.4</v>
          </cell>
          <cell r="M406">
            <v>-6.4</v>
          </cell>
        </row>
        <row r="407">
          <cell r="C407" t="str">
            <v>Cái Dầu MBA T1 (phía 22kV)</v>
          </cell>
          <cell r="D407">
            <v>431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</row>
        <row r="408">
          <cell r="C408" t="str">
            <v>Cái Dầu MBA T2 (phía 22kV)</v>
          </cell>
          <cell r="D408">
            <v>432</v>
          </cell>
          <cell r="E408">
            <v>3.4</v>
          </cell>
          <cell r="F408">
            <v>4.4000000000000004</v>
          </cell>
          <cell r="G408">
            <v>3.5</v>
          </cell>
          <cell r="H408">
            <v>3.8</v>
          </cell>
          <cell r="I408">
            <v>4</v>
          </cell>
          <cell r="J408">
            <v>3.6</v>
          </cell>
          <cell r="K408">
            <v>3.4</v>
          </cell>
          <cell r="L408">
            <v>4.4000000000000004</v>
          </cell>
          <cell r="M408">
            <v>3.8</v>
          </cell>
        </row>
        <row r="409">
          <cell r="C409" t="str">
            <v>Cai Lậy MBA AT1 (phía 110kV)</v>
          </cell>
          <cell r="D409">
            <v>131</v>
          </cell>
          <cell r="E409">
            <v>20.8</v>
          </cell>
          <cell r="F409">
            <v>50.9</v>
          </cell>
          <cell r="G409">
            <v>50.9</v>
          </cell>
          <cell r="H409">
            <v>-36.9</v>
          </cell>
          <cell r="I409">
            <v>-40.299999999999997</v>
          </cell>
          <cell r="J409">
            <v>20.8</v>
          </cell>
          <cell r="K409">
            <v>26.8</v>
          </cell>
          <cell r="L409">
            <v>-31</v>
          </cell>
          <cell r="M409">
            <v>-24.8</v>
          </cell>
        </row>
        <row r="410">
          <cell r="C410" t="str">
            <v>Cai Lậy MBA AT2 (phía 110kV)</v>
          </cell>
          <cell r="D410">
            <v>132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</row>
        <row r="411">
          <cell r="C411" t="str">
            <v>Cai Lậy MBA T3 (phía 110kV)</v>
          </cell>
          <cell r="D411">
            <v>133</v>
          </cell>
          <cell r="E411">
            <v>-2.8</v>
          </cell>
          <cell r="F411">
            <v>3.5</v>
          </cell>
          <cell r="G411">
            <v>3.5</v>
          </cell>
          <cell r="H411">
            <v>3.2</v>
          </cell>
          <cell r="I411">
            <v>-2.8</v>
          </cell>
          <cell r="J411">
            <v>3.2</v>
          </cell>
          <cell r="K411">
            <v>3.3</v>
          </cell>
          <cell r="L411">
            <v>-3.1</v>
          </cell>
          <cell r="M411">
            <v>3.4</v>
          </cell>
        </row>
        <row r="412">
          <cell r="C412" t="str">
            <v>Cai Lậy MBA T4 (phía 110kV)</v>
          </cell>
          <cell r="D412">
            <v>134</v>
          </cell>
          <cell r="E412">
            <v>3.6</v>
          </cell>
          <cell r="F412">
            <v>3.9</v>
          </cell>
          <cell r="G412">
            <v>3.9</v>
          </cell>
          <cell r="H412">
            <v>3.7</v>
          </cell>
          <cell r="I412">
            <v>3.7</v>
          </cell>
          <cell r="J412">
            <v>3.6</v>
          </cell>
          <cell r="K412">
            <v>3.6</v>
          </cell>
          <cell r="L412">
            <v>3.9</v>
          </cell>
          <cell r="M412">
            <v>3.9</v>
          </cell>
        </row>
        <row r="413">
          <cell r="C413" t="str">
            <v>110kV 172 Cai Lậy - 174 Mỹ Tho 2</v>
          </cell>
          <cell r="D413">
            <v>172</v>
          </cell>
          <cell r="E413">
            <v>17.5</v>
          </cell>
          <cell r="F413">
            <v>24.5</v>
          </cell>
          <cell r="G413">
            <v>24.5</v>
          </cell>
          <cell r="H413">
            <v>24.1</v>
          </cell>
          <cell r="I413">
            <v>19.3</v>
          </cell>
          <cell r="J413">
            <v>18.399999999999999</v>
          </cell>
          <cell r="K413">
            <v>-17.600000000000001</v>
          </cell>
          <cell r="L413">
            <v>17.5</v>
          </cell>
          <cell r="M413">
            <v>22.2</v>
          </cell>
        </row>
        <row r="414">
          <cell r="C414" t="str">
            <v>110kV 174 Cai Lậy - 171 Tân Thạnh</v>
          </cell>
          <cell r="D414">
            <v>174</v>
          </cell>
          <cell r="E414">
            <v>-7.4</v>
          </cell>
          <cell r="F414">
            <v>23.4</v>
          </cell>
          <cell r="G414">
            <v>15.4</v>
          </cell>
          <cell r="H414">
            <v>9.8000000000000007</v>
          </cell>
          <cell r="I414">
            <v>17.600000000000001</v>
          </cell>
          <cell r="J414">
            <v>12.7</v>
          </cell>
          <cell r="K414">
            <v>10.1</v>
          </cell>
          <cell r="L414">
            <v>23.4</v>
          </cell>
          <cell r="M414">
            <v>-7.4</v>
          </cell>
        </row>
        <row r="415">
          <cell r="C415" t="str">
            <v>110kV 175 Cai Lậy - 172 Cái Bè</v>
          </cell>
          <cell r="D415">
            <v>175</v>
          </cell>
          <cell r="E415">
            <v>-8.1</v>
          </cell>
          <cell r="F415">
            <v>-11.3</v>
          </cell>
          <cell r="G415">
            <v>-10.5</v>
          </cell>
          <cell r="H415">
            <v>-10.5</v>
          </cell>
          <cell r="I415">
            <v>-10.1</v>
          </cell>
          <cell r="J415">
            <v>-8.1</v>
          </cell>
          <cell r="K415">
            <v>-9.9</v>
          </cell>
          <cell r="L415">
            <v>-10.1</v>
          </cell>
          <cell r="M415">
            <v>-11.3</v>
          </cell>
        </row>
        <row r="416">
          <cell r="C416" t="str">
            <v>Cai Lậy MBA AT1 (phía 220kV)</v>
          </cell>
          <cell r="D416">
            <v>231</v>
          </cell>
          <cell r="E416">
            <v>23.1</v>
          </cell>
          <cell r="F416">
            <v>46.4</v>
          </cell>
          <cell r="G416">
            <v>42.7</v>
          </cell>
          <cell r="H416">
            <v>45.4</v>
          </cell>
          <cell r="I416">
            <v>46.4</v>
          </cell>
          <cell r="J416">
            <v>23.1</v>
          </cell>
          <cell r="K416">
            <v>27.5</v>
          </cell>
          <cell r="L416">
            <v>40.200000000000003</v>
          </cell>
          <cell r="M416">
            <v>35.6</v>
          </cell>
        </row>
        <row r="417">
          <cell r="C417" t="str">
            <v>Cai Lậy MBA AT2 (phía 220kV)</v>
          </cell>
          <cell r="D417">
            <v>232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</row>
        <row r="418">
          <cell r="C418" t="str">
            <v>220kV 272 Cai Lậy - 271 Mỹ Tho 500kV</v>
          </cell>
          <cell r="D418">
            <v>272</v>
          </cell>
          <cell r="E418">
            <v>23.9</v>
          </cell>
          <cell r="F418">
            <v>51.9</v>
          </cell>
          <cell r="G418">
            <v>51.9</v>
          </cell>
          <cell r="H418">
            <v>28.4</v>
          </cell>
          <cell r="I418">
            <v>23.9</v>
          </cell>
          <cell r="J418">
            <v>29.6</v>
          </cell>
          <cell r="K418">
            <v>35.9</v>
          </cell>
          <cell r="L418">
            <v>34.1</v>
          </cell>
          <cell r="M418">
            <v>34.5</v>
          </cell>
        </row>
        <row r="419">
          <cell r="C419" t="str">
            <v>220kV 273 Cai Lậy - 272 Mỹ Tho 500kV</v>
          </cell>
          <cell r="D419">
            <v>273</v>
          </cell>
          <cell r="E419">
            <v>15.5</v>
          </cell>
          <cell r="F419">
            <v>41.5</v>
          </cell>
          <cell r="G419">
            <v>41.5</v>
          </cell>
          <cell r="H419">
            <v>15.5</v>
          </cell>
          <cell r="I419">
            <v>20.6</v>
          </cell>
          <cell r="J419">
            <v>21.5</v>
          </cell>
          <cell r="K419">
            <v>29.9</v>
          </cell>
          <cell r="L419">
            <v>22.7</v>
          </cell>
          <cell r="M419">
            <v>22.6</v>
          </cell>
        </row>
        <row r="420">
          <cell r="C420" t="str">
            <v>220kV 274 Cai Lậy - 272 Cao Lãnh 2</v>
          </cell>
          <cell r="D420">
            <v>274</v>
          </cell>
          <cell r="E420">
            <v>-24.1</v>
          </cell>
          <cell r="F420">
            <v>-44.6</v>
          </cell>
          <cell r="G420">
            <v>-44.6</v>
          </cell>
          <cell r="H420">
            <v>-26.8</v>
          </cell>
          <cell r="I420">
            <v>-24.1</v>
          </cell>
          <cell r="J420">
            <v>-30.6</v>
          </cell>
          <cell r="K420">
            <v>-34.9</v>
          </cell>
          <cell r="L420">
            <v>-34.200000000000003</v>
          </cell>
          <cell r="M420">
            <v>-30.9</v>
          </cell>
        </row>
        <row r="421">
          <cell r="C421" t="str">
            <v>220kV 275 Cai Lậy - 271 Cao Lãnh 2</v>
          </cell>
          <cell r="D421">
            <v>275</v>
          </cell>
          <cell r="E421">
            <v>-24.3</v>
          </cell>
          <cell r="F421">
            <v>-44.7</v>
          </cell>
          <cell r="G421">
            <v>-44.7</v>
          </cell>
          <cell r="H421">
            <v>-27</v>
          </cell>
          <cell r="I421">
            <v>-24.3</v>
          </cell>
          <cell r="J421">
            <v>-31</v>
          </cell>
          <cell r="K421">
            <v>-35.200000000000003</v>
          </cell>
          <cell r="L421">
            <v>-34.1</v>
          </cell>
          <cell r="M421">
            <v>-31.6</v>
          </cell>
        </row>
        <row r="422">
          <cell r="C422" t="str">
            <v>220kV 276 Cai Lậy - 273 Mỹ Tho 500kV</v>
          </cell>
          <cell r="D422">
            <v>276</v>
          </cell>
          <cell r="E422">
            <v>16.8</v>
          </cell>
          <cell r="F422">
            <v>40.1</v>
          </cell>
          <cell r="G422">
            <v>40.1</v>
          </cell>
          <cell r="H422">
            <v>20.9</v>
          </cell>
          <cell r="I422">
            <v>16.8</v>
          </cell>
          <cell r="J422">
            <v>21.1</v>
          </cell>
          <cell r="K422">
            <v>27.2</v>
          </cell>
          <cell r="L422">
            <v>25.7</v>
          </cell>
          <cell r="M422">
            <v>25.9</v>
          </cell>
        </row>
        <row r="423">
          <cell r="C423" t="str">
            <v>220kV 277 Cai Lậy - 274 Mỹ Tho 500kV</v>
          </cell>
          <cell r="D423">
            <v>277</v>
          </cell>
          <cell r="E423">
            <v>-13.9</v>
          </cell>
          <cell r="F423">
            <v>36.200000000000003</v>
          </cell>
          <cell r="G423">
            <v>36.200000000000003</v>
          </cell>
          <cell r="H423">
            <v>-13.9</v>
          </cell>
          <cell r="I423">
            <v>18.3</v>
          </cell>
          <cell r="J423">
            <v>19.2</v>
          </cell>
          <cell r="K423">
            <v>25.4</v>
          </cell>
          <cell r="L423">
            <v>18.899999999999999</v>
          </cell>
          <cell r="M423">
            <v>19.3</v>
          </cell>
        </row>
        <row r="424">
          <cell r="C424" t="str">
            <v>220kV 278 Cai Lậy - 275 Vĩnh Long 2</v>
          </cell>
          <cell r="D424">
            <v>278</v>
          </cell>
          <cell r="E424">
            <v>-16.3</v>
          </cell>
          <cell r="F424">
            <v>-24.8</v>
          </cell>
          <cell r="G424">
            <v>-24.8</v>
          </cell>
          <cell r="H424">
            <v>-22.5</v>
          </cell>
          <cell r="I424">
            <v>-22.8</v>
          </cell>
          <cell r="J424">
            <v>-22.2</v>
          </cell>
          <cell r="K424">
            <v>-21.4</v>
          </cell>
          <cell r="L424">
            <v>-24.6</v>
          </cell>
          <cell r="M424">
            <v>-16.3</v>
          </cell>
        </row>
        <row r="425">
          <cell r="C425" t="str">
            <v>220kV 279 Cai Lậy - 276 Vĩnh Long 2</v>
          </cell>
          <cell r="D425">
            <v>279</v>
          </cell>
          <cell r="E425">
            <v>-15.4</v>
          </cell>
          <cell r="F425">
            <v>-24.4</v>
          </cell>
          <cell r="G425">
            <v>-24.4</v>
          </cell>
          <cell r="H425">
            <v>-22.2</v>
          </cell>
          <cell r="I425">
            <v>-21.3</v>
          </cell>
          <cell r="J425">
            <v>-20.8</v>
          </cell>
          <cell r="K425">
            <v>-23.4</v>
          </cell>
          <cell r="L425">
            <v>-23.7</v>
          </cell>
          <cell r="M425">
            <v>-15.4</v>
          </cell>
        </row>
        <row r="426">
          <cell r="C426" t="str">
            <v>Cai Lậy MBA T3 (phía 22kV)</v>
          </cell>
          <cell r="D426">
            <v>433</v>
          </cell>
          <cell r="E426">
            <v>4.5999999999999996</v>
          </cell>
          <cell r="F426">
            <v>4.8</v>
          </cell>
          <cell r="G426">
            <v>4.5999999999999996</v>
          </cell>
          <cell r="H426">
            <v>4.8</v>
          </cell>
          <cell r="I426">
            <v>4.7</v>
          </cell>
          <cell r="J426">
            <v>4.5999999999999996</v>
          </cell>
          <cell r="K426">
            <v>4.7</v>
          </cell>
          <cell r="L426">
            <v>4.7</v>
          </cell>
          <cell r="M426">
            <v>4.7</v>
          </cell>
        </row>
        <row r="427">
          <cell r="C427" t="str">
            <v>Cai Lậy MBA T4 (phía 22kV)</v>
          </cell>
          <cell r="D427">
            <v>434</v>
          </cell>
          <cell r="E427">
            <v>3.2</v>
          </cell>
          <cell r="F427">
            <v>3.8</v>
          </cell>
          <cell r="G427">
            <v>-3.5</v>
          </cell>
          <cell r="H427">
            <v>3.7</v>
          </cell>
          <cell r="I427">
            <v>3.8</v>
          </cell>
          <cell r="J427">
            <v>3.2</v>
          </cell>
          <cell r="K427">
            <v>-3.3</v>
          </cell>
          <cell r="L427">
            <v>-3.4</v>
          </cell>
          <cell r="M427">
            <v>-3.5</v>
          </cell>
        </row>
        <row r="428">
          <cell r="C428" t="str">
            <v>Cái Mép MBA T1 (phía 110kV)</v>
          </cell>
          <cell r="D428">
            <v>131</v>
          </cell>
          <cell r="E428">
            <v>-1</v>
          </cell>
          <cell r="F428">
            <v>2.1</v>
          </cell>
          <cell r="G428">
            <v>1.1000000000000001</v>
          </cell>
          <cell r="H428">
            <v>1.5</v>
          </cell>
          <cell r="I428">
            <v>1.3</v>
          </cell>
          <cell r="J428">
            <v>2.1</v>
          </cell>
          <cell r="K428">
            <v>1</v>
          </cell>
          <cell r="L428">
            <v>1.6</v>
          </cell>
          <cell r="M428">
            <v>-1</v>
          </cell>
        </row>
        <row r="429">
          <cell r="C429" t="str">
            <v>110kV 171 Cái Mép - 174 Hyosung Vina Chemicals</v>
          </cell>
          <cell r="D429">
            <v>171</v>
          </cell>
          <cell r="E429">
            <v>0.5</v>
          </cell>
          <cell r="F429">
            <v>-1.1000000000000001</v>
          </cell>
          <cell r="G429">
            <v>-0.5</v>
          </cell>
          <cell r="H429">
            <v>-0.8</v>
          </cell>
          <cell r="I429">
            <v>-0.7</v>
          </cell>
          <cell r="J429">
            <v>-1.1000000000000001</v>
          </cell>
          <cell r="K429">
            <v>-0.5</v>
          </cell>
          <cell r="L429">
            <v>-0.8</v>
          </cell>
          <cell r="M429">
            <v>0.5</v>
          </cell>
        </row>
        <row r="430">
          <cell r="C430" t="str">
            <v>110kV 172 Cái Mép - 171 Hyosung Vina Chemicals</v>
          </cell>
          <cell r="D430">
            <v>172</v>
          </cell>
          <cell r="E430">
            <v>0.5</v>
          </cell>
          <cell r="F430">
            <v>-1.1000000000000001</v>
          </cell>
          <cell r="G430">
            <v>-0.5</v>
          </cell>
          <cell r="H430">
            <v>-0.8</v>
          </cell>
          <cell r="I430">
            <v>-0.7</v>
          </cell>
          <cell r="J430">
            <v>-1.1000000000000001</v>
          </cell>
          <cell r="K430">
            <v>-0.5</v>
          </cell>
          <cell r="L430">
            <v>-0.8</v>
          </cell>
          <cell r="M430">
            <v>0.5</v>
          </cell>
        </row>
        <row r="431">
          <cell r="C431" t="str">
            <v>Cái Mép MBA T1 (phía 22 kV)</v>
          </cell>
          <cell r="D431">
            <v>431</v>
          </cell>
          <cell r="E431">
            <v>1</v>
          </cell>
          <cell r="F431">
            <v>-1.6</v>
          </cell>
          <cell r="G431">
            <v>1</v>
          </cell>
          <cell r="H431">
            <v>-1.2</v>
          </cell>
          <cell r="I431">
            <v>1.1000000000000001</v>
          </cell>
          <cell r="J431">
            <v>-1.6</v>
          </cell>
          <cell r="K431">
            <v>1</v>
          </cell>
          <cell r="L431">
            <v>-1.2</v>
          </cell>
          <cell r="M431">
            <v>1.2</v>
          </cell>
        </row>
        <row r="432">
          <cell r="C432" t="str">
            <v>Cái Nước MBA T2 (phía 110kV)</v>
          </cell>
          <cell r="D432">
            <v>132</v>
          </cell>
          <cell r="E432">
            <v>1.3</v>
          </cell>
          <cell r="F432">
            <v>2.2000000000000002</v>
          </cell>
          <cell r="G432">
            <v>2.2000000000000002</v>
          </cell>
          <cell r="H432">
            <v>1.3</v>
          </cell>
          <cell r="I432">
            <v>1.6</v>
          </cell>
          <cell r="J432">
            <v>1.4</v>
          </cell>
          <cell r="K432">
            <v>1.7</v>
          </cell>
          <cell r="L432">
            <v>1.5</v>
          </cell>
          <cell r="M432">
            <v>1.3</v>
          </cell>
        </row>
        <row r="433">
          <cell r="C433" t="str">
            <v>110kV 171 Cái Nước - 132 Ngọc Hiển</v>
          </cell>
          <cell r="D433">
            <v>171</v>
          </cell>
          <cell r="E433">
            <v>-1.6</v>
          </cell>
          <cell r="F433">
            <v>-2.5</v>
          </cell>
          <cell r="G433">
            <v>-1.6</v>
          </cell>
          <cell r="H433">
            <v>-2.5</v>
          </cell>
          <cell r="I433">
            <v>-2.1</v>
          </cell>
          <cell r="J433">
            <v>-1.8</v>
          </cell>
          <cell r="K433">
            <v>-2</v>
          </cell>
          <cell r="L433">
            <v>-2</v>
          </cell>
          <cell r="M433">
            <v>-2.2000000000000002</v>
          </cell>
        </row>
        <row r="434">
          <cell r="C434" t="str">
            <v>110kV 172 Cái Nước - 171 Đầm Dơi</v>
          </cell>
          <cell r="D434">
            <v>172</v>
          </cell>
          <cell r="E434">
            <v>1.5</v>
          </cell>
          <cell r="F434">
            <v>-3.4</v>
          </cell>
          <cell r="G434">
            <v>-3.4</v>
          </cell>
          <cell r="H434">
            <v>1.5</v>
          </cell>
          <cell r="I434">
            <v>-2.6</v>
          </cell>
          <cell r="J434">
            <v>1.9</v>
          </cell>
          <cell r="K434">
            <v>2.1</v>
          </cell>
          <cell r="L434">
            <v>2.1</v>
          </cell>
          <cell r="M434">
            <v>2.2999999999999998</v>
          </cell>
        </row>
        <row r="435">
          <cell r="C435" t="str">
            <v>Cái Nước MBA T2 (phía 22kV)</v>
          </cell>
          <cell r="D435">
            <v>432</v>
          </cell>
          <cell r="E435">
            <v>0.8</v>
          </cell>
          <cell r="F435">
            <v>1.4</v>
          </cell>
          <cell r="G435">
            <v>-1.1000000000000001</v>
          </cell>
          <cell r="H435">
            <v>0.8</v>
          </cell>
          <cell r="I435">
            <v>0.8</v>
          </cell>
          <cell r="J435">
            <v>1</v>
          </cell>
          <cell r="K435">
            <v>0.9</v>
          </cell>
          <cell r="L435">
            <v>1.4</v>
          </cell>
          <cell r="M435">
            <v>1.1000000000000001</v>
          </cell>
        </row>
        <row r="436">
          <cell r="C436" t="str">
            <v>Cẩm Mỹ MBA T1 (phía 110kV)</v>
          </cell>
          <cell r="D436">
            <v>131</v>
          </cell>
          <cell r="E436">
            <v>-0.9</v>
          </cell>
          <cell r="F436">
            <v>-2</v>
          </cell>
          <cell r="G436">
            <v>-1.8</v>
          </cell>
          <cell r="H436">
            <v>1</v>
          </cell>
          <cell r="I436">
            <v>-2</v>
          </cell>
          <cell r="J436">
            <v>-0.9</v>
          </cell>
          <cell r="K436">
            <v>-1</v>
          </cell>
          <cell r="L436">
            <v>-0.9</v>
          </cell>
          <cell r="M436">
            <v>-1</v>
          </cell>
        </row>
        <row r="437">
          <cell r="C437" t="str">
            <v>Cẩm Mỹ MBA T2 (phía 110kV)</v>
          </cell>
          <cell r="D437">
            <v>132</v>
          </cell>
          <cell r="E437">
            <v>-1</v>
          </cell>
          <cell r="F437">
            <v>-1</v>
          </cell>
          <cell r="G437">
            <v>-1</v>
          </cell>
          <cell r="H437">
            <v>-1</v>
          </cell>
          <cell r="I437">
            <v>-1</v>
          </cell>
          <cell r="J437">
            <v>-1</v>
          </cell>
          <cell r="K437">
            <v>-1</v>
          </cell>
          <cell r="L437">
            <v>-1</v>
          </cell>
          <cell r="M437">
            <v>-1</v>
          </cell>
        </row>
        <row r="438">
          <cell r="C438" t="str">
            <v>110kV 171 Cẩm Mỹ - 174 Xuân Lộc 2</v>
          </cell>
          <cell r="D438">
            <v>171</v>
          </cell>
          <cell r="E438">
            <v>2.1</v>
          </cell>
          <cell r="F438">
            <v>2.5</v>
          </cell>
          <cell r="G438">
            <v>2.2000000000000002</v>
          </cell>
          <cell r="H438">
            <v>2.2000000000000002</v>
          </cell>
          <cell r="I438">
            <v>2.1</v>
          </cell>
          <cell r="J438">
            <v>2.1</v>
          </cell>
          <cell r="K438">
            <v>2.4</v>
          </cell>
          <cell r="L438">
            <v>2.2999999999999998</v>
          </cell>
          <cell r="M438">
            <v>2.5</v>
          </cell>
        </row>
        <row r="439">
          <cell r="C439" t="str">
            <v>110kV 172 Cẩm Mỹ - 171 Ngãi Giao</v>
          </cell>
          <cell r="D439">
            <v>172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</row>
        <row r="440">
          <cell r="C440" t="str">
            <v>Cẩm Mỹ MBA T1 (phía 22kV)</v>
          </cell>
          <cell r="D440">
            <v>431</v>
          </cell>
          <cell r="E440">
            <v>1.1000000000000001</v>
          </cell>
          <cell r="F440">
            <v>2.5</v>
          </cell>
          <cell r="G440">
            <v>2.2999999999999998</v>
          </cell>
          <cell r="H440">
            <v>1.1000000000000001</v>
          </cell>
          <cell r="I440">
            <v>2.5</v>
          </cell>
          <cell r="J440">
            <v>1.1000000000000001</v>
          </cell>
          <cell r="K440">
            <v>1.2</v>
          </cell>
          <cell r="L440">
            <v>1.2</v>
          </cell>
          <cell r="M440">
            <v>1.3</v>
          </cell>
        </row>
        <row r="441">
          <cell r="C441" t="str">
            <v>Cẩm Mỹ MBA T2 (phía 22kV)</v>
          </cell>
          <cell r="D441">
            <v>432</v>
          </cell>
          <cell r="E441">
            <v>1</v>
          </cell>
          <cell r="F441">
            <v>2</v>
          </cell>
          <cell r="G441">
            <v>1</v>
          </cell>
          <cell r="H441">
            <v>1</v>
          </cell>
          <cell r="I441">
            <v>2</v>
          </cell>
          <cell r="J441">
            <v>1</v>
          </cell>
          <cell r="K441">
            <v>2</v>
          </cell>
          <cell r="L441">
            <v>2</v>
          </cell>
          <cell r="M441">
            <v>2</v>
          </cell>
        </row>
        <row r="442">
          <cell r="C442" t="str">
            <v>Cần Đước MBA T1 (phía 110kV)</v>
          </cell>
          <cell r="D442">
            <v>131</v>
          </cell>
          <cell r="E442">
            <v>1.9</v>
          </cell>
          <cell r="F442">
            <v>-4.2</v>
          </cell>
          <cell r="G442">
            <v>-3.7</v>
          </cell>
          <cell r="H442">
            <v>-3.9</v>
          </cell>
          <cell r="I442">
            <v>-3.8</v>
          </cell>
          <cell r="J442">
            <v>1.9</v>
          </cell>
          <cell r="K442">
            <v>-4.2</v>
          </cell>
          <cell r="L442">
            <v>-4.2</v>
          </cell>
          <cell r="M442">
            <v>-4</v>
          </cell>
        </row>
        <row r="443">
          <cell r="C443" t="str">
            <v>Cần Đước MBA T2 (phía 110kV)</v>
          </cell>
          <cell r="D443">
            <v>132</v>
          </cell>
          <cell r="E443">
            <v>1.1000000000000001</v>
          </cell>
          <cell r="F443">
            <v>2.1</v>
          </cell>
          <cell r="G443">
            <v>1.9</v>
          </cell>
          <cell r="H443">
            <v>2.1</v>
          </cell>
          <cell r="I443">
            <v>1.8</v>
          </cell>
          <cell r="J443">
            <v>1.1000000000000001</v>
          </cell>
          <cell r="K443">
            <v>1.5</v>
          </cell>
          <cell r="L443">
            <v>1.5</v>
          </cell>
          <cell r="M443">
            <v>1.5</v>
          </cell>
        </row>
        <row r="444">
          <cell r="C444" t="str">
            <v>110kV 171 Cần Đước - 175 Cần Đước 2</v>
          </cell>
          <cell r="D444">
            <v>171</v>
          </cell>
          <cell r="E444">
            <v>-5.3</v>
          </cell>
          <cell r="F444">
            <v>-7.4</v>
          </cell>
          <cell r="G444">
            <v>5.8</v>
          </cell>
          <cell r="H444">
            <v>-7.3</v>
          </cell>
          <cell r="I444">
            <v>-6.7</v>
          </cell>
          <cell r="J444">
            <v>-7.1</v>
          </cell>
          <cell r="K444">
            <v>-5.3</v>
          </cell>
          <cell r="L444">
            <v>-5.7</v>
          </cell>
          <cell r="M444">
            <v>-7.4</v>
          </cell>
        </row>
        <row r="445">
          <cell r="C445" t="str">
            <v>110kV 172 Cần Đước - 172 Gò Công</v>
          </cell>
          <cell r="D445">
            <v>172</v>
          </cell>
          <cell r="E445">
            <v>4.4000000000000004</v>
          </cell>
          <cell r="F445">
            <v>7.1</v>
          </cell>
          <cell r="G445">
            <v>6.9</v>
          </cell>
          <cell r="H445">
            <v>7.1</v>
          </cell>
          <cell r="I445">
            <v>5.8</v>
          </cell>
          <cell r="J445">
            <v>5.2</v>
          </cell>
          <cell r="K445">
            <v>4.4000000000000004</v>
          </cell>
          <cell r="L445">
            <v>5.2</v>
          </cell>
          <cell r="M445">
            <v>5.9</v>
          </cell>
        </row>
        <row r="446">
          <cell r="C446" t="str">
            <v>Cần Đước MBA T1 (phía 22kV)</v>
          </cell>
          <cell r="D446">
            <v>431</v>
          </cell>
          <cell r="E446">
            <v>-1.1000000000000001</v>
          </cell>
          <cell r="F446">
            <v>5.0999999999999996</v>
          </cell>
          <cell r="G446">
            <v>4.5999999999999996</v>
          </cell>
          <cell r="H446">
            <v>4.8</v>
          </cell>
          <cell r="I446">
            <v>4.7</v>
          </cell>
          <cell r="J446">
            <v>-1.1000000000000001</v>
          </cell>
          <cell r="K446">
            <v>5</v>
          </cell>
          <cell r="L446">
            <v>5.0999999999999996</v>
          </cell>
          <cell r="M446">
            <v>4.9000000000000004</v>
          </cell>
        </row>
        <row r="447">
          <cell r="C447" t="str">
            <v>Cần Đước MBA T2 (phía 22kV)</v>
          </cell>
          <cell r="D447">
            <v>432</v>
          </cell>
          <cell r="E447">
            <v>-1.4</v>
          </cell>
          <cell r="F447">
            <v>-1.9</v>
          </cell>
          <cell r="G447">
            <v>-1.8</v>
          </cell>
          <cell r="H447">
            <v>-1.9</v>
          </cell>
          <cell r="I447">
            <v>-1.7</v>
          </cell>
          <cell r="J447">
            <v>-1.5</v>
          </cell>
          <cell r="K447">
            <v>-1.4</v>
          </cell>
          <cell r="L447">
            <v>-1.4</v>
          </cell>
          <cell r="M447">
            <v>-1.4</v>
          </cell>
        </row>
        <row r="448">
          <cell r="C448" t="str">
            <v>Cần Đước 2 MBA AT2 (phía 110kV)</v>
          </cell>
          <cell r="D448">
            <v>132</v>
          </cell>
          <cell r="E448">
            <v>-14.4</v>
          </cell>
          <cell r="F448">
            <v>18.8</v>
          </cell>
          <cell r="G448">
            <v>18.8</v>
          </cell>
          <cell r="H448">
            <v>14.4</v>
          </cell>
          <cell r="I448">
            <v>-14.4</v>
          </cell>
          <cell r="J448">
            <v>16.7</v>
          </cell>
          <cell r="K448">
            <v>16.600000000000001</v>
          </cell>
          <cell r="L448">
            <v>-14.7</v>
          </cell>
          <cell r="M448">
            <v>18.3</v>
          </cell>
        </row>
        <row r="449">
          <cell r="C449" t="str">
            <v>Cần Đước 2 MBA T4 (phía 110kV)</v>
          </cell>
          <cell r="D449">
            <v>134</v>
          </cell>
          <cell r="E449">
            <v>-1.9</v>
          </cell>
          <cell r="F449">
            <v>4.8</v>
          </cell>
          <cell r="G449">
            <v>-3.4</v>
          </cell>
          <cell r="H449">
            <v>3.5</v>
          </cell>
          <cell r="I449">
            <v>2.4</v>
          </cell>
          <cell r="J449">
            <v>-1.9</v>
          </cell>
          <cell r="K449">
            <v>2.7</v>
          </cell>
          <cell r="L449">
            <v>4.8</v>
          </cell>
          <cell r="M449">
            <v>-3.7</v>
          </cell>
        </row>
        <row r="450">
          <cell r="C450" t="str">
            <v>110kV 174 Cần Đước 2 - (171-7) Tân Tập</v>
          </cell>
          <cell r="D450">
            <v>174</v>
          </cell>
          <cell r="E450">
            <v>-2.4</v>
          </cell>
          <cell r="F450">
            <v>-3.3</v>
          </cell>
          <cell r="G450">
            <v>-3.3</v>
          </cell>
          <cell r="H450">
            <v>-2.5</v>
          </cell>
          <cell r="I450">
            <v>-3.2</v>
          </cell>
          <cell r="J450">
            <v>-2.4</v>
          </cell>
          <cell r="K450">
            <v>-2.5</v>
          </cell>
          <cell r="L450">
            <v>-3</v>
          </cell>
          <cell r="M450">
            <v>-2.8</v>
          </cell>
        </row>
        <row r="451">
          <cell r="C451" t="str">
            <v>110kV 175 Cần Đước 2 - 171 Cần Đước</v>
          </cell>
          <cell r="D451">
            <v>175</v>
          </cell>
          <cell r="E451">
            <v>6.5</v>
          </cell>
          <cell r="F451">
            <v>9.3000000000000007</v>
          </cell>
          <cell r="G451">
            <v>7</v>
          </cell>
          <cell r="H451">
            <v>8</v>
          </cell>
          <cell r="I451">
            <v>7.8</v>
          </cell>
          <cell r="J451">
            <v>7.8</v>
          </cell>
          <cell r="K451">
            <v>6.5</v>
          </cell>
          <cell r="L451">
            <v>7.2</v>
          </cell>
          <cell r="M451">
            <v>9.3000000000000007</v>
          </cell>
        </row>
        <row r="452">
          <cell r="C452" t="str">
            <v>110kV 176 Cần Đước 2 - 171 Cần Giuộc</v>
          </cell>
          <cell r="D452">
            <v>176</v>
          </cell>
          <cell r="E452">
            <v>7.6</v>
          </cell>
          <cell r="F452">
            <v>-12.9</v>
          </cell>
          <cell r="G452">
            <v>-8.6</v>
          </cell>
          <cell r="H452">
            <v>-9.9</v>
          </cell>
          <cell r="I452">
            <v>9.6</v>
          </cell>
          <cell r="J452">
            <v>-12.1</v>
          </cell>
          <cell r="K452">
            <v>-12.9</v>
          </cell>
          <cell r="L452">
            <v>-8</v>
          </cell>
          <cell r="M452">
            <v>7.6</v>
          </cell>
        </row>
        <row r="453">
          <cell r="C453" t="str">
            <v>Cần Đước 2 MBA AT2 (phía 220kV)</v>
          </cell>
          <cell r="D453">
            <v>232</v>
          </cell>
          <cell r="E453">
            <v>16.3</v>
          </cell>
          <cell r="F453">
            <v>33.700000000000003</v>
          </cell>
          <cell r="G453">
            <v>23.7</v>
          </cell>
          <cell r="H453">
            <v>25.9</v>
          </cell>
          <cell r="I453">
            <v>33.700000000000003</v>
          </cell>
          <cell r="J453">
            <v>16.3</v>
          </cell>
          <cell r="K453">
            <v>30.8</v>
          </cell>
          <cell r="L453">
            <v>32.5</v>
          </cell>
          <cell r="M453">
            <v>30.4</v>
          </cell>
        </row>
        <row r="454">
          <cell r="C454" t="str">
            <v>220kV 273 Cần Đước 2 - 275 Mỹ Tho 2</v>
          </cell>
          <cell r="D454">
            <v>273</v>
          </cell>
          <cell r="E454">
            <v>-17.7</v>
          </cell>
          <cell r="F454">
            <v>-27.8</v>
          </cell>
          <cell r="G454">
            <v>-20.9</v>
          </cell>
          <cell r="H454">
            <v>-22.8</v>
          </cell>
          <cell r="I454">
            <v>-26</v>
          </cell>
          <cell r="J454">
            <v>-17.7</v>
          </cell>
          <cell r="K454">
            <v>-21.1</v>
          </cell>
          <cell r="L454">
            <v>-27.8</v>
          </cell>
          <cell r="M454">
            <v>-22.7</v>
          </cell>
        </row>
        <row r="455">
          <cell r="C455" t="str">
            <v>220kV 274 Cần Đước 2 - 283 NMĐ Phú Mỹ 1</v>
          </cell>
          <cell r="D455">
            <v>274</v>
          </cell>
          <cell r="E455">
            <v>-10.4</v>
          </cell>
          <cell r="F455">
            <v>16.8</v>
          </cell>
          <cell r="G455">
            <v>11.6</v>
          </cell>
          <cell r="H455">
            <v>-12.5</v>
          </cell>
          <cell r="I455">
            <v>-10.4</v>
          </cell>
          <cell r="J455">
            <v>14.9</v>
          </cell>
          <cell r="K455">
            <v>14.6</v>
          </cell>
          <cell r="L455">
            <v>16.8</v>
          </cell>
          <cell r="M455">
            <v>16.2</v>
          </cell>
        </row>
        <row r="456">
          <cell r="C456" t="str">
            <v>Cần Đước 2 MBA T4 (phía 22kV)</v>
          </cell>
          <cell r="D456">
            <v>434</v>
          </cell>
          <cell r="E456">
            <v>2.4</v>
          </cell>
          <cell r="F456">
            <v>5.8</v>
          </cell>
          <cell r="G456">
            <v>5.8</v>
          </cell>
          <cell r="H456">
            <v>2.9</v>
          </cell>
          <cell r="I456">
            <v>3</v>
          </cell>
          <cell r="J456">
            <v>2.5</v>
          </cell>
          <cell r="K456">
            <v>2.4</v>
          </cell>
          <cell r="L456">
            <v>5.2</v>
          </cell>
          <cell r="M456">
            <v>5.4</v>
          </cell>
        </row>
        <row r="457">
          <cell r="C457" t="str">
            <v>Cần Giờ MBA T1 (phía 110kV)</v>
          </cell>
          <cell r="D457">
            <v>131</v>
          </cell>
          <cell r="E457">
            <v>-1.2</v>
          </cell>
          <cell r="F457">
            <v>-3.3</v>
          </cell>
          <cell r="G457">
            <v>-1.2</v>
          </cell>
          <cell r="H457">
            <v>-1.2</v>
          </cell>
          <cell r="I457">
            <v>-1.2</v>
          </cell>
          <cell r="J457">
            <v>-1.3</v>
          </cell>
          <cell r="K457">
            <v>-3.3</v>
          </cell>
          <cell r="L457">
            <v>-1.5</v>
          </cell>
          <cell r="M457">
            <v>-1.2</v>
          </cell>
        </row>
        <row r="458">
          <cell r="C458" t="str">
            <v>Cần Giờ MBA T2 (phía 110kV)</v>
          </cell>
          <cell r="D458">
            <v>132</v>
          </cell>
          <cell r="E458">
            <v>-0.6</v>
          </cell>
          <cell r="F458">
            <v>-2.9</v>
          </cell>
          <cell r="G458">
            <v>-0.6</v>
          </cell>
          <cell r="H458">
            <v>-0.6</v>
          </cell>
          <cell r="I458">
            <v>-0.6</v>
          </cell>
          <cell r="J458">
            <v>-0.6</v>
          </cell>
          <cell r="K458">
            <v>-2.9</v>
          </cell>
          <cell r="L458">
            <v>-0.7</v>
          </cell>
          <cell r="M458">
            <v>-0.7</v>
          </cell>
        </row>
        <row r="459">
          <cell r="C459" t="str">
            <v>110kV 171 Cần Giờ - 176 Nhà Bè</v>
          </cell>
          <cell r="D459">
            <v>171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</row>
        <row r="460">
          <cell r="C460" t="str">
            <v>110kV 172 Cần Giờ - 171 An Nghĩa</v>
          </cell>
          <cell r="D460">
            <v>172</v>
          </cell>
          <cell r="E460">
            <v>3.6</v>
          </cell>
          <cell r="F460">
            <v>12.6</v>
          </cell>
          <cell r="G460">
            <v>3.6</v>
          </cell>
          <cell r="H460">
            <v>3.7</v>
          </cell>
          <cell r="I460">
            <v>3.7</v>
          </cell>
          <cell r="J460">
            <v>3.9</v>
          </cell>
          <cell r="K460">
            <v>12.6</v>
          </cell>
          <cell r="L460">
            <v>4.0999999999999996</v>
          </cell>
          <cell r="M460">
            <v>4</v>
          </cell>
        </row>
        <row r="461">
          <cell r="C461" t="str">
            <v>Cần Giờ MBA T1 (phía 22kV)</v>
          </cell>
          <cell r="D461">
            <v>431</v>
          </cell>
          <cell r="E461">
            <v>-1.2</v>
          </cell>
          <cell r="F461">
            <v>-3.4</v>
          </cell>
          <cell r="G461">
            <v>-1.2</v>
          </cell>
          <cell r="H461">
            <v>-1.2</v>
          </cell>
          <cell r="I461">
            <v>-1.2</v>
          </cell>
          <cell r="J461">
            <v>-1.2</v>
          </cell>
          <cell r="K461">
            <v>-3.4</v>
          </cell>
          <cell r="L461">
            <v>-1.3</v>
          </cell>
          <cell r="M461">
            <v>-1.2</v>
          </cell>
        </row>
        <row r="462">
          <cell r="C462" t="str">
            <v>Cần Giờ MBA T2 (phía 22kV)</v>
          </cell>
          <cell r="D462">
            <v>432</v>
          </cell>
          <cell r="E462">
            <v>-0.6</v>
          </cell>
          <cell r="F462">
            <v>-3</v>
          </cell>
          <cell r="G462">
            <v>-0.6</v>
          </cell>
          <cell r="H462">
            <v>-0.7</v>
          </cell>
          <cell r="I462">
            <v>-0.7</v>
          </cell>
          <cell r="J462">
            <v>-0.7</v>
          </cell>
          <cell r="K462">
            <v>-3</v>
          </cell>
          <cell r="L462">
            <v>-0.8</v>
          </cell>
          <cell r="M462">
            <v>-0.8</v>
          </cell>
        </row>
        <row r="463">
          <cell r="C463" t="str">
            <v>Cần Giuộc MBA T1 (phía 110kV)</v>
          </cell>
          <cell r="D463">
            <v>131</v>
          </cell>
          <cell r="E463">
            <v>2.8</v>
          </cell>
          <cell r="F463">
            <v>-4.5999999999999996</v>
          </cell>
          <cell r="G463">
            <v>-4.3</v>
          </cell>
          <cell r="H463">
            <v>-4.5999999999999996</v>
          </cell>
          <cell r="I463">
            <v>3.9</v>
          </cell>
          <cell r="J463">
            <v>2.8</v>
          </cell>
          <cell r="K463">
            <v>3.1</v>
          </cell>
          <cell r="L463">
            <v>3.6</v>
          </cell>
          <cell r="M463">
            <v>3.2</v>
          </cell>
        </row>
        <row r="464">
          <cell r="C464" t="str">
            <v>110kV 171 Cần Giuộc - 176 Cần Đước 2</v>
          </cell>
          <cell r="D464">
            <v>171</v>
          </cell>
          <cell r="E464">
            <v>-6.8</v>
          </cell>
          <cell r="F464">
            <v>12.1</v>
          </cell>
          <cell r="G464">
            <v>9</v>
          </cell>
          <cell r="H464">
            <v>10.1</v>
          </cell>
          <cell r="I464">
            <v>-9.5</v>
          </cell>
          <cell r="J464">
            <v>11.1</v>
          </cell>
          <cell r="K464">
            <v>12.1</v>
          </cell>
          <cell r="L464">
            <v>7.2</v>
          </cell>
          <cell r="M464">
            <v>-6.8</v>
          </cell>
        </row>
        <row r="465">
          <cell r="C465" t="str">
            <v>110kV 172 Cần Giuộc - 172 Long Hậu</v>
          </cell>
          <cell r="D465">
            <v>172</v>
          </cell>
          <cell r="E465">
            <v>-5.4</v>
          </cell>
          <cell r="F465">
            <v>-9</v>
          </cell>
          <cell r="G465">
            <v>-5.6</v>
          </cell>
          <cell r="H465">
            <v>-5.8</v>
          </cell>
          <cell r="I465">
            <v>5.8</v>
          </cell>
          <cell r="J465">
            <v>-8.8000000000000007</v>
          </cell>
          <cell r="K465">
            <v>-9</v>
          </cell>
          <cell r="L465">
            <v>-5.4</v>
          </cell>
          <cell r="M465">
            <v>-6.1</v>
          </cell>
        </row>
        <row r="466">
          <cell r="C466" t="str">
            <v>Cần Giuộc MBA T1 (phía 22kV)</v>
          </cell>
          <cell r="D466">
            <v>431</v>
          </cell>
          <cell r="E466">
            <v>-2.2999999999999998</v>
          </cell>
          <cell r="F466">
            <v>5.5</v>
          </cell>
          <cell r="G466">
            <v>5.0999999999999996</v>
          </cell>
          <cell r="H466">
            <v>5.5</v>
          </cell>
          <cell r="I466">
            <v>-2.9</v>
          </cell>
          <cell r="J466">
            <v>3.2</v>
          </cell>
          <cell r="K466">
            <v>3.6</v>
          </cell>
          <cell r="L466">
            <v>-2.8</v>
          </cell>
          <cell r="M466">
            <v>-2.2999999999999998</v>
          </cell>
        </row>
        <row r="467">
          <cell r="C467" t="str">
            <v>Cần Thơ MBA T1 (phía 110kV)</v>
          </cell>
          <cell r="D467">
            <v>131</v>
          </cell>
          <cell r="E467">
            <v>4.0999999999999996</v>
          </cell>
          <cell r="F467">
            <v>6.4</v>
          </cell>
          <cell r="G467">
            <v>-4.2</v>
          </cell>
          <cell r="H467">
            <v>-5</v>
          </cell>
          <cell r="I467">
            <v>5</v>
          </cell>
          <cell r="J467">
            <v>5.8</v>
          </cell>
          <cell r="K467">
            <v>4.0999999999999996</v>
          </cell>
          <cell r="L467">
            <v>-4.5</v>
          </cell>
          <cell r="M467">
            <v>6.4</v>
          </cell>
        </row>
        <row r="468">
          <cell r="C468" t="str">
            <v>Cần Thơ MBA T2 (phía 110kV)</v>
          </cell>
          <cell r="D468">
            <v>132</v>
          </cell>
          <cell r="E468">
            <v>3.3</v>
          </cell>
          <cell r="F468">
            <v>-6</v>
          </cell>
          <cell r="G468">
            <v>-5</v>
          </cell>
          <cell r="H468">
            <v>4.7</v>
          </cell>
          <cell r="I468">
            <v>3.8</v>
          </cell>
          <cell r="J468">
            <v>3.3</v>
          </cell>
          <cell r="K468">
            <v>-6</v>
          </cell>
          <cell r="L468">
            <v>3.4</v>
          </cell>
          <cell r="M468">
            <v>3.3</v>
          </cell>
        </row>
        <row r="469">
          <cell r="C469" t="str">
            <v>110kV 171 Cần Thơ - 172 Long Hòa</v>
          </cell>
          <cell r="D469">
            <v>171</v>
          </cell>
          <cell r="E469">
            <v>-4.0999999999999996</v>
          </cell>
          <cell r="F469">
            <v>-6.4</v>
          </cell>
          <cell r="G469">
            <v>4.2</v>
          </cell>
          <cell r="H469">
            <v>4.9000000000000004</v>
          </cell>
          <cell r="I469">
            <v>-4.9000000000000004</v>
          </cell>
          <cell r="J469">
            <v>-5.7</v>
          </cell>
          <cell r="K469">
            <v>-4.0999999999999996</v>
          </cell>
          <cell r="L469">
            <v>4.5999999999999996</v>
          </cell>
          <cell r="M469">
            <v>-6.4</v>
          </cell>
        </row>
        <row r="470">
          <cell r="C470" t="str">
            <v>110kV 172 Cần Thơ - 178 Cần Thơ 2</v>
          </cell>
          <cell r="D470">
            <v>172</v>
          </cell>
          <cell r="E470">
            <v>-3.1</v>
          </cell>
          <cell r="F470">
            <v>5.9</v>
          </cell>
          <cell r="G470">
            <v>5</v>
          </cell>
          <cell r="H470">
            <v>-4.5</v>
          </cell>
          <cell r="I470">
            <v>-3.6</v>
          </cell>
          <cell r="J470">
            <v>-3.2</v>
          </cell>
          <cell r="K470">
            <v>5.9</v>
          </cell>
          <cell r="L470">
            <v>-3.1</v>
          </cell>
          <cell r="M470">
            <v>-3.1</v>
          </cell>
        </row>
        <row r="471">
          <cell r="C471" t="str">
            <v>Cần Thơ MBA T1 (phía 22kV)</v>
          </cell>
          <cell r="D471">
            <v>431</v>
          </cell>
          <cell r="E471">
            <v>-3.6</v>
          </cell>
          <cell r="F471">
            <v>7.3</v>
          </cell>
          <cell r="G471">
            <v>6.5</v>
          </cell>
          <cell r="H471">
            <v>7.3</v>
          </cell>
          <cell r="I471">
            <v>6.2</v>
          </cell>
          <cell r="J471">
            <v>-3.6</v>
          </cell>
          <cell r="K471">
            <v>5.3</v>
          </cell>
          <cell r="L471">
            <v>7</v>
          </cell>
          <cell r="M471">
            <v>-4.0999999999999996</v>
          </cell>
        </row>
        <row r="472">
          <cell r="C472" t="str">
            <v>Cần Thơ MBA T2 (phía 22kV)</v>
          </cell>
          <cell r="D472">
            <v>432</v>
          </cell>
          <cell r="E472">
            <v>-1.9</v>
          </cell>
          <cell r="F472">
            <v>8.1</v>
          </cell>
          <cell r="G472">
            <v>7.2</v>
          </cell>
          <cell r="H472">
            <v>2.9</v>
          </cell>
          <cell r="I472">
            <v>-1.9</v>
          </cell>
          <cell r="J472">
            <v>-2.1</v>
          </cell>
          <cell r="K472">
            <v>8.1</v>
          </cell>
          <cell r="L472">
            <v>2.4</v>
          </cell>
          <cell r="M472">
            <v>2.8</v>
          </cell>
        </row>
        <row r="473">
          <cell r="C473" t="str">
            <v>Cần Thơ 2 MBA AT2 (phía 110kV)</v>
          </cell>
          <cell r="D473">
            <v>132</v>
          </cell>
          <cell r="E473">
            <v>7.9</v>
          </cell>
          <cell r="F473">
            <v>13.9</v>
          </cell>
          <cell r="G473">
            <v>10.4</v>
          </cell>
          <cell r="H473">
            <v>9.4</v>
          </cell>
          <cell r="I473">
            <v>11.1</v>
          </cell>
          <cell r="J473">
            <v>9.9</v>
          </cell>
          <cell r="K473">
            <v>13.9</v>
          </cell>
          <cell r="L473">
            <v>7.9</v>
          </cell>
          <cell r="M473">
            <v>7.9</v>
          </cell>
        </row>
        <row r="474">
          <cell r="C474" t="str">
            <v>110kV 176 Cần Thơ 2 - 171 Phú Xuân</v>
          </cell>
          <cell r="D474">
            <v>176</v>
          </cell>
          <cell r="E474">
            <v>-0.9</v>
          </cell>
          <cell r="F474">
            <v>-3.8</v>
          </cell>
          <cell r="G474">
            <v>-0.9</v>
          </cell>
          <cell r="H474">
            <v>-3</v>
          </cell>
          <cell r="I474">
            <v>-3</v>
          </cell>
          <cell r="J474">
            <v>-3.8</v>
          </cell>
          <cell r="K474">
            <v>-2.4</v>
          </cell>
          <cell r="L474">
            <v>-2.4</v>
          </cell>
          <cell r="M474">
            <v>-1.8</v>
          </cell>
        </row>
        <row r="475">
          <cell r="C475" t="str">
            <v>110kV 177 Cần Thơ 2 - 172 Hưng Phú</v>
          </cell>
          <cell r="D475">
            <v>177</v>
          </cell>
          <cell r="E475">
            <v>-1.1000000000000001</v>
          </cell>
          <cell r="F475">
            <v>-6.4</v>
          </cell>
          <cell r="G475">
            <v>-1.1000000000000001</v>
          </cell>
          <cell r="H475">
            <v>-4.4000000000000004</v>
          </cell>
          <cell r="I475">
            <v>-3.5</v>
          </cell>
          <cell r="J475">
            <v>-6.4</v>
          </cell>
          <cell r="K475">
            <v>-5.5</v>
          </cell>
          <cell r="L475">
            <v>-5.5</v>
          </cell>
          <cell r="M475">
            <v>-2.1</v>
          </cell>
        </row>
        <row r="476">
          <cell r="C476" t="str">
            <v>110kV 178 Cần Thơ 2 - 172 Cần Thơ</v>
          </cell>
          <cell r="D476">
            <v>178</v>
          </cell>
          <cell r="E476">
            <v>0</v>
          </cell>
          <cell r="F476">
            <v>4.4000000000000004</v>
          </cell>
          <cell r="G476">
            <v>-4.0999999999999996</v>
          </cell>
          <cell r="H476">
            <v>4.4000000000000004</v>
          </cell>
          <cell r="I476">
            <v>3.8</v>
          </cell>
          <cell r="J476">
            <v>3.8</v>
          </cell>
          <cell r="K476">
            <v>0</v>
          </cell>
          <cell r="L476">
            <v>0</v>
          </cell>
          <cell r="M476">
            <v>0</v>
          </cell>
        </row>
        <row r="477">
          <cell r="C477" t="str">
            <v>110kV 179 Cần Thơ 2 - 171 Châu Thành</v>
          </cell>
          <cell r="D477">
            <v>179</v>
          </cell>
          <cell r="E477">
            <v>0</v>
          </cell>
          <cell r="F477">
            <v>6</v>
          </cell>
          <cell r="G477">
            <v>6</v>
          </cell>
          <cell r="H477">
            <v>4.9000000000000004</v>
          </cell>
          <cell r="I477">
            <v>3.8</v>
          </cell>
          <cell r="J477">
            <v>-3.9</v>
          </cell>
          <cell r="K477">
            <v>0</v>
          </cell>
          <cell r="L477">
            <v>0</v>
          </cell>
          <cell r="M477">
            <v>-1.6</v>
          </cell>
        </row>
        <row r="478">
          <cell r="C478" t="str">
            <v>110kV 180 Cần Thơ 2 - 173 Trà Nóc</v>
          </cell>
          <cell r="D478">
            <v>180</v>
          </cell>
          <cell r="E478">
            <v>-1.2</v>
          </cell>
          <cell r="F478">
            <v>-1.2</v>
          </cell>
          <cell r="G478">
            <v>-1.2</v>
          </cell>
          <cell r="H478">
            <v>-1.2</v>
          </cell>
          <cell r="I478">
            <v>-1.2</v>
          </cell>
          <cell r="J478">
            <v>-1.2</v>
          </cell>
          <cell r="K478">
            <v>-1.2</v>
          </cell>
          <cell r="L478">
            <v>-1.2</v>
          </cell>
          <cell r="M478">
            <v>-1.2</v>
          </cell>
        </row>
        <row r="479">
          <cell r="C479" t="str">
            <v>Cần Thơ 2 MBA AT2 (phía 220kV)</v>
          </cell>
          <cell r="D479">
            <v>232</v>
          </cell>
          <cell r="E479">
            <v>5.9</v>
          </cell>
          <cell r="F479">
            <v>17.2</v>
          </cell>
          <cell r="G479">
            <v>5.9</v>
          </cell>
          <cell r="H479">
            <v>17.2</v>
          </cell>
          <cell r="I479">
            <v>15</v>
          </cell>
          <cell r="J479">
            <v>8</v>
          </cell>
          <cell r="K479">
            <v>-8.8000000000000007</v>
          </cell>
          <cell r="L479">
            <v>-7.7</v>
          </cell>
          <cell r="M479">
            <v>6.4</v>
          </cell>
        </row>
        <row r="480">
          <cell r="C480" t="str">
            <v>220kV 275 Cần Thơ 2 - 271 Trà Nóc</v>
          </cell>
          <cell r="D480">
            <v>275</v>
          </cell>
          <cell r="E480">
            <v>-1.3</v>
          </cell>
          <cell r="F480">
            <v>-5.3</v>
          </cell>
          <cell r="G480">
            <v>-1.3</v>
          </cell>
          <cell r="H480">
            <v>-2.5</v>
          </cell>
          <cell r="I480">
            <v>-5.3</v>
          </cell>
          <cell r="J480">
            <v>3.4</v>
          </cell>
          <cell r="K480">
            <v>2.2000000000000002</v>
          </cell>
          <cell r="L480">
            <v>2.2000000000000002</v>
          </cell>
          <cell r="M480">
            <v>2.2000000000000002</v>
          </cell>
        </row>
        <row r="481">
          <cell r="C481" t="str">
            <v>220kV 276 Cần Thơ 2 - 272 Ô Môn 2</v>
          </cell>
          <cell r="D481">
            <v>276</v>
          </cell>
          <cell r="E481">
            <v>0.7</v>
          </cell>
          <cell r="F481">
            <v>-8.4</v>
          </cell>
          <cell r="G481">
            <v>-4.0999999999999996</v>
          </cell>
          <cell r="H481">
            <v>-7.2</v>
          </cell>
          <cell r="I481">
            <v>-8.4</v>
          </cell>
          <cell r="J481">
            <v>-4.2</v>
          </cell>
          <cell r="K481">
            <v>0.7</v>
          </cell>
          <cell r="L481">
            <v>-3.5</v>
          </cell>
          <cell r="M481">
            <v>-6.1</v>
          </cell>
        </row>
        <row r="482">
          <cell r="C482" t="str">
            <v>Cao Lãnh MBA T1 (phía 110kV)</v>
          </cell>
          <cell r="D482">
            <v>131</v>
          </cell>
          <cell r="E482">
            <v>-1.8</v>
          </cell>
          <cell r="F482">
            <v>3.3</v>
          </cell>
          <cell r="G482">
            <v>-3.3</v>
          </cell>
          <cell r="H482">
            <v>2.2999999999999998</v>
          </cell>
          <cell r="I482">
            <v>-2.5</v>
          </cell>
          <cell r="J482">
            <v>-1.9</v>
          </cell>
          <cell r="K482">
            <v>3.3</v>
          </cell>
          <cell r="L482">
            <v>2</v>
          </cell>
          <cell r="M482">
            <v>-1.8</v>
          </cell>
        </row>
        <row r="483">
          <cell r="C483" t="str">
            <v>Cao Lãnh MBA T2 (phía 110kV)</v>
          </cell>
          <cell r="D483">
            <v>132</v>
          </cell>
          <cell r="E483">
            <v>-2.1</v>
          </cell>
          <cell r="F483">
            <v>-2.7</v>
          </cell>
          <cell r="G483">
            <v>-2.2999999999999998</v>
          </cell>
          <cell r="H483">
            <v>-2.1</v>
          </cell>
          <cell r="I483">
            <v>-2.2000000000000002</v>
          </cell>
          <cell r="J483">
            <v>-2.1</v>
          </cell>
          <cell r="K483">
            <v>-2.7</v>
          </cell>
          <cell r="L483">
            <v>-2.7</v>
          </cell>
          <cell r="M483">
            <v>-2.2000000000000002</v>
          </cell>
        </row>
        <row r="484">
          <cell r="C484" t="str">
            <v>110kV 171 Cao Lãnh - 173 Cao Lãnh 2</v>
          </cell>
          <cell r="D484">
            <v>171</v>
          </cell>
          <cell r="E484">
            <v>2.7</v>
          </cell>
          <cell r="F484">
            <v>-5.2</v>
          </cell>
          <cell r="G484">
            <v>4.9000000000000004</v>
          </cell>
          <cell r="H484">
            <v>-3.2</v>
          </cell>
          <cell r="I484">
            <v>3.3</v>
          </cell>
          <cell r="J484">
            <v>2.7</v>
          </cell>
          <cell r="K484">
            <v>-5.2</v>
          </cell>
          <cell r="L484">
            <v>3.7</v>
          </cell>
          <cell r="M484">
            <v>2.7</v>
          </cell>
        </row>
        <row r="485">
          <cell r="C485" t="str">
            <v>110kV 172 Cao Lãnh - 172 Trần Quốc Toản</v>
          </cell>
          <cell r="D485">
            <v>172</v>
          </cell>
          <cell r="E485">
            <v>0</v>
          </cell>
          <cell r="F485">
            <v>-6</v>
          </cell>
          <cell r="G485">
            <v>-6</v>
          </cell>
          <cell r="H485">
            <v>5.9</v>
          </cell>
          <cell r="I485">
            <v>-3.9</v>
          </cell>
          <cell r="J485">
            <v>0</v>
          </cell>
          <cell r="K485">
            <v>5.3</v>
          </cell>
          <cell r="L485">
            <v>0</v>
          </cell>
          <cell r="M485">
            <v>4.0999999999999996</v>
          </cell>
        </row>
        <row r="486">
          <cell r="C486" t="str">
            <v>110kV 173 Cao Lãnh - 171 Cao Lãnh 2</v>
          </cell>
          <cell r="D486">
            <v>173</v>
          </cell>
          <cell r="E486">
            <v>0</v>
          </cell>
          <cell r="F486">
            <v>-5.2</v>
          </cell>
          <cell r="G486">
            <v>4</v>
          </cell>
          <cell r="H486">
            <v>-3.3</v>
          </cell>
          <cell r="I486">
            <v>0</v>
          </cell>
          <cell r="J486">
            <v>0</v>
          </cell>
          <cell r="K486">
            <v>-5.2</v>
          </cell>
          <cell r="L486">
            <v>3</v>
          </cell>
          <cell r="M486">
            <v>-2.6</v>
          </cell>
        </row>
        <row r="487">
          <cell r="C487" t="str">
            <v>Cao Lãnh MBA T1 (phía 22kV)</v>
          </cell>
          <cell r="D487">
            <v>431</v>
          </cell>
          <cell r="E487">
            <v>2.6</v>
          </cell>
          <cell r="F487">
            <v>4.0999999999999996</v>
          </cell>
          <cell r="G487">
            <v>4.0999999999999996</v>
          </cell>
          <cell r="H487">
            <v>2.6</v>
          </cell>
          <cell r="I487">
            <v>3.5</v>
          </cell>
          <cell r="J487">
            <v>2.7</v>
          </cell>
          <cell r="K487">
            <v>-2.9</v>
          </cell>
          <cell r="L487">
            <v>2.6</v>
          </cell>
          <cell r="M487">
            <v>2.9</v>
          </cell>
        </row>
        <row r="488">
          <cell r="C488" t="str">
            <v>Cao Lãnh MBA T2 (phía 22kV)</v>
          </cell>
          <cell r="D488">
            <v>432</v>
          </cell>
          <cell r="E488">
            <v>2.2999999999999998</v>
          </cell>
          <cell r="F488">
            <v>3</v>
          </cell>
          <cell r="G488">
            <v>2.5</v>
          </cell>
          <cell r="H488">
            <v>2.2999999999999998</v>
          </cell>
          <cell r="I488">
            <v>2.4</v>
          </cell>
          <cell r="J488">
            <v>2.4</v>
          </cell>
          <cell r="K488">
            <v>3</v>
          </cell>
          <cell r="L488">
            <v>2.8</v>
          </cell>
          <cell r="M488">
            <v>2.4</v>
          </cell>
        </row>
        <row r="489">
          <cell r="C489" t="str">
            <v>Cao Lãnh 2 MBA AT1 (phía 110kV)</v>
          </cell>
          <cell r="D489">
            <v>131</v>
          </cell>
          <cell r="E489">
            <v>7.1</v>
          </cell>
          <cell r="F489">
            <v>40.1</v>
          </cell>
          <cell r="G489">
            <v>40.1</v>
          </cell>
          <cell r="H489">
            <v>7.1</v>
          </cell>
          <cell r="I489">
            <v>10.5</v>
          </cell>
          <cell r="J489">
            <v>8.5</v>
          </cell>
          <cell r="K489">
            <v>-9.5</v>
          </cell>
          <cell r="L489">
            <v>8.3000000000000007</v>
          </cell>
          <cell r="M489">
            <v>7.7</v>
          </cell>
        </row>
        <row r="490">
          <cell r="C490" t="str">
            <v>Cao Lãnh 2 MBA AT2 (phía 110kV)</v>
          </cell>
          <cell r="D490">
            <v>132</v>
          </cell>
          <cell r="E490">
            <v>7.4</v>
          </cell>
          <cell r="F490">
            <v>39.9</v>
          </cell>
          <cell r="G490">
            <v>39.9</v>
          </cell>
          <cell r="H490">
            <v>7.4</v>
          </cell>
          <cell r="I490">
            <v>10.1</v>
          </cell>
          <cell r="J490">
            <v>8.8000000000000007</v>
          </cell>
          <cell r="K490">
            <v>-9.4</v>
          </cell>
          <cell r="L490">
            <v>8.1</v>
          </cell>
          <cell r="M490">
            <v>8.1999999999999993</v>
          </cell>
        </row>
        <row r="491">
          <cell r="C491" t="str">
            <v>110kV 171 Cao Lãnh 2 - 173 Cao Lãnh</v>
          </cell>
          <cell r="D491">
            <v>171</v>
          </cell>
          <cell r="E491">
            <v>-2.1</v>
          </cell>
          <cell r="F491">
            <v>4.5</v>
          </cell>
          <cell r="G491">
            <v>-3.7</v>
          </cell>
          <cell r="H491">
            <v>2.9</v>
          </cell>
          <cell r="I491">
            <v>-2.4</v>
          </cell>
          <cell r="J491">
            <v>-2.1</v>
          </cell>
          <cell r="K491">
            <v>4.5</v>
          </cell>
          <cell r="L491">
            <v>-3</v>
          </cell>
          <cell r="M491">
            <v>2.2000000000000002</v>
          </cell>
        </row>
        <row r="492">
          <cell r="C492" t="str">
            <v>110kV 172 Cao Lãnh 2 - 172 Thạnh Hưng</v>
          </cell>
          <cell r="D492">
            <v>172</v>
          </cell>
          <cell r="E492">
            <v>-8.6</v>
          </cell>
          <cell r="F492">
            <v>-12.9</v>
          </cell>
          <cell r="G492">
            <v>-11.2</v>
          </cell>
          <cell r="H492">
            <v>-8.8000000000000007</v>
          </cell>
          <cell r="I492">
            <v>-10.199999999999999</v>
          </cell>
          <cell r="J492">
            <v>-12.9</v>
          </cell>
          <cell r="K492">
            <v>-10.9</v>
          </cell>
          <cell r="L492">
            <v>-10.199999999999999</v>
          </cell>
          <cell r="M492">
            <v>-8.6</v>
          </cell>
        </row>
        <row r="493">
          <cell r="C493" t="str">
            <v>110kV 173 Cao Lãnh 2 - 171 Cao Lãnh</v>
          </cell>
          <cell r="D493">
            <v>173</v>
          </cell>
          <cell r="E493">
            <v>-2.2999999999999998</v>
          </cell>
          <cell r="F493">
            <v>5</v>
          </cell>
          <cell r="G493">
            <v>-4.5</v>
          </cell>
          <cell r="H493">
            <v>2.8</v>
          </cell>
          <cell r="I493">
            <v>-2.5</v>
          </cell>
          <cell r="J493">
            <v>-2.7</v>
          </cell>
          <cell r="K493">
            <v>5</v>
          </cell>
          <cell r="L493">
            <v>-3.4</v>
          </cell>
          <cell r="M493">
            <v>-2.2999999999999998</v>
          </cell>
        </row>
        <row r="494">
          <cell r="C494" t="str">
            <v>110kV 174 Cao Lãnh 2 - 172 Mỹ Thuận</v>
          </cell>
          <cell r="D494">
            <v>174</v>
          </cell>
          <cell r="E494">
            <v>-2</v>
          </cell>
          <cell r="F494">
            <v>-3.3</v>
          </cell>
          <cell r="G494">
            <v>-2.9</v>
          </cell>
          <cell r="H494">
            <v>-2</v>
          </cell>
          <cell r="I494">
            <v>-2.1</v>
          </cell>
          <cell r="J494">
            <v>-2.7</v>
          </cell>
          <cell r="K494">
            <v>-3.3</v>
          </cell>
          <cell r="L494">
            <v>-2.6</v>
          </cell>
          <cell r="M494">
            <v>-2.4</v>
          </cell>
        </row>
        <row r="495">
          <cell r="C495" t="str">
            <v>110kV 175 Cao Lãnh 2 - 171 Tháp Mười</v>
          </cell>
          <cell r="D495">
            <v>175</v>
          </cell>
          <cell r="E495">
            <v>2.2999999999999998</v>
          </cell>
          <cell r="F495">
            <v>-4.3</v>
          </cell>
          <cell r="G495">
            <v>2.2999999999999998</v>
          </cell>
          <cell r="H495">
            <v>3.9</v>
          </cell>
          <cell r="I495">
            <v>-4.3</v>
          </cell>
          <cell r="J495">
            <v>-3.5</v>
          </cell>
          <cell r="K495">
            <v>3.3</v>
          </cell>
          <cell r="L495">
            <v>-2.7</v>
          </cell>
          <cell r="M495">
            <v>-4.3</v>
          </cell>
        </row>
        <row r="496">
          <cell r="C496" t="str">
            <v>Cao Lãnh 2 MBA AT1 (phía 220kV)</v>
          </cell>
          <cell r="D496">
            <v>231</v>
          </cell>
          <cell r="E496">
            <v>-0.1</v>
          </cell>
          <cell r="F496">
            <v>-33.9</v>
          </cell>
          <cell r="G496">
            <v>-33.9</v>
          </cell>
          <cell r="H496">
            <v>6.4</v>
          </cell>
          <cell r="I496">
            <v>-0.1</v>
          </cell>
          <cell r="J496">
            <v>-0.1</v>
          </cell>
          <cell r="K496">
            <v>-0.1</v>
          </cell>
          <cell r="L496">
            <v>-0.1</v>
          </cell>
          <cell r="M496">
            <v>-0.1</v>
          </cell>
        </row>
        <row r="497">
          <cell r="C497" t="str">
            <v>Cao Lãnh 2 MBA AT2 (phía 220kV)</v>
          </cell>
          <cell r="D497">
            <v>232</v>
          </cell>
          <cell r="E497">
            <v>9.8000000000000007</v>
          </cell>
          <cell r="F497">
            <v>-33.4</v>
          </cell>
          <cell r="G497">
            <v>-33.4</v>
          </cell>
          <cell r="H497">
            <v>12.6</v>
          </cell>
          <cell r="I497">
            <v>10.3</v>
          </cell>
          <cell r="J497">
            <v>12.2</v>
          </cell>
          <cell r="K497">
            <v>15.3</v>
          </cell>
          <cell r="L497">
            <v>10.5</v>
          </cell>
          <cell r="M497">
            <v>9.8000000000000007</v>
          </cell>
        </row>
        <row r="498">
          <cell r="C498" t="str">
            <v>220kV 271 Cao Lãnh 2 - 275 Cai Lậy</v>
          </cell>
          <cell r="D498">
            <v>271</v>
          </cell>
          <cell r="E498">
            <v>17.3</v>
          </cell>
          <cell r="F498">
            <v>45.6</v>
          </cell>
          <cell r="G498">
            <v>45.6</v>
          </cell>
          <cell r="H498">
            <v>21.1</v>
          </cell>
          <cell r="I498">
            <v>17.3</v>
          </cell>
          <cell r="J498">
            <v>26.1</v>
          </cell>
          <cell r="K498">
            <v>29.3</v>
          </cell>
          <cell r="L498">
            <v>26.9</v>
          </cell>
          <cell r="M498">
            <v>25.7</v>
          </cell>
        </row>
        <row r="499">
          <cell r="C499" t="str">
            <v>220kV 272 Cao Lãnh 2 - 274 Cai Lậy</v>
          </cell>
          <cell r="D499">
            <v>272</v>
          </cell>
          <cell r="E499">
            <v>17.399999999999999</v>
          </cell>
          <cell r="F499">
            <v>44.9</v>
          </cell>
          <cell r="G499">
            <v>44.9</v>
          </cell>
          <cell r="H499">
            <v>20.5</v>
          </cell>
          <cell r="I499">
            <v>17.399999999999999</v>
          </cell>
          <cell r="J499">
            <v>25.1</v>
          </cell>
          <cell r="K499">
            <v>29.2</v>
          </cell>
          <cell r="L499">
            <v>27.1</v>
          </cell>
          <cell r="M499">
            <v>25</v>
          </cell>
        </row>
        <row r="500">
          <cell r="C500" t="str">
            <v>220kV 273 Cao Lãnh 2 - 277 Thốt Nốt 2</v>
          </cell>
          <cell r="D500">
            <v>273</v>
          </cell>
          <cell r="E500">
            <v>-21.7</v>
          </cell>
          <cell r="F500">
            <v>-30.5</v>
          </cell>
          <cell r="G500">
            <v>-30.5</v>
          </cell>
          <cell r="H500">
            <v>-27.8</v>
          </cell>
          <cell r="I500">
            <v>-21.7</v>
          </cell>
          <cell r="J500">
            <v>-25.8</v>
          </cell>
          <cell r="K500">
            <v>-26.7</v>
          </cell>
          <cell r="L500">
            <v>-26.9</v>
          </cell>
          <cell r="M500">
            <v>-24.6</v>
          </cell>
        </row>
        <row r="501">
          <cell r="C501" t="str">
            <v>220kV 274 Cao Lãnh 2 - 276 Thốt Nốt 2</v>
          </cell>
          <cell r="D501">
            <v>274</v>
          </cell>
          <cell r="E501">
            <v>-21.9</v>
          </cell>
          <cell r="F501">
            <v>-30</v>
          </cell>
          <cell r="G501">
            <v>-30</v>
          </cell>
          <cell r="H501">
            <v>-28.2</v>
          </cell>
          <cell r="I501">
            <v>-21.9</v>
          </cell>
          <cell r="J501">
            <v>-25.9</v>
          </cell>
          <cell r="K501">
            <v>-26.2</v>
          </cell>
          <cell r="L501">
            <v>-26.7</v>
          </cell>
          <cell r="M501">
            <v>-24.1</v>
          </cell>
        </row>
        <row r="502">
          <cell r="C502" t="str">
            <v>Cao Lãnh 2 Tụ Bù Ngang 101</v>
          </cell>
          <cell r="D502" t="str">
            <v>T101</v>
          </cell>
          <cell r="E502">
            <v>0</v>
          </cell>
          <cell r="F502">
            <v>60.5</v>
          </cell>
          <cell r="G502">
            <v>60.5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</row>
        <row r="503">
          <cell r="C503" t="str">
            <v>Cát Lái MBA AT1 (phía 110kV)</v>
          </cell>
          <cell r="D503">
            <v>131</v>
          </cell>
          <cell r="E503">
            <v>-19.899999999999999</v>
          </cell>
          <cell r="F503">
            <v>-55.6</v>
          </cell>
          <cell r="G503">
            <v>-55.6</v>
          </cell>
          <cell r="H503">
            <v>-53.6</v>
          </cell>
          <cell r="I503">
            <v>-52.5</v>
          </cell>
          <cell r="J503">
            <v>-19.899999999999999</v>
          </cell>
          <cell r="K503">
            <v>-50.2</v>
          </cell>
          <cell r="L503">
            <v>-50.7</v>
          </cell>
          <cell r="M503">
            <v>-50.9</v>
          </cell>
        </row>
        <row r="504">
          <cell r="C504" t="str">
            <v>Cát Lái MBA AT2 (phía 110kV)</v>
          </cell>
          <cell r="D504">
            <v>132</v>
          </cell>
          <cell r="E504">
            <v>-24</v>
          </cell>
          <cell r="F504">
            <v>-60.4</v>
          </cell>
          <cell r="G504">
            <v>-60.4</v>
          </cell>
          <cell r="H504">
            <v>-58.5</v>
          </cell>
          <cell r="I504">
            <v>-56.8</v>
          </cell>
          <cell r="J504">
            <v>-24</v>
          </cell>
          <cell r="K504">
            <v>-54.9</v>
          </cell>
          <cell r="L504">
            <v>-55.5</v>
          </cell>
          <cell r="M504">
            <v>-55.9</v>
          </cell>
        </row>
        <row r="505">
          <cell r="C505" t="str">
            <v>Cát Lái MBA T4 (phía 110kV)</v>
          </cell>
          <cell r="D505">
            <v>134</v>
          </cell>
          <cell r="E505">
            <v>3.7</v>
          </cell>
          <cell r="F505">
            <v>9.1999999999999993</v>
          </cell>
          <cell r="G505">
            <v>9.1999999999999993</v>
          </cell>
          <cell r="H505">
            <v>9.1999999999999993</v>
          </cell>
          <cell r="I505">
            <v>7.5</v>
          </cell>
          <cell r="J505">
            <v>4.9000000000000004</v>
          </cell>
          <cell r="K505">
            <v>4.3</v>
          </cell>
          <cell r="L505">
            <v>5</v>
          </cell>
          <cell r="M505">
            <v>3.7</v>
          </cell>
        </row>
        <row r="506">
          <cell r="C506" t="str">
            <v>Cát Lái MBA T5 (phía 110kV)</v>
          </cell>
          <cell r="D506">
            <v>135</v>
          </cell>
          <cell r="E506">
            <v>-4</v>
          </cell>
          <cell r="F506">
            <v>6.3</v>
          </cell>
          <cell r="G506">
            <v>6.3</v>
          </cell>
          <cell r="H506">
            <v>4.9000000000000004</v>
          </cell>
          <cell r="I506">
            <v>5.0999999999999996</v>
          </cell>
          <cell r="J506">
            <v>4.3</v>
          </cell>
          <cell r="K506">
            <v>-4</v>
          </cell>
          <cell r="L506">
            <v>-5.4</v>
          </cell>
          <cell r="M506">
            <v>-4.5</v>
          </cell>
        </row>
        <row r="507">
          <cell r="C507" t="str">
            <v>110kV 171 Cát Lái - 171 Thủ Đức Đông - (178-7) Intel</v>
          </cell>
          <cell r="D507">
            <v>171</v>
          </cell>
          <cell r="E507">
            <v>18.3</v>
          </cell>
          <cell r="F507">
            <v>51.6</v>
          </cell>
          <cell r="G507">
            <v>50.2</v>
          </cell>
          <cell r="H507">
            <v>49</v>
          </cell>
          <cell r="I507">
            <v>48.1</v>
          </cell>
          <cell r="J507">
            <v>18.3</v>
          </cell>
          <cell r="K507">
            <v>50.8</v>
          </cell>
          <cell r="L507">
            <v>51</v>
          </cell>
          <cell r="M507">
            <v>51.6</v>
          </cell>
        </row>
        <row r="508">
          <cell r="C508" t="str">
            <v>110kV 172 Cát Lái - 173 Tăng Nhơn Phú - 172 Thủ Đức Đông</v>
          </cell>
          <cell r="D508">
            <v>172</v>
          </cell>
          <cell r="E508">
            <v>18.8</v>
          </cell>
          <cell r="F508">
            <v>52.6</v>
          </cell>
          <cell r="G508">
            <v>51</v>
          </cell>
          <cell r="H508">
            <v>49.7</v>
          </cell>
          <cell r="I508">
            <v>48.9</v>
          </cell>
          <cell r="J508">
            <v>18.8</v>
          </cell>
          <cell r="K508">
            <v>51.6</v>
          </cell>
          <cell r="L508">
            <v>51.8</v>
          </cell>
          <cell r="M508">
            <v>52.6</v>
          </cell>
        </row>
        <row r="509">
          <cell r="C509" t="str">
            <v>110kV 175 Cát Lái - 172 Công Nghệ Cao</v>
          </cell>
          <cell r="D509">
            <v>175</v>
          </cell>
          <cell r="E509">
            <v>-0.2</v>
          </cell>
          <cell r="F509">
            <v>0.5</v>
          </cell>
          <cell r="G509">
            <v>0.5</v>
          </cell>
          <cell r="H509">
            <v>0.3</v>
          </cell>
          <cell r="I509">
            <v>-0.4</v>
          </cell>
          <cell r="J509">
            <v>-0.4</v>
          </cell>
          <cell r="K509">
            <v>0.2</v>
          </cell>
          <cell r="L509">
            <v>-0.2</v>
          </cell>
          <cell r="M509">
            <v>-0.4</v>
          </cell>
        </row>
        <row r="510">
          <cell r="C510" t="str">
            <v>110kV 178 Cát Lái - 131 Sao Mai</v>
          </cell>
          <cell r="D510">
            <v>178</v>
          </cell>
          <cell r="E510">
            <v>-0.4</v>
          </cell>
          <cell r="F510">
            <v>-0.6</v>
          </cell>
          <cell r="G510">
            <v>-0.5</v>
          </cell>
          <cell r="H510">
            <v>-0.6</v>
          </cell>
          <cell r="I510">
            <v>-0.6</v>
          </cell>
          <cell r="J510">
            <v>-0.4</v>
          </cell>
          <cell r="K510">
            <v>-0.4</v>
          </cell>
          <cell r="L510">
            <v>-0.4</v>
          </cell>
          <cell r="M510">
            <v>-0.5</v>
          </cell>
        </row>
        <row r="511">
          <cell r="C511" t="str">
            <v>Cát Lái MBA AT1 (phía 220kV)</v>
          </cell>
          <cell r="D511">
            <v>231</v>
          </cell>
          <cell r="E511">
            <v>20.6</v>
          </cell>
          <cell r="F511">
            <v>58</v>
          </cell>
          <cell r="G511">
            <v>58</v>
          </cell>
          <cell r="H511">
            <v>56.5</v>
          </cell>
          <cell r="I511">
            <v>54.8</v>
          </cell>
          <cell r="J511">
            <v>20.6</v>
          </cell>
          <cell r="K511">
            <v>52.4</v>
          </cell>
          <cell r="L511">
            <v>52.6</v>
          </cell>
          <cell r="M511">
            <v>53.4</v>
          </cell>
        </row>
        <row r="512">
          <cell r="C512" t="str">
            <v>Cát Lái MBA AT2 (phía 220kV)</v>
          </cell>
          <cell r="D512">
            <v>232</v>
          </cell>
          <cell r="E512">
            <v>25.3</v>
          </cell>
          <cell r="F512">
            <v>62.7</v>
          </cell>
          <cell r="G512">
            <v>62.7</v>
          </cell>
          <cell r="H512">
            <v>61.6</v>
          </cell>
          <cell r="I512">
            <v>59.8</v>
          </cell>
          <cell r="J512">
            <v>25.3</v>
          </cell>
          <cell r="K512">
            <v>57.4</v>
          </cell>
          <cell r="L512">
            <v>57.7</v>
          </cell>
          <cell r="M512">
            <v>57.9</v>
          </cell>
        </row>
        <row r="513">
          <cell r="C513" t="str">
            <v>220kV 271 Cát Lái - 276 Mỹ Xuân 2</v>
          </cell>
          <cell r="D513">
            <v>271</v>
          </cell>
          <cell r="E513">
            <v>-50.2</v>
          </cell>
          <cell r="F513">
            <v>-69.7</v>
          </cell>
          <cell r="G513">
            <v>-63.7</v>
          </cell>
          <cell r="H513">
            <v>-61.8</v>
          </cell>
          <cell r="I513">
            <v>-69.7</v>
          </cell>
          <cell r="J513">
            <v>-50.2</v>
          </cell>
          <cell r="K513">
            <v>-63.8</v>
          </cell>
          <cell r="L513">
            <v>-53.8</v>
          </cell>
          <cell r="M513">
            <v>-54.6</v>
          </cell>
        </row>
        <row r="514">
          <cell r="C514" t="str">
            <v>220kV 272 Cát Lái - 275 Mỹ Xuân 2</v>
          </cell>
          <cell r="D514">
            <v>272</v>
          </cell>
          <cell r="E514">
            <v>-51.5</v>
          </cell>
          <cell r="F514">
            <v>-69.900000000000006</v>
          </cell>
          <cell r="G514">
            <v>-62.3</v>
          </cell>
          <cell r="H514">
            <v>-62.3</v>
          </cell>
          <cell r="I514">
            <v>-69.900000000000006</v>
          </cell>
          <cell r="J514">
            <v>-51.5</v>
          </cell>
          <cell r="K514">
            <v>-63.1</v>
          </cell>
          <cell r="L514">
            <v>-52.2</v>
          </cell>
          <cell r="M514">
            <v>-54.5</v>
          </cell>
        </row>
        <row r="515">
          <cell r="C515" t="str">
            <v>220kV 273 Cát Lái - 273 NMĐ Nhơn Trạch 1 &amp; 2</v>
          </cell>
          <cell r="D515">
            <v>273</v>
          </cell>
          <cell r="E515">
            <v>17.3</v>
          </cell>
          <cell r="F515">
            <v>-30.4</v>
          </cell>
          <cell r="G515">
            <v>-20.7</v>
          </cell>
          <cell r="H515">
            <v>-23.3</v>
          </cell>
          <cell r="I515">
            <v>-28.6</v>
          </cell>
          <cell r="J515">
            <v>18</v>
          </cell>
          <cell r="K515">
            <v>19.2</v>
          </cell>
          <cell r="L515">
            <v>17.3</v>
          </cell>
          <cell r="M515">
            <v>-30.4</v>
          </cell>
        </row>
        <row r="516">
          <cell r="C516" t="str">
            <v>220kV 274 Cát Lái - 274 NMĐ Nhơn Trạch 1 &amp; 2</v>
          </cell>
          <cell r="D516">
            <v>274</v>
          </cell>
          <cell r="E516">
            <v>-17</v>
          </cell>
          <cell r="F516">
            <v>-30.7</v>
          </cell>
          <cell r="G516">
            <v>-21.1</v>
          </cell>
          <cell r="H516">
            <v>-23</v>
          </cell>
          <cell r="I516">
            <v>-28.9</v>
          </cell>
          <cell r="J516">
            <v>17.2</v>
          </cell>
          <cell r="K516">
            <v>19.100000000000001</v>
          </cell>
          <cell r="L516">
            <v>-17</v>
          </cell>
          <cell r="M516">
            <v>-30.7</v>
          </cell>
        </row>
        <row r="517">
          <cell r="C517" t="str">
            <v>220kV 275 Cát Lái - 271 Công Nghệ Cao</v>
          </cell>
          <cell r="D517">
            <v>275</v>
          </cell>
          <cell r="E517">
            <v>-18.2</v>
          </cell>
          <cell r="F517">
            <v>-39.700000000000003</v>
          </cell>
          <cell r="G517">
            <v>-33.799999999999997</v>
          </cell>
          <cell r="H517">
            <v>-36.5</v>
          </cell>
          <cell r="I517">
            <v>-35.4</v>
          </cell>
          <cell r="J517">
            <v>-18.2</v>
          </cell>
          <cell r="K517">
            <v>-37.700000000000003</v>
          </cell>
          <cell r="L517">
            <v>-39.700000000000003</v>
          </cell>
          <cell r="M517">
            <v>-38.200000000000003</v>
          </cell>
        </row>
        <row r="518">
          <cell r="C518" t="str">
            <v>220kV 276 Cát Lái - 272 Công Nghệ Cao</v>
          </cell>
          <cell r="D518">
            <v>276</v>
          </cell>
          <cell r="E518">
            <v>-16.8</v>
          </cell>
          <cell r="F518">
            <v>-41</v>
          </cell>
          <cell r="G518">
            <v>-36.9</v>
          </cell>
          <cell r="H518">
            <v>-36.299999999999997</v>
          </cell>
          <cell r="I518">
            <v>-40.1</v>
          </cell>
          <cell r="J518">
            <v>-16.8</v>
          </cell>
          <cell r="K518">
            <v>-41</v>
          </cell>
          <cell r="L518">
            <v>-40.4</v>
          </cell>
          <cell r="M518">
            <v>-38.1</v>
          </cell>
        </row>
        <row r="519">
          <cell r="C519" t="str">
            <v>220kV 277 Cát Lái - 275 Thủ Đức</v>
          </cell>
          <cell r="D519">
            <v>277</v>
          </cell>
          <cell r="E519">
            <v>46.7</v>
          </cell>
          <cell r="F519">
            <v>82</v>
          </cell>
          <cell r="G519">
            <v>67.099999999999994</v>
          </cell>
          <cell r="H519">
            <v>68.7</v>
          </cell>
          <cell r="I519">
            <v>82</v>
          </cell>
          <cell r="J519">
            <v>48.5</v>
          </cell>
          <cell r="K519">
            <v>46.7</v>
          </cell>
          <cell r="L519">
            <v>56</v>
          </cell>
          <cell r="M519">
            <v>70.400000000000006</v>
          </cell>
        </row>
        <row r="520">
          <cell r="C520" t="str">
            <v>220kV 278 Cát Lái - 276 Thủ Đức</v>
          </cell>
          <cell r="D520">
            <v>278</v>
          </cell>
          <cell r="E520">
            <v>47.8</v>
          </cell>
          <cell r="F520">
            <v>83.2</v>
          </cell>
          <cell r="G520">
            <v>67.599999999999994</v>
          </cell>
          <cell r="H520">
            <v>70.2</v>
          </cell>
          <cell r="I520">
            <v>83.2</v>
          </cell>
          <cell r="J520">
            <v>48.6</v>
          </cell>
          <cell r="K520">
            <v>47.8</v>
          </cell>
          <cell r="L520">
            <v>57.1</v>
          </cell>
          <cell r="M520">
            <v>71.3</v>
          </cell>
        </row>
        <row r="521">
          <cell r="C521" t="str">
            <v>Cát Lái MBA T4 (phía 22kV)</v>
          </cell>
          <cell r="D521">
            <v>434</v>
          </cell>
          <cell r="E521">
            <v>-1.3</v>
          </cell>
          <cell r="F521">
            <v>3.1</v>
          </cell>
          <cell r="G521">
            <v>-2</v>
          </cell>
          <cell r="H521">
            <v>-1.9</v>
          </cell>
          <cell r="I521">
            <v>-2</v>
          </cell>
          <cell r="J521">
            <v>-1.3</v>
          </cell>
          <cell r="K521">
            <v>2.7</v>
          </cell>
          <cell r="L521">
            <v>3</v>
          </cell>
          <cell r="M521">
            <v>3.1</v>
          </cell>
        </row>
        <row r="522">
          <cell r="C522" t="str">
            <v>Cát Lái MBA T5 (phía 22kV)</v>
          </cell>
          <cell r="D522">
            <v>435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</row>
        <row r="523">
          <cell r="C523" t="str">
            <v>Cầu Bông MBA AT5 (phía 110kV)</v>
          </cell>
          <cell r="D523">
            <v>135</v>
          </cell>
          <cell r="E523">
            <v>12.8</v>
          </cell>
          <cell r="F523">
            <v>-34.9</v>
          </cell>
          <cell r="G523">
            <v>-33.299999999999997</v>
          </cell>
          <cell r="H523">
            <v>-33.5</v>
          </cell>
          <cell r="I523">
            <v>-34.9</v>
          </cell>
          <cell r="J523">
            <v>12.8</v>
          </cell>
          <cell r="K523">
            <v>-32.200000000000003</v>
          </cell>
          <cell r="L523">
            <v>-32.299999999999997</v>
          </cell>
          <cell r="M523">
            <v>-33.6</v>
          </cell>
        </row>
        <row r="524">
          <cell r="C524" t="str">
            <v>Cầu Bông MBA AT6 (phía 110kV)</v>
          </cell>
          <cell r="D524">
            <v>136</v>
          </cell>
          <cell r="E524">
            <v>9.1999999999999993</v>
          </cell>
          <cell r="F524">
            <v>-34.700000000000003</v>
          </cell>
          <cell r="G524">
            <v>-34.6</v>
          </cell>
          <cell r="H524">
            <v>-34.700000000000003</v>
          </cell>
          <cell r="I524">
            <v>-32.299999999999997</v>
          </cell>
          <cell r="J524">
            <v>9.1999999999999993</v>
          </cell>
          <cell r="K524">
            <v>-33.4</v>
          </cell>
          <cell r="L524">
            <v>-33.1</v>
          </cell>
          <cell r="M524">
            <v>-34.1</v>
          </cell>
        </row>
        <row r="525">
          <cell r="C525" t="str">
            <v>110kV 171 Cầu Bông - 171 Tân Quy</v>
          </cell>
          <cell r="D525">
            <v>171</v>
          </cell>
          <cell r="E525">
            <v>-2</v>
          </cell>
          <cell r="F525">
            <v>15.9</v>
          </cell>
          <cell r="G525">
            <v>15.9</v>
          </cell>
          <cell r="H525">
            <v>15.6</v>
          </cell>
          <cell r="I525">
            <v>15.5</v>
          </cell>
          <cell r="J525">
            <v>-2</v>
          </cell>
          <cell r="K525">
            <v>15</v>
          </cell>
          <cell r="L525">
            <v>14.6</v>
          </cell>
          <cell r="M525">
            <v>14</v>
          </cell>
        </row>
        <row r="526">
          <cell r="C526" t="str">
            <v>110kV 172 Cầu Bông - 172 Củ Chi</v>
          </cell>
          <cell r="D526">
            <v>172</v>
          </cell>
          <cell r="E526">
            <v>-2.2000000000000002</v>
          </cell>
          <cell r="F526">
            <v>9.4</v>
          </cell>
          <cell r="G526">
            <v>8.6</v>
          </cell>
          <cell r="H526">
            <v>9.4</v>
          </cell>
          <cell r="I526">
            <v>8.8000000000000007</v>
          </cell>
          <cell r="J526">
            <v>-2.2000000000000002</v>
          </cell>
          <cell r="K526">
            <v>8.4</v>
          </cell>
          <cell r="L526">
            <v>8.1</v>
          </cell>
          <cell r="M526">
            <v>8.1</v>
          </cell>
        </row>
        <row r="527">
          <cell r="C527" t="str">
            <v>110kV 177 Cầu Bông - 171 Tân Hiệp</v>
          </cell>
          <cell r="D527">
            <v>177</v>
          </cell>
          <cell r="E527">
            <v>-7.1</v>
          </cell>
          <cell r="F527">
            <v>26.3</v>
          </cell>
          <cell r="G527">
            <v>23.9</v>
          </cell>
          <cell r="H527">
            <v>24.2</v>
          </cell>
          <cell r="I527">
            <v>22.7</v>
          </cell>
          <cell r="J527">
            <v>-7.1</v>
          </cell>
          <cell r="K527">
            <v>21.7</v>
          </cell>
          <cell r="L527">
            <v>25.9</v>
          </cell>
          <cell r="M527">
            <v>26.3</v>
          </cell>
        </row>
        <row r="528">
          <cell r="C528" t="str">
            <v>110kV 178 Cầu Bông - T48A</v>
          </cell>
          <cell r="D528">
            <v>178</v>
          </cell>
          <cell r="E528">
            <v>-1</v>
          </cell>
          <cell r="F528">
            <v>-1</v>
          </cell>
          <cell r="G528">
            <v>-1</v>
          </cell>
          <cell r="H528">
            <v>-1</v>
          </cell>
          <cell r="I528">
            <v>-1</v>
          </cell>
          <cell r="J528">
            <v>-1</v>
          </cell>
          <cell r="K528">
            <v>-1</v>
          </cell>
          <cell r="L528">
            <v>-1</v>
          </cell>
          <cell r="M528">
            <v>-1</v>
          </cell>
        </row>
        <row r="529">
          <cell r="C529" t="str">
            <v>Cầu Bông MBA AT1 (phía 220kV)</v>
          </cell>
          <cell r="D529">
            <v>231</v>
          </cell>
          <cell r="E529">
            <v>-75.400000000000006</v>
          </cell>
          <cell r="F529">
            <v>-112.2</v>
          </cell>
          <cell r="G529">
            <v>-112.2</v>
          </cell>
          <cell r="H529">
            <v>-101</v>
          </cell>
          <cell r="I529">
            <v>-102.4</v>
          </cell>
          <cell r="J529">
            <v>94.8</v>
          </cell>
          <cell r="K529">
            <v>103</v>
          </cell>
          <cell r="L529">
            <v>-75.400000000000006</v>
          </cell>
          <cell r="M529">
            <v>-103.7</v>
          </cell>
        </row>
        <row r="530">
          <cell r="C530" t="str">
            <v>Cầu Bông MBA AT2 (phía 220kV)</v>
          </cell>
          <cell r="D530">
            <v>232</v>
          </cell>
          <cell r="E530">
            <v>39.5</v>
          </cell>
          <cell r="F530">
            <v>-120.4</v>
          </cell>
          <cell r="G530">
            <v>-120.4</v>
          </cell>
          <cell r="H530">
            <v>-109.5</v>
          </cell>
          <cell r="I530">
            <v>-110.5</v>
          </cell>
          <cell r="J530">
            <v>39.5</v>
          </cell>
          <cell r="K530">
            <v>-86.6</v>
          </cell>
          <cell r="L530">
            <v>-83</v>
          </cell>
          <cell r="M530">
            <v>-111.8</v>
          </cell>
        </row>
        <row r="531">
          <cell r="C531" t="str">
            <v>Cầu Bông MBA AT5 (phía 220kV)</v>
          </cell>
          <cell r="D531">
            <v>235</v>
          </cell>
          <cell r="E531">
            <v>-8.8000000000000007</v>
          </cell>
          <cell r="F531">
            <v>42.8</v>
          </cell>
          <cell r="G531">
            <v>41.8</v>
          </cell>
          <cell r="H531">
            <v>42.3</v>
          </cell>
          <cell r="I531">
            <v>42.8</v>
          </cell>
          <cell r="J531">
            <v>-8.8000000000000007</v>
          </cell>
          <cell r="K531">
            <v>40</v>
          </cell>
          <cell r="L531">
            <v>40.799999999999997</v>
          </cell>
          <cell r="M531">
            <v>42</v>
          </cell>
        </row>
        <row r="532">
          <cell r="C532" t="str">
            <v>Cầu Bông MBA AT6 (phía 220kV)</v>
          </cell>
          <cell r="D532">
            <v>236</v>
          </cell>
          <cell r="E532">
            <v>-6.9</v>
          </cell>
          <cell r="F532">
            <v>45</v>
          </cell>
          <cell r="G532">
            <v>43.5</v>
          </cell>
          <cell r="H532">
            <v>44</v>
          </cell>
          <cell r="I532">
            <v>45</v>
          </cell>
          <cell r="J532">
            <v>-6.9</v>
          </cell>
          <cell r="K532">
            <v>41.4</v>
          </cell>
          <cell r="L532">
            <v>42.2</v>
          </cell>
          <cell r="M532">
            <v>43.8</v>
          </cell>
        </row>
        <row r="533">
          <cell r="C533" t="str">
            <v>220kV 275 Cầu Bông - 278 Củ Chi 2</v>
          </cell>
          <cell r="D533">
            <v>275</v>
          </cell>
          <cell r="E533">
            <v>-25.6</v>
          </cell>
          <cell r="F533">
            <v>-57.6</v>
          </cell>
          <cell r="G533">
            <v>-32.700000000000003</v>
          </cell>
          <cell r="H533">
            <v>-47.3</v>
          </cell>
          <cell r="I533">
            <v>-38.5</v>
          </cell>
          <cell r="J533">
            <v>-25.6</v>
          </cell>
          <cell r="K533">
            <v>-43.4</v>
          </cell>
          <cell r="L533">
            <v>-57.6</v>
          </cell>
          <cell r="M533">
            <v>-35.200000000000003</v>
          </cell>
        </row>
        <row r="534">
          <cell r="C534" t="str">
            <v>220kV 276 Cầu Bông - 277 Củ Chi 2</v>
          </cell>
          <cell r="D534">
            <v>276</v>
          </cell>
          <cell r="E534">
            <v>-27.4</v>
          </cell>
          <cell r="F534">
            <v>-59.2</v>
          </cell>
          <cell r="G534">
            <v>-35.6</v>
          </cell>
          <cell r="H534">
            <v>-50.3</v>
          </cell>
          <cell r="I534">
            <v>-40.200000000000003</v>
          </cell>
          <cell r="J534">
            <v>-27.4</v>
          </cell>
          <cell r="K534">
            <v>-44.6</v>
          </cell>
          <cell r="L534">
            <v>-59.2</v>
          </cell>
          <cell r="M534">
            <v>-37</v>
          </cell>
        </row>
        <row r="535">
          <cell r="C535" t="str">
            <v>220kV 277 Cầu Bông - 275 Đức Hòa 2</v>
          </cell>
          <cell r="D535">
            <v>277</v>
          </cell>
          <cell r="E535">
            <v>18.100000000000001</v>
          </cell>
          <cell r="F535">
            <v>55.2</v>
          </cell>
          <cell r="G535">
            <v>48.8</v>
          </cell>
          <cell r="H535">
            <v>55.2</v>
          </cell>
          <cell r="I535">
            <v>49.7</v>
          </cell>
          <cell r="J535">
            <v>18.100000000000001</v>
          </cell>
          <cell r="K535">
            <v>50.7</v>
          </cell>
          <cell r="L535">
            <v>55</v>
          </cell>
          <cell r="M535">
            <v>51.4</v>
          </cell>
        </row>
        <row r="536">
          <cell r="C536" t="str">
            <v>220kV 278 Cầu Bông - 276 Đức Hòa 2</v>
          </cell>
          <cell r="D536">
            <v>278</v>
          </cell>
          <cell r="E536">
            <v>20.399999999999999</v>
          </cell>
          <cell r="F536">
            <v>56.2</v>
          </cell>
          <cell r="G536">
            <v>51.6</v>
          </cell>
          <cell r="H536">
            <v>56.2</v>
          </cell>
          <cell r="I536">
            <v>51.2</v>
          </cell>
          <cell r="J536">
            <v>20.399999999999999</v>
          </cell>
          <cell r="K536">
            <v>52.7</v>
          </cell>
          <cell r="L536">
            <v>56.2</v>
          </cell>
          <cell r="M536">
            <v>54</v>
          </cell>
        </row>
        <row r="537">
          <cell r="C537" t="str">
            <v>220kV 279 Cầu Bông - 276 Hóc Môn</v>
          </cell>
          <cell r="D537">
            <v>279</v>
          </cell>
          <cell r="E537">
            <v>16.3</v>
          </cell>
          <cell r="F537">
            <v>37</v>
          </cell>
          <cell r="G537">
            <v>37</v>
          </cell>
          <cell r="H537">
            <v>31.8</v>
          </cell>
          <cell r="I537">
            <v>27.5</v>
          </cell>
          <cell r="J537">
            <v>18.399999999999999</v>
          </cell>
          <cell r="K537">
            <v>-19.7</v>
          </cell>
          <cell r="L537">
            <v>16.3</v>
          </cell>
          <cell r="M537">
            <v>26.3</v>
          </cell>
        </row>
        <row r="538">
          <cell r="C538" t="str">
            <v>220kV 280 Cầu Bông - 271 Hóc Môn</v>
          </cell>
          <cell r="D538">
            <v>280</v>
          </cell>
          <cell r="E538">
            <v>11.9</v>
          </cell>
          <cell r="F538">
            <v>38.4</v>
          </cell>
          <cell r="G538">
            <v>38.4</v>
          </cell>
          <cell r="H538">
            <v>33.5</v>
          </cell>
          <cell r="I538">
            <v>28.5</v>
          </cell>
          <cell r="J538">
            <v>11.9</v>
          </cell>
          <cell r="K538">
            <v>-17.899999999999999</v>
          </cell>
          <cell r="L538">
            <v>17.8</v>
          </cell>
          <cell r="M538">
            <v>27.5</v>
          </cell>
        </row>
        <row r="539">
          <cell r="C539" t="str">
            <v>220kV 281 Cầu Bông - 274 Bình Tân</v>
          </cell>
          <cell r="D539">
            <v>281</v>
          </cell>
          <cell r="E539">
            <v>-26.9</v>
          </cell>
          <cell r="F539">
            <v>-48.8</v>
          </cell>
          <cell r="G539">
            <v>-26.9</v>
          </cell>
          <cell r="H539">
            <v>-29.9</v>
          </cell>
          <cell r="I539">
            <v>-36.5</v>
          </cell>
          <cell r="J539">
            <v>-48.8</v>
          </cell>
          <cell r="K539">
            <v>-45.5</v>
          </cell>
          <cell r="L539">
            <v>-39.4</v>
          </cell>
          <cell r="M539">
            <v>-45.2</v>
          </cell>
        </row>
        <row r="540">
          <cell r="C540" t="str">
            <v>220kV 282 Cầu Bông - 273 Bình Tân</v>
          </cell>
          <cell r="D540">
            <v>282</v>
          </cell>
          <cell r="E540">
            <v>-26.4</v>
          </cell>
          <cell r="F540">
            <v>-44.8</v>
          </cell>
          <cell r="G540">
            <v>-26.4</v>
          </cell>
          <cell r="H540">
            <v>-30.2</v>
          </cell>
          <cell r="I540">
            <v>-36.299999999999997</v>
          </cell>
          <cell r="J540">
            <v>-35.299999999999997</v>
          </cell>
          <cell r="K540">
            <v>-38.799999999999997</v>
          </cell>
          <cell r="L540">
            <v>-41.1</v>
          </cell>
          <cell r="M540">
            <v>-44.8</v>
          </cell>
        </row>
        <row r="541">
          <cell r="C541" t="str">
            <v>Cầu Bông MBA AT1 (phía 500kV)</v>
          </cell>
          <cell r="D541">
            <v>531</v>
          </cell>
          <cell r="E541">
            <v>82.5</v>
          </cell>
          <cell r="F541">
            <v>167.5</v>
          </cell>
          <cell r="G541">
            <v>159.6</v>
          </cell>
          <cell r="H541">
            <v>155.5</v>
          </cell>
          <cell r="I541">
            <v>167.5</v>
          </cell>
          <cell r="J541">
            <v>82.5</v>
          </cell>
          <cell r="K541">
            <v>151.80000000000001</v>
          </cell>
          <cell r="L541">
            <v>141.19999999999999</v>
          </cell>
          <cell r="M541">
            <v>164.2</v>
          </cell>
        </row>
        <row r="542">
          <cell r="C542" t="str">
            <v>Cầu Bông MBA AT2 (phía 500kV)</v>
          </cell>
          <cell r="D542">
            <v>532</v>
          </cell>
          <cell r="E542">
            <v>13.2</v>
          </cell>
          <cell r="F542">
            <v>177.2</v>
          </cell>
          <cell r="G542">
            <v>170</v>
          </cell>
          <cell r="H542">
            <v>166.2</v>
          </cell>
          <cell r="I542">
            <v>177.2</v>
          </cell>
          <cell r="J542">
            <v>13.2</v>
          </cell>
          <cell r="K542">
            <v>159.69999999999999</v>
          </cell>
          <cell r="L542">
            <v>151.4</v>
          </cell>
          <cell r="M542">
            <v>174.3</v>
          </cell>
        </row>
        <row r="543">
          <cell r="C543" t="str">
            <v>Cầu Kè MBA T1 (phía 110kV)</v>
          </cell>
          <cell r="D543">
            <v>131</v>
          </cell>
          <cell r="E543">
            <v>-0.1</v>
          </cell>
          <cell r="F543">
            <v>0.2</v>
          </cell>
          <cell r="G543">
            <v>-0.1</v>
          </cell>
          <cell r="H543">
            <v>-0.2</v>
          </cell>
          <cell r="I543">
            <v>-0.2</v>
          </cell>
          <cell r="J543">
            <v>-0.1</v>
          </cell>
          <cell r="K543">
            <v>-0.2</v>
          </cell>
          <cell r="L543">
            <v>-0.1</v>
          </cell>
          <cell r="M543">
            <v>0.2</v>
          </cell>
        </row>
        <row r="544">
          <cell r="C544" t="str">
            <v>Cầu Kè MBA T2 (phía 110kV)</v>
          </cell>
          <cell r="D544">
            <v>132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</row>
        <row r="545">
          <cell r="C545" t="str">
            <v>110kV 171 Cầu Kè - 172 Bình Minh</v>
          </cell>
          <cell r="D545">
            <v>171</v>
          </cell>
          <cell r="E545">
            <v>0</v>
          </cell>
          <cell r="F545">
            <v>-11.7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-11.7</v>
          </cell>
          <cell r="M545">
            <v>0</v>
          </cell>
        </row>
        <row r="546">
          <cell r="C546" t="str">
            <v>110kV 172 Cầu Kè - 174 Trà Vinh 2</v>
          </cell>
          <cell r="D546">
            <v>172</v>
          </cell>
          <cell r="E546">
            <v>0.1</v>
          </cell>
          <cell r="F546">
            <v>-0.2</v>
          </cell>
          <cell r="G546">
            <v>0.2</v>
          </cell>
          <cell r="H546">
            <v>0.2</v>
          </cell>
          <cell r="I546">
            <v>0.2</v>
          </cell>
          <cell r="J546">
            <v>0.1</v>
          </cell>
          <cell r="K546">
            <v>0.2</v>
          </cell>
          <cell r="L546">
            <v>0.1</v>
          </cell>
          <cell r="M546">
            <v>-0.2</v>
          </cell>
        </row>
        <row r="547">
          <cell r="C547" t="str">
            <v>Cầu Kè MBA T1 (phía 22kV)</v>
          </cell>
          <cell r="D547">
            <v>431</v>
          </cell>
          <cell r="E547">
            <v>0.4</v>
          </cell>
          <cell r="F547">
            <v>0.4</v>
          </cell>
          <cell r="G547">
            <v>0.4</v>
          </cell>
          <cell r="H547">
            <v>0.4</v>
          </cell>
          <cell r="I547">
            <v>0.4</v>
          </cell>
          <cell r="J547">
            <v>0.4</v>
          </cell>
          <cell r="K547">
            <v>0.4</v>
          </cell>
          <cell r="L547">
            <v>0.4</v>
          </cell>
          <cell r="M547">
            <v>0.4</v>
          </cell>
        </row>
        <row r="548">
          <cell r="C548" t="str">
            <v>Cầu Kè MBA T2 (phía 22kV)</v>
          </cell>
          <cell r="D548">
            <v>432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</row>
        <row r="549">
          <cell r="C549" t="str">
            <v>Cầu Ngang MBA T1 (phía 110kV)</v>
          </cell>
          <cell r="D549">
            <v>131</v>
          </cell>
          <cell r="E549">
            <v>-0.8</v>
          </cell>
          <cell r="F549">
            <v>-2</v>
          </cell>
          <cell r="G549">
            <v>1.4</v>
          </cell>
          <cell r="H549">
            <v>1.7</v>
          </cell>
          <cell r="I549">
            <v>-2</v>
          </cell>
          <cell r="J549">
            <v>1.1000000000000001</v>
          </cell>
          <cell r="K549">
            <v>1</v>
          </cell>
          <cell r="L549">
            <v>-0.9</v>
          </cell>
          <cell r="M549">
            <v>-0.8</v>
          </cell>
        </row>
        <row r="550">
          <cell r="C550" t="str">
            <v>110kV 171 Cầu Ngang - 131 Duyên Trà</v>
          </cell>
          <cell r="D550">
            <v>171</v>
          </cell>
          <cell r="E550">
            <v>-1.6</v>
          </cell>
          <cell r="F550">
            <v>-4.5</v>
          </cell>
          <cell r="G550">
            <v>-4.5</v>
          </cell>
          <cell r="H550">
            <v>3.4</v>
          </cell>
          <cell r="I550">
            <v>3.6</v>
          </cell>
          <cell r="J550">
            <v>-2.4</v>
          </cell>
          <cell r="K550">
            <v>-3.7</v>
          </cell>
          <cell r="L550">
            <v>-1.9</v>
          </cell>
          <cell r="M550">
            <v>-1.6</v>
          </cell>
        </row>
        <row r="551">
          <cell r="C551" t="str">
            <v>110kV 172 Cầu Ngang - 172 Trà Vinh 2</v>
          </cell>
          <cell r="D551">
            <v>172</v>
          </cell>
          <cell r="E551">
            <v>2.4</v>
          </cell>
          <cell r="F551">
            <v>4.7</v>
          </cell>
          <cell r="G551">
            <v>4.7</v>
          </cell>
          <cell r="H551">
            <v>-3.7</v>
          </cell>
          <cell r="I551">
            <v>-4.2</v>
          </cell>
          <cell r="J551">
            <v>2.8</v>
          </cell>
          <cell r="K551">
            <v>4.0999999999999996</v>
          </cell>
          <cell r="L551">
            <v>2.6</v>
          </cell>
          <cell r="M551">
            <v>2.4</v>
          </cell>
        </row>
        <row r="552">
          <cell r="C552" t="str">
            <v>Cầu Ngang MBA T1 (phía 22kV)</v>
          </cell>
          <cell r="D552">
            <v>431</v>
          </cell>
          <cell r="E552">
            <v>0.9</v>
          </cell>
          <cell r="F552">
            <v>2.6</v>
          </cell>
          <cell r="G552">
            <v>1.3</v>
          </cell>
          <cell r="H552">
            <v>1.1000000000000001</v>
          </cell>
          <cell r="I552">
            <v>2.6</v>
          </cell>
          <cell r="J552">
            <v>1.1000000000000001</v>
          </cell>
          <cell r="K552">
            <v>0.9</v>
          </cell>
          <cell r="L552">
            <v>1.8</v>
          </cell>
          <cell r="M552">
            <v>1.1000000000000001</v>
          </cell>
        </row>
        <row r="553">
          <cell r="C553" t="str">
            <v>Chánh Hưng MBA T1 (phía 110kV)</v>
          </cell>
          <cell r="D553">
            <v>131</v>
          </cell>
          <cell r="E553">
            <v>1.4</v>
          </cell>
          <cell r="F553">
            <v>-6.5</v>
          </cell>
          <cell r="G553">
            <v>2.2999999999999998</v>
          </cell>
          <cell r="H553">
            <v>-6.5</v>
          </cell>
          <cell r="I553">
            <v>1.4</v>
          </cell>
          <cell r="J553">
            <v>1.9</v>
          </cell>
          <cell r="K553">
            <v>1.6</v>
          </cell>
          <cell r="L553">
            <v>-2</v>
          </cell>
          <cell r="M553">
            <v>1.5</v>
          </cell>
        </row>
        <row r="554">
          <cell r="C554" t="str">
            <v>Chánh Hưng MBA T3 (phía 110kV)</v>
          </cell>
          <cell r="D554">
            <v>133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</row>
        <row r="555">
          <cell r="C555" t="str">
            <v>110kV 171 Chánh Hưng - 171 Việt Thành</v>
          </cell>
          <cell r="D555">
            <v>171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</row>
        <row r="556">
          <cell r="C556" t="str">
            <v>110kV 172 Chánh Hưng - 176 Quận 8</v>
          </cell>
          <cell r="D556">
            <v>172</v>
          </cell>
          <cell r="E556">
            <v>-1.5</v>
          </cell>
          <cell r="F556">
            <v>6.4</v>
          </cell>
          <cell r="G556">
            <v>-2.6</v>
          </cell>
          <cell r="H556">
            <v>6.4</v>
          </cell>
          <cell r="I556">
            <v>-1.5</v>
          </cell>
          <cell r="J556">
            <v>-2.1</v>
          </cell>
          <cell r="K556">
            <v>1.9</v>
          </cell>
          <cell r="L556">
            <v>2.5</v>
          </cell>
          <cell r="M556">
            <v>1.7</v>
          </cell>
        </row>
        <row r="557">
          <cell r="C557" t="str">
            <v>Chánh Hưng MBA T1 (phía 22kV)</v>
          </cell>
          <cell r="D557">
            <v>431</v>
          </cell>
          <cell r="E557">
            <v>2.2000000000000002</v>
          </cell>
          <cell r="F557">
            <v>7.5</v>
          </cell>
          <cell r="G557">
            <v>2.2999999999999998</v>
          </cell>
          <cell r="H557">
            <v>7.5</v>
          </cell>
          <cell r="I557">
            <v>2.2000000000000002</v>
          </cell>
          <cell r="J557">
            <v>2.4</v>
          </cell>
          <cell r="K557">
            <v>2.6</v>
          </cell>
          <cell r="L557">
            <v>2.9</v>
          </cell>
          <cell r="M557">
            <v>2.4</v>
          </cell>
        </row>
        <row r="558">
          <cell r="C558" t="str">
            <v>Chánh Hưng MBA T3 (phía 22kV)</v>
          </cell>
          <cell r="D558">
            <v>433</v>
          </cell>
          <cell r="E558">
            <v>0.5</v>
          </cell>
          <cell r="F558">
            <v>0.6</v>
          </cell>
          <cell r="G558">
            <v>0.5</v>
          </cell>
          <cell r="H558">
            <v>0.5</v>
          </cell>
          <cell r="I558">
            <v>0.5</v>
          </cell>
          <cell r="J558">
            <v>0.5</v>
          </cell>
          <cell r="K558">
            <v>0.6</v>
          </cell>
          <cell r="L558">
            <v>0.6</v>
          </cell>
          <cell r="M558">
            <v>0.6</v>
          </cell>
        </row>
        <row r="559">
          <cell r="C559" t="str">
            <v>110kV 172 Châu Đốc - 172 Châu Đốc 2</v>
          </cell>
          <cell r="D559">
            <v>172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</row>
        <row r="560">
          <cell r="C560" t="str">
            <v>Châu Đốc MBA T1 (phía 22kV)</v>
          </cell>
          <cell r="D560">
            <v>431</v>
          </cell>
          <cell r="E560">
            <v>1.9</v>
          </cell>
          <cell r="F560">
            <v>-2.8</v>
          </cell>
          <cell r="G560">
            <v>2.2000000000000002</v>
          </cell>
          <cell r="H560">
            <v>1.9</v>
          </cell>
          <cell r="I560">
            <v>-2.7</v>
          </cell>
          <cell r="J560">
            <v>-2.8</v>
          </cell>
          <cell r="K560">
            <v>-2.6</v>
          </cell>
          <cell r="L560">
            <v>-2.5</v>
          </cell>
          <cell r="M560">
            <v>-2.4</v>
          </cell>
        </row>
        <row r="561">
          <cell r="C561" t="str">
            <v>Châu Đốc MBA T2 (phía 22kV)</v>
          </cell>
          <cell r="D561">
            <v>432</v>
          </cell>
          <cell r="E561">
            <v>1</v>
          </cell>
          <cell r="F561">
            <v>1</v>
          </cell>
          <cell r="G561">
            <v>1</v>
          </cell>
          <cell r="H561">
            <v>1</v>
          </cell>
          <cell r="I561">
            <v>1</v>
          </cell>
          <cell r="J561">
            <v>1</v>
          </cell>
          <cell r="K561">
            <v>1</v>
          </cell>
          <cell r="L561">
            <v>1</v>
          </cell>
          <cell r="M561">
            <v>1</v>
          </cell>
        </row>
        <row r="562">
          <cell r="C562" t="str">
            <v>Châu Đốc Tụ Bù Ngang 102</v>
          </cell>
          <cell r="D562" t="str">
            <v>T102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</row>
        <row r="563">
          <cell r="C563" t="str">
            <v>Châu Đốc 2 MBA AT1 (phía 110kV)</v>
          </cell>
          <cell r="D563">
            <v>131</v>
          </cell>
          <cell r="E563">
            <v>8.5</v>
          </cell>
          <cell r="F563">
            <v>-13.9</v>
          </cell>
          <cell r="G563">
            <v>-11</v>
          </cell>
          <cell r="H563">
            <v>-8.8000000000000007</v>
          </cell>
          <cell r="I563">
            <v>-12.6</v>
          </cell>
          <cell r="J563">
            <v>-13.9</v>
          </cell>
          <cell r="K563">
            <v>8.5</v>
          </cell>
          <cell r="L563">
            <v>-12.1</v>
          </cell>
          <cell r="M563">
            <v>-10</v>
          </cell>
        </row>
        <row r="564">
          <cell r="C564" t="str">
            <v>Châu Đốc 2 MBA AT2 (phía 110kV)</v>
          </cell>
          <cell r="D564">
            <v>132</v>
          </cell>
          <cell r="E564">
            <v>-7.8</v>
          </cell>
          <cell r="F564">
            <v>14.5</v>
          </cell>
          <cell r="G564">
            <v>14.5</v>
          </cell>
          <cell r="H564">
            <v>-8.6</v>
          </cell>
          <cell r="I564">
            <v>-7.8</v>
          </cell>
          <cell r="J564">
            <v>-13.9</v>
          </cell>
          <cell r="K564">
            <v>8.3000000000000007</v>
          </cell>
          <cell r="L564">
            <v>-12.3</v>
          </cell>
          <cell r="M564">
            <v>-9.9</v>
          </cell>
        </row>
        <row r="565">
          <cell r="C565" t="str">
            <v>110kV 171 Châu Đốc 2 - 173 Cái Dầu</v>
          </cell>
          <cell r="D565">
            <v>171</v>
          </cell>
          <cell r="E565">
            <v>-6.1</v>
          </cell>
          <cell r="F565">
            <v>9.1</v>
          </cell>
          <cell r="G565">
            <v>9.1</v>
          </cell>
          <cell r="H565">
            <v>8.9</v>
          </cell>
          <cell r="I565">
            <v>7</v>
          </cell>
          <cell r="J565">
            <v>-6.1</v>
          </cell>
          <cell r="K565">
            <v>-6.4</v>
          </cell>
          <cell r="L565">
            <v>-6.4</v>
          </cell>
          <cell r="M565">
            <v>7.6</v>
          </cell>
        </row>
        <row r="566">
          <cell r="C566" t="str">
            <v>110kV 172 Châu Đốc 2 - 172 Châu Đốc</v>
          </cell>
          <cell r="D566">
            <v>172</v>
          </cell>
          <cell r="E566">
            <v>3</v>
          </cell>
          <cell r="F566">
            <v>4.8</v>
          </cell>
          <cell r="G566">
            <v>3.9</v>
          </cell>
          <cell r="H566">
            <v>3</v>
          </cell>
          <cell r="I566">
            <v>4.4000000000000004</v>
          </cell>
          <cell r="J566">
            <v>4.8</v>
          </cell>
          <cell r="K566">
            <v>4.3</v>
          </cell>
          <cell r="L566">
            <v>4</v>
          </cell>
          <cell r="M566">
            <v>3.8</v>
          </cell>
        </row>
        <row r="567">
          <cell r="C567" t="str">
            <v>110kV 173 Châu Đốc 2 - 172 Phú Châu</v>
          </cell>
          <cell r="D567">
            <v>173</v>
          </cell>
          <cell r="E567">
            <v>-1.9</v>
          </cell>
          <cell r="F567">
            <v>-3</v>
          </cell>
          <cell r="G567">
            <v>-1.9</v>
          </cell>
          <cell r="H567">
            <v>-2.5</v>
          </cell>
          <cell r="I567">
            <v>-3</v>
          </cell>
          <cell r="J567">
            <v>-2.1</v>
          </cell>
          <cell r="K567">
            <v>-2.6</v>
          </cell>
          <cell r="L567">
            <v>-2.6</v>
          </cell>
          <cell r="M567">
            <v>-2.4</v>
          </cell>
        </row>
        <row r="568">
          <cell r="C568" t="str">
            <v>110kV 174 Châu Đốc 2 - 132 An Phú</v>
          </cell>
          <cell r="D568">
            <v>174</v>
          </cell>
          <cell r="E568">
            <v>-0.8</v>
          </cell>
          <cell r="F568">
            <v>1.3</v>
          </cell>
          <cell r="G568">
            <v>-1</v>
          </cell>
          <cell r="H568">
            <v>-1.1000000000000001</v>
          </cell>
          <cell r="I568">
            <v>-1</v>
          </cell>
          <cell r="J568">
            <v>-0.8</v>
          </cell>
          <cell r="K568">
            <v>1.3</v>
          </cell>
          <cell r="L568">
            <v>-1.2</v>
          </cell>
          <cell r="M568">
            <v>-1.2</v>
          </cell>
        </row>
        <row r="569">
          <cell r="C569" t="str">
            <v>110kV 175 Châu Đốc 2 - 171 Tịnh Biên</v>
          </cell>
          <cell r="D569">
            <v>175</v>
          </cell>
          <cell r="E569">
            <v>10.9</v>
          </cell>
          <cell r="F569">
            <v>28.4</v>
          </cell>
          <cell r="G569">
            <v>18.100000000000001</v>
          </cell>
          <cell r="H569">
            <v>19.899999999999999</v>
          </cell>
          <cell r="I569">
            <v>10.9</v>
          </cell>
          <cell r="J569">
            <v>28.4</v>
          </cell>
          <cell r="K569">
            <v>16.2</v>
          </cell>
          <cell r="L569">
            <v>23.4</v>
          </cell>
          <cell r="M569">
            <v>19.899999999999999</v>
          </cell>
        </row>
        <row r="570">
          <cell r="C570" t="str">
            <v>Châu Đốc 2 MBA AT1 (phía 220kV)</v>
          </cell>
          <cell r="D570">
            <v>231</v>
          </cell>
          <cell r="E570">
            <v>6.9</v>
          </cell>
          <cell r="F570">
            <v>16.600000000000001</v>
          </cell>
          <cell r="G570">
            <v>9.9</v>
          </cell>
          <cell r="H570">
            <v>8.8000000000000007</v>
          </cell>
          <cell r="I570">
            <v>16.600000000000001</v>
          </cell>
          <cell r="J570">
            <v>14.2</v>
          </cell>
          <cell r="K570">
            <v>6.9</v>
          </cell>
          <cell r="L570">
            <v>12.1</v>
          </cell>
          <cell r="M570">
            <v>9.6</v>
          </cell>
        </row>
        <row r="571">
          <cell r="C571" t="str">
            <v>Châu Đốc 2 MBA AT2 (phía 220kV)</v>
          </cell>
          <cell r="D571">
            <v>232</v>
          </cell>
          <cell r="E571">
            <v>-6.7</v>
          </cell>
          <cell r="F571">
            <v>14.4</v>
          </cell>
          <cell r="G571">
            <v>-12.8</v>
          </cell>
          <cell r="H571">
            <v>8.8000000000000007</v>
          </cell>
          <cell r="I571">
            <v>-12.3</v>
          </cell>
          <cell r="J571">
            <v>14.4</v>
          </cell>
          <cell r="K571">
            <v>-6.7</v>
          </cell>
          <cell r="L571">
            <v>12.1</v>
          </cell>
          <cell r="M571">
            <v>9.5</v>
          </cell>
        </row>
        <row r="572">
          <cell r="C572" t="str">
            <v>220kV 271 Châu Đốc 2 - 272 Long Xuyên 2</v>
          </cell>
          <cell r="D572">
            <v>271</v>
          </cell>
          <cell r="E572">
            <v>20.7</v>
          </cell>
          <cell r="F572">
            <v>29.4</v>
          </cell>
          <cell r="G572">
            <v>26.4</v>
          </cell>
          <cell r="H572">
            <v>20.7</v>
          </cell>
          <cell r="I572">
            <v>24.2</v>
          </cell>
          <cell r="J572">
            <v>24.5</v>
          </cell>
          <cell r="K572">
            <v>28.9</v>
          </cell>
          <cell r="L572">
            <v>25.2</v>
          </cell>
          <cell r="M572">
            <v>29.4</v>
          </cell>
        </row>
        <row r="573">
          <cell r="C573" t="str">
            <v>220kV 272 Châu Đốc 2 - 274 Thốt Nốt 2</v>
          </cell>
          <cell r="D573">
            <v>272</v>
          </cell>
          <cell r="E573">
            <v>20.8</v>
          </cell>
          <cell r="F573">
            <v>31.8</v>
          </cell>
          <cell r="G573">
            <v>28.2</v>
          </cell>
          <cell r="H573">
            <v>20.8</v>
          </cell>
          <cell r="I573">
            <v>25.3</v>
          </cell>
          <cell r="J573">
            <v>26.6</v>
          </cell>
          <cell r="K573">
            <v>31.8</v>
          </cell>
          <cell r="L573">
            <v>27.6</v>
          </cell>
          <cell r="M573">
            <v>29.6</v>
          </cell>
        </row>
        <row r="574">
          <cell r="C574" t="str">
            <v>220kV 273 Châu Đốc 2 - 272 Kiên Bình</v>
          </cell>
          <cell r="D574">
            <v>273</v>
          </cell>
          <cell r="E574">
            <v>11.2</v>
          </cell>
          <cell r="F574">
            <v>18.100000000000001</v>
          </cell>
          <cell r="G574">
            <v>12.3</v>
          </cell>
          <cell r="H574">
            <v>11.2</v>
          </cell>
          <cell r="I574">
            <v>18.100000000000001</v>
          </cell>
          <cell r="J574">
            <v>14.8</v>
          </cell>
          <cell r="K574">
            <v>13.1</v>
          </cell>
          <cell r="L574">
            <v>-13.8</v>
          </cell>
          <cell r="M574">
            <v>14.4</v>
          </cell>
        </row>
        <row r="575">
          <cell r="C575" t="str">
            <v>220kV 274 Châu Đốc 2 - 274 Takeo</v>
          </cell>
          <cell r="D575">
            <v>274</v>
          </cell>
          <cell r="E575">
            <v>-25.4</v>
          </cell>
          <cell r="F575">
            <v>-32</v>
          </cell>
          <cell r="G575">
            <v>-28.6</v>
          </cell>
          <cell r="H575">
            <v>-26.3</v>
          </cell>
          <cell r="I575">
            <v>-26.4</v>
          </cell>
          <cell r="J575">
            <v>-27.2</v>
          </cell>
          <cell r="K575">
            <v>-29.8</v>
          </cell>
          <cell r="L575">
            <v>-25.4</v>
          </cell>
          <cell r="M575">
            <v>-32</v>
          </cell>
        </row>
        <row r="576">
          <cell r="C576" t="str">
            <v>220kV 275 Châu Đốc 2 - 275 Takeo</v>
          </cell>
          <cell r="D576">
            <v>275</v>
          </cell>
          <cell r="E576">
            <v>-25.1</v>
          </cell>
          <cell r="F576">
            <v>-31.6</v>
          </cell>
          <cell r="G576">
            <v>-28.2</v>
          </cell>
          <cell r="H576">
            <v>-26.3</v>
          </cell>
          <cell r="I576">
            <v>-26.5</v>
          </cell>
          <cell r="J576">
            <v>-27.2</v>
          </cell>
          <cell r="K576">
            <v>-29.8</v>
          </cell>
          <cell r="L576">
            <v>-25.1</v>
          </cell>
          <cell r="M576">
            <v>-31.6</v>
          </cell>
        </row>
        <row r="577">
          <cell r="C577" t="str">
            <v>Châu Đức MBA T1 (phía 110kV)</v>
          </cell>
          <cell r="D577">
            <v>131</v>
          </cell>
          <cell r="E577">
            <v>-5.7</v>
          </cell>
          <cell r="F577">
            <v>-6.4</v>
          </cell>
          <cell r="G577">
            <v>-6</v>
          </cell>
          <cell r="H577">
            <v>-5.9</v>
          </cell>
          <cell r="I577">
            <v>-5.7</v>
          </cell>
          <cell r="J577">
            <v>-6.3</v>
          </cell>
          <cell r="K577">
            <v>-6.4</v>
          </cell>
          <cell r="L577">
            <v>-5.9</v>
          </cell>
          <cell r="M577">
            <v>-6.2</v>
          </cell>
        </row>
        <row r="578">
          <cell r="C578" t="str">
            <v>110kV 171 Châu Đức - 171 Ngãi Giao</v>
          </cell>
          <cell r="D578">
            <v>171</v>
          </cell>
          <cell r="E578">
            <v>-3.5</v>
          </cell>
          <cell r="F578">
            <v>-4.7</v>
          </cell>
          <cell r="G578">
            <v>-3.7</v>
          </cell>
          <cell r="H578">
            <v>-3.5</v>
          </cell>
          <cell r="I578">
            <v>-3.7</v>
          </cell>
          <cell r="J578">
            <v>-4.5</v>
          </cell>
          <cell r="K578">
            <v>-4.7</v>
          </cell>
          <cell r="L578">
            <v>-4.5999999999999996</v>
          </cell>
          <cell r="M578">
            <v>-4.3</v>
          </cell>
        </row>
        <row r="579">
          <cell r="C579" t="str">
            <v>110kV 172 Châu Đức - 173 Bà Rịa</v>
          </cell>
          <cell r="D579">
            <v>172</v>
          </cell>
          <cell r="E579">
            <v>9.1</v>
          </cell>
          <cell r="F579">
            <v>11.5</v>
          </cell>
          <cell r="G579">
            <v>9.1</v>
          </cell>
          <cell r="H579">
            <v>10</v>
          </cell>
          <cell r="I579">
            <v>9.9</v>
          </cell>
          <cell r="J579">
            <v>11.2</v>
          </cell>
          <cell r="K579">
            <v>11.5</v>
          </cell>
          <cell r="L579">
            <v>10.6</v>
          </cell>
          <cell r="M579">
            <v>10.7</v>
          </cell>
        </row>
        <row r="580">
          <cell r="C580" t="str">
            <v>110kV 173 Châu Đức - 171 NMĐ MT Châu Đức</v>
          </cell>
          <cell r="D580">
            <v>173</v>
          </cell>
          <cell r="E580">
            <v>-1</v>
          </cell>
          <cell r="F580">
            <v>4.9000000000000004</v>
          </cell>
          <cell r="G580">
            <v>3.8</v>
          </cell>
          <cell r="H580">
            <v>2.9</v>
          </cell>
          <cell r="I580">
            <v>4.9000000000000004</v>
          </cell>
          <cell r="J580">
            <v>4</v>
          </cell>
          <cell r="K580">
            <v>-1</v>
          </cell>
          <cell r="L580">
            <v>-1.1000000000000001</v>
          </cell>
          <cell r="M580">
            <v>-1.1000000000000001</v>
          </cell>
        </row>
        <row r="581">
          <cell r="C581" t="str">
            <v>Châu Đức MBA T1 (phía 22kV)</v>
          </cell>
          <cell r="D581">
            <v>431</v>
          </cell>
          <cell r="E581">
            <v>6</v>
          </cell>
          <cell r="F581">
            <v>7</v>
          </cell>
          <cell r="G581">
            <v>6.6</v>
          </cell>
          <cell r="H581">
            <v>6.5</v>
          </cell>
          <cell r="I581">
            <v>6</v>
          </cell>
          <cell r="J581">
            <v>6.7</v>
          </cell>
          <cell r="K581">
            <v>7</v>
          </cell>
          <cell r="L581">
            <v>6.6</v>
          </cell>
          <cell r="M581">
            <v>6.6</v>
          </cell>
        </row>
        <row r="582">
          <cell r="C582" t="str">
            <v>Châu Đức 2 MBA AT1 (phía 110kV)</v>
          </cell>
          <cell r="D582">
            <v>131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</row>
        <row r="583">
          <cell r="C583" t="str">
            <v>Châu Đức 2 MBA AT1 (phía 220kV)</v>
          </cell>
          <cell r="D583">
            <v>231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</row>
        <row r="584">
          <cell r="C584" t="str">
            <v>220kV 271 Châu Đức 2 - 275 Tân Thành</v>
          </cell>
          <cell r="D584">
            <v>271</v>
          </cell>
          <cell r="E584">
            <v>-11.5</v>
          </cell>
          <cell r="F584">
            <v>25.8</v>
          </cell>
          <cell r="G584">
            <v>-11.5</v>
          </cell>
          <cell r="H584">
            <v>20.399999999999999</v>
          </cell>
          <cell r="I584">
            <v>-13.6</v>
          </cell>
          <cell r="J584">
            <v>19.8</v>
          </cell>
          <cell r="K584">
            <v>25.8</v>
          </cell>
          <cell r="L584">
            <v>21.1</v>
          </cell>
          <cell r="M584">
            <v>20</v>
          </cell>
        </row>
        <row r="585">
          <cell r="C585" t="str">
            <v>220kV 274 Châu Đức 2 - 271 NMĐ MT Đá Bạc</v>
          </cell>
          <cell r="D585">
            <v>274</v>
          </cell>
          <cell r="E585">
            <v>13.8</v>
          </cell>
          <cell r="F585">
            <v>-25.3</v>
          </cell>
          <cell r="G585">
            <v>14.5</v>
          </cell>
          <cell r="H585">
            <v>-18.100000000000001</v>
          </cell>
          <cell r="I585">
            <v>13.8</v>
          </cell>
          <cell r="J585">
            <v>-19.600000000000001</v>
          </cell>
          <cell r="K585">
            <v>-25.3</v>
          </cell>
          <cell r="L585">
            <v>-18.5</v>
          </cell>
          <cell r="M585">
            <v>-18.899999999999999</v>
          </cell>
        </row>
        <row r="586">
          <cell r="C586" t="str">
            <v>Châu Thành MBA T1 (phía 110kV)</v>
          </cell>
          <cell r="D586">
            <v>131</v>
          </cell>
          <cell r="E586">
            <v>-1.1000000000000001</v>
          </cell>
          <cell r="F586">
            <v>-1.9</v>
          </cell>
          <cell r="G586">
            <v>-1.4</v>
          </cell>
          <cell r="H586">
            <v>-1.9</v>
          </cell>
          <cell r="I586">
            <v>1.4</v>
          </cell>
          <cell r="J586">
            <v>-1.1000000000000001</v>
          </cell>
          <cell r="K586">
            <v>-1.7</v>
          </cell>
          <cell r="L586">
            <v>-1.4</v>
          </cell>
          <cell r="M586">
            <v>-1.5</v>
          </cell>
        </row>
        <row r="587">
          <cell r="C587" t="str">
            <v>Châu Thành MBA T2 (phía 110kV)</v>
          </cell>
          <cell r="D587">
            <v>132</v>
          </cell>
          <cell r="E587">
            <v>-1.5</v>
          </cell>
          <cell r="F587">
            <v>2.5</v>
          </cell>
          <cell r="G587">
            <v>-1.5</v>
          </cell>
          <cell r="H587">
            <v>-1.9</v>
          </cell>
          <cell r="I587">
            <v>1.8</v>
          </cell>
          <cell r="J587">
            <v>2.5</v>
          </cell>
          <cell r="K587">
            <v>1.8</v>
          </cell>
          <cell r="L587">
            <v>-1.5</v>
          </cell>
          <cell r="M587">
            <v>1.8</v>
          </cell>
        </row>
        <row r="588">
          <cell r="C588" t="str">
            <v>110kV 171 Châu Thành - 179 Cần Thơ 2</v>
          </cell>
          <cell r="D588">
            <v>171</v>
          </cell>
          <cell r="E588">
            <v>2.8</v>
          </cell>
          <cell r="F588">
            <v>5.0999999999999996</v>
          </cell>
          <cell r="G588">
            <v>5.0999999999999996</v>
          </cell>
          <cell r="H588">
            <v>4.5999999999999996</v>
          </cell>
          <cell r="I588">
            <v>-4.3</v>
          </cell>
          <cell r="J588">
            <v>3.3</v>
          </cell>
          <cell r="K588">
            <v>3.4</v>
          </cell>
          <cell r="L588">
            <v>2.8</v>
          </cell>
          <cell r="M588">
            <v>-3.2</v>
          </cell>
        </row>
        <row r="589">
          <cell r="C589" t="str">
            <v>110kV 172 Châu Thành - 171 Phụng Hiệp</v>
          </cell>
          <cell r="D589">
            <v>172</v>
          </cell>
          <cell r="E589">
            <v>0</v>
          </cell>
          <cell r="F589">
            <v>-2.2000000000000002</v>
          </cell>
          <cell r="G589">
            <v>-2.2000000000000002</v>
          </cell>
          <cell r="H589">
            <v>0</v>
          </cell>
          <cell r="I589">
            <v>-2</v>
          </cell>
          <cell r="J589">
            <v>-1.6</v>
          </cell>
          <cell r="K589">
            <v>-1.2</v>
          </cell>
          <cell r="L589">
            <v>0</v>
          </cell>
          <cell r="M589">
            <v>0</v>
          </cell>
        </row>
        <row r="590">
          <cell r="C590" t="str">
            <v>Châu Thành MBA T1 (phía 22kV)</v>
          </cell>
          <cell r="D590">
            <v>431</v>
          </cell>
          <cell r="E590">
            <v>3.2</v>
          </cell>
          <cell r="F590">
            <v>4.0999999999999996</v>
          </cell>
          <cell r="G590">
            <v>3.6</v>
          </cell>
          <cell r="H590">
            <v>4.0999999999999996</v>
          </cell>
          <cell r="I590">
            <v>4.0999999999999996</v>
          </cell>
          <cell r="J590">
            <v>3.2</v>
          </cell>
          <cell r="K590">
            <v>3.5</v>
          </cell>
          <cell r="L590">
            <v>3.7</v>
          </cell>
          <cell r="M590">
            <v>3.7</v>
          </cell>
        </row>
        <row r="591">
          <cell r="C591" t="str">
            <v>Châu Thành MBA T2 (phía 22kV)</v>
          </cell>
          <cell r="D591">
            <v>432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</row>
        <row r="592">
          <cell r="C592" t="str">
            <v>China Steel MBA T1 (phía 110kV)</v>
          </cell>
          <cell r="D592">
            <v>131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</row>
        <row r="593">
          <cell r="C593" t="str">
            <v>China Steel MBA T2 (phía 110kV)</v>
          </cell>
          <cell r="D593">
            <v>132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</row>
        <row r="594">
          <cell r="C594" t="str">
            <v>110kV 171 China Steel - 175 Mỹ Xuân 2</v>
          </cell>
          <cell r="D594">
            <v>171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</row>
        <row r="595">
          <cell r="C595" t="str">
            <v>110kV 172 China Steel - 176 Mỹ Xuân 2</v>
          </cell>
          <cell r="D595">
            <v>172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</row>
        <row r="596">
          <cell r="C596" t="str">
            <v>China Steel MBA T1 (phía 22kV)</v>
          </cell>
          <cell r="D596">
            <v>431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</row>
        <row r="597">
          <cell r="C597" t="str">
            <v>China Steel MBA T2 (phía 22kV)</v>
          </cell>
          <cell r="D597">
            <v>432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</row>
        <row r="598">
          <cell r="C598" t="str">
            <v>Ching Luh MBA T1 (phía 110kV)</v>
          </cell>
          <cell r="D598">
            <v>131</v>
          </cell>
          <cell r="E598">
            <v>0.4</v>
          </cell>
          <cell r="F598">
            <v>2.8</v>
          </cell>
          <cell r="G598">
            <v>2.5</v>
          </cell>
          <cell r="H598">
            <v>2.8</v>
          </cell>
          <cell r="I598">
            <v>2.4</v>
          </cell>
          <cell r="J598">
            <v>0.4</v>
          </cell>
          <cell r="K598">
            <v>2.4</v>
          </cell>
          <cell r="L598">
            <v>2.4</v>
          </cell>
          <cell r="M598">
            <v>2.4</v>
          </cell>
        </row>
        <row r="599">
          <cell r="C599" t="str">
            <v>Ching Luh MBA T2 (phía 110kV)</v>
          </cell>
          <cell r="D599">
            <v>132</v>
          </cell>
          <cell r="E599">
            <v>1.7</v>
          </cell>
          <cell r="F599">
            <v>3.7</v>
          </cell>
          <cell r="G599">
            <v>3.6</v>
          </cell>
          <cell r="H599">
            <v>3.6</v>
          </cell>
          <cell r="I599">
            <v>3.5</v>
          </cell>
          <cell r="J599">
            <v>1.7</v>
          </cell>
          <cell r="K599">
            <v>3.5</v>
          </cell>
          <cell r="L599">
            <v>3.7</v>
          </cell>
          <cell r="M599">
            <v>3.7</v>
          </cell>
        </row>
        <row r="600">
          <cell r="C600" t="str">
            <v>110kV 171 Ching Luh - 172 Bến Lức - 171 Rạch Chanh - 176 Phú Lâm</v>
          </cell>
          <cell r="D600">
            <v>171</v>
          </cell>
          <cell r="E600">
            <v>-0.4</v>
          </cell>
          <cell r="F600">
            <v>-2.8</v>
          </cell>
          <cell r="G600">
            <v>-2.4</v>
          </cell>
          <cell r="H600">
            <v>-2.8</v>
          </cell>
          <cell r="I600">
            <v>-2.4</v>
          </cell>
          <cell r="J600">
            <v>-0.4</v>
          </cell>
          <cell r="K600">
            <v>-2.4</v>
          </cell>
          <cell r="L600">
            <v>-2.4</v>
          </cell>
          <cell r="M600">
            <v>-2.2999999999999998</v>
          </cell>
        </row>
        <row r="601">
          <cell r="C601" t="str">
            <v>Ching Luh MBA T1 (phía 15kV)</v>
          </cell>
          <cell r="D601">
            <v>831</v>
          </cell>
          <cell r="E601">
            <v>-0.4</v>
          </cell>
          <cell r="F601">
            <v>-2.4</v>
          </cell>
          <cell r="G601">
            <v>-2.1</v>
          </cell>
          <cell r="H601">
            <v>-2.4</v>
          </cell>
          <cell r="I601">
            <v>-2</v>
          </cell>
          <cell r="J601">
            <v>-0.4</v>
          </cell>
          <cell r="K601">
            <v>-2</v>
          </cell>
          <cell r="L601">
            <v>-2.1</v>
          </cell>
          <cell r="M601">
            <v>-2</v>
          </cell>
        </row>
        <row r="602">
          <cell r="C602" t="str">
            <v>Ching Luh MBA T2 (phía 15kV)</v>
          </cell>
          <cell r="D602">
            <v>832</v>
          </cell>
          <cell r="E602">
            <v>-1.4</v>
          </cell>
          <cell r="F602">
            <v>-3</v>
          </cell>
          <cell r="G602">
            <v>-3</v>
          </cell>
          <cell r="H602">
            <v>-3</v>
          </cell>
          <cell r="I602">
            <v>-2.9</v>
          </cell>
          <cell r="J602">
            <v>-1.4</v>
          </cell>
          <cell r="K602">
            <v>-2.9</v>
          </cell>
          <cell r="L602">
            <v>-3</v>
          </cell>
          <cell r="M602">
            <v>-3</v>
          </cell>
        </row>
        <row r="603">
          <cell r="C603" t="str">
            <v>Chợ Gạo MBA T1 (phía 110kV)</v>
          </cell>
          <cell r="D603">
            <v>131</v>
          </cell>
          <cell r="E603">
            <v>1.6</v>
          </cell>
          <cell r="F603">
            <v>2.5</v>
          </cell>
          <cell r="G603">
            <v>2.2000000000000002</v>
          </cell>
          <cell r="H603">
            <v>1.7</v>
          </cell>
          <cell r="I603">
            <v>-1.7</v>
          </cell>
          <cell r="J603">
            <v>2.5</v>
          </cell>
          <cell r="K603">
            <v>2.1</v>
          </cell>
          <cell r="L603">
            <v>1.8</v>
          </cell>
          <cell r="M603">
            <v>1.6</v>
          </cell>
        </row>
        <row r="604">
          <cell r="C604" t="str">
            <v>Chợ Gạo MBA T2 (phía 110kV)</v>
          </cell>
          <cell r="D604">
            <v>132</v>
          </cell>
          <cell r="E604">
            <v>2.2999999999999998</v>
          </cell>
          <cell r="F604">
            <v>3.6</v>
          </cell>
          <cell r="G604">
            <v>3</v>
          </cell>
          <cell r="H604">
            <v>3</v>
          </cell>
          <cell r="I604">
            <v>3.6</v>
          </cell>
          <cell r="J604">
            <v>2.4</v>
          </cell>
          <cell r="K604">
            <v>3.6</v>
          </cell>
          <cell r="L604">
            <v>-3.2</v>
          </cell>
          <cell r="M604">
            <v>2.2999999999999998</v>
          </cell>
        </row>
        <row r="605">
          <cell r="C605" t="str">
            <v>110kV 171 Chợ Gạo - 172 Bình Đức</v>
          </cell>
          <cell r="D605">
            <v>171</v>
          </cell>
          <cell r="E605">
            <v>-3.6</v>
          </cell>
          <cell r="F605">
            <v>-5.6</v>
          </cell>
          <cell r="G605">
            <v>-5.6</v>
          </cell>
          <cell r="H605">
            <v>-4.5999999999999996</v>
          </cell>
          <cell r="I605">
            <v>-3.9</v>
          </cell>
          <cell r="J605">
            <v>-3.8</v>
          </cell>
          <cell r="K605">
            <v>-5.3</v>
          </cell>
          <cell r="L605">
            <v>-4.7</v>
          </cell>
          <cell r="M605">
            <v>-3.6</v>
          </cell>
        </row>
        <row r="606">
          <cell r="C606" t="str">
            <v>110kV 172 Chợ Gạo - 172 Gò Công Tây</v>
          </cell>
          <cell r="D606">
            <v>172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</row>
        <row r="607">
          <cell r="C607" t="str">
            <v>Chợ Gạo MBA T1 (phía 22kV)</v>
          </cell>
          <cell r="D607">
            <v>431</v>
          </cell>
          <cell r="E607">
            <v>-1.9</v>
          </cell>
          <cell r="F607">
            <v>2.5</v>
          </cell>
          <cell r="G607">
            <v>-2.2999999999999998</v>
          </cell>
          <cell r="H607">
            <v>2.2999999999999998</v>
          </cell>
          <cell r="I607">
            <v>2.5</v>
          </cell>
          <cell r="J607">
            <v>2.2000000000000002</v>
          </cell>
          <cell r="K607">
            <v>-1.9</v>
          </cell>
          <cell r="L607">
            <v>2.2999999999999998</v>
          </cell>
          <cell r="M607">
            <v>2.2999999999999998</v>
          </cell>
        </row>
        <row r="608">
          <cell r="C608" t="str">
            <v>Chợ Gạo MBA T2 (phía 22kV)</v>
          </cell>
          <cell r="D608">
            <v>432</v>
          </cell>
          <cell r="E608">
            <v>-1.3</v>
          </cell>
          <cell r="F608">
            <v>4.0999999999999996</v>
          </cell>
          <cell r="G608">
            <v>-1.3</v>
          </cell>
          <cell r="H608">
            <v>3.4</v>
          </cell>
          <cell r="I608">
            <v>-2.8</v>
          </cell>
          <cell r="J608">
            <v>2.6</v>
          </cell>
          <cell r="K608">
            <v>3.3</v>
          </cell>
          <cell r="L608">
            <v>3.9</v>
          </cell>
          <cell r="M608">
            <v>4.0999999999999996</v>
          </cell>
        </row>
        <row r="609">
          <cell r="C609" t="str">
            <v>Chợ Lách MBA T2 (phía 110kV)</v>
          </cell>
          <cell r="D609">
            <v>132</v>
          </cell>
          <cell r="E609">
            <v>1.7</v>
          </cell>
          <cell r="F609">
            <v>2.4</v>
          </cell>
          <cell r="G609">
            <v>2.4</v>
          </cell>
          <cell r="H609">
            <v>2.2000000000000002</v>
          </cell>
          <cell r="I609">
            <v>2.1</v>
          </cell>
          <cell r="J609">
            <v>2.4</v>
          </cell>
          <cell r="K609">
            <v>2</v>
          </cell>
          <cell r="L609">
            <v>1.8</v>
          </cell>
          <cell r="M609">
            <v>1.7</v>
          </cell>
        </row>
        <row r="610">
          <cell r="C610" t="str">
            <v>110kV 171 Chợ Lách - 171 Mỏ Cày 2</v>
          </cell>
          <cell r="D610">
            <v>171</v>
          </cell>
          <cell r="E610">
            <v>-1</v>
          </cell>
          <cell r="F610">
            <v>-1.6</v>
          </cell>
          <cell r="G610">
            <v>-1.5</v>
          </cell>
          <cell r="H610">
            <v>-1.5</v>
          </cell>
          <cell r="I610">
            <v>-1.3</v>
          </cell>
          <cell r="J610">
            <v>-1.6</v>
          </cell>
          <cell r="K610">
            <v>-1.2</v>
          </cell>
          <cell r="L610">
            <v>-1</v>
          </cell>
          <cell r="M610">
            <v>-1</v>
          </cell>
        </row>
        <row r="611">
          <cell r="C611" t="str">
            <v>110kV 172 Chợ Lách - 172 Cổ Chiên</v>
          </cell>
          <cell r="D611">
            <v>172</v>
          </cell>
          <cell r="E611">
            <v>-0.7</v>
          </cell>
          <cell r="F611">
            <v>-0.7</v>
          </cell>
          <cell r="G611">
            <v>-0.7</v>
          </cell>
          <cell r="H611">
            <v>-0.7</v>
          </cell>
          <cell r="I611">
            <v>-0.7</v>
          </cell>
          <cell r="J611">
            <v>-0.7</v>
          </cell>
          <cell r="K611">
            <v>-0.7</v>
          </cell>
          <cell r="L611">
            <v>-0.7</v>
          </cell>
          <cell r="M611">
            <v>-0.7</v>
          </cell>
        </row>
        <row r="612">
          <cell r="C612" t="str">
            <v>Chợ Lách MBA T2 (phía 22kV)</v>
          </cell>
          <cell r="D612">
            <v>432</v>
          </cell>
          <cell r="E612">
            <v>-0.8</v>
          </cell>
          <cell r="F612">
            <v>-1.3</v>
          </cell>
          <cell r="G612">
            <v>-1.3</v>
          </cell>
          <cell r="H612">
            <v>1.2</v>
          </cell>
          <cell r="I612">
            <v>-1.3</v>
          </cell>
          <cell r="J612">
            <v>-1.1000000000000001</v>
          </cell>
          <cell r="K612">
            <v>-1.1000000000000001</v>
          </cell>
          <cell r="L612">
            <v>-0.9</v>
          </cell>
          <cell r="M612">
            <v>-0.8</v>
          </cell>
        </row>
        <row r="613">
          <cell r="C613" t="str">
            <v>Chợ Lớn MBA T1 (phía 110kV)</v>
          </cell>
          <cell r="D613">
            <v>131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</row>
        <row r="614">
          <cell r="C614" t="str">
            <v>Chợ Lớn MBA T2 (phía 110kV)</v>
          </cell>
          <cell r="D614">
            <v>132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</row>
        <row r="615">
          <cell r="C615" t="str">
            <v>110kV 171 Chợ Lớn - 174 Bà Quẹo - 171 Trường Đua</v>
          </cell>
          <cell r="D615">
            <v>171</v>
          </cell>
          <cell r="E615">
            <v>9.5</v>
          </cell>
          <cell r="F615">
            <v>-10.8</v>
          </cell>
          <cell r="G615">
            <v>10</v>
          </cell>
          <cell r="H615">
            <v>9.5</v>
          </cell>
          <cell r="I615">
            <v>-9.6999999999999993</v>
          </cell>
          <cell r="J615">
            <v>-10.1</v>
          </cell>
          <cell r="K615">
            <v>-10.4</v>
          </cell>
          <cell r="L615">
            <v>-10.8</v>
          </cell>
          <cell r="M615">
            <v>-9.6999999999999993</v>
          </cell>
        </row>
        <row r="616">
          <cell r="C616" t="str">
            <v>110kV 172 Chợ Lớn - 172 Phú Lâm</v>
          </cell>
          <cell r="D616">
            <v>172</v>
          </cell>
          <cell r="E616">
            <v>10.7</v>
          </cell>
          <cell r="F616">
            <v>12.1</v>
          </cell>
          <cell r="G616">
            <v>11.1</v>
          </cell>
          <cell r="H616">
            <v>-10.9</v>
          </cell>
          <cell r="I616">
            <v>10.7</v>
          </cell>
          <cell r="J616">
            <v>11.1</v>
          </cell>
          <cell r="K616">
            <v>11.5</v>
          </cell>
          <cell r="L616">
            <v>12.1</v>
          </cell>
          <cell r="M616">
            <v>11.1</v>
          </cell>
        </row>
        <row r="617">
          <cell r="C617" t="str">
            <v>110kV 173 Chợ Lớn - 173 Phú Lâm</v>
          </cell>
          <cell r="D617">
            <v>173</v>
          </cell>
          <cell r="E617">
            <v>10.6</v>
          </cell>
          <cell r="F617">
            <v>12</v>
          </cell>
          <cell r="G617">
            <v>11.1</v>
          </cell>
          <cell r="H617">
            <v>-10.6</v>
          </cell>
          <cell r="I617">
            <v>10.6</v>
          </cell>
          <cell r="J617">
            <v>11.1</v>
          </cell>
          <cell r="K617">
            <v>11.4</v>
          </cell>
          <cell r="L617">
            <v>12</v>
          </cell>
          <cell r="M617">
            <v>11.1</v>
          </cell>
        </row>
        <row r="618">
          <cell r="C618" t="str">
            <v>Chợ Lớn MBA T1 (phía 22kV)</v>
          </cell>
          <cell r="D618">
            <v>431</v>
          </cell>
          <cell r="E618">
            <v>9</v>
          </cell>
          <cell r="F618">
            <v>10.3</v>
          </cell>
          <cell r="G618">
            <v>10.3</v>
          </cell>
          <cell r="H618">
            <v>9</v>
          </cell>
          <cell r="I618">
            <v>9.3000000000000007</v>
          </cell>
          <cell r="J618">
            <v>9.4</v>
          </cell>
          <cell r="K618">
            <v>9.6</v>
          </cell>
          <cell r="L618">
            <v>9.6999999999999993</v>
          </cell>
          <cell r="M618">
            <v>9.5</v>
          </cell>
        </row>
        <row r="619">
          <cell r="C619" t="str">
            <v>Chợ Lớn MBA T2 (phía 22kV)</v>
          </cell>
          <cell r="D619">
            <v>432</v>
          </cell>
          <cell r="E619">
            <v>5.3</v>
          </cell>
          <cell r="F619">
            <v>6.4</v>
          </cell>
          <cell r="G619">
            <v>5.8</v>
          </cell>
          <cell r="H619">
            <v>5.3</v>
          </cell>
          <cell r="I619">
            <v>5.8</v>
          </cell>
          <cell r="J619">
            <v>6.1</v>
          </cell>
          <cell r="K619">
            <v>6.2</v>
          </cell>
          <cell r="L619">
            <v>6.4</v>
          </cell>
          <cell r="M619">
            <v>6.2</v>
          </cell>
        </row>
        <row r="620">
          <cell r="C620" t="str">
            <v>Chợ Mới MBA T1 (phía 110kV)</v>
          </cell>
          <cell r="D620">
            <v>131</v>
          </cell>
          <cell r="E620">
            <v>3.8</v>
          </cell>
          <cell r="F620">
            <v>4.5999999999999996</v>
          </cell>
          <cell r="G620">
            <v>-3.8</v>
          </cell>
          <cell r="H620">
            <v>4.3</v>
          </cell>
          <cell r="I620">
            <v>-3.9</v>
          </cell>
          <cell r="J620">
            <v>-4.0999999999999996</v>
          </cell>
          <cell r="K620">
            <v>4.5999999999999996</v>
          </cell>
          <cell r="L620">
            <v>4</v>
          </cell>
          <cell r="M620">
            <v>3.8</v>
          </cell>
        </row>
        <row r="621">
          <cell r="C621" t="str">
            <v>Chợ Mới MBA T2 (phía 110kV)</v>
          </cell>
          <cell r="D621">
            <v>132</v>
          </cell>
          <cell r="E621">
            <v>-1.8</v>
          </cell>
          <cell r="F621">
            <v>3.3</v>
          </cell>
          <cell r="G621">
            <v>3.3</v>
          </cell>
          <cell r="H621">
            <v>-1.8</v>
          </cell>
          <cell r="I621">
            <v>-2.8</v>
          </cell>
          <cell r="J621">
            <v>2.4</v>
          </cell>
          <cell r="K621">
            <v>-2.2000000000000002</v>
          </cell>
          <cell r="L621">
            <v>-3</v>
          </cell>
          <cell r="M621">
            <v>1.9</v>
          </cell>
        </row>
        <row r="622">
          <cell r="C622" t="str">
            <v>110kV 171 Chợ Mới - 174 Thạnh Hưng</v>
          </cell>
          <cell r="D622">
            <v>171</v>
          </cell>
          <cell r="E622">
            <v>-3.8</v>
          </cell>
          <cell r="F622">
            <v>8.8000000000000007</v>
          </cell>
          <cell r="G622">
            <v>4.8</v>
          </cell>
          <cell r="H622">
            <v>-4.2</v>
          </cell>
          <cell r="I622">
            <v>4</v>
          </cell>
          <cell r="J622">
            <v>8.8000000000000007</v>
          </cell>
          <cell r="K622">
            <v>-4.5999999999999996</v>
          </cell>
          <cell r="L622">
            <v>-3.9</v>
          </cell>
          <cell r="M622">
            <v>-3.8</v>
          </cell>
        </row>
        <row r="623">
          <cell r="C623" t="str">
            <v>110kV 172 Chợ Mới - 172 Phú Tân</v>
          </cell>
          <cell r="D623">
            <v>172</v>
          </cell>
          <cell r="E623">
            <v>-2.1</v>
          </cell>
          <cell r="F623">
            <v>-4.4000000000000004</v>
          </cell>
          <cell r="G623">
            <v>-3.4</v>
          </cell>
          <cell r="H623">
            <v>2.2000000000000002</v>
          </cell>
          <cell r="I623">
            <v>3</v>
          </cell>
          <cell r="J623">
            <v>-4.4000000000000004</v>
          </cell>
          <cell r="K623">
            <v>2.4</v>
          </cell>
          <cell r="L623">
            <v>3.2</v>
          </cell>
          <cell r="M623">
            <v>-2.1</v>
          </cell>
        </row>
        <row r="624">
          <cell r="C624" t="str">
            <v>Chợ Mới MBA T1 (phía 22kV)</v>
          </cell>
          <cell r="D624">
            <v>431</v>
          </cell>
          <cell r="E624">
            <v>5</v>
          </cell>
          <cell r="F624">
            <v>5.4</v>
          </cell>
          <cell r="G624">
            <v>5.0999999999999996</v>
          </cell>
          <cell r="H624">
            <v>5.2</v>
          </cell>
          <cell r="I624">
            <v>5.0999999999999996</v>
          </cell>
          <cell r="J624">
            <v>5.4</v>
          </cell>
          <cell r="K624">
            <v>5.4</v>
          </cell>
          <cell r="L624">
            <v>5.0999999999999996</v>
          </cell>
          <cell r="M624">
            <v>5</v>
          </cell>
        </row>
        <row r="625">
          <cell r="C625" t="str">
            <v>Chợ Mới MBA T2 (phía 22kV)</v>
          </cell>
          <cell r="D625">
            <v>432</v>
          </cell>
          <cell r="E625">
            <v>3.3</v>
          </cell>
          <cell r="F625">
            <v>4.4000000000000004</v>
          </cell>
          <cell r="G625">
            <v>3.7</v>
          </cell>
          <cell r="H625">
            <v>3.5</v>
          </cell>
          <cell r="I625">
            <v>3.9</v>
          </cell>
          <cell r="J625">
            <v>3.5</v>
          </cell>
          <cell r="K625">
            <v>3.9</v>
          </cell>
          <cell r="L625">
            <v>4.4000000000000004</v>
          </cell>
          <cell r="M625">
            <v>3.3</v>
          </cell>
        </row>
        <row r="626">
          <cell r="C626" t="str">
            <v>Chợ Quán MBA T1 (phía 110kV)</v>
          </cell>
          <cell r="D626">
            <v>131</v>
          </cell>
          <cell r="E626">
            <v>1.9</v>
          </cell>
          <cell r="F626">
            <v>3.5</v>
          </cell>
          <cell r="G626">
            <v>3.5</v>
          </cell>
          <cell r="H626">
            <v>3.4</v>
          </cell>
          <cell r="I626">
            <v>2.2999999999999998</v>
          </cell>
          <cell r="J626">
            <v>1.9</v>
          </cell>
          <cell r="K626">
            <v>3.4</v>
          </cell>
          <cell r="L626">
            <v>3.5</v>
          </cell>
          <cell r="M626">
            <v>3</v>
          </cell>
        </row>
        <row r="627">
          <cell r="C627" t="str">
            <v>Chợ Quán MBA T2 (phía 110kV)</v>
          </cell>
          <cell r="D627">
            <v>132</v>
          </cell>
          <cell r="E627">
            <v>3</v>
          </cell>
          <cell r="F627">
            <v>4.7</v>
          </cell>
          <cell r="G627">
            <v>4.7</v>
          </cell>
          <cell r="H627">
            <v>4.2</v>
          </cell>
          <cell r="I627">
            <v>3.4</v>
          </cell>
          <cell r="J627">
            <v>3.2</v>
          </cell>
          <cell r="K627">
            <v>4.7</v>
          </cell>
          <cell r="L627">
            <v>3.3</v>
          </cell>
          <cell r="M627">
            <v>3</v>
          </cell>
        </row>
        <row r="628">
          <cell r="C628" t="str">
            <v>110kV 171 Chợ Quán - 172 Quận 8</v>
          </cell>
          <cell r="D628">
            <v>171</v>
          </cell>
          <cell r="E628">
            <v>-4.4000000000000004</v>
          </cell>
          <cell r="F628">
            <v>-6.3</v>
          </cell>
          <cell r="G628">
            <v>-6.3</v>
          </cell>
          <cell r="H628">
            <v>-6</v>
          </cell>
          <cell r="I628">
            <v>-4.7</v>
          </cell>
          <cell r="J628">
            <v>-4.4000000000000004</v>
          </cell>
          <cell r="K628">
            <v>-6.1</v>
          </cell>
          <cell r="L628">
            <v>-5.3</v>
          </cell>
          <cell r="M628">
            <v>-4.7</v>
          </cell>
        </row>
        <row r="629">
          <cell r="C629" t="str">
            <v>110kV 172 Chợ Quán - 175 Quận 8</v>
          </cell>
          <cell r="D629">
            <v>172</v>
          </cell>
          <cell r="E629">
            <v>1.4</v>
          </cell>
          <cell r="F629">
            <v>1.8</v>
          </cell>
          <cell r="G629">
            <v>1.6</v>
          </cell>
          <cell r="H629">
            <v>1.4</v>
          </cell>
          <cell r="I629">
            <v>1.5</v>
          </cell>
          <cell r="J629">
            <v>1.6</v>
          </cell>
          <cell r="K629">
            <v>1.5</v>
          </cell>
          <cell r="L629">
            <v>1.8</v>
          </cell>
          <cell r="M629">
            <v>1.6</v>
          </cell>
        </row>
        <row r="630">
          <cell r="C630" t="str">
            <v>Chợ Quán MBA T1 (phía 22kV)</v>
          </cell>
          <cell r="D630">
            <v>431</v>
          </cell>
          <cell r="E630">
            <v>-1.2</v>
          </cell>
          <cell r="F630">
            <v>-2.6</v>
          </cell>
          <cell r="G630">
            <v>-2.2000000000000002</v>
          </cell>
          <cell r="H630">
            <v>-2.4</v>
          </cell>
          <cell r="I630">
            <v>-1.7</v>
          </cell>
          <cell r="J630">
            <v>-1.2</v>
          </cell>
          <cell r="K630">
            <v>-2.4</v>
          </cell>
          <cell r="L630">
            <v>-2.6</v>
          </cell>
          <cell r="M630">
            <v>-2.2000000000000002</v>
          </cell>
        </row>
        <row r="631">
          <cell r="C631" t="str">
            <v>Chợ Quán MBA T2 (phía 22kV)</v>
          </cell>
          <cell r="D631">
            <v>432</v>
          </cell>
          <cell r="E631">
            <v>-2.2999999999999998</v>
          </cell>
          <cell r="F631">
            <v>-3.4</v>
          </cell>
          <cell r="G631">
            <v>-3.4</v>
          </cell>
          <cell r="H631">
            <v>-2.9</v>
          </cell>
          <cell r="I631">
            <v>-2.4</v>
          </cell>
          <cell r="J631">
            <v>-2.2999999999999998</v>
          </cell>
          <cell r="K631">
            <v>-3.2</v>
          </cell>
          <cell r="L631">
            <v>-2.5</v>
          </cell>
          <cell r="M631">
            <v>-2.2999999999999998</v>
          </cell>
        </row>
        <row r="632">
          <cell r="C632" t="str">
            <v>Chơn Thành MBA T1 (phía 110kV)</v>
          </cell>
          <cell r="D632">
            <v>131</v>
          </cell>
          <cell r="E632">
            <v>3</v>
          </cell>
          <cell r="F632">
            <v>6.3</v>
          </cell>
          <cell r="G632">
            <v>3</v>
          </cell>
          <cell r="H632">
            <v>3.6</v>
          </cell>
          <cell r="I632">
            <v>4.3</v>
          </cell>
          <cell r="J632">
            <v>-6.2</v>
          </cell>
          <cell r="K632">
            <v>3.8</v>
          </cell>
          <cell r="L632">
            <v>6.3</v>
          </cell>
          <cell r="M632">
            <v>5.4</v>
          </cell>
        </row>
        <row r="633">
          <cell r="C633" t="str">
            <v>Chơn Thành MBA T2 (phía 110kV)</v>
          </cell>
          <cell r="D633">
            <v>132</v>
          </cell>
          <cell r="E633">
            <v>2.8</v>
          </cell>
          <cell r="F633">
            <v>7.4</v>
          </cell>
          <cell r="G633">
            <v>-3</v>
          </cell>
          <cell r="H633">
            <v>-3.3</v>
          </cell>
          <cell r="I633">
            <v>2.8</v>
          </cell>
          <cell r="J633">
            <v>-3.6</v>
          </cell>
          <cell r="K633">
            <v>3.1</v>
          </cell>
          <cell r="L633">
            <v>7.4</v>
          </cell>
          <cell r="M633">
            <v>4.7</v>
          </cell>
        </row>
        <row r="634">
          <cell r="C634" t="str">
            <v>110kV 171 Chơn Thành - 172 Viễn Đông</v>
          </cell>
          <cell r="D634">
            <v>171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</row>
        <row r="635">
          <cell r="C635" t="str">
            <v>110kV 172 Chơn Thành - 172 XM Bình Phước</v>
          </cell>
          <cell r="D635">
            <v>172</v>
          </cell>
          <cell r="E635">
            <v>-5.3</v>
          </cell>
          <cell r="F635">
            <v>-13.9</v>
          </cell>
          <cell r="G635">
            <v>-6</v>
          </cell>
          <cell r="H635">
            <v>6.6</v>
          </cell>
          <cell r="I635">
            <v>-7.2</v>
          </cell>
          <cell r="J635">
            <v>9.9</v>
          </cell>
          <cell r="K635">
            <v>-5.3</v>
          </cell>
          <cell r="L635">
            <v>-13.9</v>
          </cell>
          <cell r="M635">
            <v>-10</v>
          </cell>
        </row>
        <row r="636">
          <cell r="C636" t="str">
            <v>Chơn Thành MBA T1 (phía 22kV)</v>
          </cell>
          <cell r="D636">
            <v>431</v>
          </cell>
          <cell r="E636">
            <v>3.6</v>
          </cell>
          <cell r="F636">
            <v>6.4</v>
          </cell>
          <cell r="G636">
            <v>3.6</v>
          </cell>
          <cell r="H636">
            <v>3.7</v>
          </cell>
          <cell r="I636">
            <v>4.2</v>
          </cell>
          <cell r="J636">
            <v>6.4</v>
          </cell>
          <cell r="K636">
            <v>3.9</v>
          </cell>
          <cell r="L636">
            <v>-5.5</v>
          </cell>
          <cell r="M636">
            <v>-4.8</v>
          </cell>
        </row>
        <row r="637">
          <cell r="C637" t="str">
            <v>Chơn Thành MBA T2 (phía 22kV)</v>
          </cell>
          <cell r="D637">
            <v>432</v>
          </cell>
          <cell r="E637">
            <v>3.2</v>
          </cell>
          <cell r="F637">
            <v>-5.0999999999999996</v>
          </cell>
          <cell r="G637">
            <v>4</v>
          </cell>
          <cell r="H637">
            <v>4.4000000000000004</v>
          </cell>
          <cell r="I637">
            <v>3.8</v>
          </cell>
          <cell r="J637">
            <v>4.9000000000000004</v>
          </cell>
          <cell r="K637">
            <v>3.2</v>
          </cell>
          <cell r="L637">
            <v>-5.0999999999999996</v>
          </cell>
          <cell r="M637">
            <v>4.0999999999999996</v>
          </cell>
        </row>
        <row r="638">
          <cell r="C638" t="str">
            <v>Chung Sư MBA T1 (phía 110kV)</v>
          </cell>
          <cell r="D638">
            <v>131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</row>
        <row r="639">
          <cell r="C639" t="str">
            <v>110kV 171 Chung Sư - 171 Rạch Giá 2</v>
          </cell>
          <cell r="D639">
            <v>171</v>
          </cell>
          <cell r="E639">
            <v>2.2999999999999998</v>
          </cell>
          <cell r="F639">
            <v>3.4</v>
          </cell>
          <cell r="G639">
            <v>-3</v>
          </cell>
          <cell r="H639">
            <v>-2.9</v>
          </cell>
          <cell r="I639">
            <v>-2.4</v>
          </cell>
          <cell r="J639">
            <v>3</v>
          </cell>
          <cell r="K639">
            <v>3.4</v>
          </cell>
          <cell r="L639">
            <v>2.2999999999999998</v>
          </cell>
          <cell r="M639">
            <v>2.7</v>
          </cell>
        </row>
        <row r="640">
          <cell r="C640" t="str">
            <v>Chung Sư MBA T1 (phía 22kV)</v>
          </cell>
          <cell r="D640">
            <v>431</v>
          </cell>
          <cell r="E640">
            <v>1.6</v>
          </cell>
          <cell r="F640">
            <v>3.3</v>
          </cell>
          <cell r="G640">
            <v>-1.9</v>
          </cell>
          <cell r="H640">
            <v>-1.7</v>
          </cell>
          <cell r="I640">
            <v>1.8</v>
          </cell>
          <cell r="J640">
            <v>3.3</v>
          </cell>
          <cell r="K640">
            <v>2.7</v>
          </cell>
          <cell r="L640">
            <v>-1.6</v>
          </cell>
          <cell r="M640">
            <v>1.6</v>
          </cell>
        </row>
        <row r="641">
          <cell r="C641" t="str">
            <v>Cổ Chiên MBA T1 (phía 110kV)</v>
          </cell>
          <cell r="D641">
            <v>131</v>
          </cell>
          <cell r="E641">
            <v>1.5</v>
          </cell>
          <cell r="F641">
            <v>-3</v>
          </cell>
          <cell r="G641">
            <v>-1.6</v>
          </cell>
          <cell r="H641">
            <v>-1.6</v>
          </cell>
          <cell r="I641">
            <v>1.5</v>
          </cell>
          <cell r="J641">
            <v>-2.1</v>
          </cell>
          <cell r="K641">
            <v>-3</v>
          </cell>
          <cell r="L641">
            <v>1.5</v>
          </cell>
          <cell r="M641">
            <v>-2.8</v>
          </cell>
        </row>
        <row r="642">
          <cell r="C642" t="str">
            <v>110kV 171 Cổ Chiên - 175 Vĩnh Long 2</v>
          </cell>
          <cell r="D642">
            <v>171</v>
          </cell>
          <cell r="E642">
            <v>-1.4</v>
          </cell>
          <cell r="F642">
            <v>3.1</v>
          </cell>
          <cell r="G642">
            <v>1.7</v>
          </cell>
          <cell r="H642">
            <v>1.7</v>
          </cell>
          <cell r="I642">
            <v>-1.5</v>
          </cell>
          <cell r="J642">
            <v>2.2000000000000002</v>
          </cell>
          <cell r="K642">
            <v>3.1</v>
          </cell>
          <cell r="L642">
            <v>-1.4</v>
          </cell>
          <cell r="M642">
            <v>2.9</v>
          </cell>
        </row>
        <row r="643">
          <cell r="C643" t="str">
            <v>110kV 172 Cổ Chiên - 172 Chợ Lách</v>
          </cell>
          <cell r="D643">
            <v>172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</row>
        <row r="644">
          <cell r="C644" t="str">
            <v>Cổ Chiên MBA T1 (phía 22kV)</v>
          </cell>
          <cell r="D644">
            <v>431</v>
          </cell>
          <cell r="E644">
            <v>2.2000000000000002</v>
          </cell>
          <cell r="F644">
            <v>3.5</v>
          </cell>
          <cell r="G644">
            <v>2.2000000000000002</v>
          </cell>
          <cell r="H644">
            <v>2.4</v>
          </cell>
          <cell r="I644">
            <v>2.2000000000000002</v>
          </cell>
          <cell r="J644">
            <v>2.7</v>
          </cell>
          <cell r="K644">
            <v>3.5</v>
          </cell>
          <cell r="L644">
            <v>2.2000000000000002</v>
          </cell>
          <cell r="M644">
            <v>3.5</v>
          </cell>
        </row>
        <row r="645">
          <cell r="C645" t="str">
            <v>Công Nghệ Cao MBA AT1 (phía 110kV)</v>
          </cell>
          <cell r="D645">
            <v>131</v>
          </cell>
          <cell r="E645">
            <v>0.8</v>
          </cell>
          <cell r="F645">
            <v>-1.7</v>
          </cell>
          <cell r="G645">
            <v>-1.5</v>
          </cell>
          <cell r="H645">
            <v>-1.2</v>
          </cell>
          <cell r="I645">
            <v>-1.2</v>
          </cell>
          <cell r="J645">
            <v>0.8</v>
          </cell>
          <cell r="K645">
            <v>-1.7</v>
          </cell>
          <cell r="L645">
            <v>-1.2</v>
          </cell>
          <cell r="M645">
            <v>-1.2</v>
          </cell>
        </row>
        <row r="646">
          <cell r="C646" t="str">
            <v>Công Nghệ Cao MBA AT2 (phía 110kV)</v>
          </cell>
          <cell r="D646">
            <v>132</v>
          </cell>
          <cell r="E646">
            <v>18.399999999999999</v>
          </cell>
          <cell r="F646">
            <v>42.2</v>
          </cell>
          <cell r="G646">
            <v>39.5</v>
          </cell>
          <cell r="H646">
            <v>40.4</v>
          </cell>
          <cell r="I646">
            <v>40.200000000000003</v>
          </cell>
          <cell r="J646">
            <v>18.399999999999999</v>
          </cell>
          <cell r="K646">
            <v>41.9</v>
          </cell>
          <cell r="L646">
            <v>41.4</v>
          </cell>
          <cell r="M646">
            <v>42.2</v>
          </cell>
        </row>
        <row r="647">
          <cell r="C647" t="str">
            <v>Công Nghệ Cao MBA T3 (phía 110kV)</v>
          </cell>
          <cell r="D647">
            <v>133</v>
          </cell>
          <cell r="E647">
            <v>2.9</v>
          </cell>
          <cell r="F647">
            <v>3.7</v>
          </cell>
          <cell r="G647">
            <v>3.6</v>
          </cell>
          <cell r="H647">
            <v>3.7</v>
          </cell>
          <cell r="I647">
            <v>3.6</v>
          </cell>
          <cell r="J647">
            <v>2.9</v>
          </cell>
          <cell r="K647">
            <v>3.5</v>
          </cell>
          <cell r="L647">
            <v>3.6</v>
          </cell>
          <cell r="M647">
            <v>3.6</v>
          </cell>
        </row>
        <row r="648">
          <cell r="C648" t="str">
            <v>Công Nghệ Cao MBA T4 (phía 110kV)</v>
          </cell>
          <cell r="D648">
            <v>134</v>
          </cell>
          <cell r="E648">
            <v>3.8</v>
          </cell>
          <cell r="F648">
            <v>7.5</v>
          </cell>
          <cell r="G648">
            <v>7</v>
          </cell>
          <cell r="H648">
            <v>7.5</v>
          </cell>
          <cell r="I648">
            <v>6</v>
          </cell>
          <cell r="J648">
            <v>3.8</v>
          </cell>
          <cell r="K648">
            <v>7.3</v>
          </cell>
          <cell r="L648">
            <v>6.9</v>
          </cell>
          <cell r="M648">
            <v>7.2</v>
          </cell>
        </row>
        <row r="649">
          <cell r="C649" t="str">
            <v>Công Nghệ Cao MBA T5 (phía 110kV)</v>
          </cell>
          <cell r="D649">
            <v>135</v>
          </cell>
          <cell r="E649">
            <v>1.2</v>
          </cell>
          <cell r="F649">
            <v>1.8</v>
          </cell>
          <cell r="G649">
            <v>1.8</v>
          </cell>
          <cell r="H649">
            <v>1.8</v>
          </cell>
          <cell r="I649">
            <v>1.8</v>
          </cell>
          <cell r="J649">
            <v>1.2</v>
          </cell>
          <cell r="K649">
            <v>1.7</v>
          </cell>
          <cell r="L649">
            <v>1.5</v>
          </cell>
          <cell r="M649">
            <v>1.3</v>
          </cell>
        </row>
        <row r="650">
          <cell r="C650" t="str">
            <v>110kV 172 Công Nghệ Cao - 175 Cát Lái</v>
          </cell>
          <cell r="D650">
            <v>172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</row>
        <row r="651">
          <cell r="C651" t="str">
            <v>110kV 173 Công Nghệ Cao - (174-7) Intel</v>
          </cell>
          <cell r="D651">
            <v>173</v>
          </cell>
          <cell r="E651">
            <v>-19.3</v>
          </cell>
          <cell r="F651">
            <v>-43.8</v>
          </cell>
          <cell r="G651">
            <v>-41.7</v>
          </cell>
          <cell r="H651">
            <v>-42.2</v>
          </cell>
          <cell r="I651">
            <v>-40.9</v>
          </cell>
          <cell r="J651">
            <v>-19.3</v>
          </cell>
          <cell r="K651">
            <v>-42.7</v>
          </cell>
          <cell r="L651">
            <v>-42.7</v>
          </cell>
          <cell r="M651">
            <v>-43.8</v>
          </cell>
        </row>
        <row r="652">
          <cell r="C652" t="str">
            <v>110kV 174 Công Nghệ Cao - 172 Tăng Nhơn Phú</v>
          </cell>
          <cell r="D652">
            <v>174</v>
          </cell>
          <cell r="E652">
            <v>-22.8</v>
          </cell>
          <cell r="F652">
            <v>-52.2</v>
          </cell>
          <cell r="G652">
            <v>-48.3</v>
          </cell>
          <cell r="H652">
            <v>-50.9</v>
          </cell>
          <cell r="I652">
            <v>-49.1</v>
          </cell>
          <cell r="J652">
            <v>-22.8</v>
          </cell>
          <cell r="K652">
            <v>-50.9</v>
          </cell>
          <cell r="L652">
            <v>-51</v>
          </cell>
          <cell r="M652">
            <v>-52.2</v>
          </cell>
        </row>
        <row r="653">
          <cell r="C653" t="str">
            <v>Công Nghệ Cao MBA AT1 (phía 220kV)</v>
          </cell>
          <cell r="D653">
            <v>231</v>
          </cell>
          <cell r="E653">
            <v>-17.2</v>
          </cell>
          <cell r="F653">
            <v>-40.1</v>
          </cell>
          <cell r="G653">
            <v>-36.9</v>
          </cell>
          <cell r="H653">
            <v>-38.1</v>
          </cell>
          <cell r="I653">
            <v>-38</v>
          </cell>
          <cell r="J653">
            <v>-17.2</v>
          </cell>
          <cell r="K653">
            <v>-40.1</v>
          </cell>
          <cell r="L653">
            <v>-39.299999999999997</v>
          </cell>
          <cell r="M653">
            <v>-39.799999999999997</v>
          </cell>
        </row>
        <row r="654">
          <cell r="C654" t="str">
            <v>Công Nghệ Cao MBA AT2 (phía 220kV)</v>
          </cell>
          <cell r="D654">
            <v>232</v>
          </cell>
          <cell r="E654">
            <v>-17.399999999999999</v>
          </cell>
          <cell r="F654">
            <v>-40.700000000000003</v>
          </cell>
          <cell r="G654">
            <v>-37.200000000000003</v>
          </cell>
          <cell r="H654">
            <v>-38.4</v>
          </cell>
          <cell r="I654">
            <v>-38.4</v>
          </cell>
          <cell r="J654">
            <v>-17.399999999999999</v>
          </cell>
          <cell r="K654">
            <v>-40.700000000000003</v>
          </cell>
          <cell r="L654">
            <v>-39.700000000000003</v>
          </cell>
          <cell r="M654">
            <v>-40.1</v>
          </cell>
        </row>
        <row r="655">
          <cell r="C655" t="str">
            <v>220kV 271 Công Nghệ Cao - 275 Cát Lái</v>
          </cell>
          <cell r="D655">
            <v>271</v>
          </cell>
          <cell r="E655">
            <v>17.8</v>
          </cell>
          <cell r="F655">
            <v>40.299999999999997</v>
          </cell>
          <cell r="G655">
            <v>37.700000000000003</v>
          </cell>
          <cell r="H655">
            <v>38.6</v>
          </cell>
          <cell r="I655">
            <v>38.6</v>
          </cell>
          <cell r="J655">
            <v>17.8</v>
          </cell>
          <cell r="K655">
            <v>39.799999999999997</v>
          </cell>
          <cell r="L655">
            <v>39.9</v>
          </cell>
          <cell r="M655">
            <v>40.299999999999997</v>
          </cell>
        </row>
        <row r="656">
          <cell r="C656" t="str">
            <v>220kV 272 Công Nghệ Cao - 276 Cát Lái</v>
          </cell>
          <cell r="D656">
            <v>272</v>
          </cell>
          <cell r="E656">
            <v>17.7</v>
          </cell>
          <cell r="F656">
            <v>40.299999999999997</v>
          </cell>
          <cell r="G656">
            <v>37.4</v>
          </cell>
          <cell r="H656">
            <v>38.6</v>
          </cell>
          <cell r="I656">
            <v>38.5</v>
          </cell>
          <cell r="J656">
            <v>17.7</v>
          </cell>
          <cell r="K656">
            <v>40.1</v>
          </cell>
          <cell r="L656">
            <v>39.799999999999997</v>
          </cell>
          <cell r="M656">
            <v>40.299999999999997</v>
          </cell>
        </row>
        <row r="657">
          <cell r="C657" t="str">
            <v>Công Nghệ Cao MBA T3 (phía 22kV)</v>
          </cell>
          <cell r="D657">
            <v>433</v>
          </cell>
          <cell r="E657">
            <v>-2.2999999999999998</v>
          </cell>
          <cell r="F657">
            <v>-2.9</v>
          </cell>
          <cell r="G657">
            <v>-2.8</v>
          </cell>
          <cell r="H657">
            <v>-2.9</v>
          </cell>
          <cell r="I657">
            <v>-2.8</v>
          </cell>
          <cell r="J657">
            <v>-2.2999999999999998</v>
          </cell>
          <cell r="K657">
            <v>-2.8</v>
          </cell>
          <cell r="L657">
            <v>-2.9</v>
          </cell>
          <cell r="M657">
            <v>-2.9</v>
          </cell>
        </row>
        <row r="658">
          <cell r="C658" t="str">
            <v>Công Nghệ Cao MBA T4 (phía 22kV)</v>
          </cell>
          <cell r="D658">
            <v>434</v>
          </cell>
          <cell r="E658">
            <v>-2.4</v>
          </cell>
          <cell r="F658">
            <v>-4.8</v>
          </cell>
          <cell r="G658">
            <v>-4.4000000000000004</v>
          </cell>
          <cell r="H658">
            <v>-4.7</v>
          </cell>
          <cell r="I658">
            <v>-3.9</v>
          </cell>
          <cell r="J658">
            <v>-2.4</v>
          </cell>
          <cell r="K658">
            <v>-4.7</v>
          </cell>
          <cell r="L658">
            <v>-4.5</v>
          </cell>
          <cell r="M658">
            <v>-4.8</v>
          </cell>
        </row>
        <row r="659">
          <cell r="C659" t="str">
            <v>Công Nghệ Cao MBA T5 (phía 22kV)</v>
          </cell>
          <cell r="D659">
            <v>435</v>
          </cell>
          <cell r="E659">
            <v>0.7</v>
          </cell>
          <cell r="F659">
            <v>1.3</v>
          </cell>
          <cell r="G659">
            <v>1.3</v>
          </cell>
          <cell r="H659">
            <v>1.3</v>
          </cell>
          <cell r="I659">
            <v>1.2</v>
          </cell>
          <cell r="J659">
            <v>0.7</v>
          </cell>
          <cell r="K659">
            <v>1.2</v>
          </cell>
          <cell r="L659">
            <v>0.9</v>
          </cell>
          <cell r="M659">
            <v>0.8</v>
          </cell>
        </row>
        <row r="660">
          <cell r="C660" t="str">
            <v>Củ Chi MBA T1 (phía 110kV)</v>
          </cell>
          <cell r="D660">
            <v>131</v>
          </cell>
          <cell r="E660">
            <v>-2</v>
          </cell>
          <cell r="F660">
            <v>8.9</v>
          </cell>
          <cell r="G660">
            <v>8.9</v>
          </cell>
          <cell r="H660">
            <v>8.8000000000000007</v>
          </cell>
          <cell r="I660">
            <v>7.3</v>
          </cell>
          <cell r="J660">
            <v>-2</v>
          </cell>
          <cell r="K660">
            <v>7.5</v>
          </cell>
          <cell r="L660">
            <v>8.9</v>
          </cell>
          <cell r="M660">
            <v>8.4</v>
          </cell>
        </row>
        <row r="661">
          <cell r="C661" t="str">
            <v>Củ Chi MBA T2 (phía 110kV)</v>
          </cell>
          <cell r="D661">
            <v>132</v>
          </cell>
          <cell r="E661">
            <v>2.6</v>
          </cell>
          <cell r="F661">
            <v>9.8000000000000007</v>
          </cell>
          <cell r="G661">
            <v>9.4</v>
          </cell>
          <cell r="H661">
            <v>9.6999999999999993</v>
          </cell>
          <cell r="I661">
            <v>9.8000000000000007</v>
          </cell>
          <cell r="J661">
            <v>2.6</v>
          </cell>
          <cell r="K661">
            <v>9</v>
          </cell>
          <cell r="L661">
            <v>9.1</v>
          </cell>
          <cell r="M661">
            <v>8.9</v>
          </cell>
        </row>
        <row r="662">
          <cell r="C662" t="str">
            <v>110kV 171 Củ Chi - 179 Củ Chi 2</v>
          </cell>
          <cell r="D662">
            <v>171</v>
          </cell>
          <cell r="E662">
            <v>2.1</v>
          </cell>
          <cell r="F662">
            <v>-8.6999999999999993</v>
          </cell>
          <cell r="G662">
            <v>-8.6999999999999993</v>
          </cell>
          <cell r="H662">
            <v>-8.6</v>
          </cell>
          <cell r="I662">
            <v>-7.5</v>
          </cell>
          <cell r="J662">
            <v>2.1</v>
          </cell>
          <cell r="K662">
            <v>-7.7</v>
          </cell>
          <cell r="L662">
            <v>-8.6</v>
          </cell>
          <cell r="M662">
            <v>-8.4</v>
          </cell>
        </row>
        <row r="663">
          <cell r="C663" t="str">
            <v>110kV 172 Củ Chi - 172 Cầu Bông</v>
          </cell>
          <cell r="D663">
            <v>172</v>
          </cell>
          <cell r="E663">
            <v>-1.9</v>
          </cell>
          <cell r="F663">
            <v>-9.6</v>
          </cell>
          <cell r="G663">
            <v>-9.3000000000000007</v>
          </cell>
          <cell r="H663">
            <v>-9.6</v>
          </cell>
          <cell r="I663">
            <v>-9.6</v>
          </cell>
          <cell r="J663">
            <v>-1.9</v>
          </cell>
          <cell r="K663">
            <v>-8.8000000000000007</v>
          </cell>
          <cell r="L663">
            <v>-8.9</v>
          </cell>
          <cell r="M663">
            <v>-8.8000000000000007</v>
          </cell>
        </row>
        <row r="664">
          <cell r="C664" t="str">
            <v>Củ Chi MBA T1 (phía 22kV)</v>
          </cell>
          <cell r="D664">
            <v>431</v>
          </cell>
          <cell r="E664">
            <v>2.6</v>
          </cell>
          <cell r="F664">
            <v>-6</v>
          </cell>
          <cell r="G664">
            <v>-5.8</v>
          </cell>
          <cell r="H664">
            <v>-6</v>
          </cell>
          <cell r="I664">
            <v>-4.9000000000000004</v>
          </cell>
          <cell r="J664">
            <v>2.6</v>
          </cell>
          <cell r="K664">
            <v>-5.0999999999999996</v>
          </cell>
          <cell r="L664">
            <v>-5.7</v>
          </cell>
          <cell r="M664">
            <v>-5.7</v>
          </cell>
        </row>
        <row r="665">
          <cell r="C665" t="str">
            <v>Củ Chi MBA T2 (phía 22kV)</v>
          </cell>
          <cell r="D665">
            <v>432</v>
          </cell>
          <cell r="E665">
            <v>2.6</v>
          </cell>
          <cell r="F665">
            <v>-6.4</v>
          </cell>
          <cell r="G665">
            <v>-6</v>
          </cell>
          <cell r="H665">
            <v>-6.4</v>
          </cell>
          <cell r="I665">
            <v>-6.2</v>
          </cell>
          <cell r="J665">
            <v>2.6</v>
          </cell>
          <cell r="K665">
            <v>-5.7</v>
          </cell>
          <cell r="L665">
            <v>-5.8</v>
          </cell>
          <cell r="M665">
            <v>-5.9</v>
          </cell>
        </row>
        <row r="666">
          <cell r="C666" t="str">
            <v>Củ Chi 2 MBA AT2 (phía 110kV)</v>
          </cell>
          <cell r="D666">
            <v>132</v>
          </cell>
          <cell r="E666">
            <v>4.2</v>
          </cell>
          <cell r="F666">
            <v>-9.5</v>
          </cell>
          <cell r="G666">
            <v>-9.5</v>
          </cell>
          <cell r="H666">
            <v>-9.1</v>
          </cell>
          <cell r="I666">
            <v>-8.6</v>
          </cell>
          <cell r="J666">
            <v>4.2</v>
          </cell>
          <cell r="K666">
            <v>-8.6</v>
          </cell>
          <cell r="L666">
            <v>-9</v>
          </cell>
          <cell r="M666">
            <v>-7.7</v>
          </cell>
        </row>
        <row r="667">
          <cell r="C667" t="str">
            <v>Củ Chi 2 MBA AT3 (phía 110kV)</v>
          </cell>
          <cell r="D667">
            <v>133</v>
          </cell>
          <cell r="E667">
            <v>4.5</v>
          </cell>
          <cell r="F667">
            <v>-9.5</v>
          </cell>
          <cell r="G667">
            <v>-9.5</v>
          </cell>
          <cell r="H667">
            <v>-9.3000000000000007</v>
          </cell>
          <cell r="I667">
            <v>-8.5</v>
          </cell>
          <cell r="J667">
            <v>4.5</v>
          </cell>
          <cell r="K667">
            <v>-8.5</v>
          </cell>
          <cell r="L667">
            <v>-8.8000000000000007</v>
          </cell>
          <cell r="M667">
            <v>-7.4</v>
          </cell>
        </row>
        <row r="668">
          <cell r="C668" t="str">
            <v>Củ Chi 2 MBA T4 (phía 110kV)</v>
          </cell>
          <cell r="D668">
            <v>134</v>
          </cell>
          <cell r="E668">
            <v>-1.7</v>
          </cell>
          <cell r="F668">
            <v>3.1</v>
          </cell>
          <cell r="G668">
            <v>3.1</v>
          </cell>
          <cell r="H668">
            <v>2.6</v>
          </cell>
          <cell r="I668">
            <v>2.7</v>
          </cell>
          <cell r="J668">
            <v>-1.7</v>
          </cell>
          <cell r="K668">
            <v>-2.2999999999999998</v>
          </cell>
          <cell r="L668">
            <v>2.2000000000000002</v>
          </cell>
          <cell r="M668">
            <v>1.9</v>
          </cell>
        </row>
        <row r="669">
          <cell r="C669" t="str">
            <v>110kV 172 Củ Chi 2 - 172 KCN Trảng Bàng</v>
          </cell>
          <cell r="D669">
            <v>172</v>
          </cell>
          <cell r="E669">
            <v>2</v>
          </cell>
          <cell r="F669">
            <v>3.1</v>
          </cell>
          <cell r="G669">
            <v>-2.5</v>
          </cell>
          <cell r="H669">
            <v>-2.7</v>
          </cell>
          <cell r="I669">
            <v>2.2999999999999998</v>
          </cell>
          <cell r="J669">
            <v>2</v>
          </cell>
          <cell r="K669">
            <v>3.1</v>
          </cell>
          <cell r="L669">
            <v>3.1</v>
          </cell>
          <cell r="M669">
            <v>2.9</v>
          </cell>
        </row>
        <row r="670">
          <cell r="C670" t="str">
            <v>110kV 179 Củ Chi 2 - 171 Củ Chi</v>
          </cell>
          <cell r="D670">
            <v>179</v>
          </cell>
          <cell r="E670">
            <v>-2.4</v>
          </cell>
          <cell r="F670">
            <v>8.1999999999999993</v>
          </cell>
          <cell r="G670">
            <v>8.1999999999999993</v>
          </cell>
          <cell r="H670">
            <v>8.1999999999999993</v>
          </cell>
          <cell r="I670">
            <v>7</v>
          </cell>
          <cell r="J670">
            <v>-2.4</v>
          </cell>
          <cell r="K670">
            <v>6.9</v>
          </cell>
          <cell r="L670">
            <v>8.1</v>
          </cell>
          <cell r="M670">
            <v>7.6</v>
          </cell>
        </row>
        <row r="671">
          <cell r="C671" t="str">
            <v>110kV 180 Củ Chi 2 - 171 Phú Hòa Đông</v>
          </cell>
          <cell r="D671">
            <v>180</v>
          </cell>
          <cell r="E671">
            <v>-4.0999999999999996</v>
          </cell>
          <cell r="F671">
            <v>7.5</v>
          </cell>
          <cell r="G671">
            <v>7.5</v>
          </cell>
          <cell r="H671">
            <v>6</v>
          </cell>
          <cell r="I671">
            <v>6.2</v>
          </cell>
          <cell r="J671">
            <v>-4.0999999999999996</v>
          </cell>
          <cell r="K671">
            <v>6.3</v>
          </cell>
          <cell r="L671">
            <v>5.3</v>
          </cell>
          <cell r="M671">
            <v>-4.3</v>
          </cell>
        </row>
        <row r="672">
          <cell r="C672" t="str">
            <v>110kV 181 Củ Chi 2 - 171 Bàu Đưng</v>
          </cell>
          <cell r="D672">
            <v>181</v>
          </cell>
          <cell r="E672">
            <v>-0.5</v>
          </cell>
          <cell r="F672">
            <v>-1.1000000000000001</v>
          </cell>
          <cell r="G672">
            <v>-0.6</v>
          </cell>
          <cell r="H672">
            <v>-0.6</v>
          </cell>
          <cell r="I672">
            <v>-0.6</v>
          </cell>
          <cell r="J672">
            <v>-0.6</v>
          </cell>
          <cell r="K672">
            <v>-1.1000000000000001</v>
          </cell>
          <cell r="L672">
            <v>-1.1000000000000001</v>
          </cell>
          <cell r="M672">
            <v>-0.5</v>
          </cell>
        </row>
        <row r="673">
          <cell r="C673" t="str">
            <v>110kV 182 Củ Chi 2 - 172 Bàu Đưng</v>
          </cell>
          <cell r="D673">
            <v>182</v>
          </cell>
          <cell r="E673">
            <v>-0.3</v>
          </cell>
          <cell r="F673">
            <v>-0.9</v>
          </cell>
          <cell r="G673">
            <v>-0.9</v>
          </cell>
          <cell r="H673">
            <v>-0.3</v>
          </cell>
          <cell r="I673">
            <v>-0.3</v>
          </cell>
          <cell r="J673">
            <v>-0.9</v>
          </cell>
          <cell r="K673">
            <v>-0.9</v>
          </cell>
          <cell r="L673">
            <v>-0.9</v>
          </cell>
          <cell r="M673">
            <v>-0.9</v>
          </cell>
        </row>
        <row r="674">
          <cell r="C674" t="str">
            <v>Củ Chi 2 MBA AT2 (phía 220kV)</v>
          </cell>
          <cell r="D674">
            <v>232</v>
          </cell>
          <cell r="E674">
            <v>-3.8</v>
          </cell>
          <cell r="F674">
            <v>11.5</v>
          </cell>
          <cell r="G674">
            <v>11.5</v>
          </cell>
          <cell r="H674">
            <v>11.4</v>
          </cell>
          <cell r="I674">
            <v>10.3</v>
          </cell>
          <cell r="J674">
            <v>-3.8</v>
          </cell>
          <cell r="K674">
            <v>10.8</v>
          </cell>
          <cell r="L674">
            <v>10.9</v>
          </cell>
          <cell r="M674">
            <v>9.5</v>
          </cell>
        </row>
        <row r="675">
          <cell r="C675" t="str">
            <v>Củ Chi 2 MBA AT3 (phía 220kV)</v>
          </cell>
          <cell r="D675">
            <v>233</v>
          </cell>
          <cell r="E675">
            <v>-3.7</v>
          </cell>
          <cell r="F675">
            <v>11.8</v>
          </cell>
          <cell r="G675">
            <v>11.8</v>
          </cell>
          <cell r="H675">
            <v>11.3</v>
          </cell>
          <cell r="I675">
            <v>10.5</v>
          </cell>
          <cell r="J675">
            <v>-3.7</v>
          </cell>
          <cell r="K675">
            <v>10.7</v>
          </cell>
          <cell r="L675">
            <v>10.9</v>
          </cell>
          <cell r="M675">
            <v>9.4</v>
          </cell>
        </row>
        <row r="676">
          <cell r="C676" t="str">
            <v>220kV 273 Củ Chi 2 - 271 Trảng Bàng 2</v>
          </cell>
          <cell r="D676">
            <v>273</v>
          </cell>
          <cell r="E676">
            <v>-30.7</v>
          </cell>
          <cell r="F676">
            <v>-59.4</v>
          </cell>
          <cell r="G676">
            <v>-51.5</v>
          </cell>
          <cell r="H676">
            <v>-59.4</v>
          </cell>
          <cell r="I676">
            <v>-47</v>
          </cell>
          <cell r="J676">
            <v>-30.7</v>
          </cell>
          <cell r="K676">
            <v>-50.1</v>
          </cell>
          <cell r="L676">
            <v>-54.3</v>
          </cell>
          <cell r="M676">
            <v>-58.4</v>
          </cell>
        </row>
        <row r="677">
          <cell r="C677" t="str">
            <v>220kV 274 Củ Chi 2 - 272 Trảng Bàng 2</v>
          </cell>
          <cell r="D677">
            <v>274</v>
          </cell>
          <cell r="E677">
            <v>-30.5</v>
          </cell>
          <cell r="F677">
            <v>-59.3</v>
          </cell>
          <cell r="G677">
            <v>-52.1</v>
          </cell>
          <cell r="H677">
            <v>-59.3</v>
          </cell>
          <cell r="I677">
            <v>-46.9</v>
          </cell>
          <cell r="J677">
            <v>-30.5</v>
          </cell>
          <cell r="K677">
            <v>-50</v>
          </cell>
          <cell r="L677">
            <v>-54.2</v>
          </cell>
          <cell r="M677">
            <v>-58.5</v>
          </cell>
        </row>
        <row r="678">
          <cell r="C678" t="str">
            <v>220kV 275 Củ Chi 2 - 271 Tân Định</v>
          </cell>
          <cell r="D678">
            <v>275</v>
          </cell>
          <cell r="E678">
            <v>13.7</v>
          </cell>
          <cell r="F678">
            <v>51.5</v>
          </cell>
          <cell r="G678">
            <v>33.4</v>
          </cell>
          <cell r="H678">
            <v>51.5</v>
          </cell>
          <cell r="I678">
            <v>13.7</v>
          </cell>
          <cell r="J678">
            <v>-14.1</v>
          </cell>
          <cell r="K678">
            <v>-15.7</v>
          </cell>
          <cell r="L678">
            <v>-40.299999999999997</v>
          </cell>
          <cell r="M678">
            <v>45.9</v>
          </cell>
        </row>
        <row r="679">
          <cell r="C679" t="str">
            <v>220kV 276 Củ Chi 2 - 276 Uyên Hưng</v>
          </cell>
          <cell r="D679">
            <v>276</v>
          </cell>
          <cell r="E679">
            <v>15.5</v>
          </cell>
          <cell r="F679">
            <v>37.1</v>
          </cell>
          <cell r="G679">
            <v>37.1</v>
          </cell>
          <cell r="H679">
            <v>35.299999999999997</v>
          </cell>
          <cell r="I679">
            <v>34.1</v>
          </cell>
          <cell r="J679">
            <v>15.5</v>
          </cell>
          <cell r="K679">
            <v>20.2</v>
          </cell>
          <cell r="L679">
            <v>23.2</v>
          </cell>
          <cell r="M679">
            <v>34.1</v>
          </cell>
        </row>
        <row r="680">
          <cell r="C680" t="str">
            <v>220kV 277 Củ Chi 2 - 276 Cầu Bông</v>
          </cell>
          <cell r="D680">
            <v>277</v>
          </cell>
          <cell r="E680">
            <v>26.2</v>
          </cell>
          <cell r="F680">
            <v>57.6</v>
          </cell>
          <cell r="G680">
            <v>33.700000000000003</v>
          </cell>
          <cell r="H680">
            <v>48.7</v>
          </cell>
          <cell r="I680">
            <v>38.5</v>
          </cell>
          <cell r="J680">
            <v>26.2</v>
          </cell>
          <cell r="K680">
            <v>40.4</v>
          </cell>
          <cell r="L680">
            <v>57.6</v>
          </cell>
          <cell r="M680">
            <v>35.200000000000003</v>
          </cell>
        </row>
        <row r="681">
          <cell r="C681" t="str">
            <v>220kV 278 Củ Chi 2 - 275 Cầu Bông</v>
          </cell>
          <cell r="D681">
            <v>278</v>
          </cell>
          <cell r="E681">
            <v>23.6</v>
          </cell>
          <cell r="F681">
            <v>54.2</v>
          </cell>
          <cell r="G681">
            <v>30.5</v>
          </cell>
          <cell r="H681">
            <v>45.3</v>
          </cell>
          <cell r="I681">
            <v>35.200000000000003</v>
          </cell>
          <cell r="J681">
            <v>23.6</v>
          </cell>
          <cell r="K681">
            <v>38.799999999999997</v>
          </cell>
          <cell r="L681">
            <v>54.2</v>
          </cell>
          <cell r="M681">
            <v>32.700000000000003</v>
          </cell>
        </row>
        <row r="682">
          <cell r="C682" t="str">
            <v>Củ Chi 2 MBA T4 (phía 22kV)</v>
          </cell>
          <cell r="D682">
            <v>434</v>
          </cell>
          <cell r="E682">
            <v>-1.7</v>
          </cell>
          <cell r="F682">
            <v>-2.4</v>
          </cell>
          <cell r="G682">
            <v>-1.7</v>
          </cell>
          <cell r="H682">
            <v>-1.8</v>
          </cell>
          <cell r="I682">
            <v>-1.9</v>
          </cell>
          <cell r="J682">
            <v>-2.4</v>
          </cell>
          <cell r="K682">
            <v>-2.4</v>
          </cell>
          <cell r="L682">
            <v>-2.2000000000000002</v>
          </cell>
          <cell r="M682">
            <v>-1.9</v>
          </cell>
        </row>
        <row r="683">
          <cell r="C683" t="str">
            <v>Cù Lao Dung T1 (phía 110kV)</v>
          </cell>
          <cell r="D683">
            <v>131</v>
          </cell>
          <cell r="E683">
            <v>1.1000000000000001</v>
          </cell>
          <cell r="F683">
            <v>1.4</v>
          </cell>
          <cell r="G683">
            <v>1.3</v>
          </cell>
          <cell r="H683">
            <v>1.2</v>
          </cell>
          <cell r="I683">
            <v>1.4</v>
          </cell>
          <cell r="J683">
            <v>1.2</v>
          </cell>
          <cell r="K683">
            <v>1.3</v>
          </cell>
          <cell r="L683">
            <v>1.1000000000000001</v>
          </cell>
          <cell r="M683">
            <v>1.3</v>
          </cell>
        </row>
        <row r="684">
          <cell r="C684" t="str">
            <v>110kV 171 Cù Lao Dung - 171 Trần Đề</v>
          </cell>
          <cell r="D684">
            <v>171</v>
          </cell>
          <cell r="E684">
            <v>1.4</v>
          </cell>
          <cell r="F684">
            <v>-3</v>
          </cell>
          <cell r="G684">
            <v>-2.8</v>
          </cell>
          <cell r="H684">
            <v>-3</v>
          </cell>
          <cell r="I684">
            <v>-2.8</v>
          </cell>
          <cell r="J684">
            <v>-2.8</v>
          </cell>
          <cell r="K684">
            <v>-3</v>
          </cell>
          <cell r="L684">
            <v>-2.6</v>
          </cell>
          <cell r="M684">
            <v>1.4</v>
          </cell>
        </row>
        <row r="685">
          <cell r="C685" t="str">
            <v>110kV 172 Cù Lao Dung - 172 Đại Ngãi</v>
          </cell>
          <cell r="D685">
            <v>172</v>
          </cell>
          <cell r="E685">
            <v>-1.9</v>
          </cell>
          <cell r="F685">
            <v>3.3</v>
          </cell>
          <cell r="G685">
            <v>2.6</v>
          </cell>
          <cell r="H685">
            <v>2.8</v>
          </cell>
          <cell r="I685">
            <v>3.3</v>
          </cell>
          <cell r="J685">
            <v>3.2</v>
          </cell>
          <cell r="K685">
            <v>2.8</v>
          </cell>
          <cell r="L685">
            <v>-2.1</v>
          </cell>
          <cell r="M685">
            <v>-1.9</v>
          </cell>
        </row>
        <row r="686">
          <cell r="C686" t="str">
            <v>Cù Lao Dung T1 (phía 22kV)</v>
          </cell>
          <cell r="D686">
            <v>431</v>
          </cell>
          <cell r="E686">
            <v>-0.8</v>
          </cell>
          <cell r="F686">
            <v>1.2</v>
          </cell>
          <cell r="G686">
            <v>-0.9</v>
          </cell>
          <cell r="H686">
            <v>-0.8</v>
          </cell>
          <cell r="I686">
            <v>1.1000000000000001</v>
          </cell>
          <cell r="J686">
            <v>-0.8</v>
          </cell>
          <cell r="K686">
            <v>-1</v>
          </cell>
          <cell r="L686">
            <v>1.2</v>
          </cell>
          <cell r="M686">
            <v>-0.9</v>
          </cell>
        </row>
        <row r="687">
          <cell r="C687" t="str">
            <v>Đa Kao MBA T1 (phía 110kV)</v>
          </cell>
          <cell r="D687">
            <v>131</v>
          </cell>
          <cell r="E687">
            <v>5.5</v>
          </cell>
          <cell r="F687">
            <v>8.9</v>
          </cell>
          <cell r="G687">
            <v>8.6</v>
          </cell>
          <cell r="H687">
            <v>8.9</v>
          </cell>
          <cell r="I687">
            <v>6.3</v>
          </cell>
          <cell r="J687">
            <v>6.4</v>
          </cell>
          <cell r="K687">
            <v>7.3</v>
          </cell>
          <cell r="L687">
            <v>6.8</v>
          </cell>
          <cell r="M687">
            <v>5.5</v>
          </cell>
        </row>
        <row r="688">
          <cell r="C688" t="str">
            <v>Đa Kao MBA T2 (phía 110kV)</v>
          </cell>
          <cell r="D688">
            <v>132</v>
          </cell>
          <cell r="E688">
            <v>-2.2000000000000002</v>
          </cell>
          <cell r="F688">
            <v>8.6999999999999993</v>
          </cell>
          <cell r="G688">
            <v>8.6999999999999993</v>
          </cell>
          <cell r="H688">
            <v>8.5</v>
          </cell>
          <cell r="I688">
            <v>4.5</v>
          </cell>
          <cell r="J688">
            <v>-2.2000000000000002</v>
          </cell>
          <cell r="K688">
            <v>8</v>
          </cell>
          <cell r="L688">
            <v>8.1</v>
          </cell>
          <cell r="M688">
            <v>6.6</v>
          </cell>
        </row>
        <row r="689">
          <cell r="C689" t="str">
            <v>110kV 171 Đa Kao - (174-7) Bến Thành</v>
          </cell>
          <cell r="D689">
            <v>171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</row>
        <row r="690">
          <cell r="C690" t="str">
            <v>110kV 172 Đakao - 180 Tao Đàn</v>
          </cell>
          <cell r="D690">
            <v>172</v>
          </cell>
          <cell r="E690">
            <v>-3.9</v>
          </cell>
          <cell r="F690">
            <v>-10.3</v>
          </cell>
          <cell r="G690">
            <v>-10.199999999999999</v>
          </cell>
          <cell r="H690">
            <v>-10.3</v>
          </cell>
          <cell r="I690">
            <v>-5.9</v>
          </cell>
          <cell r="J690">
            <v>-3.9</v>
          </cell>
          <cell r="K690">
            <v>-9</v>
          </cell>
          <cell r="L690">
            <v>-8.6</v>
          </cell>
          <cell r="M690">
            <v>-6.8</v>
          </cell>
        </row>
        <row r="691">
          <cell r="C691" t="str">
            <v>110kV 173 Đa Kao - 174 Xa Lộ (mới)</v>
          </cell>
          <cell r="D691">
            <v>173</v>
          </cell>
          <cell r="E691">
            <v>2.1</v>
          </cell>
          <cell r="F691">
            <v>2.1</v>
          </cell>
          <cell r="G691">
            <v>2.1</v>
          </cell>
          <cell r="H691">
            <v>2.1</v>
          </cell>
          <cell r="I691">
            <v>2.1</v>
          </cell>
          <cell r="J691">
            <v>2.1</v>
          </cell>
          <cell r="K691">
            <v>2.1</v>
          </cell>
          <cell r="L691">
            <v>2.1</v>
          </cell>
          <cell r="M691">
            <v>2.1</v>
          </cell>
        </row>
        <row r="692">
          <cell r="C692" t="str">
            <v>Đa Kao MBA T1 (phía 22kV)</v>
          </cell>
          <cell r="D692">
            <v>431</v>
          </cell>
          <cell r="E692">
            <v>-2.8</v>
          </cell>
          <cell r="F692">
            <v>-4.5</v>
          </cell>
          <cell r="G692">
            <v>-4.4000000000000004</v>
          </cell>
          <cell r="H692">
            <v>-4.5</v>
          </cell>
          <cell r="I692">
            <v>-2.8</v>
          </cell>
          <cell r="J692">
            <v>-3</v>
          </cell>
          <cell r="K692">
            <v>-4</v>
          </cell>
          <cell r="L692">
            <v>-3.8</v>
          </cell>
          <cell r="M692">
            <v>-3.1</v>
          </cell>
        </row>
        <row r="693">
          <cell r="C693" t="str">
            <v>Đa Kao MBA T2 (phía 22kV)</v>
          </cell>
          <cell r="D693">
            <v>432</v>
          </cell>
          <cell r="E693">
            <v>2.2999999999999998</v>
          </cell>
          <cell r="F693">
            <v>-5.4</v>
          </cell>
          <cell r="G693">
            <v>-3</v>
          </cell>
          <cell r="H693">
            <v>-5.4</v>
          </cell>
          <cell r="I693">
            <v>2.6</v>
          </cell>
          <cell r="J693">
            <v>2.2999999999999998</v>
          </cell>
          <cell r="K693">
            <v>-3.8</v>
          </cell>
          <cell r="L693">
            <v>-3.8</v>
          </cell>
          <cell r="M693">
            <v>-3.4</v>
          </cell>
        </row>
        <row r="694">
          <cell r="C694" t="str">
            <v>Đà Lạt 1 MBA T1 (phía 110kV)</v>
          </cell>
          <cell r="D694">
            <v>131</v>
          </cell>
          <cell r="E694">
            <v>-0.9</v>
          </cell>
          <cell r="F694">
            <v>1.8</v>
          </cell>
          <cell r="G694">
            <v>1.6</v>
          </cell>
          <cell r="H694">
            <v>1.8</v>
          </cell>
          <cell r="I694">
            <v>1.6</v>
          </cell>
          <cell r="J694">
            <v>-0.9</v>
          </cell>
          <cell r="K694">
            <v>-1.2</v>
          </cell>
          <cell r="L694">
            <v>1.4</v>
          </cell>
          <cell r="M694">
            <v>-0.9</v>
          </cell>
        </row>
        <row r="695">
          <cell r="C695" t="str">
            <v>Đà Lạt 1 MBA T2 (phía 110kV)</v>
          </cell>
          <cell r="D695">
            <v>132</v>
          </cell>
          <cell r="E695">
            <v>3.4</v>
          </cell>
          <cell r="F695">
            <v>3.8</v>
          </cell>
          <cell r="G695">
            <v>3.4</v>
          </cell>
          <cell r="H695">
            <v>3.6</v>
          </cell>
          <cell r="I695">
            <v>3.7</v>
          </cell>
          <cell r="J695">
            <v>3.7</v>
          </cell>
          <cell r="K695">
            <v>3.8</v>
          </cell>
          <cell r="L695">
            <v>3.7</v>
          </cell>
          <cell r="M695">
            <v>3.7</v>
          </cell>
        </row>
        <row r="696">
          <cell r="C696" t="str">
            <v>110kV 171 Đà Lạt 1 - 172 Đà Lạt 2</v>
          </cell>
          <cell r="D696">
            <v>171</v>
          </cell>
          <cell r="E696">
            <v>6</v>
          </cell>
          <cell r="F696">
            <v>18.399999999999999</v>
          </cell>
          <cell r="G696">
            <v>7.7</v>
          </cell>
          <cell r="H696">
            <v>6</v>
          </cell>
          <cell r="I696">
            <v>18.399999999999999</v>
          </cell>
          <cell r="J696">
            <v>13.7</v>
          </cell>
          <cell r="K696">
            <v>16.600000000000001</v>
          </cell>
          <cell r="L696">
            <v>7.6</v>
          </cell>
          <cell r="M696">
            <v>6.7</v>
          </cell>
        </row>
        <row r="697">
          <cell r="C697" t="str">
            <v>110kV 172 Đà Lạt 1 - 174 Đức Trọng 2</v>
          </cell>
          <cell r="D697">
            <v>172</v>
          </cell>
          <cell r="E697">
            <v>-7.7</v>
          </cell>
          <cell r="F697">
            <v>-21.7</v>
          </cell>
          <cell r="G697">
            <v>-10.3</v>
          </cell>
          <cell r="H697">
            <v>-8.8000000000000007</v>
          </cell>
          <cell r="I697">
            <v>-21.7</v>
          </cell>
          <cell r="J697">
            <v>-15.1</v>
          </cell>
          <cell r="K697">
            <v>-17.600000000000001</v>
          </cell>
          <cell r="L697">
            <v>-10.6</v>
          </cell>
          <cell r="M697">
            <v>-7.7</v>
          </cell>
        </row>
        <row r="698">
          <cell r="C698" t="str">
            <v>Đà Lạt 1 MBA T1 (phía 22kV)</v>
          </cell>
          <cell r="D698">
            <v>431</v>
          </cell>
          <cell r="E698">
            <v>1.1000000000000001</v>
          </cell>
          <cell r="F698">
            <v>-1.6</v>
          </cell>
          <cell r="G698">
            <v>-1.2</v>
          </cell>
          <cell r="H698">
            <v>-1.6</v>
          </cell>
          <cell r="I698">
            <v>-1.3</v>
          </cell>
          <cell r="J698">
            <v>1.1000000000000001</v>
          </cell>
          <cell r="K698">
            <v>1.2</v>
          </cell>
          <cell r="L698">
            <v>1.1000000000000001</v>
          </cell>
          <cell r="M698">
            <v>1.1000000000000001</v>
          </cell>
        </row>
        <row r="699">
          <cell r="C699" t="str">
            <v>Đà Lạt 1 MBA T2 (phía 22kV)</v>
          </cell>
          <cell r="D699">
            <v>432</v>
          </cell>
          <cell r="E699">
            <v>-1.8</v>
          </cell>
          <cell r="F699">
            <v>-2</v>
          </cell>
          <cell r="G699">
            <v>-1.9</v>
          </cell>
          <cell r="H699">
            <v>-1.9</v>
          </cell>
          <cell r="I699">
            <v>-1.9</v>
          </cell>
          <cell r="J699">
            <v>-2</v>
          </cell>
          <cell r="K699">
            <v>-2</v>
          </cell>
          <cell r="L699">
            <v>-1.8</v>
          </cell>
          <cell r="M699">
            <v>-1.9</v>
          </cell>
        </row>
        <row r="700">
          <cell r="C700" t="str">
            <v>Đà Lạt 2 MBA T1 (phía 110kV)</v>
          </cell>
          <cell r="D700">
            <v>131</v>
          </cell>
          <cell r="E700">
            <v>-1.7</v>
          </cell>
          <cell r="F700">
            <v>-3.5</v>
          </cell>
          <cell r="G700">
            <v>-2.6</v>
          </cell>
          <cell r="H700">
            <v>2.4</v>
          </cell>
          <cell r="I700">
            <v>-1.7</v>
          </cell>
          <cell r="J700">
            <v>-3.5</v>
          </cell>
          <cell r="K700">
            <v>1.9</v>
          </cell>
          <cell r="L700">
            <v>-2.5</v>
          </cell>
          <cell r="M700">
            <v>-2.1</v>
          </cell>
        </row>
        <row r="701">
          <cell r="C701" t="str">
            <v>110kV 171 Đà Lạt 2 - 172 Suối Vàng</v>
          </cell>
          <cell r="D701">
            <v>171</v>
          </cell>
          <cell r="E701">
            <v>6.4</v>
          </cell>
          <cell r="F701">
            <v>17.399999999999999</v>
          </cell>
          <cell r="G701">
            <v>7.1</v>
          </cell>
          <cell r="H701">
            <v>6.4</v>
          </cell>
          <cell r="I701">
            <v>17.399999999999999</v>
          </cell>
          <cell r="J701">
            <v>13.2</v>
          </cell>
          <cell r="K701">
            <v>17</v>
          </cell>
          <cell r="L701">
            <v>7.7</v>
          </cell>
          <cell r="M701">
            <v>8.1</v>
          </cell>
        </row>
        <row r="702">
          <cell r="C702" t="str">
            <v>110kV 172 Đà Lạt 2 - 171 Đà Lạt 1</v>
          </cell>
          <cell r="D702">
            <v>172</v>
          </cell>
          <cell r="E702">
            <v>-5.9</v>
          </cell>
          <cell r="F702">
            <v>-17.8</v>
          </cell>
          <cell r="G702">
            <v>-7.2</v>
          </cell>
          <cell r="H702">
            <v>-5.9</v>
          </cell>
          <cell r="I702">
            <v>-17.8</v>
          </cell>
          <cell r="J702">
            <v>-13.3</v>
          </cell>
          <cell r="K702">
            <v>-15.4</v>
          </cell>
          <cell r="L702">
            <v>-7.1</v>
          </cell>
          <cell r="M702">
            <v>-6.7</v>
          </cell>
        </row>
        <row r="703">
          <cell r="C703" t="str">
            <v>Đà Lạt 2 MBA T1 (phía 22kV)</v>
          </cell>
          <cell r="D703">
            <v>431</v>
          </cell>
          <cell r="E703">
            <v>-1.7</v>
          </cell>
          <cell r="F703">
            <v>3.8</v>
          </cell>
          <cell r="G703">
            <v>2.7</v>
          </cell>
          <cell r="H703">
            <v>-1.7</v>
          </cell>
          <cell r="I703">
            <v>2.1</v>
          </cell>
          <cell r="J703">
            <v>3.8</v>
          </cell>
          <cell r="K703">
            <v>2.2000000000000002</v>
          </cell>
          <cell r="L703">
            <v>3.4</v>
          </cell>
          <cell r="M703">
            <v>2.2999999999999998</v>
          </cell>
        </row>
        <row r="704">
          <cell r="C704" t="str">
            <v>Đạ Tẻh MBA T2 (phía 110kV)</v>
          </cell>
          <cell r="D704">
            <v>132</v>
          </cell>
          <cell r="E704">
            <v>-0.9</v>
          </cell>
          <cell r="F704">
            <v>-1.3</v>
          </cell>
          <cell r="G704">
            <v>-1</v>
          </cell>
          <cell r="H704">
            <v>-1.2</v>
          </cell>
          <cell r="I704">
            <v>-1.2</v>
          </cell>
          <cell r="J704">
            <v>-1.3</v>
          </cell>
          <cell r="K704">
            <v>-1.1000000000000001</v>
          </cell>
          <cell r="L704">
            <v>-0.9</v>
          </cell>
          <cell r="M704">
            <v>-1.1000000000000001</v>
          </cell>
        </row>
        <row r="705">
          <cell r="C705" t="str">
            <v>110kV 171 Đạ Tẻh - 174 NMĐ Đam B'ri</v>
          </cell>
          <cell r="D705">
            <v>171</v>
          </cell>
          <cell r="E705">
            <v>3.8</v>
          </cell>
          <cell r="F705">
            <v>4.3</v>
          </cell>
          <cell r="G705">
            <v>3.8</v>
          </cell>
          <cell r="H705">
            <v>4</v>
          </cell>
          <cell r="I705">
            <v>3.9</v>
          </cell>
          <cell r="J705">
            <v>3.9</v>
          </cell>
          <cell r="K705">
            <v>4.3</v>
          </cell>
          <cell r="L705">
            <v>4.0999999999999996</v>
          </cell>
          <cell r="M705">
            <v>3.9</v>
          </cell>
        </row>
        <row r="706">
          <cell r="C706" t="str">
            <v>110kV 172 Đạ Tẻh - 172 Tân Phú</v>
          </cell>
          <cell r="D706">
            <v>172</v>
          </cell>
          <cell r="E706">
            <v>-3</v>
          </cell>
          <cell r="F706">
            <v>-3.4</v>
          </cell>
          <cell r="G706">
            <v>-3</v>
          </cell>
          <cell r="H706">
            <v>-3.1</v>
          </cell>
          <cell r="I706">
            <v>-3</v>
          </cell>
          <cell r="J706">
            <v>-3</v>
          </cell>
          <cell r="K706">
            <v>-3.4</v>
          </cell>
          <cell r="L706">
            <v>-3.2</v>
          </cell>
          <cell r="M706">
            <v>-3.1</v>
          </cell>
        </row>
        <row r="707">
          <cell r="C707" t="str">
            <v>Đạ Tẻh MBA T2 (phía 22kV)</v>
          </cell>
          <cell r="D707">
            <v>432</v>
          </cell>
          <cell r="E707">
            <v>0.9</v>
          </cell>
          <cell r="F707">
            <v>1.3</v>
          </cell>
          <cell r="G707">
            <v>1.1000000000000001</v>
          </cell>
          <cell r="H707">
            <v>1.2</v>
          </cell>
          <cell r="I707">
            <v>1.3</v>
          </cell>
          <cell r="J707">
            <v>1.3</v>
          </cell>
          <cell r="K707">
            <v>1.1000000000000001</v>
          </cell>
          <cell r="L707">
            <v>0.9</v>
          </cell>
          <cell r="M707">
            <v>1.1000000000000001</v>
          </cell>
        </row>
        <row r="708">
          <cell r="C708" t="str">
            <v>Đại Ngãi MBA T1 (phía 110kV)</v>
          </cell>
          <cell r="D708">
            <v>131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</row>
        <row r="709">
          <cell r="C709" t="str">
            <v>Đại Ngãi MBA T2 (phía 110kV)</v>
          </cell>
          <cell r="D709">
            <v>132</v>
          </cell>
          <cell r="E709">
            <v>1.9</v>
          </cell>
          <cell r="F709">
            <v>2.4</v>
          </cell>
          <cell r="G709">
            <v>2.2000000000000002</v>
          </cell>
          <cell r="H709">
            <v>2.4</v>
          </cell>
          <cell r="I709">
            <v>2.2000000000000002</v>
          </cell>
          <cell r="J709">
            <v>2.2999999999999998</v>
          </cell>
          <cell r="K709">
            <v>2.1</v>
          </cell>
          <cell r="L709">
            <v>2</v>
          </cell>
          <cell r="M709">
            <v>1.9</v>
          </cell>
        </row>
        <row r="710">
          <cell r="C710" t="str">
            <v>110kV 171 Đại Ngãi - 176 Sóc Trăng 2</v>
          </cell>
          <cell r="D710">
            <v>171</v>
          </cell>
          <cell r="E710">
            <v>0</v>
          </cell>
          <cell r="F710">
            <v>-2.9</v>
          </cell>
          <cell r="G710">
            <v>0</v>
          </cell>
          <cell r="H710">
            <v>0</v>
          </cell>
          <cell r="I710">
            <v>0</v>
          </cell>
          <cell r="J710">
            <v>2.1</v>
          </cell>
          <cell r="K710">
            <v>0</v>
          </cell>
          <cell r="L710">
            <v>-2.8</v>
          </cell>
          <cell r="M710">
            <v>-2.9</v>
          </cell>
        </row>
        <row r="711">
          <cell r="C711" t="str">
            <v>110kV 172 Đại Ngãi - 172 Cù Lao Dung</v>
          </cell>
          <cell r="D711">
            <v>172</v>
          </cell>
          <cell r="E711">
            <v>1.8</v>
          </cell>
          <cell r="F711">
            <v>-3.6</v>
          </cell>
          <cell r="G711">
            <v>-3</v>
          </cell>
          <cell r="H711">
            <v>-3.1</v>
          </cell>
          <cell r="I711">
            <v>-3.6</v>
          </cell>
          <cell r="J711">
            <v>-3.5</v>
          </cell>
          <cell r="K711">
            <v>-3.1</v>
          </cell>
          <cell r="L711">
            <v>-2.1</v>
          </cell>
          <cell r="M711">
            <v>1.8</v>
          </cell>
        </row>
        <row r="712">
          <cell r="C712" t="str">
            <v>Đại Ngãi MBA T1 (phía 22kV)</v>
          </cell>
          <cell r="D712">
            <v>431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</row>
        <row r="713">
          <cell r="C713" t="str">
            <v>Đại Ngãi MBA T2 (phía 22kV)</v>
          </cell>
          <cell r="D713">
            <v>432</v>
          </cell>
          <cell r="E713">
            <v>-2.2000000000000002</v>
          </cell>
          <cell r="F713">
            <v>-2.4</v>
          </cell>
          <cell r="G713">
            <v>-2.2999999999999998</v>
          </cell>
          <cell r="H713">
            <v>-2.2999999999999998</v>
          </cell>
          <cell r="I713">
            <v>-2.2999999999999998</v>
          </cell>
          <cell r="J713">
            <v>-2.4</v>
          </cell>
          <cell r="K713">
            <v>-2.2000000000000002</v>
          </cell>
          <cell r="L713">
            <v>-2.2999999999999998</v>
          </cell>
          <cell r="M713">
            <v>-2.2000000000000002</v>
          </cell>
        </row>
        <row r="714">
          <cell r="C714" t="str">
            <v>Đầm Dơi MBA T1 (phía 110kV)</v>
          </cell>
          <cell r="D714">
            <v>131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</row>
        <row r="715">
          <cell r="C715" t="str">
            <v>Đầm Dơi MBA T2 (phía 110kV)</v>
          </cell>
          <cell r="D715">
            <v>132</v>
          </cell>
          <cell r="E715">
            <v>-1.5</v>
          </cell>
          <cell r="F715">
            <v>2.5</v>
          </cell>
          <cell r="G715">
            <v>1.5</v>
          </cell>
          <cell r="H715">
            <v>-1.6</v>
          </cell>
          <cell r="I715">
            <v>-1.5</v>
          </cell>
          <cell r="J715">
            <v>-1.5</v>
          </cell>
          <cell r="K715">
            <v>-1.5</v>
          </cell>
          <cell r="L715">
            <v>-1.7</v>
          </cell>
          <cell r="M715">
            <v>2.5</v>
          </cell>
        </row>
        <row r="716">
          <cell r="C716" t="str">
            <v>110kV 171 Đầm Dơi - 172 Cái Nước</v>
          </cell>
          <cell r="D716">
            <v>171</v>
          </cell>
          <cell r="E716">
            <v>-2</v>
          </cell>
          <cell r="F716">
            <v>3.7</v>
          </cell>
          <cell r="G716">
            <v>3.7</v>
          </cell>
          <cell r="H716">
            <v>-2</v>
          </cell>
          <cell r="I716">
            <v>2.9</v>
          </cell>
          <cell r="J716">
            <v>-2.2999999999999998</v>
          </cell>
          <cell r="K716">
            <v>-2.6</v>
          </cell>
          <cell r="L716">
            <v>-2.6</v>
          </cell>
          <cell r="M716">
            <v>-2.6</v>
          </cell>
        </row>
        <row r="717">
          <cell r="C717" t="str">
            <v>110kV 172 Đầm Dơi - 173 Cà Mau 2</v>
          </cell>
          <cell r="D717">
            <v>172</v>
          </cell>
          <cell r="E717">
            <v>3.8</v>
          </cell>
          <cell r="F717">
            <v>5</v>
          </cell>
          <cell r="G717">
            <v>-4.9000000000000004</v>
          </cell>
          <cell r="H717">
            <v>5</v>
          </cell>
          <cell r="I717">
            <v>4.4000000000000004</v>
          </cell>
          <cell r="J717">
            <v>3.8</v>
          </cell>
          <cell r="K717">
            <v>4.5999999999999996</v>
          </cell>
          <cell r="L717">
            <v>4.8</v>
          </cell>
          <cell r="M717">
            <v>5</v>
          </cell>
        </row>
        <row r="718">
          <cell r="C718" t="str">
            <v>110kV 173 Đầm Dơi - 131 Đông Hải</v>
          </cell>
          <cell r="D718">
            <v>173</v>
          </cell>
          <cell r="E718">
            <v>-1.4</v>
          </cell>
          <cell r="F718">
            <v>-3.1</v>
          </cell>
          <cell r="G718">
            <v>-2.6</v>
          </cell>
          <cell r="H718">
            <v>-3.1</v>
          </cell>
          <cell r="I718">
            <v>-1.5</v>
          </cell>
          <cell r="J718">
            <v>-1.8</v>
          </cell>
          <cell r="K718">
            <v>-1.7</v>
          </cell>
          <cell r="L718">
            <v>-1.5</v>
          </cell>
          <cell r="M718">
            <v>-1.4</v>
          </cell>
        </row>
        <row r="719">
          <cell r="C719" t="str">
            <v>Đầm Dơi MBA T1 (phía 22kV)</v>
          </cell>
          <cell r="D719">
            <v>431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</row>
        <row r="720">
          <cell r="C720" t="str">
            <v>Đầm Dơi MBA T2 (phía 22kV)</v>
          </cell>
          <cell r="D720">
            <v>432</v>
          </cell>
          <cell r="E720">
            <v>3</v>
          </cell>
          <cell r="F720">
            <v>4.5</v>
          </cell>
          <cell r="G720">
            <v>3.6</v>
          </cell>
          <cell r="H720">
            <v>3.8</v>
          </cell>
          <cell r="I720">
            <v>4.5</v>
          </cell>
          <cell r="J720">
            <v>3.7</v>
          </cell>
          <cell r="K720">
            <v>3.8</v>
          </cell>
          <cell r="L720">
            <v>3.9</v>
          </cell>
          <cell r="M720">
            <v>3</v>
          </cell>
        </row>
        <row r="721">
          <cell r="C721" t="str">
            <v>Đất Cuốc MBA T1 (phía 110kV)</v>
          </cell>
          <cell r="D721">
            <v>131</v>
          </cell>
          <cell r="E721">
            <v>5.3</v>
          </cell>
          <cell r="F721">
            <v>9.4</v>
          </cell>
          <cell r="G721">
            <v>6.2</v>
          </cell>
          <cell r="H721">
            <v>6</v>
          </cell>
          <cell r="I721">
            <v>6.1</v>
          </cell>
          <cell r="J721">
            <v>5.3</v>
          </cell>
          <cell r="K721">
            <v>5.6</v>
          </cell>
          <cell r="L721">
            <v>7.7</v>
          </cell>
          <cell r="M721">
            <v>9.4</v>
          </cell>
        </row>
        <row r="722">
          <cell r="C722" t="str">
            <v>Đất Cuốc MBA T2 (phía 110kV)</v>
          </cell>
          <cell r="D722">
            <v>132</v>
          </cell>
          <cell r="E722">
            <v>-6.5</v>
          </cell>
          <cell r="F722">
            <v>-9.1999999999999993</v>
          </cell>
          <cell r="G722">
            <v>-8.4</v>
          </cell>
          <cell r="H722">
            <v>-7.3</v>
          </cell>
          <cell r="I722">
            <v>-7.7</v>
          </cell>
          <cell r="J722">
            <v>-9.1999999999999993</v>
          </cell>
          <cell r="K722">
            <v>-8.9</v>
          </cell>
          <cell r="L722">
            <v>-6.5</v>
          </cell>
          <cell r="M722">
            <v>7.7</v>
          </cell>
        </row>
        <row r="723">
          <cell r="C723" t="str">
            <v>110kV 171 Đất Cuốc - 175 Uyên Hưng</v>
          </cell>
          <cell r="D723">
            <v>171</v>
          </cell>
          <cell r="E723">
            <v>6.6</v>
          </cell>
          <cell r="F723">
            <v>-20.3</v>
          </cell>
          <cell r="G723">
            <v>-14.3</v>
          </cell>
          <cell r="H723">
            <v>-9.9</v>
          </cell>
          <cell r="I723">
            <v>-20.3</v>
          </cell>
          <cell r="J723">
            <v>-9.8000000000000007</v>
          </cell>
          <cell r="K723">
            <v>-12.7</v>
          </cell>
          <cell r="L723">
            <v>6.6</v>
          </cell>
          <cell r="M723">
            <v>-6.7</v>
          </cell>
        </row>
        <row r="724">
          <cell r="C724" t="str">
            <v>110kV 172 Đất Cuốc - 171 Thép Tuệ Minh</v>
          </cell>
          <cell r="D724">
            <v>172</v>
          </cell>
          <cell r="E724">
            <v>-5.5</v>
          </cell>
          <cell r="F724">
            <v>14.8</v>
          </cell>
          <cell r="G724">
            <v>11</v>
          </cell>
          <cell r="H724">
            <v>13.3</v>
          </cell>
          <cell r="I724">
            <v>14.6</v>
          </cell>
          <cell r="J724">
            <v>13.8</v>
          </cell>
          <cell r="K724">
            <v>14.8</v>
          </cell>
          <cell r="L724">
            <v>8.6999999999999993</v>
          </cell>
          <cell r="M724">
            <v>-5.5</v>
          </cell>
        </row>
        <row r="725">
          <cell r="C725" t="str">
            <v>Đất Cuốc MBA T1 (phía 22kV)</v>
          </cell>
          <cell r="D725">
            <v>431</v>
          </cell>
          <cell r="E725">
            <v>-1.3</v>
          </cell>
          <cell r="F725">
            <v>7.6</v>
          </cell>
          <cell r="G725">
            <v>7.6</v>
          </cell>
          <cell r="H725">
            <v>7.5</v>
          </cell>
          <cell r="I725">
            <v>-1.3</v>
          </cell>
          <cell r="J725">
            <v>6.1</v>
          </cell>
          <cell r="K725">
            <v>5.7</v>
          </cell>
          <cell r="L725">
            <v>5.2</v>
          </cell>
          <cell r="M725">
            <v>-6.6</v>
          </cell>
        </row>
        <row r="726">
          <cell r="C726" t="str">
            <v>Đất Cuốc MBA T2 (phía 22kV)</v>
          </cell>
          <cell r="D726">
            <v>432</v>
          </cell>
          <cell r="E726">
            <v>6.8</v>
          </cell>
          <cell r="F726">
            <v>10.4</v>
          </cell>
          <cell r="G726">
            <v>9.3000000000000007</v>
          </cell>
          <cell r="H726">
            <v>8.1</v>
          </cell>
          <cell r="I726">
            <v>8.5</v>
          </cell>
          <cell r="J726">
            <v>10</v>
          </cell>
          <cell r="K726">
            <v>10.4</v>
          </cell>
          <cell r="L726">
            <v>7.5</v>
          </cell>
          <cell r="M726">
            <v>6.8</v>
          </cell>
        </row>
        <row r="727">
          <cell r="C727" t="str">
            <v>Dầu Giây MBA T1 (phía 110kV)</v>
          </cell>
          <cell r="D727">
            <v>131</v>
          </cell>
          <cell r="E727">
            <v>-2.1</v>
          </cell>
          <cell r="F727">
            <v>-4.2</v>
          </cell>
          <cell r="G727">
            <v>2.6</v>
          </cell>
          <cell r="H727">
            <v>-2.8</v>
          </cell>
          <cell r="I727">
            <v>2.5</v>
          </cell>
          <cell r="J727">
            <v>-2.1</v>
          </cell>
          <cell r="K727">
            <v>-4.2</v>
          </cell>
          <cell r="L727">
            <v>-2.6</v>
          </cell>
          <cell r="M727">
            <v>-4.2</v>
          </cell>
        </row>
        <row r="728">
          <cell r="C728" t="str">
            <v>Dầu Giây MBA T2 (phía 110kV)</v>
          </cell>
          <cell r="D728">
            <v>132</v>
          </cell>
          <cell r="E728">
            <v>0</v>
          </cell>
          <cell r="F728">
            <v>9.9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9.9</v>
          </cell>
          <cell r="L728">
            <v>0</v>
          </cell>
          <cell r="M728">
            <v>0</v>
          </cell>
        </row>
        <row r="729">
          <cell r="C729" t="str">
            <v>110kV 171 Dầu Giây - 171 Long Khánh</v>
          </cell>
          <cell r="D729">
            <v>171</v>
          </cell>
          <cell r="E729">
            <v>0</v>
          </cell>
          <cell r="F729">
            <v>-5.6</v>
          </cell>
          <cell r="G729">
            <v>-5.2</v>
          </cell>
          <cell r="H729">
            <v>4.9000000000000004</v>
          </cell>
          <cell r="I729">
            <v>-5.6</v>
          </cell>
          <cell r="J729">
            <v>3</v>
          </cell>
          <cell r="K729">
            <v>-5.6</v>
          </cell>
          <cell r="L729">
            <v>0</v>
          </cell>
          <cell r="M729">
            <v>0</v>
          </cell>
        </row>
        <row r="730">
          <cell r="C730" t="str">
            <v>110kV 172 Dầu Giây - 172 Bàu Xéo</v>
          </cell>
          <cell r="D730">
            <v>172</v>
          </cell>
          <cell r="E730">
            <v>2.7</v>
          </cell>
          <cell r="F730">
            <v>4.2</v>
          </cell>
          <cell r="G730">
            <v>3.3</v>
          </cell>
          <cell r="H730">
            <v>3.4</v>
          </cell>
          <cell r="I730">
            <v>3.3</v>
          </cell>
          <cell r="J730">
            <v>-2.8</v>
          </cell>
          <cell r="K730">
            <v>3.6</v>
          </cell>
          <cell r="L730">
            <v>2.7</v>
          </cell>
          <cell r="M730">
            <v>4.2</v>
          </cell>
        </row>
        <row r="731">
          <cell r="C731" t="str">
            <v>Dầu Giây MBA T1 (phía 22kV)</v>
          </cell>
          <cell r="D731">
            <v>431</v>
          </cell>
          <cell r="E731">
            <v>2.2999999999999998</v>
          </cell>
          <cell r="F731">
            <v>5.2</v>
          </cell>
          <cell r="G731">
            <v>3.6</v>
          </cell>
          <cell r="H731">
            <v>3.9</v>
          </cell>
          <cell r="I731">
            <v>3.4</v>
          </cell>
          <cell r="J731">
            <v>2.2999999999999998</v>
          </cell>
          <cell r="K731">
            <v>5</v>
          </cell>
          <cell r="L731">
            <v>3.6</v>
          </cell>
          <cell r="M731">
            <v>5.2</v>
          </cell>
        </row>
        <row r="732">
          <cell r="C732" t="str">
            <v>Dầu Giây MBA T2 (phía 22kV)</v>
          </cell>
          <cell r="D732">
            <v>432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</row>
        <row r="733">
          <cell r="C733" t="str">
            <v>Dầu Tiếng MBA T1 (phía 110kV)</v>
          </cell>
          <cell r="D733">
            <v>131</v>
          </cell>
          <cell r="E733">
            <v>1.5</v>
          </cell>
          <cell r="F733">
            <v>2.5</v>
          </cell>
          <cell r="G733">
            <v>2.5</v>
          </cell>
          <cell r="H733">
            <v>2.2999999999999998</v>
          </cell>
          <cell r="I733">
            <v>2.1</v>
          </cell>
          <cell r="J733">
            <v>1.6</v>
          </cell>
          <cell r="K733">
            <v>1.7</v>
          </cell>
          <cell r="L733">
            <v>1.5</v>
          </cell>
          <cell r="M733">
            <v>1.7</v>
          </cell>
        </row>
        <row r="734">
          <cell r="C734" t="str">
            <v>Dầu Tiếng MBA T2 (phía 110kV)</v>
          </cell>
          <cell r="D734">
            <v>132</v>
          </cell>
          <cell r="E734">
            <v>1.8</v>
          </cell>
          <cell r="F734">
            <v>-3.3</v>
          </cell>
          <cell r="G734">
            <v>-3.3</v>
          </cell>
          <cell r="H734">
            <v>-2.5</v>
          </cell>
          <cell r="I734">
            <v>-3</v>
          </cell>
          <cell r="J734">
            <v>-2.6</v>
          </cell>
          <cell r="K734">
            <v>-2.6</v>
          </cell>
          <cell r="L734">
            <v>-3.2</v>
          </cell>
          <cell r="M734">
            <v>1.8</v>
          </cell>
        </row>
        <row r="735">
          <cell r="C735" t="str">
            <v>110kV 171 Dầu Tiếng - 172 Tây Ninh 2</v>
          </cell>
          <cell r="D735">
            <v>171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</row>
        <row r="736">
          <cell r="C736" t="str">
            <v>110kV 172 Dầu Tiếng - 172 Minh Hưng</v>
          </cell>
          <cell r="D736">
            <v>172</v>
          </cell>
          <cell r="E736">
            <v>-2.7</v>
          </cell>
          <cell r="F736">
            <v>-2.7</v>
          </cell>
          <cell r="G736">
            <v>-2.7</v>
          </cell>
          <cell r="H736">
            <v>-2.7</v>
          </cell>
          <cell r="I736">
            <v>-2.7</v>
          </cell>
          <cell r="J736">
            <v>-2.7</v>
          </cell>
          <cell r="K736">
            <v>-2.7</v>
          </cell>
          <cell r="L736">
            <v>-2.7</v>
          </cell>
          <cell r="M736">
            <v>-2.7</v>
          </cell>
        </row>
        <row r="737">
          <cell r="C737" t="str">
            <v>Dầu Tiếng MBA T1 (phía 22kV)</v>
          </cell>
          <cell r="D737">
            <v>431</v>
          </cell>
          <cell r="E737">
            <v>-1.2</v>
          </cell>
          <cell r="F737">
            <v>-2.2000000000000002</v>
          </cell>
          <cell r="G737">
            <v>-2.2000000000000002</v>
          </cell>
          <cell r="H737">
            <v>-2</v>
          </cell>
          <cell r="I737">
            <v>-1.9</v>
          </cell>
          <cell r="J737">
            <v>-1.5</v>
          </cell>
          <cell r="K737">
            <v>-1.4</v>
          </cell>
          <cell r="L737">
            <v>-1.2</v>
          </cell>
          <cell r="M737">
            <v>-1.3</v>
          </cell>
        </row>
        <row r="738">
          <cell r="C738" t="str">
            <v>Dầu Tiếng MBA T2 (phía 22kV)</v>
          </cell>
          <cell r="D738">
            <v>432</v>
          </cell>
          <cell r="E738">
            <v>2.2999999999999998</v>
          </cell>
          <cell r="F738">
            <v>3.9</v>
          </cell>
          <cell r="G738">
            <v>3.9</v>
          </cell>
          <cell r="H738">
            <v>3.6</v>
          </cell>
          <cell r="I738">
            <v>3.7</v>
          </cell>
          <cell r="J738">
            <v>3.6</v>
          </cell>
          <cell r="K738">
            <v>3.3</v>
          </cell>
          <cell r="L738">
            <v>3.9</v>
          </cell>
          <cell r="M738">
            <v>2.2999999999999998</v>
          </cell>
        </row>
        <row r="739">
          <cell r="C739" t="str">
            <v>Dệt May MBA T2 (phía 110kV)</v>
          </cell>
          <cell r="D739">
            <v>132</v>
          </cell>
          <cell r="E739">
            <v>-2.6</v>
          </cell>
          <cell r="F739">
            <v>7.8</v>
          </cell>
          <cell r="G739">
            <v>4.5999999999999996</v>
          </cell>
          <cell r="H739">
            <v>5</v>
          </cell>
          <cell r="I739">
            <v>4.2</v>
          </cell>
          <cell r="J739">
            <v>-2.6</v>
          </cell>
          <cell r="K739">
            <v>5.4</v>
          </cell>
          <cell r="L739">
            <v>5.8</v>
          </cell>
          <cell r="M739">
            <v>7.8</v>
          </cell>
        </row>
        <row r="740">
          <cell r="C740" t="str">
            <v>110kV 171 Dệt May - 176 Long Thành</v>
          </cell>
          <cell r="D740">
            <v>171</v>
          </cell>
          <cell r="E740">
            <v>17.899999999999999</v>
          </cell>
          <cell r="F740">
            <v>29.7</v>
          </cell>
          <cell r="G740">
            <v>18.600000000000001</v>
          </cell>
          <cell r="H740">
            <v>19.100000000000001</v>
          </cell>
          <cell r="I740">
            <v>24.3</v>
          </cell>
          <cell r="J740">
            <v>29.7</v>
          </cell>
          <cell r="K740">
            <v>17.899999999999999</v>
          </cell>
          <cell r="L740">
            <v>18.3</v>
          </cell>
          <cell r="M740">
            <v>24.3</v>
          </cell>
        </row>
        <row r="741">
          <cell r="C741" t="str">
            <v>110kV 172 Dệt May - 171 Ông Kèo</v>
          </cell>
          <cell r="D741">
            <v>172</v>
          </cell>
          <cell r="E741">
            <v>-9.6</v>
          </cell>
          <cell r="F741">
            <v>-21.8</v>
          </cell>
          <cell r="G741">
            <v>-16.899999999999999</v>
          </cell>
          <cell r="H741">
            <v>-9.6</v>
          </cell>
          <cell r="I741">
            <v>-10.199999999999999</v>
          </cell>
          <cell r="J741">
            <v>-21.8</v>
          </cell>
          <cell r="K741">
            <v>-17</v>
          </cell>
          <cell r="L741">
            <v>-17.7</v>
          </cell>
          <cell r="M741">
            <v>-16.600000000000001</v>
          </cell>
        </row>
        <row r="742">
          <cell r="C742" t="str">
            <v>Dệt May MBA T2 (phía 22kV)</v>
          </cell>
          <cell r="D742">
            <v>432</v>
          </cell>
          <cell r="E742">
            <v>0</v>
          </cell>
          <cell r="F742">
            <v>-5.9</v>
          </cell>
          <cell r="G742">
            <v>0</v>
          </cell>
          <cell r="H742">
            <v>0</v>
          </cell>
          <cell r="I742">
            <v>0</v>
          </cell>
          <cell r="J742">
            <v>2.2999999999999998</v>
          </cell>
          <cell r="K742">
            <v>-3.5</v>
          </cell>
          <cell r="L742">
            <v>-3.8</v>
          </cell>
          <cell r="M742">
            <v>-5.9</v>
          </cell>
        </row>
        <row r="743">
          <cell r="C743" t="str">
            <v>Dệt May Tụ Bù Ngang 102</v>
          </cell>
          <cell r="D743" t="str">
            <v>T102</v>
          </cell>
          <cell r="E743">
            <v>0</v>
          </cell>
          <cell r="F743">
            <v>-15</v>
          </cell>
          <cell r="G743">
            <v>-15</v>
          </cell>
          <cell r="H743">
            <v>-14.9</v>
          </cell>
          <cell r="I743">
            <v>-14.8</v>
          </cell>
          <cell r="J743">
            <v>-14.8</v>
          </cell>
          <cell r="K743">
            <v>0</v>
          </cell>
          <cell r="L743">
            <v>0</v>
          </cell>
          <cell r="M743">
            <v>-14.7</v>
          </cell>
        </row>
        <row r="744">
          <cell r="C744" t="str">
            <v>Di Linh MBA AT1 (phía 220kV)</v>
          </cell>
          <cell r="D744">
            <v>231</v>
          </cell>
          <cell r="E744">
            <v>51.1</v>
          </cell>
          <cell r="F744">
            <v>91</v>
          </cell>
          <cell r="G744">
            <v>67.7</v>
          </cell>
          <cell r="H744">
            <v>53.1</v>
          </cell>
          <cell r="I744">
            <v>58</v>
          </cell>
          <cell r="J744">
            <v>66.5</v>
          </cell>
          <cell r="K744">
            <v>91</v>
          </cell>
          <cell r="L744">
            <v>51.1</v>
          </cell>
          <cell r="M744">
            <v>64.8</v>
          </cell>
        </row>
        <row r="745">
          <cell r="C745" t="str">
            <v>Di Linh MBA AT2 (phía 220kV)</v>
          </cell>
          <cell r="D745">
            <v>232</v>
          </cell>
          <cell r="E745">
            <v>-41.4</v>
          </cell>
          <cell r="F745">
            <v>68.099999999999994</v>
          </cell>
          <cell r="G745">
            <v>47.7</v>
          </cell>
          <cell r="H745">
            <v>46</v>
          </cell>
          <cell r="I745">
            <v>55.8</v>
          </cell>
          <cell r="J745">
            <v>68.099999999999994</v>
          </cell>
          <cell r="K745">
            <v>53.9</v>
          </cell>
          <cell r="L745">
            <v>54.2</v>
          </cell>
          <cell r="M745">
            <v>-41.4</v>
          </cell>
        </row>
        <row r="746">
          <cell r="C746" t="str">
            <v>220kV 271 Di Linh - 276 Bảo Lộc</v>
          </cell>
          <cell r="D746">
            <v>271</v>
          </cell>
          <cell r="E746">
            <v>-21.4</v>
          </cell>
          <cell r="F746">
            <v>-32.700000000000003</v>
          </cell>
          <cell r="G746">
            <v>-24.4</v>
          </cell>
          <cell r="H746">
            <v>-21.4</v>
          </cell>
          <cell r="I746">
            <v>-32.700000000000003</v>
          </cell>
          <cell r="J746">
            <v>-30.1</v>
          </cell>
          <cell r="K746">
            <v>-27.7</v>
          </cell>
          <cell r="L746">
            <v>-25.7</v>
          </cell>
          <cell r="M746">
            <v>-22.6</v>
          </cell>
        </row>
        <row r="747">
          <cell r="C747" t="str">
            <v>220kV 272 Di Linh - 275 Bảo Lộc</v>
          </cell>
          <cell r="D747">
            <v>272</v>
          </cell>
          <cell r="E747">
            <v>-21.3</v>
          </cell>
          <cell r="F747">
            <v>-32.5</v>
          </cell>
          <cell r="G747">
            <v>-24.1</v>
          </cell>
          <cell r="H747">
            <v>-21.3</v>
          </cell>
          <cell r="I747">
            <v>-32.5</v>
          </cell>
          <cell r="J747">
            <v>-30</v>
          </cell>
          <cell r="K747">
            <v>-27.3</v>
          </cell>
          <cell r="L747">
            <v>-25.4</v>
          </cell>
          <cell r="M747">
            <v>-22.5</v>
          </cell>
        </row>
        <row r="748">
          <cell r="C748" t="str">
            <v>220kV 273 Di Linh - 271 NMĐ Đại Ninh</v>
          </cell>
          <cell r="D748">
            <v>273</v>
          </cell>
          <cell r="E748">
            <v>15.6</v>
          </cell>
          <cell r="F748">
            <v>-20.2</v>
          </cell>
          <cell r="G748">
            <v>-18.2</v>
          </cell>
          <cell r="H748">
            <v>16.2</v>
          </cell>
          <cell r="I748">
            <v>-17.100000000000001</v>
          </cell>
          <cell r="J748">
            <v>-17.899999999999999</v>
          </cell>
          <cell r="K748">
            <v>-20.2</v>
          </cell>
          <cell r="L748">
            <v>15.6</v>
          </cell>
          <cell r="M748">
            <v>-17</v>
          </cell>
        </row>
        <row r="749">
          <cell r="C749" t="str">
            <v>220kV 274 Di Linh - 272 NMĐ Đại Ninh</v>
          </cell>
          <cell r="D749">
            <v>274</v>
          </cell>
          <cell r="E749">
            <v>-14.8</v>
          </cell>
          <cell r="F749">
            <v>-27</v>
          </cell>
          <cell r="G749">
            <v>-20</v>
          </cell>
          <cell r="H749">
            <v>-14.8</v>
          </cell>
          <cell r="I749">
            <v>-18.600000000000001</v>
          </cell>
          <cell r="J749">
            <v>-18.399999999999999</v>
          </cell>
          <cell r="K749">
            <v>-27</v>
          </cell>
          <cell r="L749">
            <v>-14.8</v>
          </cell>
          <cell r="M749">
            <v>-19.5</v>
          </cell>
        </row>
        <row r="750">
          <cell r="C750" t="str">
            <v>220kV 275 Di Linh - 272 NMĐ Đồng Nai 2 - 273 NMĐ Đồng Nai 2</v>
          </cell>
          <cell r="D750">
            <v>275</v>
          </cell>
          <cell r="E750">
            <v>4.4000000000000004</v>
          </cell>
          <cell r="F750">
            <v>13.2</v>
          </cell>
          <cell r="G750">
            <v>13.2</v>
          </cell>
          <cell r="H750">
            <v>13.2</v>
          </cell>
          <cell r="I750">
            <v>-8.8000000000000007</v>
          </cell>
          <cell r="J750">
            <v>4.4000000000000004</v>
          </cell>
          <cell r="K750">
            <v>8.8000000000000007</v>
          </cell>
          <cell r="L750">
            <v>8.8000000000000007</v>
          </cell>
          <cell r="M750">
            <v>8.8000000000000007</v>
          </cell>
        </row>
        <row r="751">
          <cell r="C751" t="str">
            <v>220kV 276 Di Linh - 272 Đức Trọng 2</v>
          </cell>
          <cell r="D751">
            <v>276</v>
          </cell>
          <cell r="E751">
            <v>32.9</v>
          </cell>
          <cell r="F751">
            <v>48</v>
          </cell>
          <cell r="G751">
            <v>43.8</v>
          </cell>
          <cell r="H751">
            <v>32.9</v>
          </cell>
          <cell r="I751">
            <v>48</v>
          </cell>
          <cell r="J751">
            <v>41.1</v>
          </cell>
          <cell r="K751">
            <v>44</v>
          </cell>
          <cell r="L751">
            <v>37.4</v>
          </cell>
          <cell r="M751">
            <v>40.299999999999997</v>
          </cell>
        </row>
        <row r="752">
          <cell r="C752" t="str">
            <v>Di Linh MBA AT1 (phía 500kV)</v>
          </cell>
          <cell r="D752">
            <v>531</v>
          </cell>
          <cell r="E752">
            <v>-38.1</v>
          </cell>
          <cell r="F752">
            <v>57.7</v>
          </cell>
          <cell r="G752">
            <v>-39.799999999999997</v>
          </cell>
          <cell r="H752">
            <v>43.9</v>
          </cell>
          <cell r="I752">
            <v>42</v>
          </cell>
          <cell r="J752">
            <v>-38.1</v>
          </cell>
          <cell r="K752">
            <v>-38.1</v>
          </cell>
          <cell r="L752">
            <v>51.5</v>
          </cell>
          <cell r="M752">
            <v>57.7</v>
          </cell>
        </row>
        <row r="753">
          <cell r="C753" t="str">
            <v>Di Linh MBA AT2 (phía 500kV)</v>
          </cell>
          <cell r="D753">
            <v>532</v>
          </cell>
          <cell r="E753">
            <v>34.6</v>
          </cell>
          <cell r="F753">
            <v>-59.2</v>
          </cell>
          <cell r="G753">
            <v>-43.4</v>
          </cell>
          <cell r="H753">
            <v>-40.799999999999997</v>
          </cell>
          <cell r="I753">
            <v>-46.5</v>
          </cell>
          <cell r="J753">
            <v>-59.2</v>
          </cell>
          <cell r="K753">
            <v>-45.5</v>
          </cell>
          <cell r="L753">
            <v>-42</v>
          </cell>
          <cell r="M753">
            <v>34.6</v>
          </cell>
        </row>
        <row r="754">
          <cell r="C754" t="str">
            <v>Di Linh 1 MBA T1 (phía 110kV)</v>
          </cell>
          <cell r="D754">
            <v>131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</row>
        <row r="755">
          <cell r="C755" t="str">
            <v>Di Linh 1 MBA T2 (phía 110kV)</v>
          </cell>
          <cell r="D755">
            <v>132</v>
          </cell>
          <cell r="E755">
            <v>1.8</v>
          </cell>
          <cell r="F755">
            <v>-2.4</v>
          </cell>
          <cell r="G755">
            <v>-2.1</v>
          </cell>
          <cell r="H755">
            <v>-2</v>
          </cell>
          <cell r="I755">
            <v>-2.2000000000000002</v>
          </cell>
          <cell r="J755">
            <v>1.8</v>
          </cell>
          <cell r="K755">
            <v>2</v>
          </cell>
          <cell r="L755">
            <v>-2.2000000000000002</v>
          </cell>
          <cell r="M755">
            <v>-2.4</v>
          </cell>
        </row>
        <row r="756">
          <cell r="C756" t="str">
            <v>110kV 171 Di Linh 1 - 172 Bảo Lộc</v>
          </cell>
          <cell r="D756">
            <v>171</v>
          </cell>
          <cell r="E756">
            <v>-16.8</v>
          </cell>
          <cell r="F756">
            <v>-40.4</v>
          </cell>
          <cell r="G756">
            <v>-38.200000000000003</v>
          </cell>
          <cell r="H756">
            <v>-30.8</v>
          </cell>
          <cell r="I756">
            <v>-36.1</v>
          </cell>
          <cell r="J756">
            <v>-36</v>
          </cell>
          <cell r="K756">
            <v>-16.8</v>
          </cell>
          <cell r="L756">
            <v>-40.4</v>
          </cell>
          <cell r="M756">
            <v>-34</v>
          </cell>
        </row>
        <row r="757">
          <cell r="C757" t="str">
            <v>110kV 172 Di Linh 1 - 172 NMĐ Đa Dâng 3</v>
          </cell>
          <cell r="D757">
            <v>172</v>
          </cell>
          <cell r="E757">
            <v>17.3</v>
          </cell>
          <cell r="F757">
            <v>41.3</v>
          </cell>
          <cell r="G757">
            <v>39.9</v>
          </cell>
          <cell r="H757">
            <v>32.1</v>
          </cell>
          <cell r="I757">
            <v>37.5</v>
          </cell>
          <cell r="J757">
            <v>34.9</v>
          </cell>
          <cell r="K757">
            <v>17.3</v>
          </cell>
          <cell r="L757">
            <v>41.3</v>
          </cell>
          <cell r="M757">
            <v>36.299999999999997</v>
          </cell>
        </row>
        <row r="758">
          <cell r="C758" t="str">
            <v>Di Linh 1 MBA T1 (phía 22kV)</v>
          </cell>
          <cell r="D758">
            <v>431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</row>
        <row r="759">
          <cell r="C759" t="str">
            <v>Di Linh 1 MBA T2 (phía 22kV)</v>
          </cell>
          <cell r="D759">
            <v>432</v>
          </cell>
          <cell r="E759">
            <v>-1.4</v>
          </cell>
          <cell r="F759">
            <v>2.7</v>
          </cell>
          <cell r="G759">
            <v>2.5</v>
          </cell>
          <cell r="H759">
            <v>2.2000000000000002</v>
          </cell>
          <cell r="I759">
            <v>2.6</v>
          </cell>
          <cell r="J759">
            <v>-1.4</v>
          </cell>
          <cell r="K759">
            <v>2.2000000000000002</v>
          </cell>
          <cell r="L759">
            <v>2.5</v>
          </cell>
          <cell r="M759">
            <v>2.7</v>
          </cell>
        </row>
        <row r="760">
          <cell r="C760" t="str">
            <v>Định Quán MBA T1 (phía 110kV)</v>
          </cell>
          <cell r="D760">
            <v>131</v>
          </cell>
          <cell r="E760">
            <v>-1</v>
          </cell>
          <cell r="F760">
            <v>-1.5</v>
          </cell>
          <cell r="G760">
            <v>-1</v>
          </cell>
          <cell r="H760">
            <v>-1.4</v>
          </cell>
          <cell r="I760">
            <v>-1.1000000000000001</v>
          </cell>
          <cell r="J760">
            <v>-1.4</v>
          </cell>
          <cell r="K760">
            <v>-1.2</v>
          </cell>
          <cell r="L760">
            <v>-1.5</v>
          </cell>
          <cell r="M760">
            <v>-1.2</v>
          </cell>
        </row>
        <row r="761">
          <cell r="C761" t="str">
            <v>Định Quán MBA T2 (phía 110kV)</v>
          </cell>
          <cell r="D761">
            <v>132</v>
          </cell>
          <cell r="E761">
            <v>-0.8</v>
          </cell>
          <cell r="F761">
            <v>-1.2</v>
          </cell>
          <cell r="G761">
            <v>-1</v>
          </cell>
          <cell r="H761">
            <v>-1</v>
          </cell>
          <cell r="I761">
            <v>-0.8</v>
          </cell>
          <cell r="J761">
            <v>-1</v>
          </cell>
          <cell r="K761">
            <v>-1</v>
          </cell>
          <cell r="L761">
            <v>-0.9</v>
          </cell>
          <cell r="M761">
            <v>-1.2</v>
          </cell>
        </row>
        <row r="762">
          <cell r="C762" t="str">
            <v>110kV 171 Định Quán - 172 Kiệm Tân</v>
          </cell>
          <cell r="D762">
            <v>171</v>
          </cell>
          <cell r="E762">
            <v>2.4</v>
          </cell>
          <cell r="F762">
            <v>3.2</v>
          </cell>
          <cell r="G762">
            <v>2.4</v>
          </cell>
          <cell r="H762">
            <v>2.9</v>
          </cell>
          <cell r="I762">
            <v>2.6</v>
          </cell>
          <cell r="J762">
            <v>3.2</v>
          </cell>
          <cell r="K762">
            <v>3</v>
          </cell>
          <cell r="L762">
            <v>3</v>
          </cell>
          <cell r="M762">
            <v>3.1</v>
          </cell>
        </row>
        <row r="763">
          <cell r="C763" t="str">
            <v>110kV 172 Định Quán - 171 Tân Phú</v>
          </cell>
          <cell r="D763">
            <v>172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</row>
        <row r="764">
          <cell r="C764" t="str">
            <v>Định Quán MBA T1 (phía 22kV)</v>
          </cell>
          <cell r="D764">
            <v>431</v>
          </cell>
          <cell r="E764">
            <v>-1.5</v>
          </cell>
          <cell r="F764">
            <v>-1.7</v>
          </cell>
          <cell r="G764">
            <v>-1.5</v>
          </cell>
          <cell r="H764">
            <v>-1.7</v>
          </cell>
          <cell r="I764">
            <v>-1.5</v>
          </cell>
          <cell r="J764">
            <v>-1.7</v>
          </cell>
          <cell r="K764">
            <v>-1.5</v>
          </cell>
          <cell r="L764">
            <v>-1.7</v>
          </cell>
          <cell r="M764">
            <v>-1.6</v>
          </cell>
        </row>
        <row r="765">
          <cell r="C765" t="str">
            <v>Định Quán MBA T2 (phía 22kV)</v>
          </cell>
          <cell r="D765">
            <v>432</v>
          </cell>
          <cell r="E765">
            <v>1</v>
          </cell>
          <cell r="F765">
            <v>1.4</v>
          </cell>
          <cell r="G765">
            <v>1.2</v>
          </cell>
          <cell r="H765">
            <v>1.2</v>
          </cell>
          <cell r="I765">
            <v>1</v>
          </cell>
          <cell r="J765">
            <v>1.2</v>
          </cell>
          <cell r="K765">
            <v>1.3</v>
          </cell>
          <cell r="L765">
            <v>1.2</v>
          </cell>
          <cell r="M765">
            <v>1.4</v>
          </cell>
        </row>
        <row r="766">
          <cell r="C766" t="str">
            <v>Đơn Dương MBA T1 (phía 110kV)</v>
          </cell>
          <cell r="D766">
            <v>131</v>
          </cell>
          <cell r="E766">
            <v>1.1000000000000001</v>
          </cell>
          <cell r="F766">
            <v>-2.8</v>
          </cell>
          <cell r="G766">
            <v>2.2000000000000002</v>
          </cell>
          <cell r="H766">
            <v>-1.8</v>
          </cell>
          <cell r="I766">
            <v>2.2999999999999998</v>
          </cell>
          <cell r="J766">
            <v>-2.8</v>
          </cell>
          <cell r="K766">
            <v>1.3</v>
          </cell>
          <cell r="L766">
            <v>-2.4</v>
          </cell>
          <cell r="M766">
            <v>1.1000000000000001</v>
          </cell>
        </row>
        <row r="767">
          <cell r="C767" t="str">
            <v>110kV 171 Đơn Dương - 173 Đức Trọng</v>
          </cell>
          <cell r="D767">
            <v>171</v>
          </cell>
          <cell r="E767">
            <v>-12.5</v>
          </cell>
          <cell r="F767">
            <v>-26.5</v>
          </cell>
          <cell r="G767">
            <v>-23.7</v>
          </cell>
          <cell r="H767">
            <v>-18.3</v>
          </cell>
          <cell r="I767">
            <v>-26.5</v>
          </cell>
          <cell r="J767">
            <v>-21.1</v>
          </cell>
          <cell r="K767">
            <v>-12.5</v>
          </cell>
          <cell r="L767">
            <v>-24</v>
          </cell>
          <cell r="M767">
            <v>-22.9</v>
          </cell>
        </row>
        <row r="768">
          <cell r="C768" t="str">
            <v>110kV 172 Đơn Dương - 172 NMĐ Đa Nhim</v>
          </cell>
          <cell r="D768">
            <v>172</v>
          </cell>
          <cell r="E768">
            <v>12.3</v>
          </cell>
          <cell r="F768">
            <v>25.8</v>
          </cell>
          <cell r="G768">
            <v>22.6</v>
          </cell>
          <cell r="H768">
            <v>19.8</v>
          </cell>
          <cell r="I768">
            <v>25.8</v>
          </cell>
          <cell r="J768">
            <v>23</v>
          </cell>
          <cell r="K768">
            <v>12.3</v>
          </cell>
          <cell r="L768">
            <v>24.8</v>
          </cell>
          <cell r="M768">
            <v>22.8</v>
          </cell>
        </row>
        <row r="769">
          <cell r="C769" t="str">
            <v>Đơn Dương MBA T1 (phía 22kV)</v>
          </cell>
          <cell r="D769">
            <v>431</v>
          </cell>
          <cell r="E769">
            <v>1.3</v>
          </cell>
          <cell r="F769">
            <v>3.7</v>
          </cell>
          <cell r="G769">
            <v>-1.3</v>
          </cell>
          <cell r="H769">
            <v>2.6</v>
          </cell>
          <cell r="I769">
            <v>1.5</v>
          </cell>
          <cell r="J769">
            <v>3.7</v>
          </cell>
          <cell r="K769">
            <v>1.6</v>
          </cell>
          <cell r="L769">
            <v>3</v>
          </cell>
          <cell r="M769">
            <v>1.3</v>
          </cell>
        </row>
        <row r="770">
          <cell r="C770" t="str">
            <v>Đồng An MBA T1 (phía 110kV)</v>
          </cell>
          <cell r="D770">
            <v>131</v>
          </cell>
          <cell r="E770">
            <v>3.5</v>
          </cell>
          <cell r="F770">
            <v>-6.4</v>
          </cell>
          <cell r="G770">
            <v>5.4</v>
          </cell>
          <cell r="H770">
            <v>-6.4</v>
          </cell>
          <cell r="I770">
            <v>-5.7</v>
          </cell>
          <cell r="J770">
            <v>3.5</v>
          </cell>
          <cell r="K770">
            <v>5.3</v>
          </cell>
          <cell r="L770">
            <v>-5.7</v>
          </cell>
          <cell r="M770">
            <v>5.3</v>
          </cell>
        </row>
        <row r="771">
          <cell r="C771" t="str">
            <v>Đồng An MBA T2 (phía 110kV)</v>
          </cell>
          <cell r="D771">
            <v>132</v>
          </cell>
          <cell r="E771">
            <v>-3.7</v>
          </cell>
          <cell r="F771">
            <v>-9.1999999999999993</v>
          </cell>
          <cell r="G771">
            <v>-6.9</v>
          </cell>
          <cell r="H771">
            <v>-8.1999999999999993</v>
          </cell>
          <cell r="I771">
            <v>6</v>
          </cell>
          <cell r="J771">
            <v>-3.7</v>
          </cell>
          <cell r="K771">
            <v>-6.9</v>
          </cell>
          <cell r="L771">
            <v>-6.9</v>
          </cell>
          <cell r="M771">
            <v>-9.1999999999999993</v>
          </cell>
        </row>
        <row r="772">
          <cell r="C772" t="str">
            <v>110kV 171 Đồng An - 177 Thuận An</v>
          </cell>
          <cell r="D772">
            <v>171</v>
          </cell>
          <cell r="E772">
            <v>2.6</v>
          </cell>
          <cell r="F772">
            <v>-13.6</v>
          </cell>
          <cell r="G772">
            <v>-13.6</v>
          </cell>
          <cell r="H772">
            <v>-11.9</v>
          </cell>
          <cell r="I772">
            <v>-2.7</v>
          </cell>
          <cell r="J772">
            <v>-2.8</v>
          </cell>
          <cell r="K772">
            <v>-11.3</v>
          </cell>
          <cell r="L772">
            <v>-6.6</v>
          </cell>
          <cell r="M772">
            <v>2.6</v>
          </cell>
        </row>
        <row r="773">
          <cell r="C773" t="str">
            <v>110kV 172 Đồng An - 171 Sóng Thần</v>
          </cell>
          <cell r="D773">
            <v>172</v>
          </cell>
          <cell r="E773">
            <v>0</v>
          </cell>
          <cell r="F773">
            <v>12.1</v>
          </cell>
          <cell r="G773">
            <v>11</v>
          </cell>
          <cell r="H773">
            <v>12.1</v>
          </cell>
          <cell r="I773">
            <v>3</v>
          </cell>
          <cell r="J773">
            <v>0</v>
          </cell>
          <cell r="K773">
            <v>3.3</v>
          </cell>
          <cell r="L773">
            <v>3.3</v>
          </cell>
          <cell r="M773">
            <v>-5.2</v>
          </cell>
        </row>
        <row r="774">
          <cell r="C774" t="str">
            <v>Đồng An MBA T1 (phía 22kV)</v>
          </cell>
          <cell r="D774">
            <v>431</v>
          </cell>
          <cell r="E774">
            <v>0</v>
          </cell>
          <cell r="F774">
            <v>8.4</v>
          </cell>
          <cell r="G774">
            <v>6.6</v>
          </cell>
          <cell r="H774">
            <v>8.4</v>
          </cell>
          <cell r="I774">
            <v>7.5</v>
          </cell>
          <cell r="J774">
            <v>0</v>
          </cell>
          <cell r="K774">
            <v>-1.3</v>
          </cell>
          <cell r="L774">
            <v>7.6</v>
          </cell>
          <cell r="M774">
            <v>6.6</v>
          </cell>
        </row>
        <row r="775">
          <cell r="C775" t="str">
            <v>Đồng An MBA T2 (phía 22kV)</v>
          </cell>
          <cell r="D775">
            <v>432</v>
          </cell>
          <cell r="E775">
            <v>4.5999999999999996</v>
          </cell>
          <cell r="F775">
            <v>11.4</v>
          </cell>
          <cell r="G775">
            <v>9.4</v>
          </cell>
          <cell r="H775">
            <v>10.8</v>
          </cell>
          <cell r="I775">
            <v>4.9000000000000004</v>
          </cell>
          <cell r="J775">
            <v>4.5999999999999996</v>
          </cell>
          <cell r="K775">
            <v>9.6999999999999993</v>
          </cell>
          <cell r="L775">
            <v>8.8000000000000007</v>
          </cell>
          <cell r="M775">
            <v>11.4</v>
          </cell>
        </row>
        <row r="776">
          <cell r="C776" t="str">
            <v>Đông Hải MBA T1 (phía 110kV)</v>
          </cell>
          <cell r="D776">
            <v>131</v>
          </cell>
          <cell r="E776">
            <v>0.7</v>
          </cell>
          <cell r="F776">
            <v>2.6</v>
          </cell>
          <cell r="G776">
            <v>2.6</v>
          </cell>
          <cell r="H776">
            <v>-2.1</v>
          </cell>
          <cell r="I776">
            <v>0.8</v>
          </cell>
          <cell r="J776">
            <v>0.8</v>
          </cell>
          <cell r="K776">
            <v>-0.7</v>
          </cell>
          <cell r="L776">
            <v>2.2000000000000002</v>
          </cell>
          <cell r="M776">
            <v>0.7</v>
          </cell>
        </row>
        <row r="777">
          <cell r="C777" t="str">
            <v>Đông Hải MBA T1 (phía 22kV)</v>
          </cell>
          <cell r="D777">
            <v>431</v>
          </cell>
          <cell r="E777">
            <v>1</v>
          </cell>
          <cell r="F777">
            <v>2.7</v>
          </cell>
          <cell r="G777">
            <v>2.7</v>
          </cell>
          <cell r="H777">
            <v>2.7</v>
          </cell>
          <cell r="I777">
            <v>1.2</v>
          </cell>
          <cell r="J777">
            <v>1.3</v>
          </cell>
          <cell r="K777">
            <v>1.3</v>
          </cell>
          <cell r="L777">
            <v>-1.6</v>
          </cell>
          <cell r="M777">
            <v>1</v>
          </cell>
        </row>
        <row r="778">
          <cell r="C778" t="str">
            <v>Đông Hòa MBA T1 (phía 110kV)</v>
          </cell>
          <cell r="D778">
            <v>131</v>
          </cell>
          <cell r="E778">
            <v>-3.6</v>
          </cell>
          <cell r="F778">
            <v>-4.9000000000000004</v>
          </cell>
          <cell r="G778">
            <v>-4.5</v>
          </cell>
          <cell r="H778">
            <v>-4.5</v>
          </cell>
          <cell r="I778">
            <v>-4.5</v>
          </cell>
          <cell r="J778">
            <v>-3.6</v>
          </cell>
          <cell r="K778">
            <v>-3.6</v>
          </cell>
          <cell r="L778">
            <v>-4.9000000000000004</v>
          </cell>
          <cell r="M778">
            <v>-4.7</v>
          </cell>
        </row>
        <row r="779">
          <cell r="C779" t="str">
            <v>Đông Hòa MBA T2 (phía 110kV)</v>
          </cell>
          <cell r="D779">
            <v>132</v>
          </cell>
          <cell r="E779">
            <v>1.8</v>
          </cell>
          <cell r="F779">
            <v>5.0999999999999996</v>
          </cell>
          <cell r="G779">
            <v>5.0999999999999996</v>
          </cell>
          <cell r="H779">
            <v>4.4000000000000004</v>
          </cell>
          <cell r="I779">
            <v>5.0999999999999996</v>
          </cell>
          <cell r="J779">
            <v>1.8</v>
          </cell>
          <cell r="K779">
            <v>-3</v>
          </cell>
          <cell r="L779">
            <v>5</v>
          </cell>
          <cell r="M779">
            <v>5</v>
          </cell>
        </row>
        <row r="780">
          <cell r="C780" t="str">
            <v>110kV 171 Đông Hòa - 171 Long Bình - 171 Bình An - 171 Đồng Nai</v>
          </cell>
          <cell r="D780">
            <v>171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</row>
        <row r="781">
          <cell r="C781" t="str">
            <v>110kV 172 Đông Hòa - 171 Linh Trung 1</v>
          </cell>
          <cell r="D781">
            <v>172</v>
          </cell>
          <cell r="E781">
            <v>4.0999999999999996</v>
          </cell>
          <cell r="F781">
            <v>6.3</v>
          </cell>
          <cell r="G781">
            <v>4.0999999999999996</v>
          </cell>
          <cell r="H781">
            <v>5.5</v>
          </cell>
          <cell r="I781">
            <v>-4.2</v>
          </cell>
          <cell r="J781">
            <v>-5.0999999999999996</v>
          </cell>
          <cell r="K781">
            <v>5.8</v>
          </cell>
          <cell r="L781">
            <v>6.3</v>
          </cell>
          <cell r="M781">
            <v>4.3</v>
          </cell>
        </row>
        <row r="782">
          <cell r="C782" t="str">
            <v>Đông Hòa MBA T1 (phía 22kV)</v>
          </cell>
          <cell r="D782">
            <v>431</v>
          </cell>
          <cell r="E782">
            <v>4.3</v>
          </cell>
          <cell r="F782">
            <v>5.4</v>
          </cell>
          <cell r="G782">
            <v>5.0999999999999996</v>
          </cell>
          <cell r="H782">
            <v>5.0999999999999996</v>
          </cell>
          <cell r="I782">
            <v>5.0999999999999996</v>
          </cell>
          <cell r="J782">
            <v>4.3</v>
          </cell>
          <cell r="K782">
            <v>4.3</v>
          </cell>
          <cell r="L782">
            <v>5.4</v>
          </cell>
          <cell r="M782">
            <v>5.3</v>
          </cell>
        </row>
        <row r="783">
          <cell r="C783" t="str">
            <v>Đông Hòa MBA T2 (phía 22kV)</v>
          </cell>
          <cell r="D783">
            <v>432</v>
          </cell>
          <cell r="E783">
            <v>-1.3</v>
          </cell>
          <cell r="F783">
            <v>-4.4000000000000004</v>
          </cell>
          <cell r="G783">
            <v>-4.4000000000000004</v>
          </cell>
          <cell r="H783">
            <v>4.2</v>
          </cell>
          <cell r="I783">
            <v>-4.3</v>
          </cell>
          <cell r="J783">
            <v>-1.3</v>
          </cell>
          <cell r="K783">
            <v>3.5</v>
          </cell>
          <cell r="L783">
            <v>-4.4000000000000004</v>
          </cell>
          <cell r="M783">
            <v>-4.3</v>
          </cell>
        </row>
        <row r="784">
          <cell r="C784" t="str">
            <v>Đồng Nai MBA T1 (phía 110kV)</v>
          </cell>
          <cell r="D784">
            <v>131</v>
          </cell>
          <cell r="E784">
            <v>2.5</v>
          </cell>
          <cell r="F784">
            <v>9.4</v>
          </cell>
          <cell r="G784">
            <v>9.4</v>
          </cell>
          <cell r="H784">
            <v>8.6</v>
          </cell>
          <cell r="I784">
            <v>7.8</v>
          </cell>
          <cell r="J784">
            <v>2.5</v>
          </cell>
          <cell r="K784">
            <v>7.7</v>
          </cell>
          <cell r="L784">
            <v>7.3</v>
          </cell>
          <cell r="M784">
            <v>7.5</v>
          </cell>
        </row>
        <row r="785">
          <cell r="C785" t="str">
            <v>Đồng Nai MBA T2 (phía 110kV)</v>
          </cell>
          <cell r="D785">
            <v>132</v>
          </cell>
          <cell r="E785">
            <v>3.3</v>
          </cell>
          <cell r="F785">
            <v>6.5</v>
          </cell>
          <cell r="G785">
            <v>5.0999999999999996</v>
          </cell>
          <cell r="H785">
            <v>6.5</v>
          </cell>
          <cell r="I785">
            <v>6</v>
          </cell>
          <cell r="J785">
            <v>3.7</v>
          </cell>
          <cell r="K785">
            <v>4.7</v>
          </cell>
          <cell r="L785">
            <v>5</v>
          </cell>
          <cell r="M785">
            <v>3.3</v>
          </cell>
        </row>
        <row r="786">
          <cell r="C786" t="str">
            <v>110kV 171 Đồng Nai - 171 Đông Hòa - 171 Long Bình - 171 Bình An</v>
          </cell>
          <cell r="D786">
            <v>171</v>
          </cell>
          <cell r="E786">
            <v>-2.7</v>
          </cell>
          <cell r="F786">
            <v>-9.1999999999999993</v>
          </cell>
          <cell r="G786">
            <v>-9.1999999999999993</v>
          </cell>
          <cell r="H786">
            <v>-8.6999999999999993</v>
          </cell>
          <cell r="I786">
            <v>-7.8</v>
          </cell>
          <cell r="J786">
            <v>-2.7</v>
          </cell>
          <cell r="K786">
            <v>-7.7</v>
          </cell>
          <cell r="L786">
            <v>-7.3</v>
          </cell>
          <cell r="M786">
            <v>-7.6</v>
          </cell>
        </row>
        <row r="787">
          <cell r="C787" t="str">
            <v>110kV 172 Đồng Nai - 172 Long Bình</v>
          </cell>
          <cell r="D787">
            <v>172</v>
          </cell>
          <cell r="E787">
            <v>-3.5</v>
          </cell>
          <cell r="F787">
            <v>-6.9</v>
          </cell>
          <cell r="G787">
            <v>-5.2</v>
          </cell>
          <cell r="H787">
            <v>-6.9</v>
          </cell>
          <cell r="I787">
            <v>-6.1</v>
          </cell>
          <cell r="J787">
            <v>-3.8</v>
          </cell>
          <cell r="K787">
            <v>-4.9000000000000004</v>
          </cell>
          <cell r="L787">
            <v>-5.0999999999999996</v>
          </cell>
          <cell r="M787">
            <v>-3.5</v>
          </cell>
        </row>
        <row r="788">
          <cell r="C788" t="str">
            <v>110kV 173 Đồng Nai - 173 Tân Mai</v>
          </cell>
          <cell r="D788">
            <v>173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</row>
        <row r="789">
          <cell r="C789" t="str">
            <v>Đồng Nai MBA T1 (phía 22kV)</v>
          </cell>
          <cell r="D789">
            <v>431</v>
          </cell>
          <cell r="E789">
            <v>3.2</v>
          </cell>
          <cell r="F789">
            <v>-6.1</v>
          </cell>
          <cell r="G789">
            <v>-6.1</v>
          </cell>
          <cell r="H789">
            <v>-5.5</v>
          </cell>
          <cell r="I789">
            <v>-5</v>
          </cell>
          <cell r="J789">
            <v>3.2</v>
          </cell>
          <cell r="K789">
            <v>-4.7</v>
          </cell>
          <cell r="L789">
            <v>-4.5</v>
          </cell>
          <cell r="M789">
            <v>-4.5</v>
          </cell>
        </row>
        <row r="790">
          <cell r="C790" t="str">
            <v>Đồng Nai MBA T2 (phía 22kV)</v>
          </cell>
          <cell r="D790">
            <v>432</v>
          </cell>
          <cell r="E790">
            <v>-2</v>
          </cell>
          <cell r="F790">
            <v>-4.2</v>
          </cell>
          <cell r="G790">
            <v>-2.6</v>
          </cell>
          <cell r="H790">
            <v>-4.2</v>
          </cell>
          <cell r="I790">
            <v>-3.6</v>
          </cell>
          <cell r="J790">
            <v>-2</v>
          </cell>
          <cell r="K790">
            <v>-2.7</v>
          </cell>
          <cell r="L790">
            <v>-2.9</v>
          </cell>
          <cell r="M790">
            <v>2.6</v>
          </cell>
        </row>
        <row r="791">
          <cell r="C791" t="str">
            <v>Đông Nam MBA T1 (phía 110kV)</v>
          </cell>
          <cell r="D791">
            <v>131</v>
          </cell>
          <cell r="E791">
            <v>-0.4</v>
          </cell>
          <cell r="F791">
            <v>-1</v>
          </cell>
          <cell r="G791">
            <v>-0.6</v>
          </cell>
          <cell r="H791">
            <v>-0.6</v>
          </cell>
          <cell r="I791">
            <v>-0.4</v>
          </cell>
          <cell r="J791">
            <v>-0.6</v>
          </cell>
          <cell r="K791">
            <v>-0.4</v>
          </cell>
          <cell r="L791">
            <v>-0.6</v>
          </cell>
          <cell r="M791">
            <v>-1</v>
          </cell>
        </row>
        <row r="792">
          <cell r="C792" t="str">
            <v>Đông Nam MBA T2 (phía 110kV)</v>
          </cell>
          <cell r="D792">
            <v>132</v>
          </cell>
          <cell r="E792">
            <v>0</v>
          </cell>
          <cell r="F792">
            <v>2.4</v>
          </cell>
          <cell r="G792">
            <v>2.4</v>
          </cell>
          <cell r="H792">
            <v>1.9</v>
          </cell>
          <cell r="I792">
            <v>2.1</v>
          </cell>
          <cell r="J792">
            <v>2.2000000000000002</v>
          </cell>
          <cell r="K792">
            <v>2.2000000000000002</v>
          </cell>
          <cell r="L792">
            <v>1.6</v>
          </cell>
          <cell r="M792">
            <v>0</v>
          </cell>
        </row>
        <row r="793">
          <cell r="C793" t="str">
            <v>Đông Nam MBA T3 (phía 110kV)</v>
          </cell>
          <cell r="D793">
            <v>133</v>
          </cell>
          <cell r="E793">
            <v>4.0999999999999996</v>
          </cell>
          <cell r="F793">
            <v>4.7</v>
          </cell>
          <cell r="G793">
            <v>4.3</v>
          </cell>
          <cell r="H793">
            <v>4.4000000000000004</v>
          </cell>
          <cell r="I793">
            <v>4.3</v>
          </cell>
          <cell r="J793">
            <v>4.7</v>
          </cell>
          <cell r="K793">
            <v>4.7</v>
          </cell>
          <cell r="L793">
            <v>4.5999999999999996</v>
          </cell>
          <cell r="M793">
            <v>4.0999999999999996</v>
          </cell>
        </row>
        <row r="794">
          <cell r="C794" t="str">
            <v>110kV 171 Đông Nam - 172 Phú Hòa Đông</v>
          </cell>
          <cell r="D794">
            <v>171</v>
          </cell>
          <cell r="E794">
            <v>3</v>
          </cell>
          <cell r="F794">
            <v>4.3</v>
          </cell>
          <cell r="G794">
            <v>3.1</v>
          </cell>
          <cell r="H794">
            <v>3</v>
          </cell>
          <cell r="I794">
            <v>3.3</v>
          </cell>
          <cell r="J794">
            <v>3.8</v>
          </cell>
          <cell r="K794">
            <v>3.2</v>
          </cell>
          <cell r="L794">
            <v>3.7</v>
          </cell>
          <cell r="M794">
            <v>4.3</v>
          </cell>
        </row>
        <row r="795">
          <cell r="C795" t="str">
            <v>110kV 172 Đông Nam - 171 Gò Đậu - 172 Tân Quy</v>
          </cell>
          <cell r="D795">
            <v>172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</row>
        <row r="796">
          <cell r="C796" t="str">
            <v>Đông Nam MBA T1 (phía 22kV)</v>
          </cell>
          <cell r="D796">
            <v>431</v>
          </cell>
          <cell r="E796">
            <v>1.4</v>
          </cell>
          <cell r="F796">
            <v>1.8</v>
          </cell>
          <cell r="G796">
            <v>1.5</v>
          </cell>
          <cell r="H796">
            <v>1.5</v>
          </cell>
          <cell r="I796">
            <v>1.4</v>
          </cell>
          <cell r="J796">
            <v>1.5</v>
          </cell>
          <cell r="K796">
            <v>1.4</v>
          </cell>
          <cell r="L796">
            <v>1.5</v>
          </cell>
          <cell r="M796">
            <v>1.8</v>
          </cell>
        </row>
        <row r="797">
          <cell r="C797" t="str">
            <v>Đông Nam MBA T2 (phía 22kV)</v>
          </cell>
          <cell r="D797">
            <v>432</v>
          </cell>
          <cell r="E797">
            <v>-0.3</v>
          </cell>
          <cell r="F797">
            <v>-1.7</v>
          </cell>
          <cell r="G797">
            <v>-1.7</v>
          </cell>
          <cell r="H797">
            <v>-1.2</v>
          </cell>
          <cell r="I797">
            <v>-1.3</v>
          </cell>
          <cell r="J797">
            <v>-1.5</v>
          </cell>
          <cell r="K797">
            <v>-1.5</v>
          </cell>
          <cell r="L797">
            <v>-1</v>
          </cell>
          <cell r="M797">
            <v>-0.3</v>
          </cell>
        </row>
        <row r="798">
          <cell r="C798" t="str">
            <v>Đông Nam MBA T3 (phía 22kV)</v>
          </cell>
          <cell r="D798">
            <v>433</v>
          </cell>
          <cell r="E798">
            <v>4.2</v>
          </cell>
          <cell r="F798">
            <v>5</v>
          </cell>
          <cell r="G798">
            <v>4.4000000000000004</v>
          </cell>
          <cell r="H798">
            <v>4.5</v>
          </cell>
          <cell r="I798">
            <v>4.4000000000000004</v>
          </cell>
          <cell r="J798">
            <v>5</v>
          </cell>
          <cell r="K798">
            <v>4.8</v>
          </cell>
          <cell r="L798">
            <v>4.7</v>
          </cell>
          <cell r="M798">
            <v>4.2</v>
          </cell>
        </row>
        <row r="799">
          <cell r="C799" t="str">
            <v>Đồng Phú MBA T1 (phía 110kV)</v>
          </cell>
          <cell r="D799">
            <v>131</v>
          </cell>
          <cell r="E799">
            <v>-3.4</v>
          </cell>
          <cell r="F799">
            <v>4.2</v>
          </cell>
          <cell r="G799">
            <v>-3.4</v>
          </cell>
          <cell r="H799">
            <v>3.8</v>
          </cell>
          <cell r="I799">
            <v>4</v>
          </cell>
          <cell r="J799">
            <v>4</v>
          </cell>
          <cell r="K799">
            <v>3.6</v>
          </cell>
          <cell r="L799">
            <v>-3.8</v>
          </cell>
          <cell r="M799">
            <v>4.2</v>
          </cell>
        </row>
        <row r="800">
          <cell r="C800" t="str">
            <v>110kV 171 Đồng Phú - 172 Phú Giáo</v>
          </cell>
          <cell r="D800">
            <v>171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</row>
        <row r="801">
          <cell r="C801" t="str">
            <v>110kV 172 Đồng Phú - 172 Đồng Xoài</v>
          </cell>
          <cell r="D801">
            <v>172</v>
          </cell>
          <cell r="E801">
            <v>0</v>
          </cell>
          <cell r="F801">
            <v>3.3</v>
          </cell>
          <cell r="G801">
            <v>1.6</v>
          </cell>
          <cell r="H801">
            <v>0</v>
          </cell>
          <cell r="I801">
            <v>1.7</v>
          </cell>
          <cell r="J801">
            <v>0</v>
          </cell>
          <cell r="K801">
            <v>0</v>
          </cell>
          <cell r="L801">
            <v>1.7</v>
          </cell>
          <cell r="M801">
            <v>3.3</v>
          </cell>
        </row>
        <row r="802">
          <cell r="C802" t="str">
            <v>Đồng Phú MBA T1 (phía 22kV)</v>
          </cell>
          <cell r="D802">
            <v>431</v>
          </cell>
          <cell r="E802">
            <v>-1</v>
          </cell>
          <cell r="F802">
            <v>5.4</v>
          </cell>
          <cell r="G802">
            <v>5.3</v>
          </cell>
          <cell r="H802">
            <v>5.2</v>
          </cell>
          <cell r="I802">
            <v>5.4</v>
          </cell>
          <cell r="J802">
            <v>-1</v>
          </cell>
          <cell r="K802">
            <v>5.2</v>
          </cell>
          <cell r="L802">
            <v>5.4</v>
          </cell>
          <cell r="M802">
            <v>5.4</v>
          </cell>
        </row>
        <row r="803">
          <cell r="C803" t="str">
            <v>Đông Thạnh MBA T1 (phía 110kV)</v>
          </cell>
          <cell r="D803">
            <v>131</v>
          </cell>
          <cell r="E803">
            <v>-2.4</v>
          </cell>
          <cell r="F803">
            <v>9.6999999999999993</v>
          </cell>
          <cell r="G803">
            <v>9.1999999999999993</v>
          </cell>
          <cell r="H803">
            <v>9.6999999999999993</v>
          </cell>
          <cell r="I803">
            <v>9</v>
          </cell>
          <cell r="J803">
            <v>-2.4</v>
          </cell>
          <cell r="K803">
            <v>8</v>
          </cell>
          <cell r="L803">
            <v>9.5</v>
          </cell>
          <cell r="M803">
            <v>9.6999999999999993</v>
          </cell>
        </row>
        <row r="804">
          <cell r="C804" t="str">
            <v>Đông Thạnh MBA T2 (phía 110kV)</v>
          </cell>
          <cell r="D804">
            <v>132</v>
          </cell>
          <cell r="E804">
            <v>-3</v>
          </cell>
          <cell r="F804">
            <v>3.9</v>
          </cell>
          <cell r="G804">
            <v>3.9</v>
          </cell>
          <cell r="H804">
            <v>3.8</v>
          </cell>
          <cell r="I804">
            <v>3.2</v>
          </cell>
          <cell r="J804">
            <v>-3</v>
          </cell>
          <cell r="K804">
            <v>3.4</v>
          </cell>
          <cell r="L804">
            <v>3.2</v>
          </cell>
          <cell r="M804">
            <v>3.2</v>
          </cell>
        </row>
        <row r="805">
          <cell r="C805" t="str">
            <v>110kV 171 Đông Thạnh - 172 Tân Hiệp</v>
          </cell>
          <cell r="D805">
            <v>171</v>
          </cell>
          <cell r="E805">
            <v>2.9</v>
          </cell>
          <cell r="F805">
            <v>-9.6</v>
          </cell>
          <cell r="G805">
            <v>-8.6999999999999993</v>
          </cell>
          <cell r="H805">
            <v>-9.6</v>
          </cell>
          <cell r="I805">
            <v>-8.3000000000000007</v>
          </cell>
          <cell r="J805">
            <v>2.9</v>
          </cell>
          <cell r="K805">
            <v>-7.9</v>
          </cell>
          <cell r="L805">
            <v>-9.3000000000000007</v>
          </cell>
          <cell r="M805">
            <v>-9.1</v>
          </cell>
        </row>
        <row r="806">
          <cell r="C806" t="str">
            <v>110kV 172 Đông Thạnh - 171 Hóc Môn</v>
          </cell>
          <cell r="D806">
            <v>172</v>
          </cell>
          <cell r="E806">
            <v>-3</v>
          </cell>
          <cell r="F806">
            <v>-4.0999999999999996</v>
          </cell>
          <cell r="G806">
            <v>-4.0999999999999996</v>
          </cell>
          <cell r="H806">
            <v>-3.4</v>
          </cell>
          <cell r="I806">
            <v>-3</v>
          </cell>
          <cell r="J806">
            <v>3.2</v>
          </cell>
          <cell r="K806">
            <v>-3.7</v>
          </cell>
          <cell r="L806">
            <v>3.4</v>
          </cell>
          <cell r="M806">
            <v>3.1</v>
          </cell>
        </row>
        <row r="807">
          <cell r="C807" t="str">
            <v>Đông Thạnh MBA T1 (phía 22kV)</v>
          </cell>
          <cell r="D807">
            <v>431</v>
          </cell>
          <cell r="E807">
            <v>4.3</v>
          </cell>
          <cell r="F807">
            <v>5.5</v>
          </cell>
          <cell r="G807">
            <v>-4.9000000000000004</v>
          </cell>
          <cell r="H807">
            <v>-4.9000000000000004</v>
          </cell>
          <cell r="I807">
            <v>4.4000000000000004</v>
          </cell>
          <cell r="J807">
            <v>4.5999999999999996</v>
          </cell>
          <cell r="K807">
            <v>5.2</v>
          </cell>
          <cell r="L807">
            <v>4.3</v>
          </cell>
          <cell r="M807">
            <v>5.5</v>
          </cell>
        </row>
        <row r="808">
          <cell r="C808" t="str">
            <v>Đông Thạnh MBA T2 (phía 22kV)</v>
          </cell>
          <cell r="D808">
            <v>432</v>
          </cell>
          <cell r="E808">
            <v>3.4</v>
          </cell>
          <cell r="F808">
            <v>3.6</v>
          </cell>
          <cell r="G808">
            <v>3.6</v>
          </cell>
          <cell r="H808">
            <v>3.5</v>
          </cell>
          <cell r="I808">
            <v>3.6</v>
          </cell>
          <cell r="J808">
            <v>3.6</v>
          </cell>
          <cell r="K808">
            <v>3.5</v>
          </cell>
          <cell r="L808">
            <v>3.5</v>
          </cell>
          <cell r="M808">
            <v>3.4</v>
          </cell>
        </row>
        <row r="809">
          <cell r="C809" t="str">
            <v>Đồng Tiến MBA T1 (phía 110kV)</v>
          </cell>
          <cell r="D809">
            <v>131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</row>
        <row r="810">
          <cell r="C810" t="str">
            <v>110kV 171 Đồng Tiến - 171 Mỹ Xuân B1</v>
          </cell>
          <cell r="D810">
            <v>171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</row>
        <row r="811">
          <cell r="C811" t="str">
            <v>110kV 172 Đồng Tiến - 175 NMĐ Phú Mỹ 1</v>
          </cell>
          <cell r="D811">
            <v>172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</row>
        <row r="812">
          <cell r="C812" t="str">
            <v>Đồng Tiến MBA T1 (phía 35kV)</v>
          </cell>
          <cell r="D812">
            <v>331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</row>
        <row r="813">
          <cell r="C813" t="str">
            <v>Đồng Tiến MBA T1 (phía 10kV)</v>
          </cell>
          <cell r="D813">
            <v>931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</row>
        <row r="814">
          <cell r="C814" t="str">
            <v>Đồng Xoài MBA T1 (phía 110kV)</v>
          </cell>
          <cell r="D814">
            <v>131</v>
          </cell>
          <cell r="E814">
            <v>3</v>
          </cell>
          <cell r="F814">
            <v>6.2</v>
          </cell>
          <cell r="G814">
            <v>4.4000000000000004</v>
          </cell>
          <cell r="H814">
            <v>-5</v>
          </cell>
          <cell r="I814">
            <v>6.2</v>
          </cell>
          <cell r="J814">
            <v>3</v>
          </cell>
          <cell r="K814">
            <v>-5.9</v>
          </cell>
          <cell r="L814">
            <v>-5.5</v>
          </cell>
          <cell r="M814">
            <v>-6.1</v>
          </cell>
        </row>
        <row r="815">
          <cell r="C815" t="str">
            <v>Đồng Xoài MBA T2 (phía 110kV)</v>
          </cell>
          <cell r="D815">
            <v>132</v>
          </cell>
          <cell r="E815">
            <v>2.2999999999999998</v>
          </cell>
          <cell r="F815">
            <v>-5</v>
          </cell>
          <cell r="G815">
            <v>-3.9</v>
          </cell>
          <cell r="H815">
            <v>-5</v>
          </cell>
          <cell r="I815">
            <v>-3.3</v>
          </cell>
          <cell r="J815">
            <v>2.2999999999999998</v>
          </cell>
          <cell r="K815">
            <v>-3.2</v>
          </cell>
          <cell r="L815">
            <v>-3.5</v>
          </cell>
          <cell r="M815">
            <v>-3.4</v>
          </cell>
        </row>
        <row r="816">
          <cell r="C816" t="str">
            <v>110kV 171 Đồng Xoài - 172 Vedan 2</v>
          </cell>
          <cell r="D816">
            <v>171</v>
          </cell>
          <cell r="E816">
            <v>-5.7</v>
          </cell>
          <cell r="F816">
            <v>13.5</v>
          </cell>
          <cell r="G816">
            <v>12.5</v>
          </cell>
          <cell r="H816">
            <v>13.5</v>
          </cell>
          <cell r="I816">
            <v>8.1</v>
          </cell>
          <cell r="J816">
            <v>-5.7</v>
          </cell>
          <cell r="K816">
            <v>12.1</v>
          </cell>
          <cell r="L816">
            <v>13.4</v>
          </cell>
          <cell r="M816">
            <v>12.3</v>
          </cell>
        </row>
        <row r="817">
          <cell r="C817" t="str">
            <v>110kV 172 Đồng Xoài - 172 Đồng Phú</v>
          </cell>
          <cell r="D817">
            <v>172</v>
          </cell>
          <cell r="E817">
            <v>3</v>
          </cell>
          <cell r="F817">
            <v>-5.3</v>
          </cell>
          <cell r="G817">
            <v>-5.3</v>
          </cell>
          <cell r="H817">
            <v>-4.5999999999999996</v>
          </cell>
          <cell r="I817">
            <v>-5.0999999999999996</v>
          </cell>
          <cell r="J817">
            <v>3</v>
          </cell>
          <cell r="K817">
            <v>-4.5</v>
          </cell>
          <cell r="L817">
            <v>-5.2</v>
          </cell>
          <cell r="M817">
            <v>-4.9000000000000004</v>
          </cell>
        </row>
        <row r="818">
          <cell r="C818" t="str">
            <v>Đồng Xoài MBA T1 (phía 22kV)</v>
          </cell>
          <cell r="D818">
            <v>431</v>
          </cell>
          <cell r="E818">
            <v>2.2999999999999998</v>
          </cell>
          <cell r="F818">
            <v>5.8</v>
          </cell>
          <cell r="G818">
            <v>4.7</v>
          </cell>
          <cell r="H818">
            <v>5.2</v>
          </cell>
          <cell r="I818">
            <v>-3.5</v>
          </cell>
          <cell r="J818">
            <v>2.2999999999999998</v>
          </cell>
          <cell r="K818">
            <v>5.8</v>
          </cell>
          <cell r="L818">
            <v>5.0999999999999996</v>
          </cell>
          <cell r="M818">
            <v>5.4</v>
          </cell>
        </row>
        <row r="819">
          <cell r="C819" t="str">
            <v>Đồng Xoài MBA T2 (phía 22kV)</v>
          </cell>
          <cell r="D819">
            <v>432</v>
          </cell>
          <cell r="E819">
            <v>2.2999999999999998</v>
          </cell>
          <cell r="F819">
            <v>5.7</v>
          </cell>
          <cell r="G819">
            <v>5</v>
          </cell>
          <cell r="H819">
            <v>5.7</v>
          </cell>
          <cell r="I819">
            <v>4.4000000000000004</v>
          </cell>
          <cell r="J819">
            <v>2.2999999999999998</v>
          </cell>
          <cell r="K819">
            <v>4.5999999999999996</v>
          </cell>
          <cell r="L819">
            <v>4.4000000000000004</v>
          </cell>
          <cell r="M819">
            <v>5.2</v>
          </cell>
        </row>
        <row r="820">
          <cell r="C820" t="str">
            <v>Đông Xuyên MBA T1 (phía 110kV)</v>
          </cell>
          <cell r="D820">
            <v>131</v>
          </cell>
          <cell r="E820">
            <v>1.3</v>
          </cell>
          <cell r="F820">
            <v>3.6</v>
          </cell>
          <cell r="G820">
            <v>3.5</v>
          </cell>
          <cell r="H820">
            <v>3.6</v>
          </cell>
          <cell r="I820">
            <v>3</v>
          </cell>
          <cell r="J820">
            <v>1.3</v>
          </cell>
          <cell r="K820">
            <v>3.4</v>
          </cell>
          <cell r="L820">
            <v>3.4</v>
          </cell>
          <cell r="M820">
            <v>3.2</v>
          </cell>
        </row>
        <row r="821">
          <cell r="C821" t="str">
            <v>Đông Xuyên MBA T2 (phía 110kV)</v>
          </cell>
          <cell r="D821">
            <v>132</v>
          </cell>
          <cell r="E821">
            <v>1.6</v>
          </cell>
          <cell r="F821">
            <v>5.5</v>
          </cell>
          <cell r="G821">
            <v>4.8</v>
          </cell>
          <cell r="H821">
            <v>5.2</v>
          </cell>
          <cell r="I821">
            <v>4.5999999999999996</v>
          </cell>
          <cell r="J821">
            <v>1.6</v>
          </cell>
          <cell r="K821">
            <v>5.4</v>
          </cell>
          <cell r="L821">
            <v>5.5</v>
          </cell>
          <cell r="M821">
            <v>4.9000000000000004</v>
          </cell>
        </row>
        <row r="822">
          <cell r="C822" t="str">
            <v>110kV 171 Đông Xuyên - 180 Vũng Tàu 2</v>
          </cell>
          <cell r="D822">
            <v>171</v>
          </cell>
          <cell r="E822">
            <v>-8.6999999999999993</v>
          </cell>
          <cell r="F822">
            <v>-17.100000000000001</v>
          </cell>
          <cell r="G822">
            <v>-16.399999999999999</v>
          </cell>
          <cell r="H822">
            <v>-17.100000000000001</v>
          </cell>
          <cell r="I822">
            <v>-16.2</v>
          </cell>
          <cell r="J822">
            <v>-8.6999999999999993</v>
          </cell>
          <cell r="K822">
            <v>-16.100000000000001</v>
          </cell>
          <cell r="L822">
            <v>-15</v>
          </cell>
          <cell r="M822">
            <v>-13.9</v>
          </cell>
        </row>
        <row r="823">
          <cell r="C823" t="str">
            <v>110kV 172 Đông Xuyên - 171 Vũng Tàu</v>
          </cell>
          <cell r="D823">
            <v>172</v>
          </cell>
          <cell r="E823">
            <v>3.7</v>
          </cell>
          <cell r="F823">
            <v>7.2</v>
          </cell>
          <cell r="G823">
            <v>7.2</v>
          </cell>
          <cell r="H823">
            <v>6.6</v>
          </cell>
          <cell r="I823">
            <v>6.3</v>
          </cell>
          <cell r="J823">
            <v>3.7</v>
          </cell>
          <cell r="K823">
            <v>5.9</v>
          </cell>
          <cell r="L823">
            <v>5.0999999999999996</v>
          </cell>
          <cell r="M823">
            <v>5.7</v>
          </cell>
        </row>
        <row r="824">
          <cell r="C824" t="str">
            <v>Đông Xuyên MBA T1 (phía 22kV)</v>
          </cell>
          <cell r="D824">
            <v>431</v>
          </cell>
          <cell r="E824">
            <v>-1.1000000000000001</v>
          </cell>
          <cell r="F824">
            <v>-3.2</v>
          </cell>
          <cell r="G824">
            <v>-3.1</v>
          </cell>
          <cell r="H824">
            <v>-3.2</v>
          </cell>
          <cell r="I824">
            <v>-2.5</v>
          </cell>
          <cell r="J824">
            <v>-1.1000000000000001</v>
          </cell>
          <cell r="K824">
            <v>-3</v>
          </cell>
          <cell r="L824">
            <v>-3.1</v>
          </cell>
          <cell r="M824">
            <v>-2.9</v>
          </cell>
        </row>
        <row r="825">
          <cell r="C825" t="str">
            <v>Đông Xuyên MBA T2 (phía 22kV)</v>
          </cell>
          <cell r="D825">
            <v>432</v>
          </cell>
          <cell r="E825">
            <v>1.8</v>
          </cell>
          <cell r="F825">
            <v>-4.2</v>
          </cell>
          <cell r="G825">
            <v>-3.5</v>
          </cell>
          <cell r="H825">
            <v>-3.8</v>
          </cell>
          <cell r="I825">
            <v>-3.4</v>
          </cell>
          <cell r="J825">
            <v>1.8</v>
          </cell>
          <cell r="K825">
            <v>-4.2</v>
          </cell>
          <cell r="L825">
            <v>-4.2</v>
          </cell>
          <cell r="M825">
            <v>-3.8</v>
          </cell>
        </row>
        <row r="826">
          <cell r="C826" t="str">
            <v>Đức Hòa MBA T1 (phía 110kV)</v>
          </cell>
          <cell r="D826">
            <v>131</v>
          </cell>
          <cell r="E826">
            <v>5.3</v>
          </cell>
          <cell r="F826">
            <v>-6.4</v>
          </cell>
          <cell r="G826">
            <v>5.3</v>
          </cell>
          <cell r="H826">
            <v>5.4</v>
          </cell>
          <cell r="I826">
            <v>-5.7</v>
          </cell>
          <cell r="J826">
            <v>-6.4</v>
          </cell>
          <cell r="K826">
            <v>-5.9</v>
          </cell>
          <cell r="L826">
            <v>-6</v>
          </cell>
          <cell r="M826">
            <v>-6</v>
          </cell>
        </row>
        <row r="827">
          <cell r="C827" t="str">
            <v>Đức Hòa MBA T2 (phía 110kV)</v>
          </cell>
          <cell r="D827">
            <v>132</v>
          </cell>
          <cell r="E827">
            <v>-4.4000000000000004</v>
          </cell>
          <cell r="F827">
            <v>7.1</v>
          </cell>
          <cell r="G827">
            <v>7.1</v>
          </cell>
          <cell r="H827">
            <v>-4.4000000000000004</v>
          </cell>
          <cell r="I827">
            <v>5.3</v>
          </cell>
          <cell r="J827">
            <v>-5.3</v>
          </cell>
          <cell r="K827">
            <v>5.2</v>
          </cell>
          <cell r="L827">
            <v>5.8</v>
          </cell>
          <cell r="M827">
            <v>5.3</v>
          </cell>
        </row>
        <row r="828">
          <cell r="C828" t="str">
            <v>110kV 171 Đức Hòa - 172 Đức Lập</v>
          </cell>
          <cell r="D828">
            <v>171</v>
          </cell>
          <cell r="E828">
            <v>-5.3</v>
          </cell>
          <cell r="F828">
            <v>6.2</v>
          </cell>
          <cell r="G828">
            <v>-5.3</v>
          </cell>
          <cell r="H828">
            <v>-5.4</v>
          </cell>
          <cell r="I828">
            <v>5.6</v>
          </cell>
          <cell r="J828">
            <v>6.2</v>
          </cell>
          <cell r="K828">
            <v>5.7</v>
          </cell>
          <cell r="L828">
            <v>5.7</v>
          </cell>
          <cell r="M828">
            <v>5.9</v>
          </cell>
        </row>
        <row r="829">
          <cell r="C829" t="str">
            <v>110kV 172 Đức Hòa - 179 Phú Lâm</v>
          </cell>
          <cell r="D829">
            <v>172</v>
          </cell>
          <cell r="E829">
            <v>4.4000000000000004</v>
          </cell>
          <cell r="F829">
            <v>-7.1</v>
          </cell>
          <cell r="G829">
            <v>-7.1</v>
          </cell>
          <cell r="H829">
            <v>4.4000000000000004</v>
          </cell>
          <cell r="I829">
            <v>-5.2</v>
          </cell>
          <cell r="J829">
            <v>5.4</v>
          </cell>
          <cell r="K829">
            <v>5.0999999999999996</v>
          </cell>
          <cell r="L829">
            <v>-5.8</v>
          </cell>
          <cell r="M829">
            <v>-5.2</v>
          </cell>
        </row>
        <row r="830">
          <cell r="C830" t="str">
            <v>Đức Hòa MBA T1 (phía 22kV)</v>
          </cell>
          <cell r="D830">
            <v>431</v>
          </cell>
          <cell r="E830">
            <v>6.4</v>
          </cell>
          <cell r="F830">
            <v>9</v>
          </cell>
          <cell r="G830">
            <v>6.5</v>
          </cell>
          <cell r="H830">
            <v>6.4</v>
          </cell>
          <cell r="I830">
            <v>7.7</v>
          </cell>
          <cell r="J830">
            <v>7.5</v>
          </cell>
          <cell r="K830">
            <v>9</v>
          </cell>
          <cell r="L830">
            <v>8.1999999999999993</v>
          </cell>
          <cell r="M830">
            <v>8.4</v>
          </cell>
        </row>
        <row r="831">
          <cell r="C831" t="str">
            <v>Đức Hòa MBA T2 (phía 22kV)</v>
          </cell>
          <cell r="D831">
            <v>432</v>
          </cell>
          <cell r="E831">
            <v>5.2</v>
          </cell>
          <cell r="F831">
            <v>7.3</v>
          </cell>
          <cell r="G831">
            <v>5.2</v>
          </cell>
          <cell r="H831">
            <v>7.3</v>
          </cell>
          <cell r="I831">
            <v>5.4</v>
          </cell>
          <cell r="J831">
            <v>6.4</v>
          </cell>
          <cell r="K831">
            <v>6</v>
          </cell>
          <cell r="L831">
            <v>6.1</v>
          </cell>
          <cell r="M831">
            <v>6.8</v>
          </cell>
        </row>
        <row r="832">
          <cell r="C832" t="str">
            <v>Đức Hòa 2 MBA AT1 (phía 110KV)</v>
          </cell>
          <cell r="D832">
            <v>131</v>
          </cell>
          <cell r="E832">
            <v>-15.5</v>
          </cell>
          <cell r="F832">
            <v>-48</v>
          </cell>
          <cell r="G832">
            <v>-44</v>
          </cell>
          <cell r="H832">
            <v>-48</v>
          </cell>
          <cell r="I832">
            <v>-44.5</v>
          </cell>
          <cell r="J832">
            <v>-15.5</v>
          </cell>
          <cell r="K832">
            <v>-42.1</v>
          </cell>
          <cell r="L832">
            <v>-42.3</v>
          </cell>
          <cell r="M832">
            <v>-40.9</v>
          </cell>
        </row>
        <row r="833">
          <cell r="C833" t="str">
            <v>Đức Hòa 2 MBA AT2 (phía 110KV)</v>
          </cell>
          <cell r="D833">
            <v>132</v>
          </cell>
          <cell r="E833">
            <v>-17.899999999999999</v>
          </cell>
          <cell r="F833">
            <v>-50.2</v>
          </cell>
          <cell r="G833">
            <v>-48.5</v>
          </cell>
          <cell r="H833">
            <v>-50.2</v>
          </cell>
          <cell r="I833">
            <v>-46.4</v>
          </cell>
          <cell r="J833">
            <v>-17.899999999999999</v>
          </cell>
          <cell r="K833">
            <v>-44.4</v>
          </cell>
          <cell r="L833">
            <v>-45.1</v>
          </cell>
          <cell r="M833">
            <v>-44</v>
          </cell>
        </row>
        <row r="834">
          <cell r="C834" t="str">
            <v>Đức Hòa 2 MBA T4 (phía 110KV)</v>
          </cell>
          <cell r="D834">
            <v>134</v>
          </cell>
          <cell r="E834">
            <v>-1.5</v>
          </cell>
          <cell r="F834">
            <v>5</v>
          </cell>
          <cell r="G834">
            <v>4.9000000000000004</v>
          </cell>
          <cell r="H834">
            <v>5</v>
          </cell>
          <cell r="I834">
            <v>4.7</v>
          </cell>
          <cell r="J834">
            <v>-1.5</v>
          </cell>
          <cell r="K834">
            <v>4.8</v>
          </cell>
          <cell r="L834">
            <v>5</v>
          </cell>
          <cell r="M834">
            <v>5</v>
          </cell>
        </row>
        <row r="835">
          <cell r="C835" t="str">
            <v>110kV 175 Đức Hòa 2 - 171 Đức Lập</v>
          </cell>
          <cell r="D835">
            <v>175</v>
          </cell>
          <cell r="E835">
            <v>-13.5</v>
          </cell>
          <cell r="F835">
            <v>-20.8</v>
          </cell>
          <cell r="G835">
            <v>15.9</v>
          </cell>
          <cell r="H835">
            <v>-15</v>
          </cell>
          <cell r="I835">
            <v>-13.5</v>
          </cell>
          <cell r="J835">
            <v>-20.8</v>
          </cell>
          <cell r="K835">
            <v>-16.899999999999999</v>
          </cell>
          <cell r="L835">
            <v>-14.8</v>
          </cell>
          <cell r="M835">
            <v>17.100000000000001</v>
          </cell>
        </row>
        <row r="836">
          <cell r="C836" t="str">
            <v>110kV 176 Đức Hòa 2 - 171 Le Long</v>
          </cell>
          <cell r="D836">
            <v>176</v>
          </cell>
          <cell r="E836">
            <v>12.6</v>
          </cell>
          <cell r="F836">
            <v>16.899999999999999</v>
          </cell>
          <cell r="G836">
            <v>12.6</v>
          </cell>
          <cell r="H836">
            <v>16.899999999999999</v>
          </cell>
          <cell r="I836">
            <v>15.3</v>
          </cell>
          <cell r="J836">
            <v>-16.600000000000001</v>
          </cell>
          <cell r="K836">
            <v>14.1</v>
          </cell>
          <cell r="L836">
            <v>15.6</v>
          </cell>
          <cell r="M836">
            <v>14.3</v>
          </cell>
        </row>
        <row r="837">
          <cell r="C837" t="str">
            <v>110kV 177 Đức Hòa 2 - 171 NMĐ MT TTC1</v>
          </cell>
          <cell r="D837">
            <v>177</v>
          </cell>
          <cell r="E837">
            <v>30.8</v>
          </cell>
          <cell r="F837">
            <v>45.7</v>
          </cell>
          <cell r="G837">
            <v>39.5</v>
          </cell>
          <cell r="H837">
            <v>45.7</v>
          </cell>
          <cell r="I837">
            <v>36.9</v>
          </cell>
          <cell r="J837">
            <v>30.8</v>
          </cell>
          <cell r="K837">
            <v>36.200000000000003</v>
          </cell>
          <cell r="L837">
            <v>37.4</v>
          </cell>
          <cell r="M837">
            <v>37.1</v>
          </cell>
        </row>
        <row r="838">
          <cell r="C838" t="str">
            <v>110kV 178 Đức Hòa 2 - 172 Đức Huệ</v>
          </cell>
          <cell r="D838">
            <v>178</v>
          </cell>
          <cell r="E838">
            <v>22.3</v>
          </cell>
          <cell r="F838">
            <v>30.3</v>
          </cell>
          <cell r="G838">
            <v>28.2</v>
          </cell>
          <cell r="H838">
            <v>30.3</v>
          </cell>
          <cell r="I838">
            <v>24.9</v>
          </cell>
          <cell r="J838">
            <v>22.3</v>
          </cell>
          <cell r="K838">
            <v>27.6</v>
          </cell>
          <cell r="L838">
            <v>25.3</v>
          </cell>
          <cell r="M838">
            <v>26.5</v>
          </cell>
        </row>
        <row r="839">
          <cell r="C839" t="str">
            <v>Đức Hòa 2 MBA AT1 (phía 220kV)</v>
          </cell>
          <cell r="D839">
            <v>231</v>
          </cell>
          <cell r="E839">
            <v>17.2</v>
          </cell>
          <cell r="F839">
            <v>55.6</v>
          </cell>
          <cell r="G839">
            <v>52.1</v>
          </cell>
          <cell r="H839">
            <v>55.6</v>
          </cell>
          <cell r="I839">
            <v>50.9</v>
          </cell>
          <cell r="J839">
            <v>17.2</v>
          </cell>
          <cell r="K839">
            <v>48.8</v>
          </cell>
          <cell r="L839">
            <v>52.6</v>
          </cell>
          <cell r="M839">
            <v>49.8</v>
          </cell>
        </row>
        <row r="840">
          <cell r="C840" t="str">
            <v>Đức Hòa 2 MBA AT2 (phía 220KV)</v>
          </cell>
          <cell r="D840">
            <v>232</v>
          </cell>
          <cell r="E840">
            <v>17.399999999999999</v>
          </cell>
          <cell r="F840">
            <v>52.3</v>
          </cell>
          <cell r="G840">
            <v>48.9</v>
          </cell>
          <cell r="H840">
            <v>52.3</v>
          </cell>
          <cell r="I840">
            <v>45.5</v>
          </cell>
          <cell r="J840">
            <v>17.399999999999999</v>
          </cell>
          <cell r="K840">
            <v>49.3</v>
          </cell>
          <cell r="L840">
            <v>49.9</v>
          </cell>
          <cell r="M840">
            <v>47.5</v>
          </cell>
        </row>
        <row r="841">
          <cell r="C841" t="str">
            <v>220kV 275 Đức Hòa 2 - 277 Cầu Bông</v>
          </cell>
          <cell r="D841">
            <v>275</v>
          </cell>
          <cell r="E841">
            <v>-17.5</v>
          </cell>
          <cell r="F841">
            <v>-55</v>
          </cell>
          <cell r="G841">
            <v>-51.3</v>
          </cell>
          <cell r="H841">
            <v>-55</v>
          </cell>
          <cell r="I841">
            <v>-47.6</v>
          </cell>
          <cell r="J841">
            <v>-17.5</v>
          </cell>
          <cell r="K841">
            <v>-48.3</v>
          </cell>
          <cell r="L841">
            <v>-52.1</v>
          </cell>
          <cell r="M841">
            <v>-49.3</v>
          </cell>
        </row>
        <row r="842">
          <cell r="C842" t="str">
            <v>220kV 276 Đức Hòa 2 - 278 Cầu Bông</v>
          </cell>
          <cell r="D842">
            <v>276</v>
          </cell>
          <cell r="E842">
            <v>-26</v>
          </cell>
          <cell r="F842">
            <v>-55.7</v>
          </cell>
          <cell r="G842">
            <v>-53</v>
          </cell>
          <cell r="H842">
            <v>-55.7</v>
          </cell>
          <cell r="I842">
            <v>-51.5</v>
          </cell>
          <cell r="J842">
            <v>-26</v>
          </cell>
          <cell r="K842">
            <v>-49.7</v>
          </cell>
          <cell r="L842">
            <v>-53.2</v>
          </cell>
          <cell r="M842">
            <v>-51.1</v>
          </cell>
        </row>
        <row r="843">
          <cell r="C843" t="str">
            <v>Đức Hòa 2 MBA T4 (phía 22KV)</v>
          </cell>
          <cell r="D843">
            <v>434</v>
          </cell>
          <cell r="E843">
            <v>-2.1</v>
          </cell>
          <cell r="F843">
            <v>3.5</v>
          </cell>
          <cell r="G843">
            <v>-2.7</v>
          </cell>
          <cell r="H843">
            <v>-2.4</v>
          </cell>
          <cell r="I843">
            <v>-3</v>
          </cell>
          <cell r="J843">
            <v>3.5</v>
          </cell>
          <cell r="K843">
            <v>2.9</v>
          </cell>
          <cell r="L843">
            <v>-2.7</v>
          </cell>
          <cell r="M843">
            <v>-2.1</v>
          </cell>
        </row>
        <row r="844">
          <cell r="C844" t="str">
            <v>Đức Huệ MBA T1 (phía 110kV)</v>
          </cell>
          <cell r="D844">
            <v>131</v>
          </cell>
          <cell r="E844">
            <v>4.4000000000000004</v>
          </cell>
          <cell r="F844">
            <v>-8.6</v>
          </cell>
          <cell r="G844">
            <v>-6.8</v>
          </cell>
          <cell r="H844">
            <v>-6.2</v>
          </cell>
          <cell r="I844">
            <v>-6.3</v>
          </cell>
          <cell r="J844">
            <v>4.4000000000000004</v>
          </cell>
          <cell r="K844">
            <v>-8.1999999999999993</v>
          </cell>
          <cell r="L844">
            <v>-6.9</v>
          </cell>
          <cell r="M844">
            <v>-8.6</v>
          </cell>
        </row>
        <row r="845">
          <cell r="C845" t="str">
            <v>110kV 171 Đức Huệ - 174 Trảng Bàng 2</v>
          </cell>
          <cell r="D845">
            <v>171</v>
          </cell>
          <cell r="E845">
            <v>21.6</v>
          </cell>
          <cell r="F845">
            <v>32.1</v>
          </cell>
          <cell r="G845">
            <v>24</v>
          </cell>
          <cell r="H845">
            <v>32.1</v>
          </cell>
          <cell r="I845">
            <v>25.1</v>
          </cell>
          <cell r="J845">
            <v>21.6</v>
          </cell>
          <cell r="K845">
            <v>24.3</v>
          </cell>
          <cell r="L845">
            <v>28.6</v>
          </cell>
          <cell r="M845">
            <v>28.6</v>
          </cell>
        </row>
        <row r="846">
          <cell r="C846" t="str">
            <v>110kV 172 Đức Huệ - 178 Đức Hòa 2</v>
          </cell>
          <cell r="D846">
            <v>172</v>
          </cell>
          <cell r="E846">
            <v>-22.6</v>
          </cell>
          <cell r="F846">
            <v>-30.7</v>
          </cell>
          <cell r="G846">
            <v>-28.4</v>
          </cell>
          <cell r="H846">
            <v>-30.7</v>
          </cell>
          <cell r="I846">
            <v>-26.5</v>
          </cell>
          <cell r="J846">
            <v>-22.6</v>
          </cell>
          <cell r="K846">
            <v>-28</v>
          </cell>
          <cell r="L846">
            <v>-26.1</v>
          </cell>
          <cell r="M846">
            <v>-27</v>
          </cell>
        </row>
        <row r="847">
          <cell r="C847" t="str">
            <v xml:space="preserve">110 kV 173 Đức Huệ - 131 NMĐ MT Europlast </v>
          </cell>
          <cell r="D847">
            <v>173</v>
          </cell>
          <cell r="E847">
            <v>0.9</v>
          </cell>
          <cell r="F847">
            <v>5.8</v>
          </cell>
          <cell r="G847">
            <v>2.9</v>
          </cell>
          <cell r="H847">
            <v>3.3</v>
          </cell>
          <cell r="I847">
            <v>5.8</v>
          </cell>
          <cell r="J847">
            <v>5.6</v>
          </cell>
          <cell r="K847">
            <v>5.7</v>
          </cell>
          <cell r="L847">
            <v>3.6</v>
          </cell>
          <cell r="M847">
            <v>0.9</v>
          </cell>
        </row>
        <row r="848">
          <cell r="C848" t="str">
            <v>110kV 175 Đức Huệ - 171 NMĐ MT TTC Đức Huệ 1</v>
          </cell>
          <cell r="D848">
            <v>175</v>
          </cell>
          <cell r="E848">
            <v>0.8</v>
          </cell>
          <cell r="F848">
            <v>5.5</v>
          </cell>
          <cell r="G848">
            <v>3.1</v>
          </cell>
          <cell r="H848">
            <v>2.8</v>
          </cell>
          <cell r="I848">
            <v>4.9000000000000004</v>
          </cell>
          <cell r="J848">
            <v>5.5</v>
          </cell>
          <cell r="K848">
            <v>3.8</v>
          </cell>
          <cell r="L848">
            <v>2.5</v>
          </cell>
          <cell r="M848">
            <v>0.8</v>
          </cell>
        </row>
        <row r="849">
          <cell r="C849" t="str">
            <v>Đức Huệ MBA T1 (phía 22kV)</v>
          </cell>
          <cell r="D849">
            <v>431</v>
          </cell>
          <cell r="E849">
            <v>4.0999999999999996</v>
          </cell>
          <cell r="F849">
            <v>11.2</v>
          </cell>
          <cell r="G849">
            <v>9.6999999999999993</v>
          </cell>
          <cell r="H849">
            <v>9.6</v>
          </cell>
          <cell r="I849">
            <v>9.3000000000000007</v>
          </cell>
          <cell r="J849">
            <v>4.0999999999999996</v>
          </cell>
          <cell r="K849">
            <v>10.9</v>
          </cell>
          <cell r="L849">
            <v>9.8000000000000007</v>
          </cell>
          <cell r="M849">
            <v>11.2</v>
          </cell>
        </row>
        <row r="850">
          <cell r="C850" t="str">
            <v>Đức Lập MBA T1 (phía 110kV)</v>
          </cell>
          <cell r="D850">
            <v>131</v>
          </cell>
          <cell r="E850">
            <v>-5.3</v>
          </cell>
          <cell r="F850">
            <v>-10</v>
          </cell>
          <cell r="G850">
            <v>-6.2</v>
          </cell>
          <cell r="H850">
            <v>6.5</v>
          </cell>
          <cell r="I850">
            <v>6.2</v>
          </cell>
          <cell r="J850">
            <v>-10</v>
          </cell>
          <cell r="K850">
            <v>-9.6</v>
          </cell>
          <cell r="L850">
            <v>-5.3</v>
          </cell>
          <cell r="M850">
            <v>6.8</v>
          </cell>
        </row>
        <row r="851">
          <cell r="C851" t="str">
            <v>Đức Lập MBA T2 (phía 110kV)</v>
          </cell>
          <cell r="D851">
            <v>132</v>
          </cell>
          <cell r="E851">
            <v>-7.3</v>
          </cell>
          <cell r="F851">
            <v>-10</v>
          </cell>
          <cell r="G851">
            <v>-8.6</v>
          </cell>
          <cell r="H851">
            <v>-10</v>
          </cell>
          <cell r="I851">
            <v>-8.6</v>
          </cell>
          <cell r="J851">
            <v>-7.3</v>
          </cell>
          <cell r="K851">
            <v>-7.4</v>
          </cell>
          <cell r="L851">
            <v>-8.1999999999999993</v>
          </cell>
          <cell r="M851">
            <v>-7.4</v>
          </cell>
        </row>
        <row r="852">
          <cell r="C852" t="str">
            <v>110kV 171 Đức Lập - 175 Đức Hòa 2</v>
          </cell>
          <cell r="D852">
            <v>171</v>
          </cell>
          <cell r="E852">
            <v>-14.4</v>
          </cell>
          <cell r="F852">
            <v>21.7</v>
          </cell>
          <cell r="G852">
            <v>-14.4</v>
          </cell>
          <cell r="H852">
            <v>17.100000000000001</v>
          </cell>
          <cell r="I852">
            <v>15.2</v>
          </cell>
          <cell r="J852">
            <v>21.7</v>
          </cell>
          <cell r="K852">
            <v>17.8</v>
          </cell>
          <cell r="L852">
            <v>16</v>
          </cell>
          <cell r="M852">
            <v>-18.100000000000001</v>
          </cell>
        </row>
        <row r="853">
          <cell r="C853" t="str">
            <v>110kV 172 Đức Lập - 171 Đức Hòa</v>
          </cell>
          <cell r="D853">
            <v>172</v>
          </cell>
          <cell r="E853">
            <v>5.3</v>
          </cell>
          <cell r="F853">
            <v>-6.5</v>
          </cell>
          <cell r="G853">
            <v>5.3</v>
          </cell>
          <cell r="H853">
            <v>5.4</v>
          </cell>
          <cell r="I853">
            <v>-5.7</v>
          </cell>
          <cell r="J853">
            <v>-6.5</v>
          </cell>
          <cell r="K853">
            <v>-5.5</v>
          </cell>
          <cell r="L853">
            <v>-6.1</v>
          </cell>
          <cell r="M853">
            <v>-6.2</v>
          </cell>
        </row>
        <row r="854">
          <cell r="C854" t="str">
            <v>Đức Lập MBA T1 (phía 22kV)</v>
          </cell>
          <cell r="D854">
            <v>431</v>
          </cell>
          <cell r="E854">
            <v>6.2</v>
          </cell>
          <cell r="F854">
            <v>10.5</v>
          </cell>
          <cell r="G854">
            <v>7.2</v>
          </cell>
          <cell r="H854">
            <v>6.9</v>
          </cell>
          <cell r="I854">
            <v>6.7</v>
          </cell>
          <cell r="J854">
            <v>10.5</v>
          </cell>
          <cell r="K854">
            <v>10.5</v>
          </cell>
          <cell r="L854">
            <v>6.4</v>
          </cell>
          <cell r="M854">
            <v>6.2</v>
          </cell>
        </row>
        <row r="855">
          <cell r="C855" t="str">
            <v>Đức Lập MBA T2 (phía 22kV)</v>
          </cell>
          <cell r="D855">
            <v>432</v>
          </cell>
          <cell r="E855">
            <v>8.1</v>
          </cell>
          <cell r="F855">
            <v>11.5</v>
          </cell>
          <cell r="G855">
            <v>10.5</v>
          </cell>
          <cell r="H855">
            <v>11.5</v>
          </cell>
          <cell r="I855">
            <v>10.3</v>
          </cell>
          <cell r="J855">
            <v>8.1</v>
          </cell>
          <cell r="K855">
            <v>9.6</v>
          </cell>
          <cell r="L855">
            <v>9.6999999999999993</v>
          </cell>
          <cell r="M855">
            <v>9.5</v>
          </cell>
        </row>
        <row r="856">
          <cell r="C856" t="str">
            <v>Đức Linh MBA T1 (phía 110kV)</v>
          </cell>
          <cell r="D856">
            <v>131</v>
          </cell>
          <cell r="E856">
            <v>-1.6</v>
          </cell>
          <cell r="F856">
            <v>3.5</v>
          </cell>
          <cell r="G856">
            <v>1.6</v>
          </cell>
          <cell r="H856">
            <v>3.5</v>
          </cell>
          <cell r="I856">
            <v>-1.6</v>
          </cell>
          <cell r="J856">
            <v>2.2999999999999998</v>
          </cell>
          <cell r="K856">
            <v>1.9</v>
          </cell>
          <cell r="L856">
            <v>2.5</v>
          </cell>
          <cell r="M856">
            <v>-2.2000000000000002</v>
          </cell>
        </row>
        <row r="857">
          <cell r="C857" t="str">
            <v>Đức Linh MBA T2 (phía 110kV)</v>
          </cell>
          <cell r="D857">
            <v>132</v>
          </cell>
          <cell r="E857">
            <v>-1.9</v>
          </cell>
          <cell r="F857">
            <v>3.1</v>
          </cell>
          <cell r="G857">
            <v>-1.9</v>
          </cell>
          <cell r="H857">
            <v>3.1</v>
          </cell>
          <cell r="I857">
            <v>-2.1</v>
          </cell>
          <cell r="J857">
            <v>-1.9</v>
          </cell>
          <cell r="K857">
            <v>-2.4</v>
          </cell>
          <cell r="L857">
            <v>-2.2000000000000002</v>
          </cell>
          <cell r="M857">
            <v>2.1</v>
          </cell>
        </row>
        <row r="858">
          <cell r="C858" t="str">
            <v>110kV 171 Đức Linh - 172 NMĐ MT Đa Mi</v>
          </cell>
          <cell r="D858">
            <v>171</v>
          </cell>
          <cell r="E858">
            <v>3.9</v>
          </cell>
          <cell r="F858">
            <v>5.7</v>
          </cell>
          <cell r="G858">
            <v>4</v>
          </cell>
          <cell r="H858">
            <v>-4.2</v>
          </cell>
          <cell r="I858">
            <v>4.9000000000000004</v>
          </cell>
          <cell r="J858">
            <v>4.5999999999999996</v>
          </cell>
          <cell r="K858">
            <v>5.0999999999999996</v>
          </cell>
          <cell r="L858">
            <v>3.9</v>
          </cell>
          <cell r="M858">
            <v>5.7</v>
          </cell>
        </row>
        <row r="859">
          <cell r="C859" t="str">
            <v>110kV 172 Đức Linh - 172 Xuân Trường</v>
          </cell>
          <cell r="D859">
            <v>172</v>
          </cell>
          <cell r="E859">
            <v>-1.7</v>
          </cell>
          <cell r="F859">
            <v>-1.8</v>
          </cell>
          <cell r="G859">
            <v>-1.7</v>
          </cell>
          <cell r="H859">
            <v>-1.7</v>
          </cell>
          <cell r="I859">
            <v>-1.7</v>
          </cell>
          <cell r="J859">
            <v>-1.7</v>
          </cell>
          <cell r="K859">
            <v>-1.7</v>
          </cell>
          <cell r="L859">
            <v>-1.8</v>
          </cell>
          <cell r="M859">
            <v>-1.7</v>
          </cell>
        </row>
        <row r="860">
          <cell r="C860" t="str">
            <v>Đức Linh MBA T1 (phía 22kV)</v>
          </cell>
          <cell r="D860">
            <v>431</v>
          </cell>
          <cell r="E860">
            <v>-2.1</v>
          </cell>
          <cell r="F860">
            <v>3.8</v>
          </cell>
          <cell r="G860">
            <v>2.4</v>
          </cell>
          <cell r="H860">
            <v>-3</v>
          </cell>
          <cell r="I860">
            <v>2.7</v>
          </cell>
          <cell r="J860">
            <v>2.9</v>
          </cell>
          <cell r="K860">
            <v>2.6</v>
          </cell>
          <cell r="L860">
            <v>-2.1</v>
          </cell>
          <cell r="M860">
            <v>3.8</v>
          </cell>
        </row>
        <row r="861">
          <cell r="C861" t="str">
            <v>Đức Linh MBA T2 (phía 22kV)</v>
          </cell>
          <cell r="D861">
            <v>432</v>
          </cell>
          <cell r="E861">
            <v>-2.4</v>
          </cell>
          <cell r="F861">
            <v>3.2</v>
          </cell>
          <cell r="G861">
            <v>3.1</v>
          </cell>
          <cell r="H861">
            <v>-2.4</v>
          </cell>
          <cell r="I861">
            <v>3.1</v>
          </cell>
          <cell r="J861">
            <v>3.1</v>
          </cell>
          <cell r="K861">
            <v>2.9</v>
          </cell>
          <cell r="L861">
            <v>3</v>
          </cell>
          <cell r="M861">
            <v>3.2</v>
          </cell>
        </row>
        <row r="862">
          <cell r="C862" t="str">
            <v>Đức Trọng MBA T1 (phía 110kV)</v>
          </cell>
          <cell r="D862">
            <v>131</v>
          </cell>
          <cell r="E862">
            <v>-2.7</v>
          </cell>
          <cell r="F862">
            <v>-3.3</v>
          </cell>
          <cell r="G862">
            <v>-2.7</v>
          </cell>
          <cell r="H862">
            <v>-3.1</v>
          </cell>
          <cell r="I862">
            <v>-3.1</v>
          </cell>
          <cell r="J862">
            <v>-3.2</v>
          </cell>
          <cell r="K862">
            <v>-3.3</v>
          </cell>
          <cell r="L862">
            <v>-3.1</v>
          </cell>
          <cell r="M862">
            <v>-2.9</v>
          </cell>
        </row>
        <row r="863">
          <cell r="C863" t="str">
            <v>Đức Trọng MBA T2 (phía 110kV)</v>
          </cell>
          <cell r="D863">
            <v>132</v>
          </cell>
          <cell r="E863">
            <v>-1.2</v>
          </cell>
          <cell r="F863">
            <v>1.7</v>
          </cell>
          <cell r="G863">
            <v>1.5</v>
          </cell>
          <cell r="H863">
            <v>-1.4</v>
          </cell>
          <cell r="I863">
            <v>1.3</v>
          </cell>
          <cell r="J863">
            <v>-1.3</v>
          </cell>
          <cell r="K863">
            <v>-1.2</v>
          </cell>
          <cell r="L863">
            <v>-1.2</v>
          </cell>
          <cell r="M863">
            <v>1.7</v>
          </cell>
        </row>
        <row r="864">
          <cell r="C864" t="str">
            <v>110kV 171 Đức Trọng - 171 NMĐ Đa Dâng 2</v>
          </cell>
          <cell r="D864">
            <v>171</v>
          </cell>
          <cell r="E864">
            <v>-18.600000000000001</v>
          </cell>
          <cell r="F864">
            <v>-36.5</v>
          </cell>
          <cell r="G864">
            <v>-36.5</v>
          </cell>
          <cell r="H864">
            <v>-27.5</v>
          </cell>
          <cell r="I864">
            <v>-34.9</v>
          </cell>
          <cell r="J864">
            <v>-27.8</v>
          </cell>
          <cell r="K864">
            <v>-18.600000000000001</v>
          </cell>
          <cell r="L864">
            <v>-35.200000000000003</v>
          </cell>
          <cell r="M864">
            <v>-28.1</v>
          </cell>
        </row>
        <row r="865">
          <cell r="C865" t="str">
            <v>110kV 172 Đức Trọng - 173 Đức Trọng 2</v>
          </cell>
          <cell r="D865">
            <v>172</v>
          </cell>
          <cell r="E865">
            <v>6.1</v>
          </cell>
          <cell r="F865">
            <v>17.3</v>
          </cell>
          <cell r="G865">
            <v>9</v>
          </cell>
          <cell r="H865">
            <v>7.2</v>
          </cell>
          <cell r="I865">
            <v>11.7</v>
          </cell>
          <cell r="J865">
            <v>9.8000000000000007</v>
          </cell>
          <cell r="K865">
            <v>17.3</v>
          </cell>
          <cell r="L865">
            <v>9.4</v>
          </cell>
          <cell r="M865">
            <v>6.1</v>
          </cell>
        </row>
        <row r="866">
          <cell r="C866" t="str">
            <v>110kV 173 Đức Trọng - 171 Đơn Dương</v>
          </cell>
          <cell r="D866">
            <v>173</v>
          </cell>
          <cell r="E866">
            <v>12.1</v>
          </cell>
          <cell r="F866">
            <v>27.2</v>
          </cell>
          <cell r="G866">
            <v>24.4</v>
          </cell>
          <cell r="H866">
            <v>18.600000000000001</v>
          </cell>
          <cell r="I866">
            <v>27.2</v>
          </cell>
          <cell r="J866">
            <v>21.4</v>
          </cell>
          <cell r="K866">
            <v>12.1</v>
          </cell>
          <cell r="L866">
            <v>24.6</v>
          </cell>
          <cell r="M866">
            <v>23.2</v>
          </cell>
        </row>
        <row r="867">
          <cell r="C867" t="str">
            <v>Đức Trọng MBA T1 (phía 22kV)</v>
          </cell>
          <cell r="D867">
            <v>431</v>
          </cell>
          <cell r="E867">
            <v>3.2</v>
          </cell>
          <cell r="F867">
            <v>3.7</v>
          </cell>
          <cell r="G867">
            <v>3.2</v>
          </cell>
          <cell r="H867">
            <v>3.5</v>
          </cell>
          <cell r="I867">
            <v>3.4</v>
          </cell>
          <cell r="J867">
            <v>3.5</v>
          </cell>
          <cell r="K867">
            <v>3.7</v>
          </cell>
          <cell r="L867">
            <v>3.4</v>
          </cell>
          <cell r="M867">
            <v>3.3</v>
          </cell>
        </row>
        <row r="868">
          <cell r="C868" t="str">
            <v>Đức Trọng MBA T2 (phía 22kV)</v>
          </cell>
          <cell r="D868">
            <v>432</v>
          </cell>
          <cell r="E868">
            <v>1.2</v>
          </cell>
          <cell r="F868">
            <v>1.6</v>
          </cell>
          <cell r="G868">
            <v>1.3</v>
          </cell>
          <cell r="H868">
            <v>1.6</v>
          </cell>
          <cell r="I868">
            <v>1.2</v>
          </cell>
          <cell r="J868">
            <v>1.4</v>
          </cell>
          <cell r="K868">
            <v>1.4</v>
          </cell>
          <cell r="L868">
            <v>1.4</v>
          </cell>
          <cell r="M868">
            <v>-1.3</v>
          </cell>
        </row>
        <row r="869">
          <cell r="C869" t="str">
            <v>Đức Trọng 2 MBA AT1 (phía 110kV)</v>
          </cell>
          <cell r="D869">
            <v>131</v>
          </cell>
          <cell r="E869">
            <v>0</v>
          </cell>
          <cell r="F869">
            <v>-11.2</v>
          </cell>
          <cell r="G869">
            <v>0</v>
          </cell>
          <cell r="H869">
            <v>2.9</v>
          </cell>
          <cell r="I869">
            <v>-11.2</v>
          </cell>
          <cell r="J869">
            <v>-5.0999999999999996</v>
          </cell>
          <cell r="K869">
            <v>5.6</v>
          </cell>
          <cell r="L869">
            <v>5</v>
          </cell>
          <cell r="M869">
            <v>3.3</v>
          </cell>
        </row>
        <row r="870">
          <cell r="C870" t="str">
            <v>Đức Trọng 2 MBA AT2 (phía 110kV)</v>
          </cell>
          <cell r="D870">
            <v>132</v>
          </cell>
          <cell r="E870">
            <v>0</v>
          </cell>
          <cell r="F870">
            <v>3.1</v>
          </cell>
          <cell r="G870">
            <v>2.2999999999999998</v>
          </cell>
          <cell r="H870">
            <v>3.1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</row>
        <row r="871">
          <cell r="C871" t="str">
            <v>110kV 173 Đức Trọng 2 - 172 Đức Trọng</v>
          </cell>
          <cell r="D871">
            <v>173</v>
          </cell>
          <cell r="E871">
            <v>-6.4</v>
          </cell>
          <cell r="F871">
            <v>-17.600000000000001</v>
          </cell>
          <cell r="G871">
            <v>-9.3000000000000007</v>
          </cell>
          <cell r="H871">
            <v>-7.7</v>
          </cell>
          <cell r="I871">
            <v>-12</v>
          </cell>
          <cell r="J871">
            <v>-10.199999999999999</v>
          </cell>
          <cell r="K871">
            <v>-17.600000000000001</v>
          </cell>
          <cell r="L871">
            <v>-9.6999999999999993</v>
          </cell>
          <cell r="M871">
            <v>-6.4</v>
          </cell>
        </row>
        <row r="872">
          <cell r="C872" t="str">
            <v>110kV 174 Đức Trọng 2 - 172 Đà Lạt 1</v>
          </cell>
          <cell r="D872">
            <v>174</v>
          </cell>
          <cell r="E872">
            <v>6.4</v>
          </cell>
          <cell r="F872">
            <v>21.1</v>
          </cell>
          <cell r="G872">
            <v>9.5</v>
          </cell>
          <cell r="H872">
            <v>7.8</v>
          </cell>
          <cell r="I872">
            <v>21.1</v>
          </cell>
          <cell r="J872">
            <v>13.9</v>
          </cell>
          <cell r="K872">
            <v>18</v>
          </cell>
          <cell r="L872">
            <v>9.6999999999999993</v>
          </cell>
          <cell r="M872">
            <v>6.4</v>
          </cell>
        </row>
        <row r="873">
          <cell r="C873" t="str">
            <v>110kV 176 Đức Trọng 2 - 131 Lâm Hà</v>
          </cell>
          <cell r="D873">
            <v>176</v>
          </cell>
          <cell r="E873">
            <v>-2.9</v>
          </cell>
          <cell r="F873">
            <v>-4.8</v>
          </cell>
          <cell r="G873">
            <v>-3</v>
          </cell>
          <cell r="H873">
            <v>-3.9</v>
          </cell>
          <cell r="I873">
            <v>-2.9</v>
          </cell>
          <cell r="J873">
            <v>-3.6</v>
          </cell>
          <cell r="K873">
            <v>-3</v>
          </cell>
          <cell r="L873">
            <v>-4.8</v>
          </cell>
          <cell r="M873">
            <v>-3.1</v>
          </cell>
        </row>
        <row r="874">
          <cell r="C874" t="str">
            <v>Đức Trọng 2 MBA AT1 (phía 220kV)</v>
          </cell>
          <cell r="D874">
            <v>231</v>
          </cell>
          <cell r="E874">
            <v>0</v>
          </cell>
          <cell r="F874">
            <v>11.6</v>
          </cell>
          <cell r="G874">
            <v>0</v>
          </cell>
          <cell r="H874">
            <v>-3</v>
          </cell>
          <cell r="I874">
            <v>11.6</v>
          </cell>
          <cell r="J874">
            <v>5.7</v>
          </cell>
          <cell r="K874">
            <v>-5.4</v>
          </cell>
          <cell r="L874">
            <v>-5</v>
          </cell>
          <cell r="M874">
            <v>-3.4</v>
          </cell>
        </row>
        <row r="875">
          <cell r="C875" t="str">
            <v>Đức Trọng 2 MBA AT2 (phía 220kV)</v>
          </cell>
          <cell r="D875">
            <v>232</v>
          </cell>
          <cell r="E875">
            <v>0</v>
          </cell>
          <cell r="F875">
            <v>-3.3</v>
          </cell>
          <cell r="G875">
            <v>-3</v>
          </cell>
          <cell r="H875">
            <v>-3.3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</row>
        <row r="876">
          <cell r="C876" t="str">
            <v>220kV 271 Đức Trọng 2 - 271 NMĐ Đa Nhim</v>
          </cell>
          <cell r="D876">
            <v>271</v>
          </cell>
          <cell r="E876">
            <v>22.4</v>
          </cell>
          <cell r="F876">
            <v>31.7</v>
          </cell>
          <cell r="G876">
            <v>31.6</v>
          </cell>
          <cell r="H876">
            <v>22.4</v>
          </cell>
          <cell r="I876">
            <v>31.7</v>
          </cell>
          <cell r="J876">
            <v>25.8</v>
          </cell>
          <cell r="K876">
            <v>28.6</v>
          </cell>
          <cell r="L876">
            <v>23.3</v>
          </cell>
          <cell r="M876">
            <v>25.8</v>
          </cell>
        </row>
        <row r="877">
          <cell r="C877" t="str">
            <v>220kV 272 Đức Trọng 2 - 276 Di Linh</v>
          </cell>
          <cell r="D877">
            <v>272</v>
          </cell>
          <cell r="E877">
            <v>-19</v>
          </cell>
          <cell r="F877">
            <v>-37.6</v>
          </cell>
          <cell r="G877">
            <v>-30.5</v>
          </cell>
          <cell r="H877">
            <v>-19</v>
          </cell>
          <cell r="I877">
            <v>-37.6</v>
          </cell>
          <cell r="J877">
            <v>-24.5</v>
          </cell>
          <cell r="K877">
            <v>-28.8</v>
          </cell>
          <cell r="L877">
            <v>-21</v>
          </cell>
          <cell r="M877">
            <v>-22.2</v>
          </cell>
        </row>
        <row r="878">
          <cell r="C878" t="str">
            <v>Duyên Hải MBA AT2 (phía 220kV)</v>
          </cell>
          <cell r="D878">
            <v>232</v>
          </cell>
          <cell r="E878">
            <v>17.100000000000001</v>
          </cell>
          <cell r="F878">
            <v>-60.2</v>
          </cell>
          <cell r="G878">
            <v>-55</v>
          </cell>
          <cell r="H878">
            <v>-60.2</v>
          </cell>
          <cell r="I878">
            <v>35.700000000000003</v>
          </cell>
          <cell r="J878">
            <v>38.1</v>
          </cell>
          <cell r="K878">
            <v>-32.299999999999997</v>
          </cell>
          <cell r="L878">
            <v>34.1</v>
          </cell>
          <cell r="M878">
            <v>17.100000000000001</v>
          </cell>
        </row>
        <row r="879">
          <cell r="C879" t="str">
            <v>220kV 271 Duyên Hải - 271 Mỏ Cày 2</v>
          </cell>
          <cell r="D879">
            <v>271</v>
          </cell>
          <cell r="E879">
            <v>18.100000000000001</v>
          </cell>
          <cell r="F879">
            <v>29.8</v>
          </cell>
          <cell r="G879">
            <v>28.5</v>
          </cell>
          <cell r="H879">
            <v>29.8</v>
          </cell>
          <cell r="I879">
            <v>23.7</v>
          </cell>
          <cell r="J879">
            <v>-18.8</v>
          </cell>
          <cell r="K879">
            <v>24</v>
          </cell>
          <cell r="L879">
            <v>20.6</v>
          </cell>
          <cell r="M879">
            <v>18.100000000000001</v>
          </cell>
        </row>
        <row r="880">
          <cell r="C880" t="str">
            <v>220kV 272 Duyên Hải - 272 Mỏ Cày 2</v>
          </cell>
          <cell r="D880">
            <v>272</v>
          </cell>
          <cell r="E880">
            <v>14.3</v>
          </cell>
          <cell r="F880">
            <v>-32.1</v>
          </cell>
          <cell r="G880">
            <v>23.6</v>
          </cell>
          <cell r="H880">
            <v>-32.1</v>
          </cell>
          <cell r="I880">
            <v>19.5</v>
          </cell>
          <cell r="J880">
            <v>-22.4</v>
          </cell>
          <cell r="K880">
            <v>-24.9</v>
          </cell>
          <cell r="L880">
            <v>-16.3</v>
          </cell>
          <cell r="M880">
            <v>14.3</v>
          </cell>
        </row>
        <row r="881">
          <cell r="C881" t="str">
            <v>220kV 273 Duyên Hải - 275 Trà Vinh 2</v>
          </cell>
          <cell r="D881">
            <v>273</v>
          </cell>
          <cell r="E881">
            <v>-30.8</v>
          </cell>
          <cell r="F881">
            <v>-62</v>
          </cell>
          <cell r="G881">
            <v>-50.5</v>
          </cell>
          <cell r="H881">
            <v>-62</v>
          </cell>
          <cell r="I881">
            <v>-30.8</v>
          </cell>
          <cell r="J881">
            <v>-39</v>
          </cell>
          <cell r="K881">
            <v>-42.5</v>
          </cell>
          <cell r="L881">
            <v>-42.3</v>
          </cell>
          <cell r="M881">
            <v>-37.700000000000003</v>
          </cell>
        </row>
        <row r="882">
          <cell r="C882" t="str">
            <v>220kV 274 Duyên Hải - 276 Trà Vinh 2</v>
          </cell>
          <cell r="D882">
            <v>274</v>
          </cell>
          <cell r="E882">
            <v>-25.2</v>
          </cell>
          <cell r="F882">
            <v>-53.7</v>
          </cell>
          <cell r="G882">
            <v>-44</v>
          </cell>
          <cell r="H882">
            <v>-53.7</v>
          </cell>
          <cell r="I882">
            <v>-25.2</v>
          </cell>
          <cell r="J882">
            <v>-32.799999999999997</v>
          </cell>
          <cell r="K882">
            <v>-38.1</v>
          </cell>
          <cell r="L882">
            <v>-38.4</v>
          </cell>
          <cell r="M882">
            <v>-30.9</v>
          </cell>
        </row>
        <row r="883">
          <cell r="C883" t="str">
            <v>220kV 275 Duyên Hải - 273 NMĐ MT Trung Nam Trà Vinh</v>
          </cell>
          <cell r="D883">
            <v>275</v>
          </cell>
          <cell r="E883">
            <v>8.6</v>
          </cell>
          <cell r="F883">
            <v>16.2</v>
          </cell>
          <cell r="G883">
            <v>12.4</v>
          </cell>
          <cell r="H883">
            <v>10</v>
          </cell>
          <cell r="I883">
            <v>14.9</v>
          </cell>
          <cell r="J883">
            <v>12.5</v>
          </cell>
          <cell r="K883">
            <v>8.6</v>
          </cell>
          <cell r="L883">
            <v>16.2</v>
          </cell>
          <cell r="M883">
            <v>15.1</v>
          </cell>
        </row>
        <row r="884">
          <cell r="C884" t="str">
            <v>Duyên Hải MBA AT2 (phía 500kV)</v>
          </cell>
          <cell r="D884">
            <v>532</v>
          </cell>
          <cell r="E884">
            <v>10.8</v>
          </cell>
          <cell r="F884">
            <v>60.1</v>
          </cell>
          <cell r="G884">
            <v>55</v>
          </cell>
          <cell r="H884">
            <v>60.1</v>
          </cell>
          <cell r="I884">
            <v>18.5</v>
          </cell>
          <cell r="J884">
            <v>22.7</v>
          </cell>
          <cell r="K884">
            <v>39.799999999999997</v>
          </cell>
          <cell r="L884">
            <v>27.7</v>
          </cell>
          <cell r="M884">
            <v>10.8</v>
          </cell>
        </row>
        <row r="885">
          <cell r="C885" t="str">
            <v>Duyên Trà MBA T1 (phía 110kV)</v>
          </cell>
          <cell r="D885">
            <v>131</v>
          </cell>
          <cell r="E885">
            <v>0</v>
          </cell>
          <cell r="F885">
            <v>-2.2000000000000002</v>
          </cell>
          <cell r="G885">
            <v>-2.2000000000000002</v>
          </cell>
          <cell r="H885">
            <v>1.6</v>
          </cell>
          <cell r="I885">
            <v>-1.2</v>
          </cell>
          <cell r="J885">
            <v>-1.1000000000000001</v>
          </cell>
          <cell r="K885">
            <v>-1.8</v>
          </cell>
          <cell r="L885">
            <v>-0.8</v>
          </cell>
          <cell r="M885">
            <v>0</v>
          </cell>
        </row>
        <row r="886">
          <cell r="C886" t="str">
            <v>Duyên Trà MBA T2 (phía 110kV)</v>
          </cell>
          <cell r="D886">
            <v>132</v>
          </cell>
          <cell r="E886">
            <v>-0.2</v>
          </cell>
          <cell r="F886">
            <v>-2.1</v>
          </cell>
          <cell r="G886">
            <v>-2.1</v>
          </cell>
          <cell r="H886">
            <v>1.4</v>
          </cell>
          <cell r="I886">
            <v>-0.9</v>
          </cell>
          <cell r="J886">
            <v>-0.8</v>
          </cell>
          <cell r="K886">
            <v>-1.7</v>
          </cell>
          <cell r="L886">
            <v>-0.6</v>
          </cell>
          <cell r="M886">
            <v>-0.2</v>
          </cell>
        </row>
        <row r="887">
          <cell r="C887" t="str">
            <v>Duyên Trà MBA T1 (phía 22kV)</v>
          </cell>
          <cell r="D887">
            <v>431</v>
          </cell>
          <cell r="E887">
            <v>1.9</v>
          </cell>
          <cell r="F887">
            <v>3</v>
          </cell>
          <cell r="G887">
            <v>3</v>
          </cell>
          <cell r="H887">
            <v>2.6</v>
          </cell>
          <cell r="I887">
            <v>2.2999999999999998</v>
          </cell>
          <cell r="J887">
            <v>2.6</v>
          </cell>
          <cell r="K887">
            <v>2.7</v>
          </cell>
          <cell r="L887">
            <v>2.1</v>
          </cell>
          <cell r="M887">
            <v>1.9</v>
          </cell>
        </row>
        <row r="888">
          <cell r="C888" t="str">
            <v>Duyên Trà MBA T2 (phía 22kV)</v>
          </cell>
          <cell r="D888">
            <v>432</v>
          </cell>
          <cell r="E888">
            <v>1.8</v>
          </cell>
          <cell r="F888">
            <v>2.9</v>
          </cell>
          <cell r="G888">
            <v>2.9</v>
          </cell>
          <cell r="H888">
            <v>2.5</v>
          </cell>
          <cell r="I888">
            <v>2.2000000000000002</v>
          </cell>
          <cell r="J888">
            <v>2.5</v>
          </cell>
          <cell r="K888">
            <v>2.7</v>
          </cell>
          <cell r="L888">
            <v>2.1</v>
          </cell>
          <cell r="M888">
            <v>1.8</v>
          </cell>
        </row>
        <row r="889">
          <cell r="C889" t="str">
            <v>Fuco MBA T1 (phía 110kV)</v>
          </cell>
          <cell r="D889">
            <v>131</v>
          </cell>
          <cell r="E889">
            <v>11.3</v>
          </cell>
          <cell r="F889">
            <v>16.2</v>
          </cell>
          <cell r="G889">
            <v>11.3</v>
          </cell>
          <cell r="H889">
            <v>16.2</v>
          </cell>
          <cell r="I889">
            <v>12.5</v>
          </cell>
          <cell r="J889">
            <v>15.3</v>
          </cell>
          <cell r="K889">
            <v>14.9</v>
          </cell>
          <cell r="L889">
            <v>15.2</v>
          </cell>
          <cell r="M889">
            <v>11.9</v>
          </cell>
        </row>
        <row r="890">
          <cell r="C890" t="str">
            <v>Fuco MBA T2 (phía 110kV)</v>
          </cell>
          <cell r="D890">
            <v>132</v>
          </cell>
          <cell r="E890">
            <v>-4.0999999999999996</v>
          </cell>
          <cell r="F890">
            <v>-6</v>
          </cell>
          <cell r="G890">
            <v>-5.6</v>
          </cell>
          <cell r="H890">
            <v>-4.0999999999999996</v>
          </cell>
          <cell r="I890">
            <v>-4.0999999999999996</v>
          </cell>
          <cell r="J890">
            <v>-4.2</v>
          </cell>
          <cell r="K890">
            <v>-6</v>
          </cell>
          <cell r="L890">
            <v>-5</v>
          </cell>
          <cell r="M890">
            <v>-5.5</v>
          </cell>
        </row>
        <row r="891">
          <cell r="C891" t="str">
            <v>Fuco MBA T3 (phía 110kV)</v>
          </cell>
          <cell r="D891">
            <v>133</v>
          </cell>
          <cell r="E891">
            <v>-4.8</v>
          </cell>
          <cell r="F891">
            <v>-5.9</v>
          </cell>
          <cell r="G891">
            <v>-5.0999999999999996</v>
          </cell>
          <cell r="H891">
            <v>-4.9000000000000004</v>
          </cell>
          <cell r="I891">
            <v>-5.2</v>
          </cell>
          <cell r="J891">
            <v>-5.2</v>
          </cell>
          <cell r="K891">
            <v>-5.9</v>
          </cell>
          <cell r="L891">
            <v>-4.8</v>
          </cell>
          <cell r="M891">
            <v>-5.5</v>
          </cell>
        </row>
        <row r="892">
          <cell r="C892" t="str">
            <v>110kV 171 Fuco - 171 Tân Thành</v>
          </cell>
          <cell r="D892">
            <v>171</v>
          </cell>
          <cell r="E892">
            <v>-7</v>
          </cell>
          <cell r="F892">
            <v>-12</v>
          </cell>
          <cell r="G892">
            <v>-9.1999999999999993</v>
          </cell>
          <cell r="H892">
            <v>-12</v>
          </cell>
          <cell r="I892">
            <v>-7.6</v>
          </cell>
          <cell r="J892">
            <v>-10</v>
          </cell>
          <cell r="K892">
            <v>-10.199999999999999</v>
          </cell>
          <cell r="L892">
            <v>-7</v>
          </cell>
          <cell r="M892">
            <v>-7.2</v>
          </cell>
        </row>
        <row r="893">
          <cell r="C893" t="str">
            <v>110kV 173 Fuco - 172 Posco</v>
          </cell>
          <cell r="D893">
            <v>173</v>
          </cell>
          <cell r="E893">
            <v>0</v>
          </cell>
          <cell r="F893">
            <v>5.8</v>
          </cell>
          <cell r="G893">
            <v>1.6</v>
          </cell>
          <cell r="H893">
            <v>-3.8</v>
          </cell>
          <cell r="I893">
            <v>0</v>
          </cell>
          <cell r="J893">
            <v>1.6</v>
          </cell>
          <cell r="K893">
            <v>5.8</v>
          </cell>
          <cell r="L893">
            <v>5.3</v>
          </cell>
          <cell r="M893">
            <v>5.7</v>
          </cell>
        </row>
        <row r="894">
          <cell r="C894" t="str">
            <v>Fuco MBA T1 (phía 35kV)</v>
          </cell>
          <cell r="D894">
            <v>331</v>
          </cell>
          <cell r="E894">
            <v>6</v>
          </cell>
          <cell r="F894">
            <v>21.9</v>
          </cell>
          <cell r="G894">
            <v>6</v>
          </cell>
          <cell r="H894">
            <v>21.9</v>
          </cell>
          <cell r="I894">
            <v>12.2</v>
          </cell>
          <cell r="J894">
            <v>10</v>
          </cell>
          <cell r="K894">
            <v>10.199999999999999</v>
          </cell>
          <cell r="L894">
            <v>8.4</v>
          </cell>
          <cell r="M894">
            <v>11.1</v>
          </cell>
        </row>
        <row r="895">
          <cell r="C895" t="str">
            <v>Fuco MBA T2 (phía 22kV)</v>
          </cell>
          <cell r="D895">
            <v>432</v>
          </cell>
          <cell r="E895">
            <v>4.2</v>
          </cell>
          <cell r="F895">
            <v>6.1</v>
          </cell>
          <cell r="G895">
            <v>5.8</v>
          </cell>
          <cell r="H895">
            <v>4.2</v>
          </cell>
          <cell r="I895">
            <v>4.4000000000000004</v>
          </cell>
          <cell r="J895">
            <v>4.3</v>
          </cell>
          <cell r="K895">
            <v>6.1</v>
          </cell>
          <cell r="L895">
            <v>5.2</v>
          </cell>
          <cell r="M895">
            <v>5.6</v>
          </cell>
        </row>
        <row r="896">
          <cell r="C896" t="str">
            <v>Fuco MBA T3 (phía 22kV)</v>
          </cell>
          <cell r="D896">
            <v>433</v>
          </cell>
          <cell r="E896">
            <v>4.9000000000000004</v>
          </cell>
          <cell r="F896">
            <v>6.1</v>
          </cell>
          <cell r="G896">
            <v>5.2</v>
          </cell>
          <cell r="H896">
            <v>5</v>
          </cell>
          <cell r="I896">
            <v>5.4</v>
          </cell>
          <cell r="J896">
            <v>5.3</v>
          </cell>
          <cell r="K896">
            <v>6.1</v>
          </cell>
          <cell r="L896">
            <v>4.9000000000000004</v>
          </cell>
          <cell r="M896">
            <v>5.6</v>
          </cell>
        </row>
        <row r="897">
          <cell r="C897" t="str">
            <v>Gia Lộc MBA T1 (phía 110kV)</v>
          </cell>
          <cell r="D897">
            <v>131</v>
          </cell>
          <cell r="E897">
            <v>4.5999999999999996</v>
          </cell>
          <cell r="F897">
            <v>4.8</v>
          </cell>
          <cell r="G897">
            <v>4.5999999999999996</v>
          </cell>
          <cell r="H897">
            <v>4.8</v>
          </cell>
          <cell r="I897">
            <v>4.8</v>
          </cell>
          <cell r="J897">
            <v>4.8</v>
          </cell>
          <cell r="K897">
            <v>4.8</v>
          </cell>
          <cell r="L897">
            <v>4.8</v>
          </cell>
          <cell r="M897">
            <v>4.5999999999999996</v>
          </cell>
        </row>
        <row r="898">
          <cell r="C898" t="str">
            <v>Gia Lộc MBA T2 (phía 110kV)</v>
          </cell>
          <cell r="D898">
            <v>132</v>
          </cell>
          <cell r="E898">
            <v>5.9</v>
          </cell>
          <cell r="F898">
            <v>8</v>
          </cell>
          <cell r="G898">
            <v>7.8</v>
          </cell>
          <cell r="H898">
            <v>7.8</v>
          </cell>
          <cell r="I898">
            <v>8</v>
          </cell>
          <cell r="J898">
            <v>5.9</v>
          </cell>
          <cell r="K898">
            <v>7.6</v>
          </cell>
          <cell r="L898">
            <v>7.8</v>
          </cell>
          <cell r="M898">
            <v>6.8</v>
          </cell>
        </row>
        <row r="899">
          <cell r="C899" t="str">
            <v>110kV 171 Gia Lộc - 171 Phước Đông</v>
          </cell>
          <cell r="D899">
            <v>171</v>
          </cell>
          <cell r="E899">
            <v>-10.4</v>
          </cell>
          <cell r="F899">
            <v>-12.2</v>
          </cell>
          <cell r="G899">
            <v>-12</v>
          </cell>
          <cell r="H899">
            <v>-12.1</v>
          </cell>
          <cell r="I899">
            <v>-12.2</v>
          </cell>
          <cell r="J899">
            <v>-10.4</v>
          </cell>
          <cell r="K899">
            <v>-12.1</v>
          </cell>
          <cell r="L899">
            <v>-12.2</v>
          </cell>
          <cell r="M899">
            <v>-11</v>
          </cell>
        </row>
        <row r="900">
          <cell r="C900" t="str">
            <v>110kV 172 Gia Lộc - 172 Phước Đức</v>
          </cell>
          <cell r="D900">
            <v>172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</row>
        <row r="901">
          <cell r="C901" t="str">
            <v>Gia Lộc MBA T1 (phía 22kV)</v>
          </cell>
          <cell r="D901">
            <v>431</v>
          </cell>
          <cell r="E901">
            <v>-2.7</v>
          </cell>
          <cell r="F901">
            <v>-3</v>
          </cell>
          <cell r="G901">
            <v>-2.8</v>
          </cell>
          <cell r="H901">
            <v>-3</v>
          </cell>
          <cell r="I901">
            <v>-3</v>
          </cell>
          <cell r="J901">
            <v>-3</v>
          </cell>
          <cell r="K901">
            <v>-3</v>
          </cell>
          <cell r="L901">
            <v>-3</v>
          </cell>
          <cell r="M901">
            <v>-2.7</v>
          </cell>
        </row>
        <row r="902">
          <cell r="C902" t="str">
            <v>Gia Lộc MBA T2 (phía 22kV)</v>
          </cell>
          <cell r="D902">
            <v>432</v>
          </cell>
          <cell r="E902">
            <v>-3.7</v>
          </cell>
          <cell r="F902">
            <v>-5.3</v>
          </cell>
          <cell r="G902">
            <v>-5.0999999999999996</v>
          </cell>
          <cell r="H902">
            <v>-5.0999999999999996</v>
          </cell>
          <cell r="I902">
            <v>-5.3</v>
          </cell>
          <cell r="J902">
            <v>-3.7</v>
          </cell>
          <cell r="K902">
            <v>-4.9000000000000004</v>
          </cell>
          <cell r="L902">
            <v>-5.0999999999999996</v>
          </cell>
          <cell r="M902">
            <v>-4.4000000000000004</v>
          </cell>
        </row>
        <row r="903">
          <cell r="C903" t="str">
            <v>Giá Rai MBA T1 (phía 110kV)</v>
          </cell>
          <cell r="D903">
            <v>131</v>
          </cell>
          <cell r="E903">
            <v>-1.9</v>
          </cell>
          <cell r="F903">
            <v>2.9</v>
          </cell>
          <cell r="G903">
            <v>2.9</v>
          </cell>
          <cell r="H903">
            <v>-2.1</v>
          </cell>
          <cell r="I903">
            <v>-2.2000000000000002</v>
          </cell>
          <cell r="J903">
            <v>2.5</v>
          </cell>
          <cell r="K903">
            <v>2.2999999999999998</v>
          </cell>
          <cell r="L903">
            <v>-1.9</v>
          </cell>
          <cell r="M903">
            <v>2.2000000000000002</v>
          </cell>
        </row>
        <row r="904">
          <cell r="C904" t="str">
            <v>Giá Rai MBA T2 (phía 110kV)</v>
          </cell>
          <cell r="D904">
            <v>132</v>
          </cell>
          <cell r="E904">
            <v>-1.6</v>
          </cell>
          <cell r="F904">
            <v>2.7</v>
          </cell>
          <cell r="G904">
            <v>2.7</v>
          </cell>
          <cell r="H904">
            <v>-1.8</v>
          </cell>
          <cell r="I904">
            <v>-2</v>
          </cell>
          <cell r="J904">
            <v>2.1</v>
          </cell>
          <cell r="K904">
            <v>2</v>
          </cell>
          <cell r="L904">
            <v>-1.6</v>
          </cell>
          <cell r="M904">
            <v>1.9</v>
          </cell>
        </row>
        <row r="905">
          <cell r="C905" t="str">
            <v>110kV 171 Giá Rai - 171 Cà Mau</v>
          </cell>
          <cell r="D905">
            <v>171</v>
          </cell>
          <cell r="E905">
            <v>-1.9</v>
          </cell>
          <cell r="F905">
            <v>-6.7</v>
          </cell>
          <cell r="G905">
            <v>6.4</v>
          </cell>
          <cell r="H905">
            <v>-1.9</v>
          </cell>
          <cell r="I905">
            <v>-1.9</v>
          </cell>
          <cell r="J905">
            <v>-6.7</v>
          </cell>
          <cell r="K905">
            <v>-1.9</v>
          </cell>
          <cell r="L905">
            <v>-1.9</v>
          </cell>
          <cell r="M905">
            <v>-2</v>
          </cell>
        </row>
        <row r="906">
          <cell r="C906" t="str">
            <v>110kV 172 Giá Rai - 172 Bạc Liêu 2</v>
          </cell>
          <cell r="D906">
            <v>172</v>
          </cell>
          <cell r="E906">
            <v>4.7</v>
          </cell>
          <cell r="F906">
            <v>-9.4</v>
          </cell>
          <cell r="G906">
            <v>-9.4</v>
          </cell>
          <cell r="H906">
            <v>5.6</v>
          </cell>
          <cell r="I906">
            <v>5.9</v>
          </cell>
          <cell r="J906">
            <v>8.8000000000000007</v>
          </cell>
          <cell r="K906">
            <v>4.7</v>
          </cell>
          <cell r="L906">
            <v>5.3</v>
          </cell>
          <cell r="M906">
            <v>5</v>
          </cell>
        </row>
        <row r="907">
          <cell r="C907" t="str">
            <v>Giá Rai MBA T1 (phía 22kV)</v>
          </cell>
          <cell r="D907">
            <v>431</v>
          </cell>
          <cell r="E907">
            <v>2.5</v>
          </cell>
          <cell r="F907">
            <v>3.1</v>
          </cell>
          <cell r="G907">
            <v>2.7</v>
          </cell>
          <cell r="H907">
            <v>3.1</v>
          </cell>
          <cell r="I907">
            <v>3</v>
          </cell>
          <cell r="J907">
            <v>2.5</v>
          </cell>
          <cell r="K907">
            <v>2.9</v>
          </cell>
          <cell r="L907">
            <v>2.7</v>
          </cell>
          <cell r="M907">
            <v>2.9</v>
          </cell>
        </row>
        <row r="908">
          <cell r="C908" t="str">
            <v>Giá Rai MBA T2 (phía 22kV)</v>
          </cell>
          <cell r="D908">
            <v>432</v>
          </cell>
          <cell r="E908">
            <v>2.6</v>
          </cell>
          <cell r="F908">
            <v>3.1</v>
          </cell>
          <cell r="G908">
            <v>2.8</v>
          </cell>
          <cell r="H908">
            <v>3.1</v>
          </cell>
          <cell r="I908">
            <v>3</v>
          </cell>
          <cell r="J908">
            <v>2.6</v>
          </cell>
          <cell r="K908">
            <v>2.9</v>
          </cell>
          <cell r="L908">
            <v>2.8</v>
          </cell>
          <cell r="M908">
            <v>2.9</v>
          </cell>
        </row>
        <row r="909">
          <cell r="C909" t="str">
            <v>Giao Long MBA T1 (phía 110kV)</v>
          </cell>
          <cell r="D909">
            <v>131</v>
          </cell>
          <cell r="E909">
            <v>3.4</v>
          </cell>
          <cell r="F909">
            <v>7.4</v>
          </cell>
          <cell r="G909">
            <v>3.4</v>
          </cell>
          <cell r="H909">
            <v>3.9</v>
          </cell>
          <cell r="I909">
            <v>7.4</v>
          </cell>
          <cell r="J909">
            <v>3.6</v>
          </cell>
          <cell r="K909">
            <v>4.0999999999999996</v>
          </cell>
          <cell r="L909">
            <v>4.2</v>
          </cell>
          <cell r="M909">
            <v>3.4</v>
          </cell>
        </row>
        <row r="910">
          <cell r="C910" t="str">
            <v>110kV 171 Giao Long - 176 Bến Tre 2</v>
          </cell>
          <cell r="D910">
            <v>171</v>
          </cell>
          <cell r="E910">
            <v>-1.7</v>
          </cell>
          <cell r="F910">
            <v>-3.7</v>
          </cell>
          <cell r="G910">
            <v>-1.7</v>
          </cell>
          <cell r="H910">
            <v>-1.9</v>
          </cell>
          <cell r="I910">
            <v>-3.7</v>
          </cell>
          <cell r="J910">
            <v>-1.8</v>
          </cell>
          <cell r="K910">
            <v>-2.1</v>
          </cell>
          <cell r="L910">
            <v>-2.1</v>
          </cell>
          <cell r="M910">
            <v>-1.7</v>
          </cell>
        </row>
        <row r="911">
          <cell r="C911" t="str">
            <v>110kV 172 Giao Long - 177 Bến Tre 2</v>
          </cell>
          <cell r="D911">
            <v>172</v>
          </cell>
          <cell r="E911">
            <v>-1.6</v>
          </cell>
          <cell r="F911">
            <v>-3.6</v>
          </cell>
          <cell r="G911">
            <v>-1.7</v>
          </cell>
          <cell r="H911">
            <v>-1.9</v>
          </cell>
          <cell r="I911">
            <v>-3.6</v>
          </cell>
          <cell r="J911">
            <v>-1.8</v>
          </cell>
          <cell r="K911">
            <v>-2</v>
          </cell>
          <cell r="L911">
            <v>-2</v>
          </cell>
          <cell r="M911">
            <v>-1.6</v>
          </cell>
        </row>
        <row r="912">
          <cell r="C912" t="str">
            <v>Giao Long MBA T1 (phía 22kV)</v>
          </cell>
          <cell r="D912">
            <v>431</v>
          </cell>
          <cell r="E912">
            <v>2.4</v>
          </cell>
          <cell r="F912">
            <v>-4.7</v>
          </cell>
          <cell r="G912">
            <v>2.6</v>
          </cell>
          <cell r="H912">
            <v>3.1</v>
          </cell>
          <cell r="I912">
            <v>-4.7</v>
          </cell>
          <cell r="J912">
            <v>-2.5</v>
          </cell>
          <cell r="K912">
            <v>3.3</v>
          </cell>
          <cell r="L912">
            <v>2.4</v>
          </cell>
          <cell r="M912">
            <v>2.7</v>
          </cell>
        </row>
        <row r="913">
          <cell r="C913" t="str">
            <v>Giồng Riềng MBA T1 (phía 110kV)</v>
          </cell>
          <cell r="D913">
            <v>131</v>
          </cell>
          <cell r="E913">
            <v>3</v>
          </cell>
          <cell r="F913">
            <v>4.2</v>
          </cell>
          <cell r="G913">
            <v>3.7</v>
          </cell>
          <cell r="H913">
            <v>3.5</v>
          </cell>
          <cell r="I913">
            <v>4.2</v>
          </cell>
          <cell r="J913">
            <v>3</v>
          </cell>
          <cell r="K913">
            <v>3.6</v>
          </cell>
          <cell r="L913">
            <v>3.6</v>
          </cell>
          <cell r="M913">
            <v>3.1</v>
          </cell>
        </row>
        <row r="914">
          <cell r="C914" t="str">
            <v>Giồng Riềng MBA T2 (phía 110kV)</v>
          </cell>
          <cell r="D914">
            <v>132</v>
          </cell>
          <cell r="E914">
            <v>0.5</v>
          </cell>
          <cell r="F914">
            <v>0.8</v>
          </cell>
          <cell r="G914">
            <v>0.7</v>
          </cell>
          <cell r="H914">
            <v>0.7</v>
          </cell>
          <cell r="I914">
            <v>0.6</v>
          </cell>
          <cell r="J914">
            <v>0.7</v>
          </cell>
          <cell r="K914">
            <v>0.8</v>
          </cell>
          <cell r="L914">
            <v>0.5</v>
          </cell>
          <cell r="M914">
            <v>0.5</v>
          </cell>
        </row>
        <row r="915">
          <cell r="C915" t="str">
            <v>110kV 171 Giồng Riềng - 174 Rạch Giá 2</v>
          </cell>
          <cell r="D915">
            <v>171</v>
          </cell>
          <cell r="E915">
            <v>-3.6</v>
          </cell>
          <cell r="F915">
            <v>-6.8</v>
          </cell>
          <cell r="G915">
            <v>-4.2</v>
          </cell>
          <cell r="H915">
            <v>-3.6</v>
          </cell>
          <cell r="I915">
            <v>-6.8</v>
          </cell>
          <cell r="J915">
            <v>6.5</v>
          </cell>
          <cell r="K915">
            <v>-4.0999999999999996</v>
          </cell>
          <cell r="L915">
            <v>4.8</v>
          </cell>
          <cell r="M915">
            <v>4.4000000000000004</v>
          </cell>
        </row>
        <row r="916">
          <cell r="C916" t="str">
            <v>110kV 172 Giồng Riềng - 171 Vị Thanh</v>
          </cell>
          <cell r="D916">
            <v>172</v>
          </cell>
          <cell r="E916">
            <v>-3.9</v>
          </cell>
          <cell r="F916">
            <v>-5.9</v>
          </cell>
          <cell r="G916">
            <v>-4</v>
          </cell>
          <cell r="H916">
            <v>-5</v>
          </cell>
          <cell r="I916">
            <v>-4.4000000000000004</v>
          </cell>
          <cell r="J916">
            <v>-5.9</v>
          </cell>
          <cell r="K916">
            <v>-3.9</v>
          </cell>
          <cell r="L916">
            <v>-4.4000000000000004</v>
          </cell>
          <cell r="M916">
            <v>-4.0999999999999996</v>
          </cell>
        </row>
        <row r="917">
          <cell r="C917" t="str">
            <v>110kV 174 Giồng Riềng - 131 Gò Quao</v>
          </cell>
          <cell r="D917">
            <v>174</v>
          </cell>
          <cell r="E917">
            <v>-1.5</v>
          </cell>
          <cell r="F917">
            <v>-1.6</v>
          </cell>
          <cell r="G917">
            <v>-1.5</v>
          </cell>
          <cell r="H917">
            <v>-1.5</v>
          </cell>
          <cell r="I917">
            <v>-1.6</v>
          </cell>
          <cell r="J917">
            <v>-1.5</v>
          </cell>
          <cell r="K917">
            <v>-1.5</v>
          </cell>
          <cell r="L917">
            <v>-1.6</v>
          </cell>
          <cell r="M917">
            <v>-1.5</v>
          </cell>
        </row>
        <row r="918">
          <cell r="C918" t="str">
            <v>Giồng Riềng MBA T1 (phía 22kV)</v>
          </cell>
          <cell r="D918">
            <v>431</v>
          </cell>
          <cell r="E918">
            <v>-2.4</v>
          </cell>
          <cell r="F918">
            <v>-3.3</v>
          </cell>
          <cell r="G918">
            <v>-2.8</v>
          </cell>
          <cell r="H918">
            <v>-2.9</v>
          </cell>
          <cell r="I918">
            <v>-3.3</v>
          </cell>
          <cell r="J918">
            <v>-3</v>
          </cell>
          <cell r="K918">
            <v>-2.9</v>
          </cell>
          <cell r="L918">
            <v>-2.6</v>
          </cell>
          <cell r="M918">
            <v>-2.4</v>
          </cell>
        </row>
        <row r="919">
          <cell r="C919" t="str">
            <v>Giồng Riềng MBA T2 (phía 22kV)</v>
          </cell>
          <cell r="D919">
            <v>432</v>
          </cell>
          <cell r="E919">
            <v>-0.5</v>
          </cell>
          <cell r="F919">
            <v>-0.7</v>
          </cell>
          <cell r="G919">
            <v>-0.6</v>
          </cell>
          <cell r="H919">
            <v>-0.6</v>
          </cell>
          <cell r="I919">
            <v>-0.6</v>
          </cell>
          <cell r="J919">
            <v>-0.7</v>
          </cell>
          <cell r="K919">
            <v>-0.7</v>
          </cell>
          <cell r="L919">
            <v>-0.5</v>
          </cell>
          <cell r="M919">
            <v>-0.5</v>
          </cell>
        </row>
        <row r="920">
          <cell r="C920" t="str">
            <v>Giồng Trôm MBA T1 (phía 110kV)</v>
          </cell>
          <cell r="D920">
            <v>131</v>
          </cell>
          <cell r="E920">
            <v>-1.6</v>
          </cell>
          <cell r="F920">
            <v>2.8</v>
          </cell>
          <cell r="G920">
            <v>2.2000000000000002</v>
          </cell>
          <cell r="H920">
            <v>-1.9</v>
          </cell>
          <cell r="I920">
            <v>1.7</v>
          </cell>
          <cell r="J920">
            <v>2.8</v>
          </cell>
          <cell r="K920">
            <v>-1.9</v>
          </cell>
          <cell r="L920">
            <v>2.1</v>
          </cell>
          <cell r="M920">
            <v>-1.6</v>
          </cell>
        </row>
        <row r="921">
          <cell r="C921" t="str">
            <v>110kV 171 Giồng Trôm - 171 Ba Tri</v>
          </cell>
          <cell r="D921">
            <v>171</v>
          </cell>
          <cell r="E921">
            <v>1.6</v>
          </cell>
          <cell r="F921">
            <v>2.8</v>
          </cell>
          <cell r="G921">
            <v>2.7</v>
          </cell>
          <cell r="H921">
            <v>2.8</v>
          </cell>
          <cell r="I921">
            <v>2.8</v>
          </cell>
          <cell r="J921">
            <v>1.6</v>
          </cell>
          <cell r="K921">
            <v>2.2000000000000002</v>
          </cell>
          <cell r="L921">
            <v>1.7</v>
          </cell>
          <cell r="M921">
            <v>2</v>
          </cell>
        </row>
        <row r="922">
          <cell r="C922" t="str">
            <v>110kV 172 Giồng Trôm - 175 Bến Tre 2</v>
          </cell>
          <cell r="D922">
            <v>172</v>
          </cell>
          <cell r="E922">
            <v>-3.2</v>
          </cell>
          <cell r="F922">
            <v>-6.9</v>
          </cell>
          <cell r="G922">
            <v>-6.3</v>
          </cell>
          <cell r="H922">
            <v>-4.0999999999999996</v>
          </cell>
          <cell r="I922">
            <v>-3.6</v>
          </cell>
          <cell r="J922">
            <v>-5</v>
          </cell>
          <cell r="K922">
            <v>-3.9</v>
          </cell>
          <cell r="L922">
            <v>-6.9</v>
          </cell>
          <cell r="M922">
            <v>-3.2</v>
          </cell>
        </row>
        <row r="923">
          <cell r="C923" t="str">
            <v>110kV 173 Giồng Trôm - 171 Bình Đại</v>
          </cell>
          <cell r="D923">
            <v>173</v>
          </cell>
          <cell r="E923">
            <v>2.8</v>
          </cell>
          <cell r="F923">
            <v>3.5</v>
          </cell>
          <cell r="G923">
            <v>3.1</v>
          </cell>
          <cell r="H923">
            <v>2.8</v>
          </cell>
          <cell r="I923">
            <v>3.5</v>
          </cell>
          <cell r="J923">
            <v>3.1</v>
          </cell>
          <cell r="K923">
            <v>2.9</v>
          </cell>
          <cell r="L923">
            <v>3.3</v>
          </cell>
          <cell r="M923">
            <v>3.2</v>
          </cell>
        </row>
        <row r="924">
          <cell r="C924" t="str">
            <v>Giồng Trôm MBA T1 (phía 22kV)</v>
          </cell>
          <cell r="D924">
            <v>431</v>
          </cell>
          <cell r="E924">
            <v>1.6</v>
          </cell>
          <cell r="F924">
            <v>-2.2999999999999998</v>
          </cell>
          <cell r="G924">
            <v>-1.9</v>
          </cell>
          <cell r="H924">
            <v>2.1</v>
          </cell>
          <cell r="I924">
            <v>1.6</v>
          </cell>
          <cell r="J924">
            <v>-2.2999999999999998</v>
          </cell>
          <cell r="K924">
            <v>2.2000000000000002</v>
          </cell>
          <cell r="L924">
            <v>1.9</v>
          </cell>
          <cell r="M924">
            <v>1.9</v>
          </cell>
        </row>
        <row r="925">
          <cell r="C925" t="str">
            <v>Gò Công MBA T1 (phía 110kV)</v>
          </cell>
          <cell r="D925">
            <v>131</v>
          </cell>
          <cell r="E925">
            <v>-1.9</v>
          </cell>
          <cell r="F925">
            <v>-3.4</v>
          </cell>
          <cell r="G925">
            <v>-3.4</v>
          </cell>
          <cell r="H925">
            <v>2.2999999999999998</v>
          </cell>
          <cell r="I925">
            <v>-2.8</v>
          </cell>
          <cell r="J925">
            <v>-1.9</v>
          </cell>
          <cell r="K925">
            <v>2.7</v>
          </cell>
          <cell r="L925">
            <v>2.7</v>
          </cell>
          <cell r="M925">
            <v>2.2000000000000002</v>
          </cell>
        </row>
        <row r="926">
          <cell r="C926" t="str">
            <v>Gò Công MBA T2 (phía 110kV)</v>
          </cell>
          <cell r="D926">
            <v>132</v>
          </cell>
          <cell r="E926">
            <v>2.8</v>
          </cell>
          <cell r="F926">
            <v>3.5</v>
          </cell>
          <cell r="G926">
            <v>3.4</v>
          </cell>
          <cell r="H926">
            <v>3.3</v>
          </cell>
          <cell r="I926">
            <v>3.3</v>
          </cell>
          <cell r="J926">
            <v>3.5</v>
          </cell>
          <cell r="K926">
            <v>2.8</v>
          </cell>
          <cell r="L926">
            <v>3.5</v>
          </cell>
          <cell r="M926">
            <v>3.1</v>
          </cell>
        </row>
        <row r="927">
          <cell r="C927" t="str">
            <v>110kV 171 Gò Công - 171 Gò Công Tây</v>
          </cell>
          <cell r="D927">
            <v>171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</row>
        <row r="928">
          <cell r="C928" t="str">
            <v>110kV 172 Gò Công - 172 Cần Đước</v>
          </cell>
          <cell r="D928">
            <v>172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</row>
        <row r="929">
          <cell r="C929" t="str">
            <v>Gò Công MBA T1 (phía 22kV)</v>
          </cell>
          <cell r="D929">
            <v>431</v>
          </cell>
          <cell r="E929">
            <v>2.5</v>
          </cell>
          <cell r="F929">
            <v>4.5</v>
          </cell>
          <cell r="G929">
            <v>4.3</v>
          </cell>
          <cell r="H929">
            <v>3</v>
          </cell>
          <cell r="I929">
            <v>4.4000000000000004</v>
          </cell>
          <cell r="J929">
            <v>4.0999999999999996</v>
          </cell>
          <cell r="K929">
            <v>2.6</v>
          </cell>
          <cell r="L929">
            <v>4.5</v>
          </cell>
          <cell r="M929">
            <v>2.5</v>
          </cell>
        </row>
        <row r="930">
          <cell r="C930" t="str">
            <v>Gò Công MBA T2 (phía 22kV)</v>
          </cell>
          <cell r="D930">
            <v>432</v>
          </cell>
          <cell r="E930">
            <v>1.3</v>
          </cell>
          <cell r="F930">
            <v>1.7</v>
          </cell>
          <cell r="G930">
            <v>-1.7</v>
          </cell>
          <cell r="H930">
            <v>-1.5</v>
          </cell>
          <cell r="I930">
            <v>-1.7</v>
          </cell>
          <cell r="J930">
            <v>1.7</v>
          </cell>
          <cell r="K930">
            <v>1.3</v>
          </cell>
          <cell r="L930">
            <v>-1.5</v>
          </cell>
          <cell r="M930">
            <v>1.7</v>
          </cell>
        </row>
        <row r="931">
          <cell r="C931" t="str">
            <v>Gò Công Tây MBA T1 (phía 110kV)</v>
          </cell>
          <cell r="D931">
            <v>131</v>
          </cell>
          <cell r="E931">
            <v>2</v>
          </cell>
          <cell r="F931">
            <v>2.5</v>
          </cell>
          <cell r="G931">
            <v>2</v>
          </cell>
          <cell r="H931">
            <v>2.2000000000000002</v>
          </cell>
          <cell r="I931">
            <v>2.2999999999999998</v>
          </cell>
          <cell r="J931">
            <v>2.4</v>
          </cell>
          <cell r="K931">
            <v>2</v>
          </cell>
          <cell r="L931">
            <v>2.5</v>
          </cell>
          <cell r="M931">
            <v>2.4</v>
          </cell>
        </row>
        <row r="932">
          <cell r="C932" t="str">
            <v>Gò Công Tây MBA T2 (phía 110kV)</v>
          </cell>
          <cell r="D932">
            <v>132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</row>
        <row r="933">
          <cell r="C933" t="str">
            <v>110kV 171 Gò Công Tây - 171 Gò Công</v>
          </cell>
          <cell r="D933">
            <v>171</v>
          </cell>
          <cell r="E933">
            <v>1.8</v>
          </cell>
          <cell r="F933">
            <v>2.6</v>
          </cell>
          <cell r="G933">
            <v>1.8</v>
          </cell>
          <cell r="H933">
            <v>2.1</v>
          </cell>
          <cell r="I933">
            <v>-2.1</v>
          </cell>
          <cell r="J933">
            <v>-2.2000000000000002</v>
          </cell>
          <cell r="K933">
            <v>2.1</v>
          </cell>
          <cell r="L933">
            <v>2.6</v>
          </cell>
          <cell r="M933">
            <v>-2.2000000000000002</v>
          </cell>
        </row>
        <row r="934">
          <cell r="C934" t="str">
            <v>110kV 172 Gò Công Tây - 172 Chợ Gạo</v>
          </cell>
          <cell r="D934">
            <v>172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</row>
        <row r="935">
          <cell r="C935" t="str">
            <v>Gò Công Tây MBA T1 (phía 22kV)</v>
          </cell>
          <cell r="D935">
            <v>431</v>
          </cell>
          <cell r="E935">
            <v>2.7</v>
          </cell>
          <cell r="F935">
            <v>-3.7</v>
          </cell>
          <cell r="G935">
            <v>2.7</v>
          </cell>
          <cell r="H935">
            <v>-3.4</v>
          </cell>
          <cell r="I935">
            <v>-3.4</v>
          </cell>
          <cell r="J935">
            <v>-3.4</v>
          </cell>
          <cell r="K935">
            <v>3.4</v>
          </cell>
          <cell r="L935">
            <v>-3.7</v>
          </cell>
          <cell r="M935">
            <v>-3.6</v>
          </cell>
        </row>
        <row r="936">
          <cell r="C936" t="str">
            <v>Gò Công Tây MBA T2 (phía 22kV)</v>
          </cell>
          <cell r="D936">
            <v>432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</row>
        <row r="937">
          <cell r="C937" t="str">
            <v>Gò Dầu MBA T1 (phía 110kV)</v>
          </cell>
          <cell r="D937">
            <v>131</v>
          </cell>
          <cell r="E937">
            <v>3.5</v>
          </cell>
          <cell r="F937">
            <v>4.7</v>
          </cell>
          <cell r="G937">
            <v>4.7</v>
          </cell>
          <cell r="H937">
            <v>3.7</v>
          </cell>
          <cell r="I937">
            <v>4.5999999999999996</v>
          </cell>
          <cell r="J937">
            <v>3.9</v>
          </cell>
          <cell r="K937">
            <v>4</v>
          </cell>
          <cell r="L937">
            <v>4</v>
          </cell>
          <cell r="M937">
            <v>3.5</v>
          </cell>
        </row>
        <row r="938">
          <cell r="C938" t="str">
            <v>Gò Dầu MBA T2 (phía 110kV)</v>
          </cell>
          <cell r="D938">
            <v>132</v>
          </cell>
          <cell r="E938">
            <v>2.6</v>
          </cell>
          <cell r="F938">
            <v>5.0999999999999996</v>
          </cell>
          <cell r="G938">
            <v>4.3</v>
          </cell>
          <cell r="H938">
            <v>4.9000000000000004</v>
          </cell>
          <cell r="I938">
            <v>4.5</v>
          </cell>
          <cell r="J938">
            <v>2.6</v>
          </cell>
          <cell r="K938">
            <v>5.0999999999999996</v>
          </cell>
          <cell r="L938">
            <v>5.0999999999999996</v>
          </cell>
          <cell r="M938">
            <v>4.9000000000000004</v>
          </cell>
        </row>
        <row r="939">
          <cell r="C939" t="str">
            <v>110kV 171 Gò Dầu - 171 Bình Sơn</v>
          </cell>
          <cell r="D939">
            <v>171</v>
          </cell>
          <cell r="E939">
            <v>12.9</v>
          </cell>
          <cell r="F939">
            <v>29.1</v>
          </cell>
          <cell r="G939">
            <v>29.1</v>
          </cell>
          <cell r="H939">
            <v>24.9</v>
          </cell>
          <cell r="I939">
            <v>21.1</v>
          </cell>
          <cell r="J939">
            <v>12.9</v>
          </cell>
          <cell r="K939">
            <v>22.1</v>
          </cell>
          <cell r="L939">
            <v>24.2</v>
          </cell>
          <cell r="M939">
            <v>17.3</v>
          </cell>
        </row>
        <row r="940">
          <cell r="C940" t="str">
            <v>110kV 172 Gò Dầu - 177 Mỹ Xuân 2</v>
          </cell>
          <cell r="D940">
            <v>172</v>
          </cell>
          <cell r="E940">
            <v>-17</v>
          </cell>
          <cell r="F940">
            <v>-36.799999999999997</v>
          </cell>
          <cell r="G940">
            <v>-36.799999999999997</v>
          </cell>
          <cell r="H940">
            <v>-32.200000000000003</v>
          </cell>
          <cell r="I940">
            <v>-29.6</v>
          </cell>
          <cell r="J940">
            <v>-17</v>
          </cell>
          <cell r="K940">
            <v>-30.6</v>
          </cell>
          <cell r="L940">
            <v>-31</v>
          </cell>
          <cell r="M940">
            <v>-24.7</v>
          </cell>
        </row>
        <row r="941">
          <cell r="C941" t="str">
            <v>Gò Dầu MBA T1 (phía 22kV)</v>
          </cell>
          <cell r="D941">
            <v>431</v>
          </cell>
          <cell r="E941">
            <v>-2.4</v>
          </cell>
          <cell r="F941">
            <v>-3.3</v>
          </cell>
          <cell r="G941">
            <v>-3.3</v>
          </cell>
          <cell r="H941">
            <v>-2.4</v>
          </cell>
          <cell r="I941">
            <v>-3.1</v>
          </cell>
          <cell r="J941">
            <v>-2.6</v>
          </cell>
          <cell r="K941">
            <v>-2.7</v>
          </cell>
          <cell r="L941">
            <v>-2.9</v>
          </cell>
          <cell r="M941">
            <v>-2.4</v>
          </cell>
        </row>
        <row r="942">
          <cell r="C942" t="str">
            <v>Gò Dầu MBA T2 (phía 22kV)</v>
          </cell>
          <cell r="D942">
            <v>432</v>
          </cell>
          <cell r="E942">
            <v>-2.5</v>
          </cell>
          <cell r="F942">
            <v>-3.6</v>
          </cell>
          <cell r="G942">
            <v>-2.5</v>
          </cell>
          <cell r="H942">
            <v>-3.2</v>
          </cell>
          <cell r="I942">
            <v>-2.9</v>
          </cell>
          <cell r="J942">
            <v>3</v>
          </cell>
          <cell r="K942">
            <v>-3.6</v>
          </cell>
          <cell r="L942">
            <v>-3.4</v>
          </cell>
          <cell r="M942">
            <v>-3.3</v>
          </cell>
        </row>
        <row r="943">
          <cell r="C943" t="str">
            <v>Gò Đậu MBA T1 (phía 110kV)</v>
          </cell>
          <cell r="D943">
            <v>131</v>
          </cell>
          <cell r="E943">
            <v>4.5</v>
          </cell>
          <cell r="F943">
            <v>7.8</v>
          </cell>
          <cell r="G943">
            <v>-6.4</v>
          </cell>
          <cell r="H943">
            <v>-6</v>
          </cell>
          <cell r="I943">
            <v>-6.8</v>
          </cell>
          <cell r="J943">
            <v>7.8</v>
          </cell>
          <cell r="K943">
            <v>-6.3</v>
          </cell>
          <cell r="L943">
            <v>4.5</v>
          </cell>
          <cell r="M943">
            <v>-6.4</v>
          </cell>
        </row>
        <row r="944">
          <cell r="C944" t="str">
            <v>Gò Đậu MBA T2 (phía 110kV)</v>
          </cell>
          <cell r="D944">
            <v>132</v>
          </cell>
          <cell r="E944">
            <v>4.4000000000000004</v>
          </cell>
          <cell r="F944">
            <v>6.2</v>
          </cell>
          <cell r="G944">
            <v>6</v>
          </cell>
          <cell r="H944">
            <v>5.2</v>
          </cell>
          <cell r="I944">
            <v>-6</v>
          </cell>
          <cell r="J944">
            <v>6.2</v>
          </cell>
          <cell r="K944">
            <v>5</v>
          </cell>
          <cell r="L944">
            <v>4.5</v>
          </cell>
          <cell r="M944">
            <v>4.4000000000000004</v>
          </cell>
        </row>
        <row r="945">
          <cell r="C945" t="str">
            <v>110kV 171 Gò Đậu - 172 Đông Nam - 172 Tân Quy</v>
          </cell>
          <cell r="D945">
            <v>171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</row>
        <row r="946">
          <cell r="C946" t="str">
            <v>110kV 172 Gò Đậu - 171 Hưng Định</v>
          </cell>
          <cell r="D946">
            <v>172</v>
          </cell>
          <cell r="E946">
            <v>7.1</v>
          </cell>
          <cell r="F946">
            <v>-13.2</v>
          </cell>
          <cell r="G946">
            <v>-8.3000000000000007</v>
          </cell>
          <cell r="H946">
            <v>-7.3</v>
          </cell>
          <cell r="I946">
            <v>8.8000000000000007</v>
          </cell>
          <cell r="J946">
            <v>-13.2</v>
          </cell>
          <cell r="K946">
            <v>-8.1</v>
          </cell>
          <cell r="L946">
            <v>-7.5</v>
          </cell>
          <cell r="M946">
            <v>7.1</v>
          </cell>
        </row>
        <row r="947">
          <cell r="C947" t="str">
            <v>Gò Đậu MBA T1 (phía 22kV)</v>
          </cell>
          <cell r="D947">
            <v>431</v>
          </cell>
          <cell r="E947">
            <v>6.1</v>
          </cell>
          <cell r="F947">
            <v>8.1</v>
          </cell>
          <cell r="G947">
            <v>7.8</v>
          </cell>
          <cell r="H947">
            <v>7.5</v>
          </cell>
          <cell r="I947">
            <v>8.1</v>
          </cell>
          <cell r="J947">
            <v>6.9</v>
          </cell>
          <cell r="K947">
            <v>7.9</v>
          </cell>
          <cell r="L947">
            <v>6.1</v>
          </cell>
          <cell r="M947">
            <v>8</v>
          </cell>
        </row>
        <row r="948">
          <cell r="C948" t="str">
            <v>Gò Đậu MBA T2 (phía 22kV)</v>
          </cell>
          <cell r="D948">
            <v>432</v>
          </cell>
          <cell r="E948">
            <v>-3.4</v>
          </cell>
          <cell r="F948">
            <v>6.7</v>
          </cell>
          <cell r="G948">
            <v>5.0999999999999996</v>
          </cell>
          <cell r="H948">
            <v>5.6</v>
          </cell>
          <cell r="I948">
            <v>6.7</v>
          </cell>
          <cell r="J948">
            <v>-3.4</v>
          </cell>
          <cell r="K948">
            <v>5.4</v>
          </cell>
          <cell r="L948">
            <v>6.3</v>
          </cell>
          <cell r="M948">
            <v>5.6</v>
          </cell>
        </row>
        <row r="949">
          <cell r="C949" t="str">
            <v>Gò Quao MBA T1 (phía 110kV)</v>
          </cell>
          <cell r="D949">
            <v>131</v>
          </cell>
          <cell r="E949">
            <v>1.3</v>
          </cell>
          <cell r="F949">
            <v>1.6</v>
          </cell>
          <cell r="G949">
            <v>1.4</v>
          </cell>
          <cell r="H949">
            <v>1.5</v>
          </cell>
          <cell r="I949">
            <v>1.3</v>
          </cell>
          <cell r="J949">
            <v>1.3</v>
          </cell>
          <cell r="K949">
            <v>1.6</v>
          </cell>
          <cell r="L949">
            <v>1.5</v>
          </cell>
          <cell r="M949">
            <v>1.5</v>
          </cell>
        </row>
        <row r="950">
          <cell r="C950" t="str">
            <v>Gò Quao MBA T1 (phía 22kV)</v>
          </cell>
          <cell r="D950">
            <v>431</v>
          </cell>
          <cell r="E950">
            <v>-1.9</v>
          </cell>
          <cell r="F950">
            <v>-2.1</v>
          </cell>
          <cell r="G950">
            <v>-2</v>
          </cell>
          <cell r="H950">
            <v>-2</v>
          </cell>
          <cell r="I950">
            <v>-2</v>
          </cell>
          <cell r="J950">
            <v>-2.1</v>
          </cell>
          <cell r="K950">
            <v>-2.1</v>
          </cell>
          <cell r="L950">
            <v>-1.9</v>
          </cell>
          <cell r="M950">
            <v>-2.1</v>
          </cell>
        </row>
        <row r="951">
          <cell r="C951" t="str">
            <v>110kV 171 Gò Vấp - 177 Hóc Môn</v>
          </cell>
          <cell r="D951">
            <v>171</v>
          </cell>
          <cell r="E951">
            <v>-4.4000000000000004</v>
          </cell>
          <cell r="F951">
            <v>-6.3</v>
          </cell>
          <cell r="G951">
            <v>-6.3</v>
          </cell>
          <cell r="H951">
            <v>-6.1</v>
          </cell>
          <cell r="I951">
            <v>-6</v>
          </cell>
          <cell r="J951">
            <v>-4.9000000000000004</v>
          </cell>
          <cell r="K951">
            <v>-5.4</v>
          </cell>
          <cell r="L951">
            <v>-5.2</v>
          </cell>
          <cell r="M951">
            <v>-4.4000000000000004</v>
          </cell>
        </row>
        <row r="952">
          <cell r="C952" t="str">
            <v>110kV 172 Gò Vấp - 178 Hóc Môn</v>
          </cell>
          <cell r="D952">
            <v>172</v>
          </cell>
          <cell r="E952">
            <v>-4.4000000000000004</v>
          </cell>
          <cell r="F952">
            <v>-6.3</v>
          </cell>
          <cell r="G952">
            <v>-6.3</v>
          </cell>
          <cell r="H952">
            <v>-6.1</v>
          </cell>
          <cell r="I952">
            <v>-6.2</v>
          </cell>
          <cell r="J952">
            <v>-5</v>
          </cell>
          <cell r="K952">
            <v>-5.5</v>
          </cell>
          <cell r="L952">
            <v>-5.3</v>
          </cell>
          <cell r="M952">
            <v>-4.4000000000000004</v>
          </cell>
        </row>
        <row r="953">
          <cell r="C953" t="str">
            <v>Gò Vấp MBA T1 (phía 22kV)</v>
          </cell>
          <cell r="D953">
            <v>431</v>
          </cell>
          <cell r="E953">
            <v>2.1</v>
          </cell>
          <cell r="F953">
            <v>-4.5</v>
          </cell>
          <cell r="G953">
            <v>-4.5</v>
          </cell>
          <cell r="H953">
            <v>-4</v>
          </cell>
          <cell r="I953">
            <v>-3.4</v>
          </cell>
          <cell r="J953">
            <v>2.1</v>
          </cell>
          <cell r="K953">
            <v>-4</v>
          </cell>
          <cell r="L953">
            <v>-3.3</v>
          </cell>
          <cell r="M953">
            <v>-2.8</v>
          </cell>
        </row>
        <row r="954">
          <cell r="C954" t="str">
            <v>Gò Vấp MBA T2 (phía 22kV)</v>
          </cell>
          <cell r="D954">
            <v>432</v>
          </cell>
          <cell r="E954">
            <v>3.2</v>
          </cell>
          <cell r="F954">
            <v>3.9</v>
          </cell>
          <cell r="G954">
            <v>3.6</v>
          </cell>
          <cell r="H954">
            <v>3.2</v>
          </cell>
          <cell r="I954">
            <v>3.5</v>
          </cell>
          <cell r="J954">
            <v>3.3</v>
          </cell>
          <cell r="K954">
            <v>3.5</v>
          </cell>
          <cell r="L954">
            <v>3.9</v>
          </cell>
          <cell r="M954">
            <v>3.7</v>
          </cell>
        </row>
        <row r="955">
          <cell r="C955" t="str">
            <v>Hà Tiên MBA T1 (phía 110kV)</v>
          </cell>
          <cell r="D955">
            <v>131</v>
          </cell>
          <cell r="E955">
            <v>1.2</v>
          </cell>
          <cell r="F955">
            <v>2.1</v>
          </cell>
          <cell r="G955">
            <v>1.4</v>
          </cell>
          <cell r="H955">
            <v>-1.3</v>
          </cell>
          <cell r="I955">
            <v>1.2</v>
          </cell>
          <cell r="J955">
            <v>1.5</v>
          </cell>
          <cell r="K955">
            <v>2.1</v>
          </cell>
          <cell r="L955">
            <v>1.9</v>
          </cell>
          <cell r="M955">
            <v>1.5</v>
          </cell>
        </row>
        <row r="956">
          <cell r="C956" t="str">
            <v>Hà Tiên MBA T2 (phía 110kV)</v>
          </cell>
          <cell r="D956">
            <v>132</v>
          </cell>
          <cell r="E956">
            <v>-1.8</v>
          </cell>
          <cell r="F956">
            <v>3.5</v>
          </cell>
          <cell r="G956">
            <v>3</v>
          </cell>
          <cell r="H956">
            <v>2.5</v>
          </cell>
          <cell r="I956">
            <v>3.5</v>
          </cell>
          <cell r="J956">
            <v>-1.8</v>
          </cell>
          <cell r="K956">
            <v>-2.1</v>
          </cell>
          <cell r="L956">
            <v>2.4</v>
          </cell>
          <cell r="M956">
            <v>2.4</v>
          </cell>
        </row>
        <row r="957">
          <cell r="C957" t="str">
            <v>110kV 171 Hà Tiên - 172 Kiên Bình</v>
          </cell>
          <cell r="D957">
            <v>171</v>
          </cell>
          <cell r="E957">
            <v>6.4</v>
          </cell>
          <cell r="F957">
            <v>8.3000000000000007</v>
          </cell>
          <cell r="G957">
            <v>7.3</v>
          </cell>
          <cell r="H957">
            <v>6.6</v>
          </cell>
          <cell r="I957">
            <v>6.4</v>
          </cell>
          <cell r="J957">
            <v>7.8</v>
          </cell>
          <cell r="K957">
            <v>7.9</v>
          </cell>
          <cell r="L957">
            <v>8.3000000000000007</v>
          </cell>
          <cell r="M957">
            <v>7.3</v>
          </cell>
        </row>
        <row r="958">
          <cell r="C958" t="str">
            <v>110kV 172 Hà Tiên - 173 Kiên Bình</v>
          </cell>
          <cell r="D958">
            <v>172</v>
          </cell>
          <cell r="E958">
            <v>6.4</v>
          </cell>
          <cell r="F958">
            <v>8.1</v>
          </cell>
          <cell r="G958">
            <v>7.3</v>
          </cell>
          <cell r="H958">
            <v>6.4</v>
          </cell>
          <cell r="I958">
            <v>6.4</v>
          </cell>
          <cell r="J958">
            <v>7.7</v>
          </cell>
          <cell r="K958">
            <v>8.1</v>
          </cell>
          <cell r="L958">
            <v>8.1</v>
          </cell>
          <cell r="M958">
            <v>7.2</v>
          </cell>
        </row>
        <row r="959">
          <cell r="C959" t="str">
            <v>110kV 173 Hà Tiên - 172 Phú Quốc</v>
          </cell>
          <cell r="D959">
            <v>173</v>
          </cell>
          <cell r="E959">
            <v>-12.7</v>
          </cell>
          <cell r="F959">
            <v>-14.5</v>
          </cell>
          <cell r="G959">
            <v>-14.5</v>
          </cell>
          <cell r="H959">
            <v>-12.7</v>
          </cell>
          <cell r="I959">
            <v>-12.8</v>
          </cell>
          <cell r="J959">
            <v>-12.8</v>
          </cell>
          <cell r="K959">
            <v>-13.2</v>
          </cell>
          <cell r="L959">
            <v>-13.7</v>
          </cell>
          <cell r="M959">
            <v>-14.4</v>
          </cell>
        </row>
        <row r="960">
          <cell r="C960" t="str">
            <v>Hà Tiên MBA T1 (phía 22kV)</v>
          </cell>
          <cell r="D960">
            <v>431</v>
          </cell>
          <cell r="E960">
            <v>1.2</v>
          </cell>
          <cell r="F960">
            <v>-1.8</v>
          </cell>
          <cell r="G960">
            <v>1.4</v>
          </cell>
          <cell r="H960">
            <v>1.5</v>
          </cell>
          <cell r="I960">
            <v>1.2</v>
          </cell>
          <cell r="J960">
            <v>1.5</v>
          </cell>
          <cell r="K960">
            <v>-1.8</v>
          </cell>
          <cell r="L960">
            <v>-1.7</v>
          </cell>
          <cell r="M960">
            <v>-1.3</v>
          </cell>
        </row>
        <row r="961">
          <cell r="C961" t="str">
            <v>Hà Tiên MBA T2 (phía 22kV)</v>
          </cell>
          <cell r="D961">
            <v>432</v>
          </cell>
          <cell r="E961">
            <v>2</v>
          </cell>
          <cell r="F961">
            <v>-2.8</v>
          </cell>
          <cell r="G961">
            <v>-2.4</v>
          </cell>
          <cell r="H961">
            <v>-2</v>
          </cell>
          <cell r="I961">
            <v>-2.8</v>
          </cell>
          <cell r="J961">
            <v>2</v>
          </cell>
          <cell r="K961">
            <v>2.4</v>
          </cell>
          <cell r="L961">
            <v>2.2999999999999998</v>
          </cell>
          <cell r="M961">
            <v>2</v>
          </cell>
        </row>
        <row r="962">
          <cell r="C962" t="str">
            <v>Hàm Kiệm MBA T1 (phía 110kV)</v>
          </cell>
          <cell r="D962">
            <v>131</v>
          </cell>
          <cell r="E962">
            <v>-3.4</v>
          </cell>
          <cell r="F962">
            <v>-4.2</v>
          </cell>
          <cell r="G962">
            <v>-3.4</v>
          </cell>
          <cell r="H962">
            <v>-3.4</v>
          </cell>
          <cell r="I962">
            <v>-3.7</v>
          </cell>
          <cell r="J962">
            <v>-4.2</v>
          </cell>
          <cell r="K962">
            <v>-3.6</v>
          </cell>
          <cell r="L962">
            <v>-3.8</v>
          </cell>
          <cell r="M962">
            <v>-3.8</v>
          </cell>
        </row>
        <row r="963">
          <cell r="C963" t="str">
            <v>Hàm Kiệm MBA T2 (phía 110kV)</v>
          </cell>
          <cell r="D963">
            <v>132</v>
          </cell>
          <cell r="E963">
            <v>3.6</v>
          </cell>
          <cell r="F963">
            <v>4.7</v>
          </cell>
          <cell r="G963">
            <v>3.7</v>
          </cell>
          <cell r="H963">
            <v>3.6</v>
          </cell>
          <cell r="I963">
            <v>4.2</v>
          </cell>
          <cell r="J963">
            <v>4.7</v>
          </cell>
          <cell r="K963">
            <v>-4.4000000000000004</v>
          </cell>
          <cell r="L963">
            <v>-3.7</v>
          </cell>
          <cell r="M963">
            <v>-3.7</v>
          </cell>
        </row>
        <row r="964">
          <cell r="C964" t="str">
            <v>110kV 171 Hàm Kiệm - 175 Phan Thiết</v>
          </cell>
          <cell r="D964">
            <v>171</v>
          </cell>
          <cell r="E964">
            <v>-11</v>
          </cell>
          <cell r="F964">
            <v>16</v>
          </cell>
          <cell r="G964">
            <v>-11</v>
          </cell>
          <cell r="H964">
            <v>12.7</v>
          </cell>
          <cell r="I964">
            <v>-12</v>
          </cell>
          <cell r="J964">
            <v>11.7</v>
          </cell>
          <cell r="K964">
            <v>16</v>
          </cell>
          <cell r="L964">
            <v>-15.6</v>
          </cell>
          <cell r="M964">
            <v>-13.6</v>
          </cell>
        </row>
        <row r="965">
          <cell r="C965" t="str">
            <v>110kV 172 Hàm Kiệm - 174 trạm cắt Dân Bình</v>
          </cell>
          <cell r="D965">
            <v>172</v>
          </cell>
          <cell r="E965">
            <v>2.9</v>
          </cell>
          <cell r="F965">
            <v>-5.7</v>
          </cell>
          <cell r="G965">
            <v>4.9000000000000004</v>
          </cell>
          <cell r="H965">
            <v>3.3</v>
          </cell>
          <cell r="I965">
            <v>-5.7</v>
          </cell>
          <cell r="J965">
            <v>4.4000000000000004</v>
          </cell>
          <cell r="K965">
            <v>2.9</v>
          </cell>
          <cell r="L965">
            <v>4.0999999999999996</v>
          </cell>
          <cell r="M965">
            <v>4.9000000000000004</v>
          </cell>
        </row>
        <row r="966">
          <cell r="C966" t="str">
            <v>110kV 174 Hàm Kiệm - 172 Thuận Nam</v>
          </cell>
          <cell r="D966">
            <v>174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</row>
        <row r="967">
          <cell r="C967" t="str">
            <v>Hàm Kiệm MBA T1 (phía 22kV)</v>
          </cell>
          <cell r="D967">
            <v>431</v>
          </cell>
          <cell r="E967">
            <v>6.2</v>
          </cell>
          <cell r="F967">
            <v>-9.5</v>
          </cell>
          <cell r="G967">
            <v>6.2</v>
          </cell>
          <cell r="H967">
            <v>-9.4</v>
          </cell>
          <cell r="I967">
            <v>-9.5</v>
          </cell>
          <cell r="J967">
            <v>7.7</v>
          </cell>
          <cell r="K967">
            <v>7.1</v>
          </cell>
          <cell r="L967">
            <v>6.9</v>
          </cell>
          <cell r="M967">
            <v>7.3</v>
          </cell>
        </row>
        <row r="968">
          <cell r="C968" t="str">
            <v>Hàm Kiệm MBA T2 (phía 22kV)</v>
          </cell>
          <cell r="D968">
            <v>432</v>
          </cell>
          <cell r="E968">
            <v>9</v>
          </cell>
          <cell r="F968">
            <v>9.8000000000000007</v>
          </cell>
          <cell r="G968">
            <v>9.1999999999999993</v>
          </cell>
          <cell r="H968">
            <v>9</v>
          </cell>
          <cell r="I968">
            <v>9.4</v>
          </cell>
          <cell r="J968">
            <v>9.6</v>
          </cell>
          <cell r="K968">
            <v>9.8000000000000007</v>
          </cell>
          <cell r="L968">
            <v>9.6</v>
          </cell>
          <cell r="M968">
            <v>9.6</v>
          </cell>
        </row>
        <row r="969">
          <cell r="C969" t="str">
            <v>Hàm Tân MBA T1 (phía 110kV)</v>
          </cell>
          <cell r="D969">
            <v>131</v>
          </cell>
          <cell r="E969">
            <v>-1.9</v>
          </cell>
          <cell r="F969">
            <v>-2.5</v>
          </cell>
          <cell r="G969">
            <v>-2</v>
          </cell>
          <cell r="H969">
            <v>2</v>
          </cell>
          <cell r="I969">
            <v>-1.9</v>
          </cell>
          <cell r="J969">
            <v>-1.9</v>
          </cell>
          <cell r="K969">
            <v>-2.4</v>
          </cell>
          <cell r="L969">
            <v>-2.2999999999999998</v>
          </cell>
          <cell r="M969">
            <v>-2.5</v>
          </cell>
        </row>
        <row r="970">
          <cell r="C970" t="str">
            <v>Hàm Tân MBA T2 (phía 110kV)</v>
          </cell>
          <cell r="D970">
            <v>132</v>
          </cell>
          <cell r="E970">
            <v>1.9</v>
          </cell>
          <cell r="F970">
            <v>2.9</v>
          </cell>
          <cell r="G970">
            <v>2.2999999999999998</v>
          </cell>
          <cell r="H970">
            <v>2.9</v>
          </cell>
          <cell r="I970">
            <v>2.6</v>
          </cell>
          <cell r="J970">
            <v>1.9</v>
          </cell>
          <cell r="K970">
            <v>2.1</v>
          </cell>
          <cell r="L970">
            <v>2</v>
          </cell>
          <cell r="M970">
            <v>1.9</v>
          </cell>
        </row>
        <row r="971">
          <cell r="C971" t="str">
            <v>110kV 171 Hàm Tân - 171 Thuận Nam</v>
          </cell>
          <cell r="D971">
            <v>171</v>
          </cell>
          <cell r="E971">
            <v>-5.9</v>
          </cell>
          <cell r="F971">
            <v>7.9</v>
          </cell>
          <cell r="G971">
            <v>7.9</v>
          </cell>
          <cell r="H971">
            <v>7.4</v>
          </cell>
          <cell r="I971">
            <v>6.2</v>
          </cell>
          <cell r="J971">
            <v>7.6</v>
          </cell>
          <cell r="K971">
            <v>7.4</v>
          </cell>
          <cell r="L971">
            <v>6.5</v>
          </cell>
          <cell r="M971">
            <v>-5.9</v>
          </cell>
        </row>
        <row r="972">
          <cell r="C972" t="str">
            <v>110kV 172 Hàm Tân - 179 Hàm Tân 2</v>
          </cell>
          <cell r="D972">
            <v>172</v>
          </cell>
          <cell r="E972">
            <v>-9.1</v>
          </cell>
          <cell r="F972">
            <v>-11.9</v>
          </cell>
          <cell r="G972">
            <v>-11.9</v>
          </cell>
          <cell r="H972">
            <v>-10.4</v>
          </cell>
          <cell r="I972">
            <v>-9.1</v>
          </cell>
          <cell r="J972">
            <v>-10.7</v>
          </cell>
          <cell r="K972">
            <v>-9.3000000000000007</v>
          </cell>
          <cell r="L972">
            <v>-9.4</v>
          </cell>
          <cell r="M972">
            <v>9.3000000000000007</v>
          </cell>
        </row>
        <row r="973">
          <cell r="C973" t="str">
            <v>Hàm Tân MBA T1 (phía 22kV)</v>
          </cell>
          <cell r="D973">
            <v>431</v>
          </cell>
          <cell r="E973">
            <v>4.5999999999999996</v>
          </cell>
          <cell r="F973">
            <v>5.2</v>
          </cell>
          <cell r="G973">
            <v>4.5999999999999996</v>
          </cell>
          <cell r="H973">
            <v>4.5999999999999996</v>
          </cell>
          <cell r="I973">
            <v>4.5999999999999996</v>
          </cell>
          <cell r="J973">
            <v>4.8</v>
          </cell>
          <cell r="K973">
            <v>4.8</v>
          </cell>
          <cell r="L973">
            <v>5</v>
          </cell>
          <cell r="M973">
            <v>5.2</v>
          </cell>
        </row>
        <row r="974">
          <cell r="C974" t="str">
            <v>Hàm Tân MBA T2 (phía 22kV)</v>
          </cell>
          <cell r="D974">
            <v>432</v>
          </cell>
          <cell r="E974">
            <v>1.5</v>
          </cell>
          <cell r="F974">
            <v>2.2000000000000002</v>
          </cell>
          <cell r="G974">
            <v>1.8</v>
          </cell>
          <cell r="H974">
            <v>1.5</v>
          </cell>
          <cell r="I974">
            <v>1.7</v>
          </cell>
          <cell r="J974">
            <v>1.7</v>
          </cell>
          <cell r="K974">
            <v>2.2000000000000002</v>
          </cell>
          <cell r="L974">
            <v>2.2000000000000002</v>
          </cell>
          <cell r="M974">
            <v>2.2000000000000002</v>
          </cell>
        </row>
        <row r="975">
          <cell r="C975" t="str">
            <v>Hàm Tân 2 MBA AT2 (phía 110kV)</v>
          </cell>
          <cell r="D975">
            <v>132</v>
          </cell>
          <cell r="E975">
            <v>-4.8</v>
          </cell>
          <cell r="F975">
            <v>-10.4</v>
          </cell>
          <cell r="G975">
            <v>-7.9</v>
          </cell>
          <cell r="H975">
            <v>-7.8</v>
          </cell>
          <cell r="I975">
            <v>-10.4</v>
          </cell>
          <cell r="J975">
            <v>-7.6</v>
          </cell>
          <cell r="K975">
            <v>-6.3</v>
          </cell>
          <cell r="L975">
            <v>-6.7</v>
          </cell>
          <cell r="M975">
            <v>-4.8</v>
          </cell>
        </row>
        <row r="976">
          <cell r="C976" t="str">
            <v>Hàm Tân 2 MBA AT3 (phía 110kV)</v>
          </cell>
          <cell r="D976">
            <v>133</v>
          </cell>
          <cell r="E976">
            <v>6.9</v>
          </cell>
          <cell r="F976">
            <v>8.9</v>
          </cell>
          <cell r="G976">
            <v>8.9</v>
          </cell>
          <cell r="H976">
            <v>7.7</v>
          </cell>
          <cell r="I976">
            <v>6.9</v>
          </cell>
          <cell r="J976">
            <v>8.3000000000000007</v>
          </cell>
          <cell r="K976">
            <v>8.6</v>
          </cell>
          <cell r="L976">
            <v>8.6</v>
          </cell>
          <cell r="M976">
            <v>8.6</v>
          </cell>
        </row>
        <row r="977">
          <cell r="C977" t="str">
            <v>110kV 175 Hàm Tân 2 - 171 NMĐ MT Sơn Mỹ 3.1</v>
          </cell>
          <cell r="D977">
            <v>175</v>
          </cell>
          <cell r="E977">
            <v>-5.9</v>
          </cell>
          <cell r="F977">
            <v>11.3</v>
          </cell>
          <cell r="G977">
            <v>7.6</v>
          </cell>
          <cell r="H977">
            <v>9.6999999999999993</v>
          </cell>
          <cell r="I977">
            <v>11.3</v>
          </cell>
          <cell r="J977">
            <v>8.5</v>
          </cell>
          <cell r="K977">
            <v>-6.5</v>
          </cell>
          <cell r="L977">
            <v>-6.4</v>
          </cell>
          <cell r="M977">
            <v>-5.9</v>
          </cell>
        </row>
        <row r="978">
          <cell r="C978" t="str">
            <v>110kV 179 Hàm Tân 2 - 172 Hàm Tân</v>
          </cell>
          <cell r="D978">
            <v>179</v>
          </cell>
          <cell r="E978">
            <v>6.8</v>
          </cell>
          <cell r="F978">
            <v>11.5</v>
          </cell>
          <cell r="G978">
            <v>11.5</v>
          </cell>
          <cell r="H978">
            <v>10</v>
          </cell>
          <cell r="I978">
            <v>6.8</v>
          </cell>
          <cell r="J978">
            <v>9.8000000000000007</v>
          </cell>
          <cell r="K978">
            <v>9.3000000000000007</v>
          </cell>
          <cell r="L978">
            <v>9.3000000000000007</v>
          </cell>
          <cell r="M978">
            <v>7.7</v>
          </cell>
        </row>
        <row r="979">
          <cell r="C979" t="str">
            <v>Hàm Tân 2 MBA AT2 (phía 220kV)</v>
          </cell>
          <cell r="D979">
            <v>232</v>
          </cell>
          <cell r="E979">
            <v>7.9</v>
          </cell>
          <cell r="F979">
            <v>14.7</v>
          </cell>
          <cell r="G979">
            <v>11.8</v>
          </cell>
          <cell r="H979">
            <v>14.7</v>
          </cell>
          <cell r="I979">
            <v>12.1</v>
          </cell>
          <cell r="J979">
            <v>11.1</v>
          </cell>
          <cell r="K979">
            <v>9.6</v>
          </cell>
          <cell r="L979">
            <v>9.6999999999999993</v>
          </cell>
          <cell r="M979">
            <v>7.9</v>
          </cell>
        </row>
        <row r="980">
          <cell r="C980" t="str">
            <v>Hàm Tân 2 MBA AT3 (phía 220kV)</v>
          </cell>
          <cell r="D980">
            <v>233</v>
          </cell>
          <cell r="E980">
            <v>-5.8</v>
          </cell>
          <cell r="F980">
            <v>-9.3000000000000007</v>
          </cell>
          <cell r="G980">
            <v>-7.5</v>
          </cell>
          <cell r="H980">
            <v>-8.1999999999999993</v>
          </cell>
          <cell r="I980">
            <v>-5.8</v>
          </cell>
          <cell r="J980">
            <v>-7.3</v>
          </cell>
          <cell r="K980">
            <v>-9.3000000000000007</v>
          </cell>
          <cell r="L980">
            <v>-7.4</v>
          </cell>
          <cell r="M980">
            <v>-7.9</v>
          </cell>
        </row>
        <row r="981">
          <cell r="C981" t="str">
            <v>220kV 275 Hàm Tân 2 - 276 Tân Thành</v>
          </cell>
          <cell r="D981">
            <v>275</v>
          </cell>
          <cell r="E981">
            <v>-17.8</v>
          </cell>
          <cell r="F981">
            <v>-36.799999999999997</v>
          </cell>
          <cell r="G981">
            <v>-35.200000000000003</v>
          </cell>
          <cell r="H981">
            <v>-32</v>
          </cell>
          <cell r="I981">
            <v>-36.799999999999997</v>
          </cell>
          <cell r="J981">
            <v>-22.5</v>
          </cell>
          <cell r="K981">
            <v>-17.8</v>
          </cell>
          <cell r="L981">
            <v>-20</v>
          </cell>
          <cell r="M981">
            <v>-29.1</v>
          </cell>
        </row>
        <row r="982">
          <cell r="C982" t="str">
            <v>220kV 276 Hàm Tân 2 - 271 Phan Thiết 2</v>
          </cell>
          <cell r="D982">
            <v>276</v>
          </cell>
          <cell r="E982">
            <v>19.100000000000001</v>
          </cell>
          <cell r="F982">
            <v>39.5</v>
          </cell>
          <cell r="G982">
            <v>29.2</v>
          </cell>
          <cell r="H982">
            <v>30.1</v>
          </cell>
          <cell r="I982">
            <v>29.6</v>
          </cell>
          <cell r="J982">
            <v>21.9</v>
          </cell>
          <cell r="K982">
            <v>20.9</v>
          </cell>
          <cell r="L982">
            <v>19.100000000000001</v>
          </cell>
          <cell r="M982">
            <v>39.5</v>
          </cell>
        </row>
        <row r="983">
          <cell r="C983" t="str">
            <v>Hiệp Bình Phước MBA AT1 (phía 110kV)</v>
          </cell>
          <cell r="D983">
            <v>131</v>
          </cell>
          <cell r="E983">
            <v>31.4</v>
          </cell>
          <cell r="F983">
            <v>57.9</v>
          </cell>
          <cell r="G983">
            <v>40.6</v>
          </cell>
          <cell r="H983">
            <v>57.9</v>
          </cell>
          <cell r="I983">
            <v>31.4</v>
          </cell>
          <cell r="J983">
            <v>37.700000000000003</v>
          </cell>
          <cell r="K983">
            <v>36.5</v>
          </cell>
          <cell r="L983">
            <v>38.5</v>
          </cell>
          <cell r="M983">
            <v>52.5</v>
          </cell>
        </row>
        <row r="984">
          <cell r="C984" t="str">
            <v>Hiệp Bình Phước MBA AT2 (phía 110kV)</v>
          </cell>
          <cell r="D984">
            <v>132</v>
          </cell>
          <cell r="E984">
            <v>32.200000000000003</v>
          </cell>
          <cell r="F984">
            <v>59</v>
          </cell>
          <cell r="G984">
            <v>41.5</v>
          </cell>
          <cell r="H984">
            <v>59</v>
          </cell>
          <cell r="I984">
            <v>32.200000000000003</v>
          </cell>
          <cell r="J984">
            <v>38.1</v>
          </cell>
          <cell r="K984">
            <v>37.200000000000003</v>
          </cell>
          <cell r="L984">
            <v>38.9</v>
          </cell>
          <cell r="M984">
            <v>53.3</v>
          </cell>
        </row>
        <row r="985">
          <cell r="C985" t="str">
            <v>Hiệp Bình Phước MBA T4 (phía 110kV)</v>
          </cell>
          <cell r="D985">
            <v>134</v>
          </cell>
          <cell r="E985">
            <v>-2.4</v>
          </cell>
          <cell r="F985">
            <v>-3</v>
          </cell>
          <cell r="G985">
            <v>-2.5</v>
          </cell>
          <cell r="H985">
            <v>-2.5</v>
          </cell>
          <cell r="I985">
            <v>-2.4</v>
          </cell>
          <cell r="J985">
            <v>-3</v>
          </cell>
          <cell r="K985">
            <v>-3</v>
          </cell>
          <cell r="L985">
            <v>-2.5</v>
          </cell>
          <cell r="M985">
            <v>-2.4</v>
          </cell>
        </row>
        <row r="986">
          <cell r="C986" t="str">
            <v>Hiệp Bình Phước MBA T5 (phía 110kV)</v>
          </cell>
          <cell r="D986">
            <v>135</v>
          </cell>
          <cell r="E986">
            <v>-3.4</v>
          </cell>
          <cell r="F986">
            <v>-3.8</v>
          </cell>
          <cell r="G986">
            <v>-3.5</v>
          </cell>
          <cell r="H986">
            <v>-3.7</v>
          </cell>
          <cell r="I986">
            <v>-3.5</v>
          </cell>
          <cell r="J986">
            <v>-3.8</v>
          </cell>
          <cell r="K986">
            <v>-3.7</v>
          </cell>
          <cell r="L986">
            <v>-3.8</v>
          </cell>
          <cell r="M986">
            <v>-3.4</v>
          </cell>
        </row>
        <row r="987">
          <cell r="C987" t="str">
            <v>110kV 171 Hiệp Bình Phước - 175 Hóc Môn</v>
          </cell>
          <cell r="D987">
            <v>171</v>
          </cell>
          <cell r="E987">
            <v>-29.8</v>
          </cell>
          <cell r="F987">
            <v>-46.4</v>
          </cell>
          <cell r="G987">
            <v>-46.2</v>
          </cell>
          <cell r="H987">
            <v>-43.7</v>
          </cell>
          <cell r="I987">
            <v>-38.799999999999997</v>
          </cell>
          <cell r="J987">
            <v>-29.8</v>
          </cell>
          <cell r="K987">
            <v>-46.4</v>
          </cell>
          <cell r="L987">
            <v>-44.7</v>
          </cell>
          <cell r="M987">
            <v>-36.4</v>
          </cell>
        </row>
        <row r="988">
          <cell r="C988" t="str">
            <v>110kV 172 Hiệp Bình Phước - 172 Thủ Đức</v>
          </cell>
          <cell r="D988">
            <v>172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</row>
        <row r="989">
          <cell r="C989" t="str">
            <v>110kV 173 Hiệp Bình Phước - 172 Hỏa Xa</v>
          </cell>
          <cell r="D989">
            <v>173</v>
          </cell>
          <cell r="E989">
            <v>-3.2</v>
          </cell>
          <cell r="F989">
            <v>4.9000000000000004</v>
          </cell>
          <cell r="G989">
            <v>4.9000000000000004</v>
          </cell>
          <cell r="H989">
            <v>4.5999999999999996</v>
          </cell>
          <cell r="I989">
            <v>-3.3</v>
          </cell>
          <cell r="J989">
            <v>-3.2</v>
          </cell>
          <cell r="K989">
            <v>4.7</v>
          </cell>
          <cell r="L989">
            <v>3.8</v>
          </cell>
          <cell r="M989">
            <v>-3.3</v>
          </cell>
        </row>
        <row r="990">
          <cell r="C990" t="str">
            <v>110kV 174 Hiệp Bình Phước - 172 Bình Triệu</v>
          </cell>
          <cell r="D990">
            <v>174</v>
          </cell>
          <cell r="E990">
            <v>4.8</v>
          </cell>
          <cell r="F990">
            <v>8.6999999999999993</v>
          </cell>
          <cell r="G990">
            <v>6.9</v>
          </cell>
          <cell r="H990">
            <v>7.3</v>
          </cell>
          <cell r="I990">
            <v>5.0999999999999996</v>
          </cell>
          <cell r="J990">
            <v>4.8</v>
          </cell>
          <cell r="K990">
            <v>7.1</v>
          </cell>
          <cell r="L990">
            <v>5.6</v>
          </cell>
          <cell r="M990">
            <v>8.6999999999999993</v>
          </cell>
        </row>
        <row r="991">
          <cell r="C991" t="str">
            <v>110kV 179 Hiệp Bình Phước - 172 Thạnh Lộc</v>
          </cell>
          <cell r="D991">
            <v>179</v>
          </cell>
          <cell r="E991">
            <v>-32.200000000000003</v>
          </cell>
          <cell r="F991">
            <v>-44.5</v>
          </cell>
          <cell r="G991">
            <v>-44.5</v>
          </cell>
          <cell r="H991">
            <v>-41.6</v>
          </cell>
          <cell r="I991">
            <v>-36.4</v>
          </cell>
          <cell r="J991">
            <v>-32.200000000000003</v>
          </cell>
          <cell r="K991">
            <v>-44</v>
          </cell>
          <cell r="L991">
            <v>-43.4</v>
          </cell>
          <cell r="M991">
            <v>-34</v>
          </cell>
        </row>
        <row r="992">
          <cell r="C992" t="str">
            <v>110kV 180 Hiệp Bình Phước - 172 Bình Lợi</v>
          </cell>
          <cell r="D992">
            <v>180</v>
          </cell>
          <cell r="E992">
            <v>6.8</v>
          </cell>
          <cell r="F992">
            <v>14.4</v>
          </cell>
          <cell r="G992">
            <v>14.4</v>
          </cell>
          <cell r="H992">
            <v>13.5</v>
          </cell>
          <cell r="I992">
            <v>8.9</v>
          </cell>
          <cell r="J992">
            <v>6.8</v>
          </cell>
          <cell r="K992">
            <v>13.4</v>
          </cell>
          <cell r="L992">
            <v>13.2</v>
          </cell>
          <cell r="M992">
            <v>12</v>
          </cell>
        </row>
        <row r="993">
          <cell r="C993" t="str">
            <v>Hiệp Bình Phước MBA AT1 (phía 220kV)</v>
          </cell>
          <cell r="D993">
            <v>231</v>
          </cell>
          <cell r="E993">
            <v>-25.4</v>
          </cell>
          <cell r="F993">
            <v>-50</v>
          </cell>
          <cell r="G993">
            <v>-33</v>
          </cell>
          <cell r="H993">
            <v>-50</v>
          </cell>
          <cell r="I993">
            <v>-25.4</v>
          </cell>
          <cell r="J993">
            <v>-35.200000000000003</v>
          </cell>
          <cell r="K993">
            <v>-32.799999999999997</v>
          </cell>
          <cell r="L993">
            <v>-35.200000000000003</v>
          </cell>
          <cell r="M993">
            <v>-45.3</v>
          </cell>
        </row>
        <row r="994">
          <cell r="C994" t="str">
            <v>Hiệp Bình Phước MBA AT2 (phía 220kV)</v>
          </cell>
          <cell r="D994">
            <v>232</v>
          </cell>
          <cell r="E994">
            <v>-32.299999999999997</v>
          </cell>
          <cell r="F994">
            <v>-49.1</v>
          </cell>
          <cell r="G994">
            <v>-32.299999999999997</v>
          </cell>
          <cell r="H994">
            <v>-49.1</v>
          </cell>
          <cell r="I994">
            <v>32.299999999999997</v>
          </cell>
          <cell r="J994">
            <v>-34.799999999999997</v>
          </cell>
          <cell r="K994">
            <v>-32.299999999999997</v>
          </cell>
          <cell r="L994">
            <v>-34.799999999999997</v>
          </cell>
          <cell r="M994">
            <v>-44.4</v>
          </cell>
        </row>
        <row r="995">
          <cell r="C995" t="str">
            <v>220kV 273 Hiệp Bình Phước - 274 Hóc Môn</v>
          </cell>
          <cell r="D995">
            <v>273</v>
          </cell>
          <cell r="E995">
            <v>-35</v>
          </cell>
          <cell r="F995">
            <v>60</v>
          </cell>
          <cell r="G995">
            <v>-35</v>
          </cell>
          <cell r="H995">
            <v>56.5</v>
          </cell>
          <cell r="I995">
            <v>39.5</v>
          </cell>
          <cell r="J995">
            <v>-42.5</v>
          </cell>
          <cell r="K995">
            <v>49.4</v>
          </cell>
          <cell r="L995">
            <v>46.3</v>
          </cell>
          <cell r="M995">
            <v>60</v>
          </cell>
        </row>
        <row r="996">
          <cell r="C996" t="str">
            <v>220kV 274 Hiệp Bình Phước - 271 Thủ Đức</v>
          </cell>
          <cell r="D996">
            <v>274</v>
          </cell>
          <cell r="E996">
            <v>29.5</v>
          </cell>
          <cell r="F996">
            <v>47.7</v>
          </cell>
          <cell r="G996">
            <v>47.7</v>
          </cell>
          <cell r="H996">
            <v>47.1</v>
          </cell>
          <cell r="I996">
            <v>29.5</v>
          </cell>
          <cell r="J996">
            <v>44.9</v>
          </cell>
          <cell r="K996">
            <v>47</v>
          </cell>
          <cell r="L996">
            <v>33.1</v>
          </cell>
          <cell r="M996">
            <v>38.9</v>
          </cell>
        </row>
        <row r="997">
          <cell r="C997" t="str">
            <v>Hiệp Bình Phước MBA T4 (phía 22kV)</v>
          </cell>
          <cell r="D997">
            <v>434</v>
          </cell>
          <cell r="E997">
            <v>2.7</v>
          </cell>
          <cell r="F997">
            <v>3.1</v>
          </cell>
          <cell r="G997">
            <v>2.7</v>
          </cell>
          <cell r="H997">
            <v>2.9</v>
          </cell>
          <cell r="I997">
            <v>3</v>
          </cell>
          <cell r="J997">
            <v>3.1</v>
          </cell>
          <cell r="K997">
            <v>3</v>
          </cell>
          <cell r="L997">
            <v>2.8</v>
          </cell>
          <cell r="M997">
            <v>2.9</v>
          </cell>
        </row>
        <row r="998">
          <cell r="C998" t="str">
            <v>Hiệp Bình Phước MBA T5 (phía 22kV)</v>
          </cell>
          <cell r="D998">
            <v>435</v>
          </cell>
          <cell r="E998">
            <v>4.0999999999999996</v>
          </cell>
          <cell r="F998">
            <v>4.5999999999999996</v>
          </cell>
          <cell r="G998">
            <v>4.3</v>
          </cell>
          <cell r="H998">
            <v>4.0999999999999996</v>
          </cell>
          <cell r="I998">
            <v>4.3</v>
          </cell>
          <cell r="J998">
            <v>4.2</v>
          </cell>
          <cell r="K998">
            <v>4.4000000000000004</v>
          </cell>
          <cell r="L998">
            <v>4.5999999999999996</v>
          </cell>
          <cell r="M998">
            <v>4.2</v>
          </cell>
        </row>
        <row r="999">
          <cell r="C999" t="str">
            <v>Hố Nai MBA T1 (phía 110kV)</v>
          </cell>
          <cell r="D999">
            <v>131</v>
          </cell>
          <cell r="E999">
            <v>-4.8</v>
          </cell>
          <cell r="F999">
            <v>9.1999999999999993</v>
          </cell>
          <cell r="G999">
            <v>7.9</v>
          </cell>
          <cell r="H999">
            <v>8.6999999999999993</v>
          </cell>
          <cell r="I999">
            <v>9.1999999999999993</v>
          </cell>
          <cell r="J999">
            <v>-4.8</v>
          </cell>
          <cell r="K999">
            <v>8.8000000000000007</v>
          </cell>
          <cell r="L999">
            <v>8.6999999999999993</v>
          </cell>
          <cell r="M999">
            <v>9</v>
          </cell>
        </row>
        <row r="1000">
          <cell r="C1000" t="str">
            <v>Hố Nai MBA T2 (phía 110kV)</v>
          </cell>
          <cell r="D1000">
            <v>132</v>
          </cell>
          <cell r="E1000">
            <v>-4.4000000000000004</v>
          </cell>
          <cell r="F1000">
            <v>8.5</v>
          </cell>
          <cell r="G1000">
            <v>8.3000000000000007</v>
          </cell>
          <cell r="H1000">
            <v>8</v>
          </cell>
          <cell r="I1000">
            <v>8.1999999999999993</v>
          </cell>
          <cell r="J1000">
            <v>-4.4000000000000004</v>
          </cell>
          <cell r="K1000">
            <v>8.1999999999999993</v>
          </cell>
          <cell r="L1000">
            <v>8.5</v>
          </cell>
          <cell r="M1000">
            <v>5.7</v>
          </cell>
        </row>
        <row r="1001">
          <cell r="C1001" t="str">
            <v>110kV 171 Hố Nai - 172 Sông Mây</v>
          </cell>
          <cell r="D1001">
            <v>171</v>
          </cell>
          <cell r="E1001">
            <v>9.6</v>
          </cell>
          <cell r="F1001">
            <v>-16.8</v>
          </cell>
          <cell r="G1001">
            <v>-16.5</v>
          </cell>
          <cell r="H1001">
            <v>-15</v>
          </cell>
          <cell r="I1001">
            <v>-16</v>
          </cell>
          <cell r="J1001">
            <v>9.6</v>
          </cell>
          <cell r="K1001">
            <v>-14.9</v>
          </cell>
          <cell r="L1001">
            <v>-16.8</v>
          </cell>
          <cell r="M1001">
            <v>-14.1</v>
          </cell>
        </row>
        <row r="1002">
          <cell r="C1002" t="str">
            <v>110kV 172 Hố Nai - 180 Long Bình</v>
          </cell>
          <cell r="D1002">
            <v>172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</row>
        <row r="1003">
          <cell r="C1003" t="str">
            <v>Hố Nai MBA T1 (phía 22kV)</v>
          </cell>
          <cell r="D1003">
            <v>431</v>
          </cell>
          <cell r="E1003">
            <v>5.2</v>
          </cell>
          <cell r="F1003">
            <v>-7</v>
          </cell>
          <cell r="G1003">
            <v>-5.4</v>
          </cell>
          <cell r="H1003">
            <v>-5.7</v>
          </cell>
          <cell r="I1003">
            <v>-6.2</v>
          </cell>
          <cell r="J1003">
            <v>5.2</v>
          </cell>
          <cell r="K1003">
            <v>-6.5</v>
          </cell>
          <cell r="L1003">
            <v>-6.3</v>
          </cell>
          <cell r="M1003">
            <v>-7</v>
          </cell>
        </row>
        <row r="1004">
          <cell r="C1004" t="str">
            <v>Hố Nai MBA T2 (phía 22kV)</v>
          </cell>
          <cell r="D1004">
            <v>432</v>
          </cell>
          <cell r="E1004">
            <v>4.8</v>
          </cell>
          <cell r="F1004">
            <v>-6.3</v>
          </cell>
          <cell r="G1004">
            <v>-6.1</v>
          </cell>
          <cell r="H1004">
            <v>-5.8</v>
          </cell>
          <cell r="I1004">
            <v>-5.9</v>
          </cell>
          <cell r="J1004">
            <v>4.8</v>
          </cell>
          <cell r="K1004">
            <v>-6</v>
          </cell>
          <cell r="L1004">
            <v>-6.3</v>
          </cell>
          <cell r="M1004">
            <v>4.8</v>
          </cell>
        </row>
        <row r="1005">
          <cell r="C1005" t="str">
            <v>Hòa Bình MBA T1 (phía 110kV)</v>
          </cell>
          <cell r="D1005">
            <v>131</v>
          </cell>
          <cell r="E1005">
            <v>0</v>
          </cell>
          <cell r="F1005">
            <v>8.6</v>
          </cell>
          <cell r="G1005">
            <v>-6.3</v>
          </cell>
          <cell r="H1005">
            <v>8.6</v>
          </cell>
          <cell r="I1005">
            <v>-6.2</v>
          </cell>
          <cell r="J1005">
            <v>0</v>
          </cell>
          <cell r="K1005">
            <v>5.4</v>
          </cell>
          <cell r="L1005">
            <v>7</v>
          </cell>
          <cell r="M1005">
            <v>6.9</v>
          </cell>
        </row>
        <row r="1006">
          <cell r="C1006" t="str">
            <v>Hòa Bình MBA T2 (phía 110kV)</v>
          </cell>
          <cell r="D1006">
            <v>132</v>
          </cell>
          <cell r="E1006">
            <v>-5.2</v>
          </cell>
          <cell r="F1006">
            <v>8.6999999999999993</v>
          </cell>
          <cell r="G1006">
            <v>8.1</v>
          </cell>
          <cell r="H1006">
            <v>8.6999999999999993</v>
          </cell>
          <cell r="I1006">
            <v>6.7</v>
          </cell>
          <cell r="J1006">
            <v>-5.2</v>
          </cell>
          <cell r="K1006">
            <v>6.9</v>
          </cell>
          <cell r="L1006">
            <v>7.6</v>
          </cell>
          <cell r="M1006">
            <v>8.3000000000000007</v>
          </cell>
        </row>
        <row r="1007">
          <cell r="C1007" t="str">
            <v>110kV 171 Hòa Bình - 172 Hòa Phú</v>
          </cell>
          <cell r="D1007">
            <v>171</v>
          </cell>
          <cell r="E1007">
            <v>0</v>
          </cell>
          <cell r="F1007">
            <v>-8.4</v>
          </cell>
          <cell r="G1007">
            <v>0</v>
          </cell>
          <cell r="H1007">
            <v>-8.4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</row>
        <row r="1008">
          <cell r="C1008" t="str">
            <v>110kV 172 Hòa Bình - 171 Hòa Lợi</v>
          </cell>
          <cell r="D1008">
            <v>172</v>
          </cell>
          <cell r="E1008">
            <v>0</v>
          </cell>
          <cell r="F1008">
            <v>-8.6</v>
          </cell>
          <cell r="G1008">
            <v>-8.1</v>
          </cell>
          <cell r="H1008">
            <v>-8.6</v>
          </cell>
          <cell r="I1008">
            <v>0</v>
          </cell>
          <cell r="J1008">
            <v>0</v>
          </cell>
          <cell r="K1008">
            <v>-2.5</v>
          </cell>
          <cell r="L1008">
            <v>-5.2</v>
          </cell>
          <cell r="M1008">
            <v>-8.3000000000000007</v>
          </cell>
        </row>
        <row r="1009">
          <cell r="C1009" t="str">
            <v>Hòa Bình MBA T1 (phía 22kV)</v>
          </cell>
          <cell r="D1009">
            <v>431</v>
          </cell>
          <cell r="E1009">
            <v>3.3</v>
          </cell>
          <cell r="F1009">
            <v>8.9</v>
          </cell>
          <cell r="G1009">
            <v>8.9</v>
          </cell>
          <cell r="H1009">
            <v>8.5</v>
          </cell>
          <cell r="I1009">
            <v>8.8000000000000007</v>
          </cell>
          <cell r="J1009">
            <v>3.3</v>
          </cell>
          <cell r="K1009">
            <v>8.1999999999999993</v>
          </cell>
          <cell r="L1009">
            <v>8.5</v>
          </cell>
          <cell r="M1009">
            <v>8.1999999999999993</v>
          </cell>
        </row>
        <row r="1010">
          <cell r="C1010" t="str">
            <v>Hòa Bình MBA T2 (phía 22kV)</v>
          </cell>
          <cell r="D1010">
            <v>432</v>
          </cell>
          <cell r="E1010">
            <v>4.3</v>
          </cell>
          <cell r="F1010">
            <v>7</v>
          </cell>
          <cell r="G1010">
            <v>4.5999999999999996</v>
          </cell>
          <cell r="H1010">
            <v>4.3</v>
          </cell>
          <cell r="I1010">
            <v>5.2</v>
          </cell>
          <cell r="J1010">
            <v>7</v>
          </cell>
          <cell r="K1010">
            <v>5.2</v>
          </cell>
          <cell r="L1010">
            <v>5.7</v>
          </cell>
          <cell r="M1010">
            <v>4.5999999999999996</v>
          </cell>
        </row>
        <row r="1011">
          <cell r="C1011" t="str">
            <v>Hòa Hưng MBA T1 (phía 110kV)</v>
          </cell>
          <cell r="D1011">
            <v>131</v>
          </cell>
          <cell r="E1011">
            <v>2.9</v>
          </cell>
          <cell r="F1011">
            <v>4.4000000000000004</v>
          </cell>
          <cell r="G1011">
            <v>4.4000000000000004</v>
          </cell>
          <cell r="H1011">
            <v>4.2</v>
          </cell>
          <cell r="I1011">
            <v>3.2</v>
          </cell>
          <cell r="J1011">
            <v>2.9</v>
          </cell>
          <cell r="K1011">
            <v>4</v>
          </cell>
          <cell r="L1011">
            <v>3.7</v>
          </cell>
          <cell r="M1011">
            <v>3.3</v>
          </cell>
        </row>
        <row r="1012">
          <cell r="C1012" t="str">
            <v>Hòa Hưng MBA T2 (phía 110kV)</v>
          </cell>
          <cell r="D1012">
            <v>132</v>
          </cell>
          <cell r="E1012">
            <v>6.7</v>
          </cell>
          <cell r="F1012">
            <v>9.5</v>
          </cell>
          <cell r="G1012">
            <v>9.3000000000000007</v>
          </cell>
          <cell r="H1012">
            <v>9.5</v>
          </cell>
          <cell r="I1012">
            <v>7.1</v>
          </cell>
          <cell r="J1012">
            <v>8.1999999999999993</v>
          </cell>
          <cell r="K1012">
            <v>8.6</v>
          </cell>
          <cell r="L1012">
            <v>8.3000000000000007</v>
          </cell>
          <cell r="M1012">
            <v>6.7</v>
          </cell>
        </row>
        <row r="1013">
          <cell r="C1013" t="str">
            <v>110kV 171 Hòa Hưng - (172-8) Hỏa Xa</v>
          </cell>
          <cell r="D1013">
            <v>171</v>
          </cell>
          <cell r="E1013">
            <v>-2.9</v>
          </cell>
          <cell r="F1013">
            <v>-4.3</v>
          </cell>
          <cell r="G1013">
            <v>-4.3</v>
          </cell>
          <cell r="H1013">
            <v>-4.2</v>
          </cell>
          <cell r="I1013">
            <v>-3.2</v>
          </cell>
          <cell r="J1013">
            <v>-2.9</v>
          </cell>
          <cell r="K1013">
            <v>-4</v>
          </cell>
          <cell r="L1013">
            <v>-3.7</v>
          </cell>
          <cell r="M1013">
            <v>-3.2</v>
          </cell>
        </row>
        <row r="1014">
          <cell r="C1014" t="str">
            <v>110kV 172 Hòa Hưng - 175 Tao Đàn</v>
          </cell>
          <cell r="D1014">
            <v>172</v>
          </cell>
          <cell r="E1014">
            <v>-7.1</v>
          </cell>
          <cell r="F1014">
            <v>-9.6</v>
          </cell>
          <cell r="G1014">
            <v>-9.3000000000000007</v>
          </cell>
          <cell r="H1014">
            <v>-9.6</v>
          </cell>
          <cell r="I1014">
            <v>-7.1</v>
          </cell>
          <cell r="J1014">
            <v>-8.3000000000000007</v>
          </cell>
          <cell r="K1014">
            <v>-8.6999999999999993</v>
          </cell>
          <cell r="L1014">
            <v>-8.3000000000000007</v>
          </cell>
          <cell r="M1014">
            <v>-7.4</v>
          </cell>
        </row>
        <row r="1015">
          <cell r="C1015" t="str">
            <v>Hòa Hưng MBA T1 (phía 22kV)</v>
          </cell>
          <cell r="D1015">
            <v>431</v>
          </cell>
          <cell r="E1015">
            <v>1.9</v>
          </cell>
          <cell r="F1015">
            <v>2.1</v>
          </cell>
          <cell r="G1015">
            <v>2.1</v>
          </cell>
          <cell r="H1015">
            <v>1.9</v>
          </cell>
          <cell r="I1015">
            <v>1.9</v>
          </cell>
          <cell r="J1015">
            <v>1.9</v>
          </cell>
          <cell r="K1015">
            <v>1.9</v>
          </cell>
          <cell r="L1015">
            <v>2</v>
          </cell>
          <cell r="M1015">
            <v>1.9</v>
          </cell>
        </row>
        <row r="1016">
          <cell r="C1016" t="str">
            <v>Hòa Hưng MBA T2 (phía 22kV)</v>
          </cell>
          <cell r="D1016">
            <v>432</v>
          </cell>
          <cell r="E1016">
            <v>5</v>
          </cell>
          <cell r="F1016">
            <v>5.8</v>
          </cell>
          <cell r="G1016">
            <v>5.3</v>
          </cell>
          <cell r="H1016">
            <v>5</v>
          </cell>
          <cell r="I1016">
            <v>5.2</v>
          </cell>
          <cell r="J1016">
            <v>5.3</v>
          </cell>
          <cell r="K1016">
            <v>5.4</v>
          </cell>
          <cell r="L1016">
            <v>5.8</v>
          </cell>
          <cell r="M1016">
            <v>5.4</v>
          </cell>
        </row>
        <row r="1017">
          <cell r="C1017" t="str">
            <v>Hòa Lợi MBA T1 (phía 110kV)</v>
          </cell>
          <cell r="D1017">
            <v>131</v>
          </cell>
          <cell r="E1017">
            <v>3.1</v>
          </cell>
          <cell r="F1017">
            <v>9.1</v>
          </cell>
          <cell r="G1017">
            <v>5.6</v>
          </cell>
          <cell r="H1017">
            <v>5.8</v>
          </cell>
          <cell r="I1017">
            <v>6.6</v>
          </cell>
          <cell r="J1017">
            <v>3.1</v>
          </cell>
          <cell r="K1017">
            <v>9</v>
          </cell>
          <cell r="L1017">
            <v>6.2</v>
          </cell>
          <cell r="M1017">
            <v>9.1</v>
          </cell>
        </row>
        <row r="1018">
          <cell r="C1018" t="str">
            <v>Hòa Lợi MBA T2 (phía 110kV)</v>
          </cell>
          <cell r="D1018">
            <v>132</v>
          </cell>
          <cell r="E1018">
            <v>4.0999999999999996</v>
          </cell>
          <cell r="F1018">
            <v>-8.3000000000000007</v>
          </cell>
          <cell r="G1018">
            <v>-5.5</v>
          </cell>
          <cell r="H1018">
            <v>-7.3</v>
          </cell>
          <cell r="I1018">
            <v>-8.3000000000000007</v>
          </cell>
          <cell r="J1018">
            <v>4.0999999999999996</v>
          </cell>
          <cell r="K1018">
            <v>-6.5</v>
          </cell>
          <cell r="L1018">
            <v>-7.6</v>
          </cell>
          <cell r="M1018">
            <v>-8.1999999999999993</v>
          </cell>
        </row>
        <row r="1019">
          <cell r="C1019" t="str">
            <v>110kV 171 Hòa Lợi - 172 Hòa Bình</v>
          </cell>
          <cell r="D1019">
            <v>171</v>
          </cell>
          <cell r="E1019">
            <v>0</v>
          </cell>
          <cell r="F1019">
            <v>9</v>
          </cell>
          <cell r="G1019">
            <v>8.6</v>
          </cell>
          <cell r="H1019">
            <v>9</v>
          </cell>
          <cell r="I1019">
            <v>2.5</v>
          </cell>
          <cell r="J1019">
            <v>0</v>
          </cell>
          <cell r="K1019">
            <v>5.0999999999999996</v>
          </cell>
          <cell r="L1019">
            <v>7.9</v>
          </cell>
          <cell r="M1019">
            <v>8.5</v>
          </cell>
        </row>
        <row r="1020">
          <cell r="C1020" t="str">
            <v>110kV 172 Hòa Lợi - 181 Tân Định</v>
          </cell>
          <cell r="D1020">
            <v>172</v>
          </cell>
          <cell r="E1020">
            <v>-5.3</v>
          </cell>
          <cell r="F1020">
            <v>-16.100000000000001</v>
          </cell>
          <cell r="G1020">
            <v>-12.3</v>
          </cell>
          <cell r="H1020">
            <v>-16.100000000000001</v>
          </cell>
          <cell r="I1020">
            <v>-13.5</v>
          </cell>
          <cell r="J1020">
            <v>-5.3</v>
          </cell>
          <cell r="K1020">
            <v>-15.3</v>
          </cell>
          <cell r="L1020">
            <v>-12.1</v>
          </cell>
          <cell r="M1020">
            <v>-12.8</v>
          </cell>
        </row>
        <row r="1021">
          <cell r="C1021" t="str">
            <v>Hòa Lợi MBA T1 (phía 22kV)</v>
          </cell>
          <cell r="D1021">
            <v>431</v>
          </cell>
          <cell r="E1021">
            <v>2.2000000000000002</v>
          </cell>
          <cell r="F1021">
            <v>7.1</v>
          </cell>
          <cell r="G1021">
            <v>7.1</v>
          </cell>
          <cell r="H1021">
            <v>5</v>
          </cell>
          <cell r="I1021">
            <v>4.9000000000000004</v>
          </cell>
          <cell r="J1021">
            <v>2.2000000000000002</v>
          </cell>
          <cell r="K1021">
            <v>-4.8</v>
          </cell>
          <cell r="L1021">
            <v>4.5999999999999996</v>
          </cell>
          <cell r="M1021">
            <v>-4.4000000000000004</v>
          </cell>
        </row>
        <row r="1022">
          <cell r="C1022" t="str">
            <v>Hòa Lợi MBA T2 (phía 22kV)</v>
          </cell>
          <cell r="D1022">
            <v>432</v>
          </cell>
          <cell r="E1022">
            <v>-1.1000000000000001</v>
          </cell>
          <cell r="F1022">
            <v>9.1</v>
          </cell>
          <cell r="G1022">
            <v>6.9</v>
          </cell>
          <cell r="H1022">
            <v>8.1999999999999993</v>
          </cell>
          <cell r="I1022">
            <v>9.1</v>
          </cell>
          <cell r="J1022">
            <v>-1.1000000000000001</v>
          </cell>
          <cell r="K1022">
            <v>7.6</v>
          </cell>
          <cell r="L1022">
            <v>8.6</v>
          </cell>
          <cell r="M1022">
            <v>9</v>
          </cell>
        </row>
        <row r="1023">
          <cell r="C1023" t="str">
            <v>Hòa Phú MBA T1 (phía 110kV)</v>
          </cell>
          <cell r="D1023">
            <v>131</v>
          </cell>
          <cell r="E1023">
            <v>-6.3</v>
          </cell>
          <cell r="F1023">
            <v>-11.8</v>
          </cell>
          <cell r="G1023">
            <v>-9</v>
          </cell>
          <cell r="H1023">
            <v>-7.7</v>
          </cell>
          <cell r="I1023">
            <v>-7.1</v>
          </cell>
          <cell r="J1023">
            <v>-11.8</v>
          </cell>
          <cell r="K1023">
            <v>-7.4</v>
          </cell>
          <cell r="L1023">
            <v>-7.8</v>
          </cell>
          <cell r="M1023">
            <v>-6.3</v>
          </cell>
        </row>
        <row r="1024">
          <cell r="C1024" t="str">
            <v>Hòa Phú MBA T2 (phía 110kV)</v>
          </cell>
          <cell r="D1024">
            <v>132</v>
          </cell>
          <cell r="E1024">
            <v>5.6</v>
          </cell>
          <cell r="F1024">
            <v>9.5</v>
          </cell>
          <cell r="G1024">
            <v>9.5</v>
          </cell>
          <cell r="H1024">
            <v>8.1</v>
          </cell>
          <cell r="I1024">
            <v>6.5</v>
          </cell>
          <cell r="J1024">
            <v>5.6</v>
          </cell>
          <cell r="K1024">
            <v>7.9</v>
          </cell>
          <cell r="L1024">
            <v>9.1999999999999993</v>
          </cell>
          <cell r="M1024">
            <v>8.1999999999999993</v>
          </cell>
        </row>
        <row r="1025">
          <cell r="C1025" t="str">
            <v>110kV 171 Hòa Phú - 182 Tân Định</v>
          </cell>
          <cell r="D1025">
            <v>171</v>
          </cell>
          <cell r="E1025">
            <v>9.1</v>
          </cell>
          <cell r="F1025">
            <v>-16.5</v>
          </cell>
          <cell r="G1025">
            <v>-16.5</v>
          </cell>
          <cell r="H1025">
            <v>-14.6</v>
          </cell>
          <cell r="I1025">
            <v>-12.2</v>
          </cell>
          <cell r="J1025">
            <v>9.1</v>
          </cell>
          <cell r="K1025">
            <v>-14.4</v>
          </cell>
          <cell r="L1025">
            <v>-15.8</v>
          </cell>
          <cell r="M1025">
            <v>-14.6</v>
          </cell>
        </row>
        <row r="1026">
          <cell r="C1026" t="str">
            <v>110kV 172 Hòa Phú - 171 Hòa Bình</v>
          </cell>
          <cell r="D1026">
            <v>172</v>
          </cell>
          <cell r="E1026">
            <v>-3.1</v>
          </cell>
          <cell r="F1026">
            <v>8.9</v>
          </cell>
          <cell r="G1026">
            <v>-7</v>
          </cell>
          <cell r="H1026">
            <v>8.9</v>
          </cell>
          <cell r="I1026">
            <v>-6.5</v>
          </cell>
          <cell r="J1026">
            <v>-3.1</v>
          </cell>
          <cell r="K1026">
            <v>6.3</v>
          </cell>
          <cell r="L1026">
            <v>7.4</v>
          </cell>
          <cell r="M1026">
            <v>7.6</v>
          </cell>
        </row>
        <row r="1027">
          <cell r="C1027" t="str">
            <v>Hòa Phú MBA T1 (phía 22kV)</v>
          </cell>
          <cell r="D1027">
            <v>431</v>
          </cell>
          <cell r="E1027">
            <v>8.4</v>
          </cell>
          <cell r="F1027">
            <v>12.5</v>
          </cell>
          <cell r="G1027">
            <v>10.7</v>
          </cell>
          <cell r="H1027">
            <v>9.8000000000000007</v>
          </cell>
          <cell r="I1027">
            <v>9</v>
          </cell>
          <cell r="J1027">
            <v>12.5</v>
          </cell>
          <cell r="K1027">
            <v>9.1999999999999993</v>
          </cell>
          <cell r="L1027">
            <v>9.9</v>
          </cell>
          <cell r="M1027">
            <v>8.4</v>
          </cell>
        </row>
        <row r="1028">
          <cell r="C1028" t="str">
            <v>Hòa Phú MBA T2 (phía 22kV)</v>
          </cell>
          <cell r="D1028">
            <v>432</v>
          </cell>
          <cell r="E1028">
            <v>-3.5</v>
          </cell>
          <cell r="F1028">
            <v>5.0999999999999996</v>
          </cell>
          <cell r="G1028">
            <v>-5.0999999999999996</v>
          </cell>
          <cell r="H1028">
            <v>-4.5</v>
          </cell>
          <cell r="I1028">
            <v>-3.5</v>
          </cell>
          <cell r="J1028">
            <v>5.0999999999999996</v>
          </cell>
          <cell r="K1028">
            <v>-4.0999999999999996</v>
          </cell>
          <cell r="L1028">
            <v>-4.8</v>
          </cell>
          <cell r="M1028">
            <v>-4.2</v>
          </cell>
        </row>
        <row r="1029">
          <cell r="C1029" t="str">
            <v>Hòa Thành MBA T1 (phía 110kV)</v>
          </cell>
          <cell r="D1029">
            <v>131</v>
          </cell>
          <cell r="E1029">
            <v>-1</v>
          </cell>
          <cell r="F1029">
            <v>2.7</v>
          </cell>
          <cell r="G1029">
            <v>-1</v>
          </cell>
          <cell r="H1029">
            <v>1.4</v>
          </cell>
          <cell r="I1029">
            <v>2.7</v>
          </cell>
          <cell r="J1029">
            <v>-2.5</v>
          </cell>
          <cell r="K1029">
            <v>-2.2999999999999998</v>
          </cell>
          <cell r="L1029">
            <v>1.9</v>
          </cell>
          <cell r="M1029">
            <v>2</v>
          </cell>
        </row>
        <row r="1030">
          <cell r="C1030" t="str">
            <v>Hòa Thành MBA T2 (phía 110kV)</v>
          </cell>
          <cell r="D1030">
            <v>132</v>
          </cell>
          <cell r="E1030">
            <v>1.4</v>
          </cell>
          <cell r="F1030">
            <v>-3.9</v>
          </cell>
          <cell r="G1030">
            <v>2.7</v>
          </cell>
          <cell r="H1030">
            <v>-3.8</v>
          </cell>
          <cell r="I1030">
            <v>-3.9</v>
          </cell>
          <cell r="J1030">
            <v>1.4</v>
          </cell>
          <cell r="K1030">
            <v>3</v>
          </cell>
          <cell r="L1030">
            <v>3</v>
          </cell>
          <cell r="M1030">
            <v>3.5</v>
          </cell>
        </row>
        <row r="1031">
          <cell r="C1031" t="str">
            <v>110kV 171 Hòa Thành - 171 Phước Đức</v>
          </cell>
          <cell r="D1031">
            <v>171</v>
          </cell>
          <cell r="E1031">
            <v>23.2</v>
          </cell>
          <cell r="F1031">
            <v>30.9</v>
          </cell>
          <cell r="G1031">
            <v>28.1</v>
          </cell>
          <cell r="H1031">
            <v>29</v>
          </cell>
          <cell r="I1031">
            <v>27.1</v>
          </cell>
          <cell r="J1031">
            <v>23.2</v>
          </cell>
          <cell r="K1031">
            <v>26.5</v>
          </cell>
          <cell r="L1031">
            <v>30.9</v>
          </cell>
          <cell r="M1031">
            <v>27</v>
          </cell>
        </row>
        <row r="1032">
          <cell r="C1032" t="str">
            <v>110kV 172 Hòa Thành - 171 Tây Ninh 2</v>
          </cell>
          <cell r="D1032">
            <v>172</v>
          </cell>
          <cell r="E1032">
            <v>-23.7</v>
          </cell>
          <cell r="F1032">
            <v>-34.200000000000003</v>
          </cell>
          <cell r="G1032">
            <v>-31.2</v>
          </cell>
          <cell r="H1032">
            <v>-27.7</v>
          </cell>
          <cell r="I1032">
            <v>-27.9</v>
          </cell>
          <cell r="J1032">
            <v>-23.7</v>
          </cell>
          <cell r="K1032">
            <v>-29.6</v>
          </cell>
          <cell r="L1032">
            <v>-34.200000000000003</v>
          </cell>
          <cell r="M1032">
            <v>-30.9</v>
          </cell>
        </row>
        <row r="1033">
          <cell r="C1033" t="str">
            <v>Hòa Thành MBA T1 (phía 22kV)</v>
          </cell>
          <cell r="D1033">
            <v>431</v>
          </cell>
          <cell r="E1033">
            <v>1</v>
          </cell>
          <cell r="F1033">
            <v>3.1</v>
          </cell>
          <cell r="G1033">
            <v>2</v>
          </cell>
          <cell r="H1033">
            <v>1</v>
          </cell>
          <cell r="I1033">
            <v>2.2999999999999998</v>
          </cell>
          <cell r="J1033">
            <v>3.1</v>
          </cell>
          <cell r="K1033">
            <v>3</v>
          </cell>
          <cell r="L1033">
            <v>2.5</v>
          </cell>
          <cell r="M1033">
            <v>2.1</v>
          </cell>
        </row>
        <row r="1034">
          <cell r="C1034" t="str">
            <v>Hòa Thành MBA T2 (phía 22kV)</v>
          </cell>
          <cell r="D1034">
            <v>432</v>
          </cell>
          <cell r="E1034">
            <v>-1.3</v>
          </cell>
          <cell r="F1034">
            <v>3.9</v>
          </cell>
          <cell r="G1034">
            <v>-2.4</v>
          </cell>
          <cell r="H1034">
            <v>3.9</v>
          </cell>
          <cell r="I1034">
            <v>3.9</v>
          </cell>
          <cell r="J1034">
            <v>-1.3</v>
          </cell>
          <cell r="K1034">
            <v>-2.7</v>
          </cell>
          <cell r="L1034">
            <v>-2.8</v>
          </cell>
          <cell r="M1034">
            <v>-3.2</v>
          </cell>
        </row>
        <row r="1035">
          <cell r="C1035" t="str">
            <v>Hòa Thuận MBA T1 (phía 110kV)</v>
          </cell>
          <cell r="D1035">
            <v>131</v>
          </cell>
          <cell r="E1035">
            <v>4.7</v>
          </cell>
          <cell r="F1035">
            <v>9.1999999999999993</v>
          </cell>
          <cell r="G1035">
            <v>6.7</v>
          </cell>
          <cell r="H1035">
            <v>7</v>
          </cell>
          <cell r="I1035">
            <v>9.1999999999999993</v>
          </cell>
          <cell r="J1035">
            <v>-7.9</v>
          </cell>
          <cell r="K1035">
            <v>7.6</v>
          </cell>
          <cell r="L1035">
            <v>6.2</v>
          </cell>
          <cell r="M1035">
            <v>4.7</v>
          </cell>
        </row>
        <row r="1036">
          <cell r="C1036" t="str">
            <v>Hòa Thuận MBA T2 (phía 110kV)</v>
          </cell>
          <cell r="D1036">
            <v>132</v>
          </cell>
          <cell r="E1036">
            <v>4.2</v>
          </cell>
          <cell r="F1036">
            <v>10.1</v>
          </cell>
          <cell r="G1036">
            <v>6</v>
          </cell>
          <cell r="H1036">
            <v>7</v>
          </cell>
          <cell r="I1036">
            <v>4.2</v>
          </cell>
          <cell r="J1036">
            <v>-4.3</v>
          </cell>
          <cell r="K1036">
            <v>5.5</v>
          </cell>
          <cell r="L1036">
            <v>10.1</v>
          </cell>
          <cell r="M1036">
            <v>9.3000000000000007</v>
          </cell>
        </row>
        <row r="1037">
          <cell r="C1037" t="str">
            <v>110kV 171 Hòa Thuận - 173 Mỹ Phước</v>
          </cell>
          <cell r="D1037">
            <v>171</v>
          </cell>
          <cell r="E1037">
            <v>-11.9</v>
          </cell>
          <cell r="F1037">
            <v>-21.3</v>
          </cell>
          <cell r="G1037">
            <v>-17.8</v>
          </cell>
          <cell r="H1037">
            <v>-19.899999999999999</v>
          </cell>
          <cell r="I1037">
            <v>-11.9</v>
          </cell>
          <cell r="J1037">
            <v>12.7</v>
          </cell>
          <cell r="K1037">
            <v>-16</v>
          </cell>
          <cell r="L1037">
            <v>-21.3</v>
          </cell>
          <cell r="M1037">
            <v>-20.9</v>
          </cell>
        </row>
        <row r="1038">
          <cell r="C1038" t="str">
            <v>110kV 172 Hòa Thuận - 172 Thới Hòa</v>
          </cell>
          <cell r="D1038">
            <v>172</v>
          </cell>
          <cell r="E1038">
            <v>6.5</v>
          </cell>
          <cell r="F1038">
            <v>8.1</v>
          </cell>
          <cell r="G1038">
            <v>8.1</v>
          </cell>
          <cell r="H1038">
            <v>8</v>
          </cell>
          <cell r="I1038">
            <v>6.5</v>
          </cell>
          <cell r="J1038">
            <v>-6.8</v>
          </cell>
          <cell r="K1038">
            <v>7.9</v>
          </cell>
          <cell r="L1038">
            <v>7.5</v>
          </cell>
          <cell r="M1038">
            <v>7.6</v>
          </cell>
        </row>
        <row r="1039">
          <cell r="C1039" t="str">
            <v>Hòa Thuận MBA T1 (phía 22kV)</v>
          </cell>
          <cell r="D1039">
            <v>431</v>
          </cell>
          <cell r="E1039">
            <v>-5.4</v>
          </cell>
          <cell r="F1039">
            <v>9.1999999999999993</v>
          </cell>
          <cell r="G1039">
            <v>5.5</v>
          </cell>
          <cell r="H1039">
            <v>6.6</v>
          </cell>
          <cell r="I1039">
            <v>8.6999999999999993</v>
          </cell>
          <cell r="J1039">
            <v>9.1999999999999993</v>
          </cell>
          <cell r="K1039">
            <v>-5.4</v>
          </cell>
          <cell r="L1039">
            <v>6.4</v>
          </cell>
          <cell r="M1039">
            <v>7.3</v>
          </cell>
        </row>
        <row r="1040">
          <cell r="C1040" t="str">
            <v>Hòa Thuận MBA T2 (phía 22kV)</v>
          </cell>
          <cell r="D1040">
            <v>432</v>
          </cell>
          <cell r="E1040">
            <v>4.7</v>
          </cell>
          <cell r="F1040">
            <v>-6.2</v>
          </cell>
          <cell r="G1040">
            <v>5.0999999999999996</v>
          </cell>
          <cell r="H1040">
            <v>4.9000000000000004</v>
          </cell>
          <cell r="I1040">
            <v>5</v>
          </cell>
          <cell r="J1040">
            <v>5.5</v>
          </cell>
          <cell r="K1040">
            <v>4.7</v>
          </cell>
          <cell r="L1040">
            <v>-6.2</v>
          </cell>
          <cell r="M1040">
            <v>-5.4</v>
          </cell>
        </row>
        <row r="1041">
          <cell r="C1041" t="str">
            <v>Hỏa Xa MBA T1 (phía 110kV)</v>
          </cell>
          <cell r="D1041">
            <v>131</v>
          </cell>
          <cell r="E1041">
            <v>-0.6</v>
          </cell>
          <cell r="F1041">
            <v>2.1</v>
          </cell>
          <cell r="G1041">
            <v>2.1</v>
          </cell>
          <cell r="H1041">
            <v>1.9</v>
          </cell>
          <cell r="I1041">
            <v>1.7</v>
          </cell>
          <cell r="J1041">
            <v>1.6</v>
          </cell>
          <cell r="K1041">
            <v>-1.6</v>
          </cell>
          <cell r="L1041">
            <v>-1.3</v>
          </cell>
          <cell r="M1041">
            <v>-0.6</v>
          </cell>
        </row>
        <row r="1042">
          <cell r="C1042" t="str">
            <v>Hỏa Xa MBA T2 (phía 110kV)</v>
          </cell>
          <cell r="D1042">
            <v>132</v>
          </cell>
          <cell r="E1042">
            <v>-2.2999999999999998</v>
          </cell>
          <cell r="F1042">
            <v>-6.3</v>
          </cell>
          <cell r="G1042">
            <v>-5.5</v>
          </cell>
          <cell r="H1042">
            <v>-5.6</v>
          </cell>
          <cell r="I1042">
            <v>-3.8</v>
          </cell>
          <cell r="J1042">
            <v>-2.2999999999999998</v>
          </cell>
          <cell r="K1042">
            <v>-6.1</v>
          </cell>
          <cell r="L1042">
            <v>-6.3</v>
          </cell>
          <cell r="M1042">
            <v>-5.4</v>
          </cell>
        </row>
        <row r="1043">
          <cell r="C1043" t="str">
            <v>110kV 171 Hỏa Xa - 173 Bình Triệu</v>
          </cell>
          <cell r="D1043">
            <v>171</v>
          </cell>
          <cell r="E1043">
            <v>-2.4</v>
          </cell>
          <cell r="F1043">
            <v>-4.8</v>
          </cell>
          <cell r="G1043">
            <v>-4.8</v>
          </cell>
          <cell r="H1043">
            <v>-4.8</v>
          </cell>
          <cell r="I1043">
            <v>-4</v>
          </cell>
          <cell r="J1043">
            <v>-2.4</v>
          </cell>
          <cell r="K1043">
            <v>-4.8</v>
          </cell>
          <cell r="L1043">
            <v>-4</v>
          </cell>
          <cell r="M1043">
            <v>-2.4</v>
          </cell>
        </row>
        <row r="1044">
          <cell r="C1044" t="str">
            <v>110kV 172 Hỏa Xa - 173 Hiệp Bình Phước</v>
          </cell>
          <cell r="D1044">
            <v>172</v>
          </cell>
          <cell r="E1044">
            <v>0</v>
          </cell>
          <cell r="F1044">
            <v>2.4</v>
          </cell>
          <cell r="G1044">
            <v>0.8</v>
          </cell>
          <cell r="H1044">
            <v>2.4</v>
          </cell>
          <cell r="I1044">
            <v>0.8</v>
          </cell>
          <cell r="J1044">
            <v>0</v>
          </cell>
          <cell r="K1044">
            <v>0.8</v>
          </cell>
          <cell r="L1044">
            <v>0.8</v>
          </cell>
          <cell r="M1044">
            <v>0.8</v>
          </cell>
        </row>
        <row r="1045">
          <cell r="C1045" t="str">
            <v>Hỏa Xa MBA T1 (phía 22kV)</v>
          </cell>
          <cell r="D1045">
            <v>431</v>
          </cell>
          <cell r="E1045">
            <v>0.7</v>
          </cell>
          <cell r="F1045">
            <v>2.1</v>
          </cell>
          <cell r="G1045">
            <v>2.1</v>
          </cell>
          <cell r="H1045">
            <v>1.9</v>
          </cell>
          <cell r="I1045">
            <v>2</v>
          </cell>
          <cell r="J1045">
            <v>1.9</v>
          </cell>
          <cell r="K1045">
            <v>2</v>
          </cell>
          <cell r="L1045">
            <v>1.5</v>
          </cell>
          <cell r="M1045">
            <v>0.7</v>
          </cell>
        </row>
        <row r="1046">
          <cell r="C1046" t="str">
            <v>Hỏa Xa MBA T2 (phía 22kV)</v>
          </cell>
          <cell r="D1046">
            <v>432</v>
          </cell>
          <cell r="E1046">
            <v>-1.4</v>
          </cell>
          <cell r="F1046">
            <v>-6.3</v>
          </cell>
          <cell r="G1046">
            <v>3.7</v>
          </cell>
          <cell r="H1046">
            <v>-6.3</v>
          </cell>
          <cell r="I1046">
            <v>2.4</v>
          </cell>
          <cell r="J1046">
            <v>-1.4</v>
          </cell>
          <cell r="K1046">
            <v>3.8</v>
          </cell>
          <cell r="L1046">
            <v>3.8</v>
          </cell>
          <cell r="M1046">
            <v>3.5</v>
          </cell>
        </row>
        <row r="1047">
          <cell r="C1047" t="str">
            <v>Hóc Môn MBA AT1 (phía 110kV)</v>
          </cell>
          <cell r="D1047">
            <v>131</v>
          </cell>
          <cell r="E1047">
            <v>28.2</v>
          </cell>
          <cell r="F1047">
            <v>-43.4</v>
          </cell>
          <cell r="G1047">
            <v>-39</v>
          </cell>
          <cell r="H1047">
            <v>-43.4</v>
          </cell>
          <cell r="I1047">
            <v>33.9</v>
          </cell>
          <cell r="J1047">
            <v>28.2</v>
          </cell>
          <cell r="K1047">
            <v>-35.299999999999997</v>
          </cell>
          <cell r="L1047">
            <v>-37.700000000000003</v>
          </cell>
          <cell r="M1047">
            <v>34.6</v>
          </cell>
        </row>
        <row r="1048">
          <cell r="C1048" t="str">
            <v>Hóc Môn MBA AT2 (phía 110kV)</v>
          </cell>
          <cell r="D1048">
            <v>132</v>
          </cell>
          <cell r="E1048">
            <v>28.8</v>
          </cell>
          <cell r="F1048">
            <v>-47.2</v>
          </cell>
          <cell r="G1048">
            <v>-41.5</v>
          </cell>
          <cell r="H1048">
            <v>-47.2</v>
          </cell>
          <cell r="I1048">
            <v>34.9</v>
          </cell>
          <cell r="J1048">
            <v>28.8</v>
          </cell>
          <cell r="K1048">
            <v>-36.799999999999997</v>
          </cell>
          <cell r="L1048">
            <v>-40.299999999999997</v>
          </cell>
          <cell r="M1048">
            <v>35.1</v>
          </cell>
        </row>
        <row r="1049">
          <cell r="C1049" t="str">
            <v>Hóc Môn MBA AT3 (phía 110kV)</v>
          </cell>
          <cell r="D1049">
            <v>133</v>
          </cell>
          <cell r="E1049">
            <v>-7.9</v>
          </cell>
          <cell r="F1049">
            <v>51.2</v>
          </cell>
          <cell r="G1049">
            <v>50.4</v>
          </cell>
          <cell r="H1049">
            <v>-11.7</v>
          </cell>
          <cell r="I1049">
            <v>-11.6</v>
          </cell>
          <cell r="J1049">
            <v>-9.1</v>
          </cell>
          <cell r="K1049">
            <v>51.2</v>
          </cell>
          <cell r="L1049">
            <v>-9.8000000000000007</v>
          </cell>
          <cell r="M1049">
            <v>-7.9</v>
          </cell>
        </row>
        <row r="1050">
          <cell r="C1050" t="str">
            <v>Hóc Môn MBA T4 (phía 110kV)</v>
          </cell>
          <cell r="D1050">
            <v>134</v>
          </cell>
          <cell r="E1050">
            <v>-2.2999999999999998</v>
          </cell>
          <cell r="F1050">
            <v>3.8</v>
          </cell>
          <cell r="G1050">
            <v>3.8</v>
          </cell>
          <cell r="H1050">
            <v>3.7</v>
          </cell>
          <cell r="I1050">
            <v>2.9</v>
          </cell>
          <cell r="J1050">
            <v>-2.2999999999999998</v>
          </cell>
          <cell r="K1050">
            <v>3.4</v>
          </cell>
          <cell r="L1050">
            <v>3.2</v>
          </cell>
          <cell r="M1050">
            <v>3.1</v>
          </cell>
        </row>
        <row r="1051">
          <cell r="C1051" t="str">
            <v>Hóc Môn MBA T5 (phía 110kV)</v>
          </cell>
          <cell r="D1051">
            <v>135</v>
          </cell>
          <cell r="E1051">
            <v>5.8</v>
          </cell>
          <cell r="F1051">
            <v>-7</v>
          </cell>
          <cell r="G1051">
            <v>6.2</v>
          </cell>
          <cell r="H1051">
            <v>5.8</v>
          </cell>
          <cell r="I1051">
            <v>-5.9</v>
          </cell>
          <cell r="J1051">
            <v>-6.4</v>
          </cell>
          <cell r="K1051">
            <v>-7</v>
          </cell>
          <cell r="L1051">
            <v>-6.2</v>
          </cell>
          <cell r="M1051">
            <v>6</v>
          </cell>
        </row>
        <row r="1052">
          <cell r="C1052" t="str">
            <v>Hóc Môn MBA T6 (phía 110kV)</v>
          </cell>
          <cell r="D1052">
            <v>136</v>
          </cell>
          <cell r="E1052">
            <v>-6</v>
          </cell>
          <cell r="F1052">
            <v>-6.9</v>
          </cell>
          <cell r="G1052">
            <v>-6</v>
          </cell>
          <cell r="H1052">
            <v>-6.1</v>
          </cell>
          <cell r="I1052">
            <v>-6.3</v>
          </cell>
          <cell r="J1052">
            <v>-6.5</v>
          </cell>
          <cell r="K1052">
            <v>-6.9</v>
          </cell>
          <cell r="L1052">
            <v>-6.5</v>
          </cell>
          <cell r="M1052">
            <v>-6</v>
          </cell>
        </row>
        <row r="1053">
          <cell r="C1053" t="str">
            <v>110kV 171 Hóc Môn - 172 Đông Thạnh</v>
          </cell>
          <cell r="D1053">
            <v>171</v>
          </cell>
          <cell r="E1053">
            <v>-3.1</v>
          </cell>
          <cell r="F1053">
            <v>3.8</v>
          </cell>
          <cell r="G1053">
            <v>3.8</v>
          </cell>
          <cell r="H1053">
            <v>3.3</v>
          </cell>
          <cell r="I1053">
            <v>3.2</v>
          </cell>
          <cell r="J1053">
            <v>-3.4</v>
          </cell>
          <cell r="K1053">
            <v>-3.5</v>
          </cell>
          <cell r="L1053">
            <v>-3.3</v>
          </cell>
          <cell r="M1053">
            <v>-3.1</v>
          </cell>
        </row>
        <row r="1054">
          <cell r="C1054" t="str">
            <v>110kV 172 Hóc Môn - 171 Tham Lương</v>
          </cell>
          <cell r="D1054">
            <v>172</v>
          </cell>
          <cell r="E1054">
            <v>-10.1</v>
          </cell>
          <cell r="F1054">
            <v>27.6</v>
          </cell>
          <cell r="G1054">
            <v>27.6</v>
          </cell>
          <cell r="H1054">
            <v>26.5</v>
          </cell>
          <cell r="I1054">
            <v>24.7</v>
          </cell>
          <cell r="J1054">
            <v>-10.1</v>
          </cell>
          <cell r="K1054">
            <v>26</v>
          </cell>
          <cell r="L1054">
            <v>25.1</v>
          </cell>
          <cell r="M1054">
            <v>23.9</v>
          </cell>
        </row>
        <row r="1055">
          <cell r="C1055" t="str">
            <v>110kV 173 Hóc Môn - 172 Tân Bình 1 - 131 Lưu Động Bà Điểm</v>
          </cell>
          <cell r="D1055">
            <v>173</v>
          </cell>
          <cell r="E1055">
            <v>7.2</v>
          </cell>
          <cell r="F1055">
            <v>29</v>
          </cell>
          <cell r="G1055">
            <v>29</v>
          </cell>
          <cell r="H1055">
            <v>27.4</v>
          </cell>
          <cell r="I1055">
            <v>25.3</v>
          </cell>
          <cell r="J1055">
            <v>7.2</v>
          </cell>
          <cell r="K1055">
            <v>26.6</v>
          </cell>
          <cell r="L1055">
            <v>27.3</v>
          </cell>
          <cell r="M1055">
            <v>26.2</v>
          </cell>
        </row>
        <row r="1056">
          <cell r="C1056" t="str">
            <v>110kV 174 Hóc Môn - 171 Thạnh Lộc</v>
          </cell>
          <cell r="D1056">
            <v>174</v>
          </cell>
          <cell r="E1056">
            <v>-27.5</v>
          </cell>
          <cell r="F1056">
            <v>45.6</v>
          </cell>
          <cell r="G1056">
            <v>45</v>
          </cell>
          <cell r="H1056">
            <v>44.8</v>
          </cell>
          <cell r="I1056">
            <v>37.299999999999997</v>
          </cell>
          <cell r="J1056">
            <v>-27.5</v>
          </cell>
          <cell r="K1056">
            <v>45.6</v>
          </cell>
          <cell r="L1056">
            <v>42.9</v>
          </cell>
          <cell r="M1056">
            <v>37.1</v>
          </cell>
        </row>
        <row r="1057">
          <cell r="C1057" t="str">
            <v>110kV 175 Hóc Môn - 171 Hiệp Bình Phước</v>
          </cell>
          <cell r="D1057">
            <v>175</v>
          </cell>
          <cell r="E1057">
            <v>26.9</v>
          </cell>
          <cell r="F1057">
            <v>44</v>
          </cell>
          <cell r="G1057">
            <v>43.8</v>
          </cell>
          <cell r="H1057">
            <v>41.1</v>
          </cell>
          <cell r="I1057">
            <v>36.200000000000003</v>
          </cell>
          <cell r="J1057">
            <v>26.9</v>
          </cell>
          <cell r="K1057">
            <v>44</v>
          </cell>
          <cell r="L1057">
            <v>42.4</v>
          </cell>
          <cell r="M1057">
            <v>34</v>
          </cell>
        </row>
        <row r="1058">
          <cell r="C1058" t="str">
            <v>110kV 176 Hóc Môn - T48A</v>
          </cell>
          <cell r="D1058">
            <v>176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</row>
        <row r="1059">
          <cell r="C1059" t="str">
            <v>110kV 177 Hóc Môn - 171 Gò Vấp</v>
          </cell>
          <cell r="D1059">
            <v>177</v>
          </cell>
          <cell r="E1059">
            <v>3.9</v>
          </cell>
          <cell r="F1059">
            <v>5.9</v>
          </cell>
          <cell r="G1059">
            <v>5.9</v>
          </cell>
          <cell r="H1059">
            <v>5.8</v>
          </cell>
          <cell r="I1059">
            <v>5.8</v>
          </cell>
          <cell r="J1059">
            <v>4.5</v>
          </cell>
          <cell r="K1059">
            <v>5</v>
          </cell>
          <cell r="L1059">
            <v>4.8</v>
          </cell>
          <cell r="M1059">
            <v>3.9</v>
          </cell>
        </row>
        <row r="1060">
          <cell r="C1060" t="str">
            <v>110kV 178 Hóc Môn - 172 Gò Vấp</v>
          </cell>
          <cell r="D1060">
            <v>178</v>
          </cell>
          <cell r="E1060">
            <v>4.0999999999999996</v>
          </cell>
          <cell r="F1060">
            <v>6</v>
          </cell>
          <cell r="G1060">
            <v>6</v>
          </cell>
          <cell r="H1060">
            <v>5.9</v>
          </cell>
          <cell r="I1060">
            <v>5.9</v>
          </cell>
          <cell r="J1060">
            <v>4.5</v>
          </cell>
          <cell r="K1060">
            <v>5.3</v>
          </cell>
          <cell r="L1060">
            <v>5</v>
          </cell>
          <cell r="M1060">
            <v>4.0999999999999996</v>
          </cell>
        </row>
        <row r="1061">
          <cell r="C1061" t="str">
            <v>Hóc Môn MBA AT1 (phía 220kV)</v>
          </cell>
          <cell r="D1061">
            <v>231</v>
          </cell>
          <cell r="E1061">
            <v>29.4</v>
          </cell>
          <cell r="F1061">
            <v>57.5</v>
          </cell>
          <cell r="G1061">
            <v>52.9</v>
          </cell>
          <cell r="H1061">
            <v>57.5</v>
          </cell>
          <cell r="I1061">
            <v>40.9</v>
          </cell>
          <cell r="J1061">
            <v>29.4</v>
          </cell>
          <cell r="K1061">
            <v>47.9</v>
          </cell>
          <cell r="L1061">
            <v>51.2</v>
          </cell>
          <cell r="M1061">
            <v>45.7</v>
          </cell>
        </row>
        <row r="1062">
          <cell r="C1062" t="str">
            <v>Hóc Môn MBA AT2 (phía 220kV)</v>
          </cell>
          <cell r="D1062">
            <v>232</v>
          </cell>
          <cell r="E1062">
            <v>31.2</v>
          </cell>
          <cell r="F1062">
            <v>62.1</v>
          </cell>
          <cell r="G1062">
            <v>56.3</v>
          </cell>
          <cell r="H1062">
            <v>62.1</v>
          </cell>
          <cell r="I1062">
            <v>43.9</v>
          </cell>
          <cell r="J1062">
            <v>31.2</v>
          </cell>
          <cell r="K1062">
            <v>50</v>
          </cell>
          <cell r="L1062">
            <v>54.3</v>
          </cell>
          <cell r="M1062">
            <v>48.9</v>
          </cell>
        </row>
        <row r="1063">
          <cell r="C1063" t="str">
            <v>Hóc Môn MBA AT3 (phía 220kV)</v>
          </cell>
          <cell r="D1063">
            <v>233</v>
          </cell>
          <cell r="E1063">
            <v>-10.9</v>
          </cell>
          <cell r="F1063">
            <v>48.5</v>
          </cell>
          <cell r="G1063">
            <v>47.3</v>
          </cell>
          <cell r="H1063">
            <v>-14.5</v>
          </cell>
          <cell r="I1063">
            <v>-14.9</v>
          </cell>
          <cell r="J1063">
            <v>-12</v>
          </cell>
          <cell r="K1063">
            <v>48.5</v>
          </cell>
          <cell r="L1063">
            <v>-13.1</v>
          </cell>
          <cell r="M1063">
            <v>-10.9</v>
          </cell>
        </row>
        <row r="1064">
          <cell r="C1064" t="str">
            <v>220kV 271 Hóc Môn - 280 Cầu Bông</v>
          </cell>
          <cell r="D1064">
            <v>271</v>
          </cell>
          <cell r="E1064">
            <v>-16.2</v>
          </cell>
          <cell r="F1064">
            <v>-40</v>
          </cell>
          <cell r="G1064">
            <v>-40</v>
          </cell>
          <cell r="H1064">
            <v>-35.4</v>
          </cell>
          <cell r="I1064">
            <v>-28.8</v>
          </cell>
          <cell r="J1064">
            <v>-16.2</v>
          </cell>
          <cell r="K1064">
            <v>-16.899999999999999</v>
          </cell>
          <cell r="L1064">
            <v>-18.399999999999999</v>
          </cell>
          <cell r="M1064">
            <v>-28.7</v>
          </cell>
        </row>
        <row r="1065">
          <cell r="C1065" t="str">
            <v>220kV 272 Hóc Môn - 275 Thuận An</v>
          </cell>
          <cell r="D1065">
            <v>272</v>
          </cell>
          <cell r="E1065">
            <v>-23.9</v>
          </cell>
          <cell r="F1065">
            <v>-44</v>
          </cell>
          <cell r="G1065">
            <v>-29</v>
          </cell>
          <cell r="H1065">
            <v>-41.6</v>
          </cell>
          <cell r="I1065">
            <v>-25.1</v>
          </cell>
          <cell r="J1065">
            <v>-23.9</v>
          </cell>
          <cell r="K1065">
            <v>-29.4</v>
          </cell>
          <cell r="L1065">
            <v>-44</v>
          </cell>
          <cell r="M1065">
            <v>27.8</v>
          </cell>
        </row>
        <row r="1066">
          <cell r="C1066" t="str">
            <v>220kV 273 Hóc Môn - 276 Thuận An</v>
          </cell>
          <cell r="D1066">
            <v>273</v>
          </cell>
          <cell r="E1066">
            <v>19</v>
          </cell>
          <cell r="F1066">
            <v>43.7</v>
          </cell>
          <cell r="G1066">
            <v>25.4</v>
          </cell>
          <cell r="H1066">
            <v>43.7</v>
          </cell>
          <cell r="I1066">
            <v>19</v>
          </cell>
          <cell r="J1066">
            <v>20.2</v>
          </cell>
          <cell r="K1066">
            <v>22.8</v>
          </cell>
          <cell r="L1066">
            <v>-33.700000000000003</v>
          </cell>
          <cell r="M1066">
            <v>33.5</v>
          </cell>
        </row>
        <row r="1067">
          <cell r="C1067" t="str">
            <v>220kV 274 Hóc Môn - 273 Hiệp Bình Phước</v>
          </cell>
          <cell r="D1067">
            <v>274</v>
          </cell>
          <cell r="E1067">
            <v>-40.6</v>
          </cell>
          <cell r="F1067">
            <v>-63.3</v>
          </cell>
          <cell r="G1067">
            <v>-40.6</v>
          </cell>
          <cell r="H1067">
            <v>-63.3</v>
          </cell>
          <cell r="I1067">
            <v>-44.8</v>
          </cell>
          <cell r="J1067">
            <v>-47.7</v>
          </cell>
          <cell r="K1067">
            <v>-55.9</v>
          </cell>
          <cell r="L1067">
            <v>-53.8</v>
          </cell>
          <cell r="M1067">
            <v>-62.9</v>
          </cell>
        </row>
        <row r="1068">
          <cell r="C1068" t="str">
            <v>220kV 275 Hóc Môn - 272 Thủ Đức</v>
          </cell>
          <cell r="D1068">
            <v>275</v>
          </cell>
          <cell r="E1068">
            <v>23.6</v>
          </cell>
          <cell r="F1068">
            <v>43.3</v>
          </cell>
          <cell r="G1068">
            <v>39.4</v>
          </cell>
          <cell r="H1068">
            <v>43.3</v>
          </cell>
          <cell r="I1068">
            <v>28.8</v>
          </cell>
          <cell r="J1068">
            <v>27.1</v>
          </cell>
          <cell r="K1068">
            <v>35.799999999999997</v>
          </cell>
          <cell r="L1068">
            <v>27.5</v>
          </cell>
          <cell r="M1068">
            <v>23.6</v>
          </cell>
        </row>
        <row r="1069">
          <cell r="C1069" t="str">
            <v>220kV 276 Hóc Môn - 279 Cầu Bông</v>
          </cell>
          <cell r="D1069">
            <v>276</v>
          </cell>
          <cell r="E1069">
            <v>16.7</v>
          </cell>
          <cell r="F1069">
            <v>-38.6</v>
          </cell>
          <cell r="G1069">
            <v>-38.6</v>
          </cell>
          <cell r="H1069">
            <v>-34.4</v>
          </cell>
          <cell r="I1069">
            <v>-27.7</v>
          </cell>
          <cell r="J1069">
            <v>-20.6</v>
          </cell>
          <cell r="K1069">
            <v>16.7</v>
          </cell>
          <cell r="L1069">
            <v>-17.7</v>
          </cell>
          <cell r="M1069">
            <v>-27.5</v>
          </cell>
        </row>
        <row r="1070">
          <cell r="C1070" t="str">
            <v>Hóc Môn MBA T4 (phía 22kV)</v>
          </cell>
          <cell r="D1070">
            <v>434</v>
          </cell>
          <cell r="E1070">
            <v>-2.2999999999999998</v>
          </cell>
          <cell r="F1070">
            <v>-3.4</v>
          </cell>
          <cell r="G1070">
            <v>2.6</v>
          </cell>
          <cell r="H1070">
            <v>2.6</v>
          </cell>
          <cell r="I1070">
            <v>-2.6</v>
          </cell>
          <cell r="J1070">
            <v>-3</v>
          </cell>
          <cell r="K1070">
            <v>-3.1</v>
          </cell>
          <cell r="L1070">
            <v>-3.4</v>
          </cell>
          <cell r="M1070">
            <v>-2.2999999999999998</v>
          </cell>
        </row>
        <row r="1071">
          <cell r="C1071" t="str">
            <v>Hóc Môn MBA T5 (phía 22kV)</v>
          </cell>
          <cell r="D1071">
            <v>435</v>
          </cell>
          <cell r="E1071">
            <v>-6.6</v>
          </cell>
          <cell r="F1071">
            <v>-8.1</v>
          </cell>
          <cell r="G1071">
            <v>-6.9</v>
          </cell>
          <cell r="H1071">
            <v>-6.6</v>
          </cell>
          <cell r="I1071">
            <v>-7</v>
          </cell>
          <cell r="J1071">
            <v>-7.6</v>
          </cell>
          <cell r="K1071">
            <v>-8.1</v>
          </cell>
          <cell r="L1071">
            <v>-7.3</v>
          </cell>
          <cell r="M1071">
            <v>-6.9</v>
          </cell>
        </row>
        <row r="1072">
          <cell r="C1072" t="str">
            <v>Hóc Môn MBA T6 (phía 22kV)</v>
          </cell>
          <cell r="D1072">
            <v>436</v>
          </cell>
          <cell r="E1072">
            <v>-6.7</v>
          </cell>
          <cell r="F1072">
            <v>-7.6</v>
          </cell>
          <cell r="G1072">
            <v>-6.7</v>
          </cell>
          <cell r="H1072">
            <v>-6.9</v>
          </cell>
          <cell r="I1072">
            <v>-7.1</v>
          </cell>
          <cell r="J1072">
            <v>-7.3</v>
          </cell>
          <cell r="K1072">
            <v>-7.6</v>
          </cell>
          <cell r="L1072">
            <v>-7.2</v>
          </cell>
          <cell r="M1072">
            <v>-6.8</v>
          </cell>
        </row>
        <row r="1073">
          <cell r="C1073" t="str">
            <v>Hòn Đất MBA T2 (phía 110kV)</v>
          </cell>
          <cell r="D1073">
            <v>132</v>
          </cell>
          <cell r="E1073">
            <v>1.8</v>
          </cell>
          <cell r="F1073">
            <v>2.7</v>
          </cell>
          <cell r="G1073">
            <v>2</v>
          </cell>
          <cell r="H1073">
            <v>2.7</v>
          </cell>
          <cell r="I1073">
            <v>1.8</v>
          </cell>
          <cell r="J1073">
            <v>2.1</v>
          </cell>
          <cell r="K1073">
            <v>2.2999999999999998</v>
          </cell>
          <cell r="L1073">
            <v>2.4</v>
          </cell>
          <cell r="M1073">
            <v>2.2999999999999998</v>
          </cell>
        </row>
        <row r="1074">
          <cell r="C1074" t="str">
            <v>110kV 171 Hòn Đất - 171 Rạch Giá</v>
          </cell>
          <cell r="D1074">
            <v>171</v>
          </cell>
          <cell r="E1074">
            <v>-1.9</v>
          </cell>
          <cell r="F1074">
            <v>-1.9</v>
          </cell>
          <cell r="G1074">
            <v>-1.9</v>
          </cell>
          <cell r="H1074">
            <v>-1.9</v>
          </cell>
          <cell r="I1074">
            <v>-1.9</v>
          </cell>
          <cell r="J1074">
            <v>-1.9</v>
          </cell>
          <cell r="K1074">
            <v>-1.9</v>
          </cell>
          <cell r="L1074">
            <v>-1.9</v>
          </cell>
          <cell r="M1074">
            <v>-1.9</v>
          </cell>
        </row>
        <row r="1075">
          <cell r="C1075" t="str">
            <v>110kV 172 Hòn Đất - 171 Kiên Bình</v>
          </cell>
          <cell r="D1075">
            <v>172</v>
          </cell>
          <cell r="E1075">
            <v>2.8</v>
          </cell>
          <cell r="F1075">
            <v>3.2</v>
          </cell>
          <cell r="G1075">
            <v>3.1</v>
          </cell>
          <cell r="H1075">
            <v>2.9</v>
          </cell>
          <cell r="I1075">
            <v>3.1</v>
          </cell>
          <cell r="J1075">
            <v>3</v>
          </cell>
          <cell r="K1075">
            <v>2.8</v>
          </cell>
          <cell r="L1075">
            <v>3.2</v>
          </cell>
          <cell r="M1075">
            <v>3</v>
          </cell>
        </row>
        <row r="1076">
          <cell r="C1076" t="str">
            <v>Hòn Đất MBA T2 (phía 22kV)</v>
          </cell>
          <cell r="D1076">
            <v>432</v>
          </cell>
          <cell r="E1076">
            <v>2.5</v>
          </cell>
          <cell r="F1076">
            <v>-2.7</v>
          </cell>
          <cell r="G1076">
            <v>2.6</v>
          </cell>
          <cell r="H1076">
            <v>2.5</v>
          </cell>
          <cell r="I1076">
            <v>2.5</v>
          </cell>
          <cell r="J1076">
            <v>2.5</v>
          </cell>
          <cell r="K1076">
            <v>2.7</v>
          </cell>
          <cell r="L1076">
            <v>-2.7</v>
          </cell>
          <cell r="M1076">
            <v>2.6</v>
          </cell>
        </row>
        <row r="1077">
          <cell r="C1077" t="str">
            <v>Hồng Dân MBA T1 (phía 110kV)</v>
          </cell>
          <cell r="D1077">
            <v>131</v>
          </cell>
          <cell r="E1077">
            <v>1</v>
          </cell>
          <cell r="F1077">
            <v>1.6</v>
          </cell>
          <cell r="G1077">
            <v>1.6</v>
          </cell>
          <cell r="H1077">
            <v>1.4</v>
          </cell>
          <cell r="I1077">
            <v>1.2</v>
          </cell>
          <cell r="J1077">
            <v>1.4</v>
          </cell>
          <cell r="K1077">
            <v>1</v>
          </cell>
          <cell r="L1077">
            <v>1</v>
          </cell>
          <cell r="M1077">
            <v>1.3</v>
          </cell>
        </row>
        <row r="1078">
          <cell r="C1078" t="str">
            <v>Hồng Dân MBA T2 (phía 110kV)</v>
          </cell>
          <cell r="D1078">
            <v>132</v>
          </cell>
          <cell r="E1078">
            <v>1.5</v>
          </cell>
          <cell r="F1078">
            <v>2.2999999999999998</v>
          </cell>
          <cell r="G1078">
            <v>2.2999999999999998</v>
          </cell>
          <cell r="H1078">
            <v>2.2000000000000002</v>
          </cell>
          <cell r="I1078">
            <v>1.5</v>
          </cell>
          <cell r="J1078">
            <v>2.2999999999999998</v>
          </cell>
          <cell r="K1078">
            <v>2.2999999999999998</v>
          </cell>
          <cell r="L1078">
            <v>2.2000000000000002</v>
          </cell>
          <cell r="M1078">
            <v>2.2999999999999998</v>
          </cell>
        </row>
        <row r="1079">
          <cell r="C1079" t="str">
            <v>110kV 171 Hồng Dân - 172 An Xuyên</v>
          </cell>
          <cell r="D1079">
            <v>171</v>
          </cell>
          <cell r="E1079">
            <v>-2.2000000000000002</v>
          </cell>
          <cell r="F1079">
            <v>-3</v>
          </cell>
          <cell r="G1079">
            <v>3</v>
          </cell>
          <cell r="H1079">
            <v>2.5</v>
          </cell>
          <cell r="I1079">
            <v>-2.2000000000000002</v>
          </cell>
          <cell r="J1079">
            <v>-3</v>
          </cell>
          <cell r="K1079">
            <v>-2.5</v>
          </cell>
          <cell r="L1079">
            <v>-2.9</v>
          </cell>
          <cell r="M1079">
            <v>2.9</v>
          </cell>
        </row>
        <row r="1080">
          <cell r="C1080" t="str">
            <v>110kV 172 Hồng Dân - 171 Long Mỹ</v>
          </cell>
          <cell r="D1080">
            <v>172</v>
          </cell>
          <cell r="E1080">
            <v>2</v>
          </cell>
          <cell r="F1080">
            <v>-3.7</v>
          </cell>
          <cell r="G1080">
            <v>-2.8</v>
          </cell>
          <cell r="H1080">
            <v>-3.3</v>
          </cell>
          <cell r="I1080">
            <v>2</v>
          </cell>
          <cell r="J1080">
            <v>-3.1</v>
          </cell>
          <cell r="K1080">
            <v>-3.6</v>
          </cell>
          <cell r="L1080">
            <v>-2.8</v>
          </cell>
          <cell r="M1080">
            <v>-3.7</v>
          </cell>
        </row>
        <row r="1081">
          <cell r="C1081" t="str">
            <v>Hồng Dân MBA T1 (phía 22kV)</v>
          </cell>
          <cell r="D1081">
            <v>431</v>
          </cell>
          <cell r="E1081">
            <v>1.5</v>
          </cell>
          <cell r="F1081">
            <v>-2</v>
          </cell>
          <cell r="G1081">
            <v>-2</v>
          </cell>
          <cell r="H1081">
            <v>-2</v>
          </cell>
          <cell r="I1081">
            <v>-1.8</v>
          </cell>
          <cell r="J1081">
            <v>-2</v>
          </cell>
          <cell r="K1081">
            <v>2</v>
          </cell>
          <cell r="L1081">
            <v>-2</v>
          </cell>
          <cell r="M1081">
            <v>1.5</v>
          </cell>
        </row>
        <row r="1082">
          <cell r="C1082" t="str">
            <v>Hồng Dân MBA T2 (phía 22kV)</v>
          </cell>
          <cell r="D1082">
            <v>432</v>
          </cell>
          <cell r="E1082">
            <v>-1.1000000000000001</v>
          </cell>
          <cell r="F1082">
            <v>2.8</v>
          </cell>
          <cell r="G1082">
            <v>2.8</v>
          </cell>
          <cell r="H1082">
            <v>2.8</v>
          </cell>
          <cell r="I1082">
            <v>-1.1000000000000001</v>
          </cell>
          <cell r="J1082">
            <v>-2</v>
          </cell>
          <cell r="K1082">
            <v>-1.9</v>
          </cell>
          <cell r="L1082">
            <v>-2</v>
          </cell>
          <cell r="M1082">
            <v>-1.9</v>
          </cell>
        </row>
        <row r="1083">
          <cell r="C1083" t="str">
            <v>Hồng Ngự MBA T1 (phía 110kV)</v>
          </cell>
          <cell r="D1083">
            <v>131</v>
          </cell>
          <cell r="E1083">
            <v>2.5</v>
          </cell>
          <cell r="F1083">
            <v>3.4</v>
          </cell>
          <cell r="G1083">
            <v>3.1</v>
          </cell>
          <cell r="H1083">
            <v>-2.7</v>
          </cell>
          <cell r="I1083">
            <v>-3.2</v>
          </cell>
          <cell r="J1083">
            <v>2.5</v>
          </cell>
          <cell r="K1083">
            <v>3.4</v>
          </cell>
          <cell r="L1083">
            <v>-2.6</v>
          </cell>
          <cell r="M1083">
            <v>2.6</v>
          </cell>
        </row>
        <row r="1084">
          <cell r="C1084" t="str">
            <v>Hồng Ngự MBA T2 (phía 110kV)</v>
          </cell>
          <cell r="D1084">
            <v>132</v>
          </cell>
          <cell r="E1084">
            <v>2.1</v>
          </cell>
          <cell r="F1084">
            <v>-5.2</v>
          </cell>
          <cell r="G1084">
            <v>-3.6</v>
          </cell>
          <cell r="H1084">
            <v>2.4</v>
          </cell>
          <cell r="I1084">
            <v>2.4</v>
          </cell>
          <cell r="J1084">
            <v>-4.4000000000000004</v>
          </cell>
          <cell r="K1084">
            <v>-5</v>
          </cell>
          <cell r="L1084">
            <v>2.1</v>
          </cell>
          <cell r="M1084">
            <v>-5.2</v>
          </cell>
        </row>
        <row r="1085">
          <cell r="C1085" t="str">
            <v>110kV 171 Hồng Ngự - 171 An Long</v>
          </cell>
          <cell r="D1085">
            <v>171</v>
          </cell>
          <cell r="E1085">
            <v>2.9</v>
          </cell>
          <cell r="F1085">
            <v>4</v>
          </cell>
          <cell r="G1085">
            <v>3.9</v>
          </cell>
          <cell r="H1085">
            <v>4</v>
          </cell>
          <cell r="I1085">
            <v>4</v>
          </cell>
          <cell r="J1085">
            <v>2.9</v>
          </cell>
          <cell r="K1085">
            <v>3.7</v>
          </cell>
          <cell r="L1085">
            <v>-3.5</v>
          </cell>
          <cell r="M1085">
            <v>3.8</v>
          </cell>
        </row>
        <row r="1086">
          <cell r="C1086" t="str">
            <v>110kV 172 Hồng Ngự - 171 Phú Châu</v>
          </cell>
          <cell r="D1086">
            <v>172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</row>
        <row r="1087">
          <cell r="C1087" t="str">
            <v>Hồng Ngự MBA T1 (phía 22kV)</v>
          </cell>
          <cell r="D1087">
            <v>431</v>
          </cell>
          <cell r="E1087">
            <v>2.2999999999999998</v>
          </cell>
          <cell r="F1087">
            <v>6.1</v>
          </cell>
          <cell r="G1087">
            <v>4.3</v>
          </cell>
          <cell r="H1087">
            <v>3</v>
          </cell>
          <cell r="I1087">
            <v>2.2999999999999998</v>
          </cell>
          <cell r="J1087">
            <v>5.4</v>
          </cell>
          <cell r="K1087">
            <v>5.9</v>
          </cell>
          <cell r="L1087">
            <v>2.5</v>
          </cell>
          <cell r="M1087">
            <v>6.1</v>
          </cell>
        </row>
        <row r="1088">
          <cell r="C1088" t="str">
            <v>Hồng Ngự MBA T2 (phía 22kV)</v>
          </cell>
          <cell r="D1088">
            <v>432</v>
          </cell>
          <cell r="E1088">
            <v>-2.1</v>
          </cell>
          <cell r="F1088">
            <v>4.4000000000000004</v>
          </cell>
          <cell r="G1088">
            <v>4.0999999999999996</v>
          </cell>
          <cell r="H1088">
            <v>4.4000000000000004</v>
          </cell>
          <cell r="I1088">
            <v>4.4000000000000004</v>
          </cell>
          <cell r="J1088">
            <v>-2.1</v>
          </cell>
          <cell r="K1088">
            <v>-2.4</v>
          </cell>
          <cell r="L1088">
            <v>4.0999999999999996</v>
          </cell>
          <cell r="M1088">
            <v>-2.1</v>
          </cell>
        </row>
        <row r="1089">
          <cell r="C1089" t="str">
            <v>Hưng Định MBA T1 (phía 110kV)</v>
          </cell>
          <cell r="D1089">
            <v>131</v>
          </cell>
          <cell r="E1089">
            <v>-2.4</v>
          </cell>
          <cell r="F1089">
            <v>-6.6</v>
          </cell>
          <cell r="G1089">
            <v>2.6</v>
          </cell>
          <cell r="H1089">
            <v>2.5</v>
          </cell>
          <cell r="I1089">
            <v>-5.7</v>
          </cell>
          <cell r="J1089">
            <v>-2.4</v>
          </cell>
          <cell r="K1089">
            <v>2.8</v>
          </cell>
          <cell r="L1089">
            <v>-6.3</v>
          </cell>
          <cell r="M1089">
            <v>-6.6</v>
          </cell>
        </row>
        <row r="1090">
          <cell r="C1090" t="str">
            <v>Hưng Định MBA T2 (phía 110kV)</v>
          </cell>
          <cell r="D1090">
            <v>132</v>
          </cell>
          <cell r="E1090">
            <v>-2.5</v>
          </cell>
          <cell r="F1090">
            <v>5.7</v>
          </cell>
          <cell r="G1090">
            <v>-2.5</v>
          </cell>
          <cell r="H1090">
            <v>-4.3</v>
          </cell>
          <cell r="I1090">
            <v>5.7</v>
          </cell>
          <cell r="J1090">
            <v>-3.4</v>
          </cell>
          <cell r="K1090">
            <v>-4.3</v>
          </cell>
          <cell r="L1090">
            <v>3</v>
          </cell>
          <cell r="M1090">
            <v>2.9</v>
          </cell>
        </row>
        <row r="1091">
          <cell r="C1091" t="str">
            <v>110kV 171 Hưng Định - 172 Gò Đậu</v>
          </cell>
          <cell r="D1091">
            <v>171</v>
          </cell>
          <cell r="E1091">
            <v>7.4</v>
          </cell>
          <cell r="F1091">
            <v>14.1</v>
          </cell>
          <cell r="G1091">
            <v>9.5</v>
          </cell>
          <cell r="H1091">
            <v>8.4</v>
          </cell>
          <cell r="I1091">
            <v>-8.4</v>
          </cell>
          <cell r="J1091">
            <v>14.1</v>
          </cell>
          <cell r="K1091">
            <v>9</v>
          </cell>
          <cell r="L1091">
            <v>8.6</v>
          </cell>
          <cell r="M1091">
            <v>7.4</v>
          </cell>
        </row>
        <row r="1092">
          <cell r="C1092" t="str">
            <v>110kV 172 Hưng Định - 174 Bình Hòa</v>
          </cell>
          <cell r="D1092">
            <v>172</v>
          </cell>
          <cell r="E1092">
            <v>-9.1</v>
          </cell>
          <cell r="F1092">
            <v>13</v>
          </cell>
          <cell r="G1092">
            <v>-10.199999999999999</v>
          </cell>
          <cell r="H1092">
            <v>-9.1</v>
          </cell>
          <cell r="I1092">
            <v>13</v>
          </cell>
          <cell r="J1092">
            <v>-10.7</v>
          </cell>
          <cell r="K1092">
            <v>12.1</v>
          </cell>
          <cell r="L1092">
            <v>9.4</v>
          </cell>
          <cell r="M1092">
            <v>11.6</v>
          </cell>
        </row>
        <row r="1093">
          <cell r="C1093" t="str">
            <v>Hưng Định MBA T1 (phía 22kV)</v>
          </cell>
          <cell r="D1093">
            <v>431</v>
          </cell>
          <cell r="E1093">
            <v>-1.7</v>
          </cell>
          <cell r="F1093">
            <v>7.1</v>
          </cell>
          <cell r="G1093">
            <v>1.9</v>
          </cell>
          <cell r="H1093">
            <v>-1.7</v>
          </cell>
          <cell r="I1093">
            <v>6.3</v>
          </cell>
          <cell r="J1093">
            <v>2.4</v>
          </cell>
          <cell r="K1093">
            <v>2.2000000000000002</v>
          </cell>
          <cell r="L1093">
            <v>6.8</v>
          </cell>
          <cell r="M1093">
            <v>7.1</v>
          </cell>
        </row>
        <row r="1094">
          <cell r="C1094" t="str">
            <v>Hưng Định MBA T2 (phía 22kV)</v>
          </cell>
          <cell r="D1094">
            <v>432</v>
          </cell>
          <cell r="E1094">
            <v>2.8</v>
          </cell>
          <cell r="F1094">
            <v>5</v>
          </cell>
          <cell r="G1094">
            <v>3.3</v>
          </cell>
          <cell r="H1094">
            <v>5</v>
          </cell>
          <cell r="I1094">
            <v>-4.3</v>
          </cell>
          <cell r="J1094">
            <v>3.6</v>
          </cell>
          <cell r="K1094">
            <v>4.9000000000000004</v>
          </cell>
          <cell r="L1094">
            <v>2.8</v>
          </cell>
          <cell r="M1094">
            <v>2.9</v>
          </cell>
        </row>
        <row r="1095">
          <cell r="C1095" t="str">
            <v>Hưng Phú MBA T1 (phía 110kV)</v>
          </cell>
          <cell r="D1095">
            <v>131</v>
          </cell>
          <cell r="E1095">
            <v>-0.3</v>
          </cell>
          <cell r="F1095">
            <v>0.6</v>
          </cell>
          <cell r="G1095">
            <v>0.5</v>
          </cell>
          <cell r="H1095">
            <v>0.5</v>
          </cell>
          <cell r="I1095">
            <v>0.5</v>
          </cell>
          <cell r="J1095">
            <v>-0.3</v>
          </cell>
          <cell r="K1095">
            <v>0.5</v>
          </cell>
          <cell r="L1095">
            <v>0.6</v>
          </cell>
          <cell r="M1095">
            <v>0.6</v>
          </cell>
        </row>
        <row r="1096">
          <cell r="C1096" t="str">
            <v>Hưng Phú MBA T2 (phía 110kV)</v>
          </cell>
          <cell r="D1096">
            <v>132</v>
          </cell>
          <cell r="E1096">
            <v>-3.5</v>
          </cell>
          <cell r="F1096">
            <v>-6.4</v>
          </cell>
          <cell r="G1096">
            <v>-3.6</v>
          </cell>
          <cell r="H1096">
            <v>-3.7</v>
          </cell>
          <cell r="I1096">
            <v>-3.5</v>
          </cell>
          <cell r="J1096">
            <v>-6.4</v>
          </cell>
          <cell r="K1096">
            <v>-4.9000000000000004</v>
          </cell>
          <cell r="L1096">
            <v>-3.9</v>
          </cell>
          <cell r="M1096">
            <v>-3.9</v>
          </cell>
        </row>
        <row r="1097">
          <cell r="C1097" t="str">
            <v>110kV 171 Hưng Phú - 172 Phú Xuân</v>
          </cell>
          <cell r="D1097">
            <v>171</v>
          </cell>
          <cell r="E1097">
            <v>-0.8</v>
          </cell>
          <cell r="F1097">
            <v>1.5</v>
          </cell>
          <cell r="G1097">
            <v>-1.1000000000000001</v>
          </cell>
          <cell r="H1097">
            <v>-1.1000000000000001</v>
          </cell>
          <cell r="I1097">
            <v>1.5</v>
          </cell>
          <cell r="J1097">
            <v>1.4</v>
          </cell>
          <cell r="K1097">
            <v>-0.9</v>
          </cell>
          <cell r="L1097">
            <v>-0.8</v>
          </cell>
          <cell r="M1097">
            <v>-1</v>
          </cell>
        </row>
        <row r="1098">
          <cell r="C1098" t="str">
            <v>110kV 172 Hưng Phú - 177 Cần Thơ 2</v>
          </cell>
          <cell r="D1098">
            <v>172</v>
          </cell>
          <cell r="E1098">
            <v>3.7</v>
          </cell>
          <cell r="F1098">
            <v>5.6</v>
          </cell>
          <cell r="G1098">
            <v>3.8</v>
          </cell>
          <cell r="H1098">
            <v>4.5999999999999996</v>
          </cell>
          <cell r="I1098">
            <v>4</v>
          </cell>
          <cell r="J1098">
            <v>5.6</v>
          </cell>
          <cell r="K1098">
            <v>5.6</v>
          </cell>
          <cell r="L1098">
            <v>4.5999999999999996</v>
          </cell>
          <cell r="M1098">
            <v>3.7</v>
          </cell>
        </row>
        <row r="1099">
          <cell r="C1099" t="str">
            <v>Hưng Phú MBA T1 (phía 22kV)</v>
          </cell>
          <cell r="D1099">
            <v>431</v>
          </cell>
          <cell r="E1099">
            <v>0.2</v>
          </cell>
          <cell r="F1099">
            <v>0.5</v>
          </cell>
          <cell r="G1099">
            <v>-0.3</v>
          </cell>
          <cell r="H1099">
            <v>0.2</v>
          </cell>
          <cell r="I1099">
            <v>0.4</v>
          </cell>
          <cell r="J1099">
            <v>0.5</v>
          </cell>
          <cell r="K1099">
            <v>0.3</v>
          </cell>
          <cell r="L1099">
            <v>-0.4</v>
          </cell>
          <cell r="M1099">
            <v>-0.3</v>
          </cell>
        </row>
        <row r="1100">
          <cell r="C1100" t="str">
            <v>Hưng Phú MBA T2 (phía 22kV)</v>
          </cell>
          <cell r="D1100">
            <v>432</v>
          </cell>
          <cell r="E1100">
            <v>4.3</v>
          </cell>
          <cell r="F1100">
            <v>6.9</v>
          </cell>
          <cell r="G1100">
            <v>4.5</v>
          </cell>
          <cell r="H1100">
            <v>4.7</v>
          </cell>
          <cell r="I1100">
            <v>4.3</v>
          </cell>
          <cell r="J1100">
            <v>6.9</v>
          </cell>
          <cell r="K1100">
            <v>5.7</v>
          </cell>
          <cell r="L1100">
            <v>4.8</v>
          </cell>
          <cell r="M1100">
            <v>5.2</v>
          </cell>
        </row>
        <row r="1101">
          <cell r="C1101" t="str">
            <v>Hùng Vương MBA T1 (phía 110kV)</v>
          </cell>
          <cell r="D1101">
            <v>131</v>
          </cell>
          <cell r="E1101">
            <v>3.2</v>
          </cell>
          <cell r="F1101">
            <v>4.3</v>
          </cell>
          <cell r="G1101">
            <v>3.8</v>
          </cell>
          <cell r="H1101">
            <v>3.7</v>
          </cell>
          <cell r="I1101">
            <v>3.2</v>
          </cell>
          <cell r="J1101">
            <v>3.3</v>
          </cell>
          <cell r="K1101">
            <v>3.6</v>
          </cell>
          <cell r="L1101">
            <v>4.3</v>
          </cell>
          <cell r="M1101">
            <v>4</v>
          </cell>
        </row>
        <row r="1102">
          <cell r="C1102" t="str">
            <v>Hùng Vương MBA T2 (phía 110kV)</v>
          </cell>
          <cell r="D1102">
            <v>132</v>
          </cell>
          <cell r="E1102">
            <v>6.7</v>
          </cell>
          <cell r="F1102">
            <v>10.8</v>
          </cell>
          <cell r="G1102">
            <v>9.8000000000000007</v>
          </cell>
          <cell r="H1102">
            <v>10.8</v>
          </cell>
          <cell r="I1102">
            <v>8.3000000000000007</v>
          </cell>
          <cell r="J1102">
            <v>6.7</v>
          </cell>
          <cell r="K1102">
            <v>9.8000000000000007</v>
          </cell>
          <cell r="L1102">
            <v>10.3</v>
          </cell>
          <cell r="M1102">
            <v>9.3000000000000007</v>
          </cell>
        </row>
        <row r="1103">
          <cell r="C1103" t="str">
            <v>110kV 171 Hùng Vương - 173 Quận 8</v>
          </cell>
          <cell r="D1103">
            <v>171</v>
          </cell>
          <cell r="E1103">
            <v>-10.6</v>
          </cell>
          <cell r="F1103">
            <v>-24.8</v>
          </cell>
          <cell r="G1103">
            <v>-24.8</v>
          </cell>
          <cell r="H1103">
            <v>-21.8</v>
          </cell>
          <cell r="I1103">
            <v>-14.9</v>
          </cell>
          <cell r="J1103">
            <v>-12.1</v>
          </cell>
          <cell r="K1103">
            <v>-20.7</v>
          </cell>
          <cell r="L1103">
            <v>-16.7</v>
          </cell>
          <cell r="M1103">
            <v>-10.6</v>
          </cell>
        </row>
        <row r="1104">
          <cell r="C1104" t="str">
            <v>110kV 172 Hùng Vương - 173 Phú Định</v>
          </cell>
          <cell r="D1104">
            <v>172</v>
          </cell>
          <cell r="E1104">
            <v>-8.8000000000000007</v>
          </cell>
          <cell r="F1104">
            <v>-20</v>
          </cell>
          <cell r="G1104">
            <v>12.3</v>
          </cell>
          <cell r="H1104">
            <v>-9.1999999999999993</v>
          </cell>
          <cell r="I1104">
            <v>-20</v>
          </cell>
          <cell r="J1104">
            <v>9.1999999999999993</v>
          </cell>
          <cell r="K1104">
            <v>-8.8000000000000007</v>
          </cell>
          <cell r="L1104">
            <v>-11.7</v>
          </cell>
          <cell r="M1104">
            <v>-13.2</v>
          </cell>
        </row>
        <row r="1105">
          <cell r="C1105" t="str">
            <v>Hùng Vương MBA T1 (phía 22kV)</v>
          </cell>
          <cell r="D1105">
            <v>431</v>
          </cell>
          <cell r="E1105">
            <v>-2.2000000000000002</v>
          </cell>
          <cell r="F1105">
            <v>-2.9</v>
          </cell>
          <cell r="G1105">
            <v>-2.6</v>
          </cell>
          <cell r="H1105">
            <v>-2.6</v>
          </cell>
          <cell r="I1105">
            <v>-2.2000000000000002</v>
          </cell>
          <cell r="J1105">
            <v>-2.2999999999999998</v>
          </cell>
          <cell r="K1105">
            <v>-2.4</v>
          </cell>
          <cell r="L1105">
            <v>-2.9</v>
          </cell>
          <cell r="M1105">
            <v>-2.8</v>
          </cell>
        </row>
        <row r="1106">
          <cell r="C1106" t="str">
            <v>Hùng Vương MBA T2 (phía 22kV)</v>
          </cell>
          <cell r="D1106">
            <v>432</v>
          </cell>
          <cell r="E1106">
            <v>-3.9</v>
          </cell>
          <cell r="F1106">
            <v>-6.5</v>
          </cell>
          <cell r="G1106">
            <v>-5.8</v>
          </cell>
          <cell r="H1106">
            <v>-6.5</v>
          </cell>
          <cell r="I1106">
            <v>-4.9000000000000004</v>
          </cell>
          <cell r="J1106">
            <v>-3.9</v>
          </cell>
          <cell r="K1106">
            <v>-6</v>
          </cell>
          <cell r="L1106">
            <v>-6.1</v>
          </cell>
          <cell r="M1106">
            <v>-5.8</v>
          </cell>
        </row>
        <row r="1107">
          <cell r="C1107" t="str">
            <v>Hựu Thạnh MBA T1 (phía 110kV)</v>
          </cell>
          <cell r="D1107">
            <v>131</v>
          </cell>
          <cell r="E1107">
            <v>-6.6</v>
          </cell>
          <cell r="F1107">
            <v>-8.8000000000000007</v>
          </cell>
          <cell r="G1107">
            <v>-8.8000000000000007</v>
          </cell>
          <cell r="H1107">
            <v>-7.8</v>
          </cell>
          <cell r="I1107">
            <v>-7.2</v>
          </cell>
          <cell r="J1107">
            <v>-6.6</v>
          </cell>
          <cell r="K1107">
            <v>-8</v>
          </cell>
          <cell r="L1107">
            <v>-7.9</v>
          </cell>
          <cell r="M1107">
            <v>-7.7</v>
          </cell>
        </row>
        <row r="1108">
          <cell r="C1108" t="str">
            <v>Hựu Thạnh MBA T2 (phía 110kV)</v>
          </cell>
          <cell r="D1108">
            <v>132</v>
          </cell>
          <cell r="E1108">
            <v>6.8</v>
          </cell>
          <cell r="F1108">
            <v>-10.9</v>
          </cell>
          <cell r="G1108">
            <v>6.8</v>
          </cell>
          <cell r="H1108">
            <v>7.5</v>
          </cell>
          <cell r="I1108">
            <v>7</v>
          </cell>
          <cell r="J1108">
            <v>-10.9</v>
          </cell>
          <cell r="K1108">
            <v>-9.9</v>
          </cell>
          <cell r="L1108">
            <v>-8.6</v>
          </cell>
          <cell r="M1108">
            <v>-6.9</v>
          </cell>
        </row>
        <row r="1109">
          <cell r="C1109" t="str">
            <v>110kV 171 Hựu Thạnh - 172 Lê Minh Xuân</v>
          </cell>
          <cell r="D1109">
            <v>171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</row>
        <row r="1110">
          <cell r="C1110" t="str">
            <v>110kV 172 Hựu Thạnh - 172 Le Long</v>
          </cell>
          <cell r="D1110">
            <v>172</v>
          </cell>
          <cell r="E1110">
            <v>10.7</v>
          </cell>
          <cell r="F1110">
            <v>16.7</v>
          </cell>
          <cell r="G1110">
            <v>12.2</v>
          </cell>
          <cell r="H1110">
            <v>12.8</v>
          </cell>
          <cell r="I1110">
            <v>10.7</v>
          </cell>
          <cell r="J1110">
            <v>16.7</v>
          </cell>
          <cell r="K1110">
            <v>14.7</v>
          </cell>
          <cell r="L1110">
            <v>14.7</v>
          </cell>
          <cell r="M1110">
            <v>13.6</v>
          </cell>
        </row>
        <row r="1111">
          <cell r="C1111" t="str">
            <v>Hựu Thạnh MBA T1 (phía 22kV)</v>
          </cell>
          <cell r="D1111">
            <v>431</v>
          </cell>
          <cell r="E1111">
            <v>7.7</v>
          </cell>
          <cell r="F1111">
            <v>12.1</v>
          </cell>
          <cell r="G1111">
            <v>12.1</v>
          </cell>
          <cell r="H1111">
            <v>11.3</v>
          </cell>
          <cell r="I1111">
            <v>10.5</v>
          </cell>
          <cell r="J1111">
            <v>7.7</v>
          </cell>
          <cell r="K1111">
            <v>11.4</v>
          </cell>
          <cell r="L1111">
            <v>11.5</v>
          </cell>
          <cell r="M1111">
            <v>11.6</v>
          </cell>
        </row>
        <row r="1112">
          <cell r="C1112" t="str">
            <v>Hựu Thạnh MBA T2 (phía 22kV)</v>
          </cell>
          <cell r="D1112">
            <v>432</v>
          </cell>
          <cell r="E1112">
            <v>8</v>
          </cell>
          <cell r="F1112">
            <v>11.4</v>
          </cell>
          <cell r="G1112">
            <v>8.1999999999999993</v>
          </cell>
          <cell r="H1112">
            <v>8</v>
          </cell>
          <cell r="I1112">
            <v>8</v>
          </cell>
          <cell r="J1112">
            <v>11.4</v>
          </cell>
          <cell r="K1112">
            <v>10.8</v>
          </cell>
          <cell r="L1112">
            <v>11.4</v>
          </cell>
          <cell r="M1112">
            <v>9.9</v>
          </cell>
        </row>
        <row r="1113">
          <cell r="C1113" t="str">
            <v>Hyosung MBA T1 (phía 110kV)</v>
          </cell>
          <cell r="D1113">
            <v>131</v>
          </cell>
          <cell r="E1113">
            <v>8.6999999999999993</v>
          </cell>
          <cell r="F1113">
            <v>9.3000000000000007</v>
          </cell>
          <cell r="G1113">
            <v>8.9</v>
          </cell>
          <cell r="H1113">
            <v>9</v>
          </cell>
          <cell r="I1113">
            <v>8.9</v>
          </cell>
          <cell r="J1113">
            <v>8.6999999999999993</v>
          </cell>
          <cell r="K1113">
            <v>9.3000000000000007</v>
          </cell>
          <cell r="L1113">
            <v>9.1</v>
          </cell>
          <cell r="M1113">
            <v>9.3000000000000007</v>
          </cell>
        </row>
        <row r="1114">
          <cell r="C1114" t="str">
            <v>Hyosung MBA T2 (phía 110kV)</v>
          </cell>
          <cell r="D1114">
            <v>132</v>
          </cell>
          <cell r="E1114">
            <v>8.4</v>
          </cell>
          <cell r="F1114">
            <v>9.1999999999999993</v>
          </cell>
          <cell r="G1114">
            <v>9.1999999999999993</v>
          </cell>
          <cell r="H1114">
            <v>8.8000000000000007</v>
          </cell>
          <cell r="I1114">
            <v>8.8000000000000007</v>
          </cell>
          <cell r="J1114">
            <v>8.6999999999999993</v>
          </cell>
          <cell r="K1114">
            <v>8.6999999999999993</v>
          </cell>
          <cell r="L1114">
            <v>8.8000000000000007</v>
          </cell>
          <cell r="M1114">
            <v>8.4</v>
          </cell>
        </row>
        <row r="1115">
          <cell r="C1115" t="str">
            <v>Hyosung MBA T3 (phía 110kV)</v>
          </cell>
          <cell r="D1115">
            <v>133</v>
          </cell>
          <cell r="E1115">
            <v>8.1</v>
          </cell>
          <cell r="F1115">
            <v>8.4</v>
          </cell>
          <cell r="G1115">
            <v>8.4</v>
          </cell>
          <cell r="H1115">
            <v>8.1999999999999993</v>
          </cell>
          <cell r="I1115">
            <v>8.3000000000000007</v>
          </cell>
          <cell r="J1115">
            <v>8.1</v>
          </cell>
          <cell r="K1115">
            <v>8.4</v>
          </cell>
          <cell r="L1115">
            <v>8.4</v>
          </cell>
          <cell r="M1115">
            <v>8.3000000000000007</v>
          </cell>
        </row>
        <row r="1116">
          <cell r="C1116" t="str">
            <v>Hyosung MBA T4 (phía 110kV)</v>
          </cell>
          <cell r="D1116">
            <v>134</v>
          </cell>
          <cell r="E1116">
            <v>8.4</v>
          </cell>
          <cell r="F1116">
            <v>8.9</v>
          </cell>
          <cell r="G1116">
            <v>8.6</v>
          </cell>
          <cell r="H1116">
            <v>8.6999999999999993</v>
          </cell>
          <cell r="I1116">
            <v>8.9</v>
          </cell>
          <cell r="J1116">
            <v>8.6</v>
          </cell>
          <cell r="K1116">
            <v>8.4</v>
          </cell>
          <cell r="L1116">
            <v>8.9</v>
          </cell>
          <cell r="M1116">
            <v>8.6</v>
          </cell>
        </row>
        <row r="1117">
          <cell r="C1117" t="str">
            <v>Hyosung MBA T5 (phía 110kV)</v>
          </cell>
          <cell r="D1117">
            <v>135</v>
          </cell>
          <cell r="E1117">
            <v>12.1</v>
          </cell>
          <cell r="F1117">
            <v>12.6</v>
          </cell>
          <cell r="G1117">
            <v>12.3</v>
          </cell>
          <cell r="H1117">
            <v>12.1</v>
          </cell>
          <cell r="I1117">
            <v>12.2</v>
          </cell>
          <cell r="J1117">
            <v>12.3</v>
          </cell>
          <cell r="K1117">
            <v>12.3</v>
          </cell>
          <cell r="L1117">
            <v>12.4</v>
          </cell>
          <cell r="M1117">
            <v>12.6</v>
          </cell>
        </row>
        <row r="1118">
          <cell r="C1118" t="str">
            <v>110kV 171 Hyosung - 179 Bàu Sen</v>
          </cell>
          <cell r="D1118">
            <v>171</v>
          </cell>
          <cell r="E1118">
            <v>-22.9</v>
          </cell>
          <cell r="F1118">
            <v>-27</v>
          </cell>
          <cell r="G1118">
            <v>-26.8</v>
          </cell>
          <cell r="H1118">
            <v>-22.9</v>
          </cell>
          <cell r="I1118">
            <v>-25.7</v>
          </cell>
          <cell r="J1118">
            <v>-25.7</v>
          </cell>
          <cell r="K1118">
            <v>-26.8</v>
          </cell>
          <cell r="L1118">
            <v>-27</v>
          </cell>
          <cell r="M1118">
            <v>-24.8</v>
          </cell>
        </row>
        <row r="1119">
          <cell r="C1119" t="str">
            <v>110kV 172 Hyosung - 175 Long Thành</v>
          </cell>
          <cell r="D1119">
            <v>172</v>
          </cell>
          <cell r="E1119">
            <v>-26.1</v>
          </cell>
          <cell r="F1119">
            <v>-45.6</v>
          </cell>
          <cell r="G1119">
            <v>-29.8</v>
          </cell>
          <cell r="H1119">
            <v>-33.299999999999997</v>
          </cell>
          <cell r="I1119">
            <v>-29.2</v>
          </cell>
          <cell r="J1119">
            <v>-45.6</v>
          </cell>
          <cell r="K1119">
            <v>-26.1</v>
          </cell>
          <cell r="L1119">
            <v>-27.4</v>
          </cell>
          <cell r="M1119">
            <v>-28.7</v>
          </cell>
        </row>
        <row r="1120">
          <cell r="C1120" t="str">
            <v>Hyosung MBA T1 (phía 22kV)</v>
          </cell>
          <cell r="D1120">
            <v>431</v>
          </cell>
          <cell r="E1120">
            <v>-7.4</v>
          </cell>
          <cell r="F1120">
            <v>-7.7</v>
          </cell>
          <cell r="G1120">
            <v>-7.5</v>
          </cell>
          <cell r="H1120">
            <v>-7.6</v>
          </cell>
          <cell r="I1120">
            <v>-7.5</v>
          </cell>
          <cell r="J1120">
            <v>-7.4</v>
          </cell>
          <cell r="K1120">
            <v>-7.7</v>
          </cell>
          <cell r="L1120">
            <v>-7.6</v>
          </cell>
          <cell r="M1120">
            <v>-7.7</v>
          </cell>
        </row>
        <row r="1121">
          <cell r="C1121" t="str">
            <v>Hyosung MBA T2 (phía 22kV)</v>
          </cell>
          <cell r="D1121">
            <v>432</v>
          </cell>
          <cell r="E1121">
            <v>-7</v>
          </cell>
          <cell r="F1121">
            <v>-7.7</v>
          </cell>
          <cell r="G1121">
            <v>-7.7</v>
          </cell>
          <cell r="H1121">
            <v>-7.3</v>
          </cell>
          <cell r="I1121">
            <v>-7.4</v>
          </cell>
          <cell r="J1121">
            <v>-7.2</v>
          </cell>
          <cell r="K1121">
            <v>-7.3</v>
          </cell>
          <cell r="L1121">
            <v>-7.4</v>
          </cell>
          <cell r="M1121">
            <v>-7</v>
          </cell>
        </row>
        <row r="1122">
          <cell r="C1122" t="str">
            <v>Hyosung MBA T3 (phía 22kV)</v>
          </cell>
          <cell r="D1122">
            <v>433</v>
          </cell>
          <cell r="E1122">
            <v>-6.8</v>
          </cell>
          <cell r="F1122">
            <v>-7</v>
          </cell>
          <cell r="G1122">
            <v>-7</v>
          </cell>
          <cell r="H1122">
            <v>-6.8</v>
          </cell>
          <cell r="I1122">
            <v>-6.9</v>
          </cell>
          <cell r="J1122">
            <v>-6.8</v>
          </cell>
          <cell r="K1122">
            <v>-6.9</v>
          </cell>
          <cell r="L1122">
            <v>-7</v>
          </cell>
          <cell r="M1122">
            <v>-6.9</v>
          </cell>
        </row>
        <row r="1123">
          <cell r="C1123" t="str">
            <v>Hyosung MBA T4 (phía 22kV)</v>
          </cell>
          <cell r="D1123">
            <v>434</v>
          </cell>
          <cell r="E1123">
            <v>-6.9</v>
          </cell>
          <cell r="F1123">
            <v>-7.2</v>
          </cell>
          <cell r="G1123">
            <v>-7</v>
          </cell>
          <cell r="H1123">
            <v>-7.1</v>
          </cell>
          <cell r="I1123">
            <v>-7.2</v>
          </cell>
          <cell r="J1123">
            <v>-7.1</v>
          </cell>
          <cell r="K1123">
            <v>-6.9</v>
          </cell>
          <cell r="L1123">
            <v>-7.2</v>
          </cell>
          <cell r="M1123">
            <v>-7</v>
          </cell>
        </row>
        <row r="1124">
          <cell r="C1124" t="str">
            <v>Hyosung MBA T5 (phía 22kV)</v>
          </cell>
          <cell r="D1124">
            <v>435</v>
          </cell>
          <cell r="E1124">
            <v>-9.6999999999999993</v>
          </cell>
          <cell r="F1124">
            <v>-10.1</v>
          </cell>
          <cell r="G1124">
            <v>-9.8000000000000007</v>
          </cell>
          <cell r="H1124">
            <v>-9.6999999999999993</v>
          </cell>
          <cell r="I1124">
            <v>-9.6999999999999993</v>
          </cell>
          <cell r="J1124">
            <v>-9.9</v>
          </cell>
          <cell r="K1124">
            <v>-9.9</v>
          </cell>
          <cell r="L1124">
            <v>-10</v>
          </cell>
          <cell r="M1124">
            <v>-10.1</v>
          </cell>
        </row>
        <row r="1125">
          <cell r="C1125" t="str">
            <v>Hyosung 2 MBA T6 (phía 110kV)</v>
          </cell>
          <cell r="D1125">
            <v>136</v>
          </cell>
          <cell r="E1125">
            <v>10.9</v>
          </cell>
          <cell r="F1125">
            <v>11.2</v>
          </cell>
          <cell r="G1125">
            <v>11.2</v>
          </cell>
          <cell r="H1125">
            <v>11.2</v>
          </cell>
          <cell r="I1125">
            <v>11.1</v>
          </cell>
          <cell r="J1125">
            <v>11.1</v>
          </cell>
          <cell r="K1125">
            <v>11</v>
          </cell>
          <cell r="L1125">
            <v>10.9</v>
          </cell>
          <cell r="M1125">
            <v>11.2</v>
          </cell>
        </row>
        <row r="1126">
          <cell r="C1126" t="str">
            <v>Hyosung 2 MBA T7 (phía 110kV)</v>
          </cell>
          <cell r="D1126">
            <v>137</v>
          </cell>
          <cell r="E1126">
            <v>11.3</v>
          </cell>
          <cell r="F1126">
            <v>12.2</v>
          </cell>
          <cell r="G1126">
            <v>12.2</v>
          </cell>
          <cell r="H1126">
            <v>12.1</v>
          </cell>
          <cell r="I1126">
            <v>11.9</v>
          </cell>
          <cell r="J1126">
            <v>11.3</v>
          </cell>
          <cell r="K1126">
            <v>11.3</v>
          </cell>
          <cell r="L1126">
            <v>11.6</v>
          </cell>
          <cell r="M1126">
            <v>11.5</v>
          </cell>
        </row>
        <row r="1127">
          <cell r="C1127" t="str">
            <v>Hyosung 2 MBA T8 (phía 110kV)</v>
          </cell>
          <cell r="D1127">
            <v>138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</row>
        <row r="1128">
          <cell r="C1128" t="str">
            <v>Hyosung 2 MBA T9 (phía 110kV)</v>
          </cell>
          <cell r="D1128">
            <v>139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</row>
        <row r="1129">
          <cell r="C1129" t="str">
            <v>110kV 171 Hyosung 2 - 178 Bàu Sen</v>
          </cell>
          <cell r="D1129">
            <v>171</v>
          </cell>
          <cell r="E1129">
            <v>-23.6</v>
          </cell>
          <cell r="F1129">
            <v>-35.6</v>
          </cell>
          <cell r="G1129">
            <v>-27.7</v>
          </cell>
          <cell r="H1129">
            <v>-23.6</v>
          </cell>
          <cell r="I1129">
            <v>-26.2</v>
          </cell>
          <cell r="J1129">
            <v>-35.6</v>
          </cell>
          <cell r="K1129">
            <v>-27.7</v>
          </cell>
          <cell r="L1129">
            <v>-27.7</v>
          </cell>
          <cell r="M1129">
            <v>-25.8</v>
          </cell>
        </row>
        <row r="1130">
          <cell r="C1130" t="str">
            <v>110kV 172 Hyosung 2 - 173 Long Thành</v>
          </cell>
          <cell r="D1130">
            <v>172</v>
          </cell>
          <cell r="E1130">
            <v>-6.4</v>
          </cell>
          <cell r="F1130">
            <v>14</v>
          </cell>
          <cell r="G1130">
            <v>7</v>
          </cell>
          <cell r="H1130">
            <v>-11.7</v>
          </cell>
          <cell r="I1130">
            <v>-6.6</v>
          </cell>
          <cell r="J1130">
            <v>14</v>
          </cell>
          <cell r="K1130">
            <v>7.7</v>
          </cell>
          <cell r="L1130">
            <v>7.9</v>
          </cell>
          <cell r="M1130">
            <v>-6.4</v>
          </cell>
        </row>
        <row r="1131">
          <cell r="C1131" t="str">
            <v>Hyosung 2 MBA T6 (phía 22kV)</v>
          </cell>
          <cell r="D1131">
            <v>436</v>
          </cell>
          <cell r="E1131">
            <v>-8.5</v>
          </cell>
          <cell r="F1131">
            <v>-8.8000000000000007</v>
          </cell>
          <cell r="G1131">
            <v>-8.8000000000000007</v>
          </cell>
          <cell r="H1131">
            <v>-8.8000000000000007</v>
          </cell>
          <cell r="I1131">
            <v>-8.8000000000000007</v>
          </cell>
          <cell r="J1131">
            <v>-8.6</v>
          </cell>
          <cell r="K1131">
            <v>-8.6</v>
          </cell>
          <cell r="L1131">
            <v>-8.5</v>
          </cell>
          <cell r="M1131">
            <v>-8.6</v>
          </cell>
        </row>
        <row r="1132">
          <cell r="C1132" t="str">
            <v>Hyosung 2 MBA T7 (phía 22kV)</v>
          </cell>
          <cell r="D1132">
            <v>437</v>
          </cell>
          <cell r="E1132">
            <v>-8.3000000000000007</v>
          </cell>
          <cell r="F1132">
            <v>-9</v>
          </cell>
          <cell r="G1132">
            <v>-9</v>
          </cell>
          <cell r="H1132">
            <v>-8.9</v>
          </cell>
          <cell r="I1132">
            <v>-8.8000000000000007</v>
          </cell>
          <cell r="J1132">
            <v>-8.4</v>
          </cell>
          <cell r="K1132">
            <v>-8.3000000000000007</v>
          </cell>
          <cell r="L1132">
            <v>-8.5</v>
          </cell>
          <cell r="M1132">
            <v>-8.5</v>
          </cell>
        </row>
        <row r="1133">
          <cell r="C1133" t="str">
            <v>Hyosung 2 MBA T8 (phía 22kV)</v>
          </cell>
          <cell r="D1133">
            <v>438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</row>
        <row r="1134">
          <cell r="C1134" t="str">
            <v>Hyosung 2 MBA T9 (phía 22kV)</v>
          </cell>
          <cell r="D1134">
            <v>439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</row>
        <row r="1135">
          <cell r="C1135" t="str">
            <v>Hyosung Vina Chemicals MBA T1 (phía 110kV)</v>
          </cell>
          <cell r="D1135">
            <v>131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</row>
        <row r="1136">
          <cell r="C1136" t="str">
            <v>Hyosung Vina Chemicals MBA T2 (phía 110kV)</v>
          </cell>
          <cell r="D1136">
            <v>132</v>
          </cell>
          <cell r="E1136">
            <v>0.5</v>
          </cell>
          <cell r="F1136">
            <v>-1.8</v>
          </cell>
          <cell r="G1136">
            <v>-1.5</v>
          </cell>
          <cell r="H1136">
            <v>-1.5</v>
          </cell>
          <cell r="I1136">
            <v>0.6</v>
          </cell>
          <cell r="J1136">
            <v>0.5</v>
          </cell>
          <cell r="K1136">
            <v>0.7</v>
          </cell>
          <cell r="L1136">
            <v>-1.8</v>
          </cell>
          <cell r="M1136">
            <v>0.5</v>
          </cell>
        </row>
        <row r="1137">
          <cell r="C1137" t="str">
            <v>110kV 171 Hyosung Vina Chemicals - 172 Cái Mép</v>
          </cell>
          <cell r="D1137">
            <v>171</v>
          </cell>
          <cell r="E1137">
            <v>0.4</v>
          </cell>
          <cell r="F1137">
            <v>0.8</v>
          </cell>
          <cell r="G1137">
            <v>-0.5</v>
          </cell>
          <cell r="H1137">
            <v>0.8</v>
          </cell>
          <cell r="I1137">
            <v>0.5</v>
          </cell>
          <cell r="J1137">
            <v>0.8</v>
          </cell>
          <cell r="K1137">
            <v>-0.5</v>
          </cell>
          <cell r="L1137">
            <v>0.4</v>
          </cell>
          <cell r="M1137">
            <v>-0.7</v>
          </cell>
        </row>
        <row r="1138">
          <cell r="C1138" t="str">
            <v>110kV 172 Hyosung Vina Chemicals - 172 Thị Vải</v>
          </cell>
          <cell r="D1138">
            <v>172</v>
          </cell>
          <cell r="E1138">
            <v>0.6</v>
          </cell>
          <cell r="F1138">
            <v>4.9000000000000004</v>
          </cell>
          <cell r="G1138">
            <v>3.4</v>
          </cell>
          <cell r="H1138">
            <v>3</v>
          </cell>
          <cell r="I1138">
            <v>1.9</v>
          </cell>
          <cell r="J1138">
            <v>0.6</v>
          </cell>
          <cell r="K1138">
            <v>2.8</v>
          </cell>
          <cell r="L1138">
            <v>4.9000000000000004</v>
          </cell>
          <cell r="M1138">
            <v>2.9</v>
          </cell>
        </row>
        <row r="1139">
          <cell r="C1139" t="str">
            <v>110kV 173 Hyosung Vina Chemicals - 173 Tân Thành</v>
          </cell>
          <cell r="D1139">
            <v>173</v>
          </cell>
          <cell r="E1139">
            <v>-2.2999999999999998</v>
          </cell>
          <cell r="F1139">
            <v>-6</v>
          </cell>
          <cell r="G1139">
            <v>-3</v>
          </cell>
          <cell r="H1139">
            <v>-3.9</v>
          </cell>
          <cell r="I1139">
            <v>-2.7</v>
          </cell>
          <cell r="J1139">
            <v>-2.2999999999999998</v>
          </cell>
          <cell r="K1139">
            <v>-3.3</v>
          </cell>
          <cell r="L1139">
            <v>-6</v>
          </cell>
          <cell r="M1139">
            <v>-4</v>
          </cell>
        </row>
        <row r="1140">
          <cell r="C1140" t="str">
            <v>110kV 174 Hyosung Vina Chemicals - 171 Cái Mép</v>
          </cell>
          <cell r="D1140">
            <v>174</v>
          </cell>
          <cell r="E1140">
            <v>-0.5</v>
          </cell>
          <cell r="F1140">
            <v>0.7</v>
          </cell>
          <cell r="G1140">
            <v>-0.5</v>
          </cell>
          <cell r="H1140">
            <v>-0.6</v>
          </cell>
          <cell r="I1140">
            <v>0.6</v>
          </cell>
          <cell r="J1140">
            <v>0.7</v>
          </cell>
          <cell r="K1140">
            <v>-0.6</v>
          </cell>
          <cell r="L1140">
            <v>0.6</v>
          </cell>
          <cell r="M1140">
            <v>-0.6</v>
          </cell>
        </row>
        <row r="1141">
          <cell r="C1141" t="str">
            <v>Hyosung Vina Chemicals MBA T1 (phía 22kV)</v>
          </cell>
          <cell r="D1141">
            <v>431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</row>
        <row r="1142">
          <cell r="C1142" t="str">
            <v>Hyosung Vina Chemicals MBA T2 (phía 22kV)</v>
          </cell>
          <cell r="D1142">
            <v>432</v>
          </cell>
          <cell r="E1142">
            <v>0.5</v>
          </cell>
          <cell r="F1142">
            <v>-1.8</v>
          </cell>
          <cell r="G1142">
            <v>-1.5</v>
          </cell>
          <cell r="H1142">
            <v>-1.6</v>
          </cell>
          <cell r="I1142">
            <v>0.5</v>
          </cell>
          <cell r="J1142">
            <v>0.5</v>
          </cell>
          <cell r="K1142">
            <v>0.6</v>
          </cell>
          <cell r="L1142">
            <v>-1.8</v>
          </cell>
          <cell r="M1142">
            <v>0.5</v>
          </cell>
        </row>
        <row r="1143">
          <cell r="C1143" t="str">
            <v>Intel MBA T1 (phía 110kV)</v>
          </cell>
          <cell r="D1143">
            <v>131</v>
          </cell>
          <cell r="E1143">
            <v>2.2999999999999998</v>
          </cell>
          <cell r="F1143">
            <v>2.2999999999999998</v>
          </cell>
          <cell r="G1143">
            <v>2.2999999999999998</v>
          </cell>
          <cell r="H1143">
            <v>2.2999999999999998</v>
          </cell>
          <cell r="I1143">
            <v>2.2999999999999998</v>
          </cell>
          <cell r="J1143">
            <v>2.2999999999999998</v>
          </cell>
          <cell r="K1143">
            <v>2.2999999999999998</v>
          </cell>
          <cell r="L1143">
            <v>2.2999999999999998</v>
          </cell>
          <cell r="M1143">
            <v>2.2999999999999998</v>
          </cell>
        </row>
        <row r="1144">
          <cell r="C1144" t="str">
            <v>Intel MBA T2 (phía 110kV)</v>
          </cell>
          <cell r="D1144">
            <v>132</v>
          </cell>
          <cell r="E1144">
            <v>2.6</v>
          </cell>
          <cell r="F1144">
            <v>2.6</v>
          </cell>
          <cell r="G1144">
            <v>2.6</v>
          </cell>
          <cell r="H1144">
            <v>2.6</v>
          </cell>
          <cell r="I1144">
            <v>2.6</v>
          </cell>
          <cell r="J1144">
            <v>2.6</v>
          </cell>
          <cell r="K1144">
            <v>2.6</v>
          </cell>
          <cell r="L1144">
            <v>2.6</v>
          </cell>
          <cell r="M1144">
            <v>2.6</v>
          </cell>
        </row>
        <row r="1145">
          <cell r="C1145" t="str">
            <v>Intel MBA T1 (phía 22kV)</v>
          </cell>
          <cell r="D1145">
            <v>431</v>
          </cell>
          <cell r="E1145">
            <v>0</v>
          </cell>
          <cell r="F1145">
            <v>-3.3</v>
          </cell>
          <cell r="G1145">
            <v>0</v>
          </cell>
          <cell r="H1145">
            <v>-3.3</v>
          </cell>
          <cell r="I1145">
            <v>-2.6</v>
          </cell>
          <cell r="J1145">
            <v>-2.5</v>
          </cell>
          <cell r="K1145">
            <v>-2.5</v>
          </cell>
          <cell r="L1145">
            <v>-2.5</v>
          </cell>
          <cell r="M1145">
            <v>-2.6</v>
          </cell>
        </row>
        <row r="1146">
          <cell r="C1146" t="str">
            <v>Intel MBA T2 (phía 22kV)</v>
          </cell>
          <cell r="D1146">
            <v>432</v>
          </cell>
          <cell r="E1146">
            <v>-3.9</v>
          </cell>
          <cell r="F1146">
            <v>-6.6</v>
          </cell>
          <cell r="G1146">
            <v>-6.6</v>
          </cell>
          <cell r="H1146">
            <v>-6.3</v>
          </cell>
          <cell r="I1146">
            <v>-4</v>
          </cell>
          <cell r="J1146">
            <v>-3.9</v>
          </cell>
          <cell r="K1146">
            <v>-4</v>
          </cell>
          <cell r="L1146">
            <v>-4</v>
          </cell>
          <cell r="M1146">
            <v>-4</v>
          </cell>
        </row>
        <row r="1147">
          <cell r="C1147" t="str">
            <v>KCN Cần Thơ MBA T1 (phía 110kV)</v>
          </cell>
          <cell r="D1147">
            <v>131</v>
          </cell>
          <cell r="E1147">
            <v>-2.7</v>
          </cell>
          <cell r="F1147">
            <v>7.3</v>
          </cell>
          <cell r="G1147">
            <v>3.3</v>
          </cell>
          <cell r="H1147">
            <v>7.3</v>
          </cell>
          <cell r="I1147">
            <v>-3.1</v>
          </cell>
          <cell r="J1147">
            <v>-3.8</v>
          </cell>
          <cell r="K1147">
            <v>-3.4</v>
          </cell>
          <cell r="L1147">
            <v>-2.7</v>
          </cell>
          <cell r="M1147">
            <v>-3.2</v>
          </cell>
        </row>
        <row r="1148">
          <cell r="C1148" t="str">
            <v>KCN Cần Thơ MBA T2 (phía 110kV)</v>
          </cell>
          <cell r="D1148">
            <v>132</v>
          </cell>
          <cell r="E1148">
            <v>-2.6</v>
          </cell>
          <cell r="F1148">
            <v>8.9</v>
          </cell>
          <cell r="G1148">
            <v>6.5</v>
          </cell>
          <cell r="H1148">
            <v>8.9</v>
          </cell>
          <cell r="I1148">
            <v>3</v>
          </cell>
          <cell r="J1148">
            <v>-2.6</v>
          </cell>
          <cell r="K1148">
            <v>4</v>
          </cell>
          <cell r="L1148">
            <v>3</v>
          </cell>
          <cell r="M1148">
            <v>4.0999999999999996</v>
          </cell>
        </row>
        <row r="1149">
          <cell r="C1149" t="str">
            <v>110kV 171 KCN Cần Thơ - 171 Trà Nóc</v>
          </cell>
          <cell r="D1149">
            <v>171</v>
          </cell>
          <cell r="E1149">
            <v>0</v>
          </cell>
          <cell r="F1149">
            <v>-7.1</v>
          </cell>
          <cell r="G1149">
            <v>0</v>
          </cell>
          <cell r="H1149">
            <v>-7.1</v>
          </cell>
          <cell r="I1149">
            <v>3.1</v>
          </cell>
          <cell r="J1149">
            <v>3.9</v>
          </cell>
          <cell r="K1149">
            <v>3.4</v>
          </cell>
          <cell r="L1149">
            <v>2.7</v>
          </cell>
          <cell r="M1149">
            <v>3.2</v>
          </cell>
        </row>
        <row r="1150">
          <cell r="C1150" t="str">
            <v>110kV 172 KCN Cần Thơ - 175 NMĐ Ô Môn</v>
          </cell>
          <cell r="D1150">
            <v>172</v>
          </cell>
          <cell r="E1150">
            <v>-2.7</v>
          </cell>
          <cell r="F1150">
            <v>-9.5</v>
          </cell>
          <cell r="G1150">
            <v>-9.5</v>
          </cell>
          <cell r="H1150">
            <v>-8</v>
          </cell>
          <cell r="I1150">
            <v>-2.8</v>
          </cell>
          <cell r="J1150">
            <v>2.8</v>
          </cell>
          <cell r="K1150">
            <v>-3.8</v>
          </cell>
          <cell r="L1150">
            <v>-2.7</v>
          </cell>
          <cell r="M1150">
            <v>-3.9</v>
          </cell>
        </row>
        <row r="1151">
          <cell r="C1151" t="str">
            <v>KCN Cần Thơ MBA T1 (phía 22kV)</v>
          </cell>
          <cell r="D1151">
            <v>431</v>
          </cell>
          <cell r="E1151">
            <v>2.6</v>
          </cell>
          <cell r="F1151">
            <v>4.0999999999999996</v>
          </cell>
          <cell r="G1151">
            <v>2.6</v>
          </cell>
          <cell r="H1151">
            <v>-3.5</v>
          </cell>
          <cell r="I1151">
            <v>3.6</v>
          </cell>
          <cell r="J1151">
            <v>4.0999999999999996</v>
          </cell>
          <cell r="K1151">
            <v>3.7</v>
          </cell>
          <cell r="L1151">
            <v>3.2</v>
          </cell>
          <cell r="M1151">
            <v>3.7</v>
          </cell>
        </row>
        <row r="1152">
          <cell r="C1152" t="str">
            <v>KCN Cần Thơ MBA T2 (phía 22kV)</v>
          </cell>
          <cell r="D1152">
            <v>432</v>
          </cell>
          <cell r="E1152">
            <v>-2</v>
          </cell>
          <cell r="F1152">
            <v>-4.4000000000000004</v>
          </cell>
          <cell r="G1152">
            <v>-4.4000000000000004</v>
          </cell>
          <cell r="H1152">
            <v>-4.4000000000000004</v>
          </cell>
          <cell r="I1152">
            <v>2.2000000000000002</v>
          </cell>
          <cell r="J1152">
            <v>3.2</v>
          </cell>
          <cell r="K1152">
            <v>2.8</v>
          </cell>
          <cell r="L1152">
            <v>-2</v>
          </cell>
          <cell r="M1152">
            <v>-2.7</v>
          </cell>
        </row>
        <row r="1153">
          <cell r="C1153" t="str">
            <v>KCN Trảng Bàng MBA T1 (phía 110kV)</v>
          </cell>
          <cell r="D1153">
            <v>131</v>
          </cell>
          <cell r="E1153">
            <v>-2</v>
          </cell>
          <cell r="F1153">
            <v>6.2</v>
          </cell>
          <cell r="G1153">
            <v>-5.2</v>
          </cell>
          <cell r="H1153">
            <v>-3.9</v>
          </cell>
          <cell r="I1153">
            <v>-5.7</v>
          </cell>
          <cell r="J1153">
            <v>-2</v>
          </cell>
          <cell r="K1153">
            <v>-4.5999999999999996</v>
          </cell>
          <cell r="L1153">
            <v>6.2</v>
          </cell>
          <cell r="M1153">
            <v>-3.4</v>
          </cell>
        </row>
        <row r="1154">
          <cell r="C1154" t="str">
            <v>KCN Trảng Bàng MBA T2 (phía 110kV)</v>
          </cell>
          <cell r="D1154">
            <v>132</v>
          </cell>
          <cell r="E1154">
            <v>3</v>
          </cell>
          <cell r="F1154">
            <v>4.5999999999999996</v>
          </cell>
          <cell r="G1154">
            <v>3.8</v>
          </cell>
          <cell r="H1154">
            <v>4.2</v>
          </cell>
          <cell r="I1154">
            <v>3.8</v>
          </cell>
          <cell r="J1154">
            <v>3</v>
          </cell>
          <cell r="K1154">
            <v>4.5</v>
          </cell>
          <cell r="L1154">
            <v>4.5999999999999996</v>
          </cell>
          <cell r="M1154">
            <v>4.5</v>
          </cell>
        </row>
        <row r="1155">
          <cell r="C1155" t="str">
            <v>110kV 171 KCN Trảng Bàng - 172 Trảng Bàng - 171 Trảng Bàng 2</v>
          </cell>
          <cell r="D1155">
            <v>171</v>
          </cell>
          <cell r="E1155">
            <v>2.4</v>
          </cell>
          <cell r="F1155">
            <v>6.4</v>
          </cell>
          <cell r="G1155">
            <v>5.7</v>
          </cell>
          <cell r="H1155">
            <v>4.5</v>
          </cell>
          <cell r="I1155">
            <v>6.2</v>
          </cell>
          <cell r="J1155">
            <v>2.4</v>
          </cell>
          <cell r="K1155">
            <v>5.2</v>
          </cell>
          <cell r="L1155">
            <v>6.4</v>
          </cell>
          <cell r="M1155">
            <v>4</v>
          </cell>
        </row>
        <row r="1156">
          <cell r="C1156" t="str">
            <v>110kV 172 KCN Trảng Bàng - 172 Củ Chi 2</v>
          </cell>
          <cell r="D1156">
            <v>172</v>
          </cell>
          <cell r="E1156">
            <v>-3</v>
          </cell>
          <cell r="F1156">
            <v>-4.4000000000000004</v>
          </cell>
          <cell r="G1156">
            <v>-3.7</v>
          </cell>
          <cell r="H1156">
            <v>-4</v>
          </cell>
          <cell r="I1156">
            <v>-3.7</v>
          </cell>
          <cell r="J1156">
            <v>-3</v>
          </cell>
          <cell r="K1156">
            <v>-4.4000000000000004</v>
          </cell>
          <cell r="L1156">
            <v>-4.4000000000000004</v>
          </cell>
          <cell r="M1156">
            <v>-4.2</v>
          </cell>
        </row>
        <row r="1157">
          <cell r="C1157" t="str">
            <v>KCN Trảng Bàng MBA T1 (phía 22kV)</v>
          </cell>
          <cell r="D1157">
            <v>431</v>
          </cell>
          <cell r="E1157">
            <v>2.6</v>
          </cell>
          <cell r="F1157">
            <v>7.2</v>
          </cell>
          <cell r="G1157">
            <v>6.5</v>
          </cell>
          <cell r="H1157">
            <v>5.5</v>
          </cell>
          <cell r="I1157">
            <v>7.2</v>
          </cell>
          <cell r="J1157">
            <v>2.6</v>
          </cell>
          <cell r="K1157">
            <v>5.8</v>
          </cell>
          <cell r="L1157">
            <v>7.1</v>
          </cell>
          <cell r="M1157">
            <v>5.0999999999999996</v>
          </cell>
        </row>
        <row r="1158">
          <cell r="C1158" t="str">
            <v>KCN Trảng Bàng MBA T2 (phía 22kV)</v>
          </cell>
          <cell r="D1158">
            <v>432</v>
          </cell>
          <cell r="E1158">
            <v>-2.4</v>
          </cell>
          <cell r="F1158">
            <v>3.8</v>
          </cell>
          <cell r="G1158">
            <v>3.7</v>
          </cell>
          <cell r="H1158">
            <v>3.8</v>
          </cell>
          <cell r="I1158">
            <v>3.7</v>
          </cell>
          <cell r="J1158">
            <v>-2.4</v>
          </cell>
          <cell r="K1158">
            <v>3.3</v>
          </cell>
          <cell r="L1158">
            <v>3.7</v>
          </cell>
          <cell r="M1158">
            <v>3.6</v>
          </cell>
        </row>
        <row r="1159">
          <cell r="C1159" t="str">
            <v>Khánh An MBA T1 (phía 110kV)</v>
          </cell>
          <cell r="D1159">
            <v>131</v>
          </cell>
          <cell r="E1159">
            <v>-3.4</v>
          </cell>
          <cell r="F1159">
            <v>-4.2</v>
          </cell>
          <cell r="G1159">
            <v>3.9</v>
          </cell>
          <cell r="H1159">
            <v>-3.7</v>
          </cell>
          <cell r="I1159">
            <v>-3.8</v>
          </cell>
          <cell r="J1159">
            <v>-3.4</v>
          </cell>
          <cell r="K1159">
            <v>-4</v>
          </cell>
          <cell r="L1159">
            <v>-3.7</v>
          </cell>
          <cell r="M1159">
            <v>-4.2</v>
          </cell>
        </row>
        <row r="1160">
          <cell r="C1160" t="str">
            <v>110kV 171 Khánh An - 172 Cà Mau</v>
          </cell>
          <cell r="D1160">
            <v>171</v>
          </cell>
          <cell r="E1160">
            <v>4.5</v>
          </cell>
          <cell r="F1160">
            <v>7.8</v>
          </cell>
          <cell r="G1160">
            <v>4.5</v>
          </cell>
          <cell r="H1160">
            <v>6.4</v>
          </cell>
          <cell r="I1160">
            <v>6</v>
          </cell>
          <cell r="J1160">
            <v>6.8</v>
          </cell>
          <cell r="K1160">
            <v>7.8</v>
          </cell>
          <cell r="L1160">
            <v>6.1</v>
          </cell>
          <cell r="M1160">
            <v>4.5999999999999996</v>
          </cell>
        </row>
        <row r="1161">
          <cell r="C1161" t="str">
            <v>110kV 172 Khánh An - 171 Cà Mau 2</v>
          </cell>
          <cell r="D1161">
            <v>172</v>
          </cell>
          <cell r="E1161">
            <v>-4.0999999999999996</v>
          </cell>
          <cell r="F1161">
            <v>6.1</v>
          </cell>
          <cell r="G1161">
            <v>4.2</v>
          </cell>
          <cell r="H1161">
            <v>-4.0999999999999996</v>
          </cell>
          <cell r="I1161">
            <v>6.1</v>
          </cell>
          <cell r="J1161">
            <v>-4.0999999999999996</v>
          </cell>
          <cell r="K1161">
            <v>6.1</v>
          </cell>
          <cell r="L1161">
            <v>6</v>
          </cell>
          <cell r="M1161">
            <v>5.3</v>
          </cell>
        </row>
        <row r="1162">
          <cell r="C1162" t="str">
            <v>Khánh An MBA T1 (phía 22kV)</v>
          </cell>
          <cell r="D1162">
            <v>431</v>
          </cell>
          <cell r="E1162">
            <v>4.3</v>
          </cell>
          <cell r="F1162">
            <v>4.9000000000000004</v>
          </cell>
          <cell r="G1162">
            <v>4.3</v>
          </cell>
          <cell r="H1162">
            <v>4.5999999999999996</v>
          </cell>
          <cell r="I1162">
            <v>4.8</v>
          </cell>
          <cell r="J1162">
            <v>4.4000000000000004</v>
          </cell>
          <cell r="K1162">
            <v>4.8</v>
          </cell>
          <cell r="L1162">
            <v>4.5</v>
          </cell>
          <cell r="M1162">
            <v>4.9000000000000004</v>
          </cell>
        </row>
        <row r="1163">
          <cell r="C1163" t="str">
            <v>Khánh Bình MBA T1 (phía 110kV)</v>
          </cell>
          <cell r="D1163">
            <v>131</v>
          </cell>
          <cell r="E1163">
            <v>-7.1</v>
          </cell>
          <cell r="F1163">
            <v>13.7</v>
          </cell>
          <cell r="G1163">
            <v>13</v>
          </cell>
          <cell r="H1163">
            <v>13.7</v>
          </cell>
          <cell r="I1163">
            <v>12</v>
          </cell>
          <cell r="J1163">
            <v>-7.1</v>
          </cell>
          <cell r="K1163">
            <v>11.9</v>
          </cell>
          <cell r="L1163">
            <v>11.2</v>
          </cell>
          <cell r="M1163">
            <v>11.9</v>
          </cell>
        </row>
        <row r="1164">
          <cell r="C1164" t="str">
            <v>Khánh Bình MBA T2 (phía 110kV)</v>
          </cell>
          <cell r="D1164">
            <v>132</v>
          </cell>
          <cell r="E1164">
            <v>6.7</v>
          </cell>
          <cell r="F1164">
            <v>16.3</v>
          </cell>
          <cell r="G1164">
            <v>15.8</v>
          </cell>
          <cell r="H1164">
            <v>16.3</v>
          </cell>
          <cell r="I1164">
            <v>12.9</v>
          </cell>
          <cell r="J1164">
            <v>6.7</v>
          </cell>
          <cell r="K1164">
            <v>14.8</v>
          </cell>
          <cell r="L1164">
            <v>15.6</v>
          </cell>
          <cell r="M1164">
            <v>15.9</v>
          </cell>
        </row>
        <row r="1165">
          <cell r="C1165" t="str">
            <v>110kV 171 Khánh Bình - 172 Tân Uyên</v>
          </cell>
          <cell r="D1165">
            <v>171</v>
          </cell>
          <cell r="E1165">
            <v>-5.7</v>
          </cell>
          <cell r="F1165">
            <v>-13.6</v>
          </cell>
          <cell r="G1165">
            <v>-12.8</v>
          </cell>
          <cell r="H1165">
            <v>-13.6</v>
          </cell>
          <cell r="I1165">
            <v>-11.9</v>
          </cell>
          <cell r="J1165">
            <v>-5.7</v>
          </cell>
          <cell r="K1165">
            <v>-11.9</v>
          </cell>
          <cell r="L1165">
            <v>-11.1</v>
          </cell>
          <cell r="M1165">
            <v>-9.4</v>
          </cell>
        </row>
        <row r="1166">
          <cell r="C1166" t="str">
            <v>110kV 172 Khánh Bình - 180 Bình Hòa</v>
          </cell>
          <cell r="D1166">
            <v>172</v>
          </cell>
          <cell r="E1166">
            <v>-6.7</v>
          </cell>
          <cell r="F1166">
            <v>-16.3</v>
          </cell>
          <cell r="G1166">
            <v>-15.9</v>
          </cell>
          <cell r="H1166">
            <v>-16.3</v>
          </cell>
          <cell r="I1166">
            <v>-12.9</v>
          </cell>
          <cell r="J1166">
            <v>-6.7</v>
          </cell>
          <cell r="K1166">
            <v>-14.7</v>
          </cell>
          <cell r="L1166">
            <v>-15.7</v>
          </cell>
          <cell r="M1166">
            <v>-16</v>
          </cell>
        </row>
        <row r="1167">
          <cell r="C1167" t="str">
            <v>Khánh Bình MBA T1 (phía 22kV)</v>
          </cell>
          <cell r="D1167">
            <v>431</v>
          </cell>
          <cell r="E1167">
            <v>7</v>
          </cell>
          <cell r="F1167">
            <v>10.6</v>
          </cell>
          <cell r="G1167">
            <v>10.6</v>
          </cell>
          <cell r="H1167">
            <v>8.1</v>
          </cell>
          <cell r="I1167">
            <v>-7</v>
          </cell>
          <cell r="J1167">
            <v>8.4</v>
          </cell>
          <cell r="K1167">
            <v>-7</v>
          </cell>
          <cell r="L1167">
            <v>7.2</v>
          </cell>
          <cell r="M1167">
            <v>7</v>
          </cell>
        </row>
        <row r="1168">
          <cell r="C1168" t="str">
            <v>Khánh Bình MBA T2 (phía 22kV)</v>
          </cell>
          <cell r="D1168">
            <v>432</v>
          </cell>
          <cell r="E1168">
            <v>-5.2</v>
          </cell>
          <cell r="F1168">
            <v>-9.9</v>
          </cell>
          <cell r="G1168">
            <v>-9.9</v>
          </cell>
          <cell r="H1168">
            <v>-9.6999999999999993</v>
          </cell>
          <cell r="I1168">
            <v>-8.1999999999999993</v>
          </cell>
          <cell r="J1168">
            <v>-5.2</v>
          </cell>
          <cell r="K1168">
            <v>-8.9</v>
          </cell>
          <cell r="L1168">
            <v>-9.6999999999999993</v>
          </cell>
          <cell r="M1168">
            <v>-9.6999999999999993</v>
          </cell>
        </row>
        <row r="1169">
          <cell r="C1169" t="str">
            <v>Kiệm Tân MBA T1 (phía 110kV)</v>
          </cell>
          <cell r="D1169">
            <v>131</v>
          </cell>
          <cell r="E1169">
            <v>-1.6</v>
          </cell>
          <cell r="F1169">
            <v>-2.6</v>
          </cell>
          <cell r="G1169">
            <v>-2.6</v>
          </cell>
          <cell r="H1169">
            <v>-1.8</v>
          </cell>
          <cell r="I1169">
            <v>-1.6</v>
          </cell>
          <cell r="J1169">
            <v>-2.1</v>
          </cell>
          <cell r="K1169">
            <v>-1.7</v>
          </cell>
          <cell r="L1169">
            <v>1.9</v>
          </cell>
          <cell r="M1169">
            <v>-1.7</v>
          </cell>
        </row>
        <row r="1170">
          <cell r="C1170" t="str">
            <v>Kiệm Tân MBA T2 (phía 110kV)</v>
          </cell>
          <cell r="D1170">
            <v>132</v>
          </cell>
          <cell r="E1170">
            <v>-1.4</v>
          </cell>
          <cell r="F1170">
            <v>2.2999999999999998</v>
          </cell>
          <cell r="G1170">
            <v>2.2999999999999998</v>
          </cell>
          <cell r="H1170">
            <v>2.1</v>
          </cell>
          <cell r="I1170">
            <v>2</v>
          </cell>
          <cell r="J1170">
            <v>-1.4</v>
          </cell>
          <cell r="K1170">
            <v>-1.7</v>
          </cell>
          <cell r="L1170">
            <v>-1.6</v>
          </cell>
          <cell r="M1170">
            <v>-1.6</v>
          </cell>
        </row>
        <row r="1171">
          <cell r="C1171" t="str">
            <v>110kV 171 Kiệm Tân - 176 NMĐ Trị An</v>
          </cell>
          <cell r="D1171">
            <v>171</v>
          </cell>
          <cell r="E1171">
            <v>5.2</v>
          </cell>
          <cell r="F1171">
            <v>6.6</v>
          </cell>
          <cell r="G1171">
            <v>5.9</v>
          </cell>
          <cell r="H1171">
            <v>6</v>
          </cell>
          <cell r="I1171">
            <v>5.2</v>
          </cell>
          <cell r="J1171">
            <v>5.5</v>
          </cell>
          <cell r="K1171">
            <v>6.1</v>
          </cell>
          <cell r="L1171">
            <v>6.3</v>
          </cell>
          <cell r="M1171">
            <v>6.6</v>
          </cell>
        </row>
        <row r="1172">
          <cell r="C1172" t="str">
            <v>110kV 172 Kiệm Tân - 171 Định Quán</v>
          </cell>
          <cell r="D1172">
            <v>172</v>
          </cell>
          <cell r="E1172">
            <v>-3.4</v>
          </cell>
          <cell r="F1172">
            <v>-4.2</v>
          </cell>
          <cell r="G1172">
            <v>-3.4</v>
          </cell>
          <cell r="H1172">
            <v>-3.9</v>
          </cell>
          <cell r="I1172">
            <v>-3.6</v>
          </cell>
          <cell r="J1172">
            <v>-4.2</v>
          </cell>
          <cell r="K1172">
            <v>-4.0999999999999996</v>
          </cell>
          <cell r="L1172">
            <v>-4.0999999999999996</v>
          </cell>
          <cell r="M1172">
            <v>-3.9</v>
          </cell>
        </row>
        <row r="1173">
          <cell r="C1173" t="str">
            <v>Kiệm Tân MBA T1 (phía 22kV)</v>
          </cell>
          <cell r="D1173">
            <v>431</v>
          </cell>
          <cell r="E1173">
            <v>2.2000000000000002</v>
          </cell>
          <cell r="F1173">
            <v>3.4</v>
          </cell>
          <cell r="G1173">
            <v>3.4</v>
          </cell>
          <cell r="H1173">
            <v>2.9</v>
          </cell>
          <cell r="I1173">
            <v>2.9</v>
          </cell>
          <cell r="J1173">
            <v>2.8</v>
          </cell>
          <cell r="K1173">
            <v>2.4</v>
          </cell>
          <cell r="L1173">
            <v>2.2999999999999998</v>
          </cell>
          <cell r="M1173">
            <v>2.2000000000000002</v>
          </cell>
        </row>
        <row r="1174">
          <cell r="C1174" t="str">
            <v>Kiệm Tân MBA T2 (phía 22kV)</v>
          </cell>
          <cell r="D1174">
            <v>432</v>
          </cell>
          <cell r="E1174">
            <v>1.5</v>
          </cell>
          <cell r="F1174">
            <v>1.9</v>
          </cell>
          <cell r="G1174">
            <v>1.9</v>
          </cell>
          <cell r="H1174">
            <v>-1.8</v>
          </cell>
          <cell r="I1174">
            <v>-1.6</v>
          </cell>
          <cell r="J1174">
            <v>1.5</v>
          </cell>
          <cell r="K1174">
            <v>1.8</v>
          </cell>
          <cell r="L1174">
            <v>1.7</v>
          </cell>
          <cell r="M1174">
            <v>1.8</v>
          </cell>
        </row>
        <row r="1175">
          <cell r="C1175" t="str">
            <v>Kiên Bình MBA AT1 (phía 110kV)</v>
          </cell>
          <cell r="D1175">
            <v>131</v>
          </cell>
          <cell r="E1175">
            <v>7.7</v>
          </cell>
          <cell r="F1175">
            <v>-15.2</v>
          </cell>
          <cell r="G1175">
            <v>-11.4</v>
          </cell>
          <cell r="H1175">
            <v>-8</v>
          </cell>
          <cell r="I1175">
            <v>-13.3</v>
          </cell>
          <cell r="J1175">
            <v>-13.7</v>
          </cell>
          <cell r="K1175">
            <v>7.7</v>
          </cell>
          <cell r="L1175">
            <v>8.5</v>
          </cell>
          <cell r="M1175">
            <v>-15.2</v>
          </cell>
        </row>
        <row r="1176">
          <cell r="C1176" t="str">
            <v>Kiên Bình MBA AT2 (phía 110kV)</v>
          </cell>
          <cell r="D1176">
            <v>132</v>
          </cell>
          <cell r="E1176">
            <v>-5.2</v>
          </cell>
          <cell r="F1176">
            <v>-9.3000000000000007</v>
          </cell>
          <cell r="G1176">
            <v>-6.2</v>
          </cell>
          <cell r="H1176">
            <v>-5.2</v>
          </cell>
          <cell r="I1176">
            <v>-8.4</v>
          </cell>
          <cell r="J1176">
            <v>-6.8</v>
          </cell>
          <cell r="K1176">
            <v>5.6</v>
          </cell>
          <cell r="L1176">
            <v>5.8</v>
          </cell>
          <cell r="M1176">
            <v>-9.3000000000000007</v>
          </cell>
        </row>
        <row r="1177">
          <cell r="C1177" t="str">
            <v>110kV 171 Kiên Bình - 172 Hòn Đất</v>
          </cell>
          <cell r="D1177">
            <v>171</v>
          </cell>
          <cell r="E1177">
            <v>-3.7</v>
          </cell>
          <cell r="F1177">
            <v>-4.4000000000000004</v>
          </cell>
          <cell r="G1177">
            <v>-4.4000000000000004</v>
          </cell>
          <cell r="H1177">
            <v>-4.4000000000000004</v>
          </cell>
          <cell r="I1177">
            <v>-4.2</v>
          </cell>
          <cell r="J1177">
            <v>-4.4000000000000004</v>
          </cell>
          <cell r="K1177">
            <v>-4</v>
          </cell>
          <cell r="L1177">
            <v>-4.3</v>
          </cell>
          <cell r="M1177">
            <v>-3.7</v>
          </cell>
        </row>
        <row r="1178">
          <cell r="C1178" t="str">
            <v>110kV 172 Kiên Bình - 171 Hà Tiên</v>
          </cell>
          <cell r="D1178">
            <v>172</v>
          </cell>
          <cell r="E1178">
            <v>-6.2</v>
          </cell>
          <cell r="F1178">
            <v>-8.8000000000000007</v>
          </cell>
          <cell r="G1178">
            <v>-7.2</v>
          </cell>
          <cell r="H1178">
            <v>-6.2</v>
          </cell>
          <cell r="I1178">
            <v>-6.3</v>
          </cell>
          <cell r="J1178">
            <v>-7.3</v>
          </cell>
          <cell r="K1178">
            <v>-8.1999999999999993</v>
          </cell>
          <cell r="L1178">
            <v>-8.8000000000000007</v>
          </cell>
          <cell r="M1178">
            <v>-6.8</v>
          </cell>
        </row>
        <row r="1179">
          <cell r="C1179" t="str">
            <v>110kV 173 Kiên Bình - 172 Hà Tiên</v>
          </cell>
          <cell r="D1179">
            <v>173</v>
          </cell>
          <cell r="E1179">
            <v>-5.8</v>
          </cell>
          <cell r="F1179">
            <v>-8.1</v>
          </cell>
          <cell r="G1179">
            <v>-7.2</v>
          </cell>
          <cell r="H1179">
            <v>-6.2</v>
          </cell>
          <cell r="I1179">
            <v>-5.8</v>
          </cell>
          <cell r="J1179">
            <v>-8</v>
          </cell>
          <cell r="K1179">
            <v>-8.1</v>
          </cell>
          <cell r="L1179">
            <v>-7.9</v>
          </cell>
          <cell r="M1179">
            <v>-6.6</v>
          </cell>
        </row>
        <row r="1180">
          <cell r="C1180" t="str">
            <v>110kV 174 Kiên Bình - 171-7 Kiên Lương</v>
          </cell>
          <cell r="D1180">
            <v>174</v>
          </cell>
          <cell r="E1180">
            <v>0.1</v>
          </cell>
          <cell r="F1180">
            <v>0.1</v>
          </cell>
          <cell r="G1180">
            <v>0.1</v>
          </cell>
          <cell r="H1180">
            <v>0.1</v>
          </cell>
          <cell r="I1180">
            <v>0.1</v>
          </cell>
          <cell r="J1180">
            <v>0.1</v>
          </cell>
          <cell r="K1180">
            <v>0.1</v>
          </cell>
          <cell r="L1180">
            <v>0.1</v>
          </cell>
          <cell r="M1180">
            <v>0.1</v>
          </cell>
        </row>
        <row r="1181">
          <cell r="C1181" t="str">
            <v>110kV 175 Kiên Bình - 171 Kiên Lương 2</v>
          </cell>
          <cell r="D1181">
            <v>175</v>
          </cell>
          <cell r="E1181">
            <v>8.5</v>
          </cell>
          <cell r="F1181">
            <v>15.9</v>
          </cell>
          <cell r="G1181">
            <v>14.2</v>
          </cell>
          <cell r="H1181">
            <v>14.4</v>
          </cell>
          <cell r="I1181">
            <v>14</v>
          </cell>
          <cell r="J1181">
            <v>15.9</v>
          </cell>
          <cell r="K1181">
            <v>9.4</v>
          </cell>
          <cell r="L1181">
            <v>8.5</v>
          </cell>
          <cell r="M1181">
            <v>15.6</v>
          </cell>
        </row>
        <row r="1182">
          <cell r="C1182" t="str">
            <v>110kV 176 Kiên Bình - 172 XM Holcim</v>
          </cell>
          <cell r="D1182">
            <v>176</v>
          </cell>
          <cell r="E1182">
            <v>3.8</v>
          </cell>
          <cell r="F1182">
            <v>9.1</v>
          </cell>
          <cell r="G1182">
            <v>7.7</v>
          </cell>
          <cell r="H1182">
            <v>8.1999999999999993</v>
          </cell>
          <cell r="I1182">
            <v>8.6</v>
          </cell>
          <cell r="J1182">
            <v>8.3000000000000007</v>
          </cell>
          <cell r="K1182">
            <v>7.3</v>
          </cell>
          <cell r="L1182">
            <v>3.8</v>
          </cell>
          <cell r="M1182">
            <v>9.1</v>
          </cell>
        </row>
        <row r="1183">
          <cell r="C1183" t="str">
            <v>Kiên Bình MBA AT1 (phía 220kV)</v>
          </cell>
          <cell r="D1183">
            <v>231</v>
          </cell>
          <cell r="E1183">
            <v>10.3</v>
          </cell>
          <cell r="F1183">
            <v>21.5</v>
          </cell>
          <cell r="G1183">
            <v>15.8</v>
          </cell>
          <cell r="H1183">
            <v>13.3</v>
          </cell>
          <cell r="I1183">
            <v>18.8</v>
          </cell>
          <cell r="J1183">
            <v>19.100000000000001</v>
          </cell>
          <cell r="K1183">
            <v>10.3</v>
          </cell>
          <cell r="L1183">
            <v>11</v>
          </cell>
          <cell r="M1183">
            <v>21.5</v>
          </cell>
        </row>
        <row r="1184">
          <cell r="C1184" t="str">
            <v>Kiên Bình MBA AT2 (phía 220kV)</v>
          </cell>
          <cell r="D1184">
            <v>232</v>
          </cell>
          <cell r="E1184">
            <v>5.6</v>
          </cell>
          <cell r="F1184">
            <v>12</v>
          </cell>
          <cell r="G1184">
            <v>8.8000000000000007</v>
          </cell>
          <cell r="H1184">
            <v>8.6999999999999993</v>
          </cell>
          <cell r="I1184">
            <v>11.5</v>
          </cell>
          <cell r="J1184">
            <v>9.6999999999999993</v>
          </cell>
          <cell r="K1184">
            <v>6.1</v>
          </cell>
          <cell r="L1184">
            <v>5.6</v>
          </cell>
          <cell r="M1184">
            <v>12</v>
          </cell>
        </row>
        <row r="1185">
          <cell r="C1185" t="str">
            <v>220kV 272 Kiên Bình - 273 Châu Đốc 2</v>
          </cell>
          <cell r="D1185">
            <v>272</v>
          </cell>
          <cell r="E1185">
            <v>-16.600000000000001</v>
          </cell>
          <cell r="F1185">
            <v>-25.8</v>
          </cell>
          <cell r="G1185">
            <v>-22</v>
          </cell>
          <cell r="H1185">
            <v>-20.8</v>
          </cell>
          <cell r="I1185">
            <v>-25.8</v>
          </cell>
          <cell r="J1185">
            <v>-23.7</v>
          </cell>
          <cell r="K1185">
            <v>-22.5</v>
          </cell>
          <cell r="L1185">
            <v>-16.600000000000001</v>
          </cell>
          <cell r="M1185">
            <v>-22.4</v>
          </cell>
        </row>
        <row r="1186">
          <cell r="C1186" t="str">
            <v>220kV 273 Kiên Bình - 274 Rạch Giá 2</v>
          </cell>
          <cell r="D1186">
            <v>273</v>
          </cell>
          <cell r="E1186">
            <v>16.600000000000001</v>
          </cell>
          <cell r="F1186">
            <v>26.9</v>
          </cell>
          <cell r="G1186">
            <v>25.9</v>
          </cell>
          <cell r="H1186">
            <v>16.600000000000001</v>
          </cell>
          <cell r="I1186">
            <v>21.2</v>
          </cell>
          <cell r="J1186">
            <v>21.9</v>
          </cell>
          <cell r="K1186">
            <v>26.9</v>
          </cell>
          <cell r="L1186">
            <v>26</v>
          </cell>
          <cell r="M1186">
            <v>26.6</v>
          </cell>
        </row>
        <row r="1187">
          <cell r="C1187" t="str">
            <v>Kiên Lương MBA T1 (phía 110kV)</v>
          </cell>
          <cell r="D1187">
            <v>131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</row>
        <row r="1188">
          <cell r="C1188" t="str">
            <v>Kiên Lương MBA T2 (phía 110kV)</v>
          </cell>
          <cell r="D1188">
            <v>132</v>
          </cell>
          <cell r="E1188">
            <v>2.1</v>
          </cell>
          <cell r="F1188">
            <v>5.4</v>
          </cell>
          <cell r="G1188">
            <v>5.4</v>
          </cell>
          <cell r="H1188">
            <v>5</v>
          </cell>
          <cell r="I1188">
            <v>5.0999999999999996</v>
          </cell>
          <cell r="J1188">
            <v>4.9000000000000004</v>
          </cell>
          <cell r="K1188">
            <v>2.1</v>
          </cell>
          <cell r="L1188">
            <v>5.2</v>
          </cell>
          <cell r="M1188">
            <v>5.2</v>
          </cell>
        </row>
        <row r="1189">
          <cell r="C1189" t="str">
            <v>Kiên Lương MBA T3 (phía 110kV)</v>
          </cell>
          <cell r="D1189">
            <v>133</v>
          </cell>
          <cell r="E1189">
            <v>5.4</v>
          </cell>
          <cell r="F1189">
            <v>7.5</v>
          </cell>
          <cell r="G1189">
            <v>7.4</v>
          </cell>
          <cell r="H1189">
            <v>7.4</v>
          </cell>
          <cell r="I1189">
            <v>7.2</v>
          </cell>
          <cell r="J1189">
            <v>7.5</v>
          </cell>
          <cell r="K1189">
            <v>7.1</v>
          </cell>
          <cell r="L1189">
            <v>5.4</v>
          </cell>
          <cell r="M1189">
            <v>7.3</v>
          </cell>
        </row>
        <row r="1190">
          <cell r="C1190" t="str">
            <v>Kiên Lương MBA T1 (phía 6kV)</v>
          </cell>
          <cell r="D1190">
            <v>631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</row>
        <row r="1191">
          <cell r="C1191" t="str">
            <v>Kiên Lương MBA T2 (phía 6kV)</v>
          </cell>
          <cell r="D1191">
            <v>632</v>
          </cell>
          <cell r="E1191">
            <v>-1.7</v>
          </cell>
          <cell r="F1191">
            <v>-4.4000000000000004</v>
          </cell>
          <cell r="G1191">
            <v>-4.4000000000000004</v>
          </cell>
          <cell r="H1191">
            <v>-4.2</v>
          </cell>
          <cell r="I1191">
            <v>-4.0999999999999996</v>
          </cell>
          <cell r="J1191">
            <v>-4</v>
          </cell>
          <cell r="K1191">
            <v>-1.7</v>
          </cell>
          <cell r="L1191">
            <v>-4.3</v>
          </cell>
          <cell r="M1191">
            <v>-4.2</v>
          </cell>
        </row>
        <row r="1192">
          <cell r="C1192" t="str">
            <v>Kiên Lương MBA T3 (phía 6kV)</v>
          </cell>
          <cell r="D1192">
            <v>633</v>
          </cell>
          <cell r="E1192">
            <v>-4.4000000000000004</v>
          </cell>
          <cell r="F1192">
            <v>-5.9</v>
          </cell>
          <cell r="G1192">
            <v>-5.9</v>
          </cell>
          <cell r="H1192">
            <v>-5.8</v>
          </cell>
          <cell r="I1192">
            <v>-5.8</v>
          </cell>
          <cell r="J1192">
            <v>-5.9</v>
          </cell>
          <cell r="K1192">
            <v>-5.7</v>
          </cell>
          <cell r="L1192">
            <v>-4.4000000000000004</v>
          </cell>
          <cell r="M1192">
            <v>-5.7</v>
          </cell>
        </row>
        <row r="1193">
          <cell r="C1193" t="str">
            <v>Kiên Lương 2 MBA T1 (phía 110kV)</v>
          </cell>
          <cell r="D1193">
            <v>131</v>
          </cell>
          <cell r="E1193">
            <v>1.7</v>
          </cell>
          <cell r="F1193">
            <v>-2.8</v>
          </cell>
          <cell r="G1193">
            <v>2.6</v>
          </cell>
          <cell r="H1193">
            <v>-2.8</v>
          </cell>
          <cell r="I1193">
            <v>-2</v>
          </cell>
          <cell r="J1193">
            <v>2</v>
          </cell>
          <cell r="K1193">
            <v>1.7</v>
          </cell>
          <cell r="L1193">
            <v>-2.8</v>
          </cell>
          <cell r="M1193">
            <v>-2.1</v>
          </cell>
        </row>
        <row r="1194">
          <cell r="C1194" t="str">
            <v>Kiên Lương 2 MBA T2 (phía 110kV)</v>
          </cell>
          <cell r="D1194">
            <v>132</v>
          </cell>
          <cell r="E1194">
            <v>1.6</v>
          </cell>
          <cell r="F1194">
            <v>-2.9</v>
          </cell>
          <cell r="G1194">
            <v>2.5</v>
          </cell>
          <cell r="H1194">
            <v>-2.9</v>
          </cell>
          <cell r="I1194">
            <v>-2.1</v>
          </cell>
          <cell r="J1194">
            <v>1.9</v>
          </cell>
          <cell r="K1194">
            <v>1.6</v>
          </cell>
          <cell r="L1194">
            <v>-2.9</v>
          </cell>
          <cell r="M1194">
            <v>-2.1</v>
          </cell>
        </row>
        <row r="1195">
          <cell r="C1195" t="str">
            <v>110kV 171 Kiên Lương 2 - 175 Kiên Bình</v>
          </cell>
          <cell r="D1195">
            <v>171</v>
          </cell>
          <cell r="E1195">
            <v>-8.5</v>
          </cell>
          <cell r="F1195">
            <v>-15.6</v>
          </cell>
          <cell r="G1195">
            <v>-13.8</v>
          </cell>
          <cell r="H1195">
            <v>-14.4</v>
          </cell>
          <cell r="I1195">
            <v>-13.3</v>
          </cell>
          <cell r="J1195">
            <v>-15.4</v>
          </cell>
          <cell r="K1195">
            <v>-10.199999999999999</v>
          </cell>
          <cell r="L1195">
            <v>-8.5</v>
          </cell>
          <cell r="M1195">
            <v>-15.6</v>
          </cell>
        </row>
        <row r="1196">
          <cell r="C1196" t="str">
            <v>110kV 172 Kiên Lương 2 - 172-7 Kiên Lương</v>
          </cell>
          <cell r="D1196">
            <v>172</v>
          </cell>
          <cell r="E1196">
            <v>8.6999999999999993</v>
          </cell>
          <cell r="F1196">
            <v>12.5</v>
          </cell>
          <cell r="G1196">
            <v>10.4</v>
          </cell>
          <cell r="H1196">
            <v>11.7</v>
          </cell>
          <cell r="I1196">
            <v>12.2</v>
          </cell>
          <cell r="J1196">
            <v>11.9</v>
          </cell>
          <cell r="K1196">
            <v>8.6999999999999993</v>
          </cell>
          <cell r="L1196">
            <v>9.6</v>
          </cell>
          <cell r="M1196">
            <v>12.5</v>
          </cell>
        </row>
        <row r="1197">
          <cell r="C1197" t="str">
            <v>Kiên Lương 2 MBA T1 (phía 22kV)</v>
          </cell>
          <cell r="D1197">
            <v>431</v>
          </cell>
          <cell r="E1197">
            <v>1.6</v>
          </cell>
          <cell r="F1197">
            <v>3.5</v>
          </cell>
          <cell r="G1197">
            <v>1.6</v>
          </cell>
          <cell r="H1197">
            <v>3.3</v>
          </cell>
          <cell r="I1197">
            <v>2.4</v>
          </cell>
          <cell r="J1197">
            <v>1.8</v>
          </cell>
          <cell r="K1197">
            <v>1.7</v>
          </cell>
          <cell r="L1197">
            <v>3.5</v>
          </cell>
          <cell r="M1197">
            <v>2.6</v>
          </cell>
        </row>
        <row r="1198">
          <cell r="C1198" t="str">
            <v>Kiên Lương 2 MBA T2 (phía 22kV)</v>
          </cell>
          <cell r="D1198">
            <v>432</v>
          </cell>
          <cell r="E1198">
            <v>1.7</v>
          </cell>
          <cell r="F1198">
            <v>3.4</v>
          </cell>
          <cell r="G1198">
            <v>-1.7</v>
          </cell>
          <cell r="H1198">
            <v>3.2</v>
          </cell>
          <cell r="I1198">
            <v>2.2999999999999998</v>
          </cell>
          <cell r="J1198">
            <v>1.7</v>
          </cell>
          <cell r="K1198">
            <v>1.7</v>
          </cell>
          <cell r="L1198">
            <v>3.4</v>
          </cell>
          <cell r="M1198">
            <v>2.5</v>
          </cell>
        </row>
        <row r="1199">
          <cell r="C1199" t="str">
            <v>Kiên Lương 2 Tụ Bù Ngang 101</v>
          </cell>
          <cell r="D1199" t="str">
            <v>T101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</row>
        <row r="1200">
          <cell r="C1200" t="str">
            <v>Ko Lon MBA T1 (phía 110kV)</v>
          </cell>
          <cell r="D1200">
            <v>131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</row>
        <row r="1201">
          <cell r="C1201" t="str">
            <v>Ko Lon MBA T2 (phía 110kV)</v>
          </cell>
          <cell r="D1201">
            <v>132</v>
          </cell>
          <cell r="E1201">
            <v>1.7</v>
          </cell>
          <cell r="F1201">
            <v>1.9</v>
          </cell>
          <cell r="G1201">
            <v>1.7</v>
          </cell>
          <cell r="H1201">
            <v>1.7</v>
          </cell>
          <cell r="I1201">
            <v>1.9</v>
          </cell>
          <cell r="J1201">
            <v>1.7</v>
          </cell>
          <cell r="K1201">
            <v>1.9</v>
          </cell>
          <cell r="L1201">
            <v>1.9</v>
          </cell>
          <cell r="M1201">
            <v>1.9</v>
          </cell>
        </row>
        <row r="1202">
          <cell r="C1202" t="str">
            <v>110kV 171 Ko Lon - 171 Viễn Đông</v>
          </cell>
          <cell r="D1202">
            <v>171</v>
          </cell>
          <cell r="E1202">
            <v>2.9</v>
          </cell>
          <cell r="F1202">
            <v>4.0999999999999996</v>
          </cell>
          <cell r="G1202">
            <v>3.9</v>
          </cell>
          <cell r="H1202">
            <v>4</v>
          </cell>
          <cell r="I1202">
            <v>4.0999999999999996</v>
          </cell>
          <cell r="J1202">
            <v>2.9</v>
          </cell>
          <cell r="K1202">
            <v>4</v>
          </cell>
          <cell r="L1202">
            <v>3.8</v>
          </cell>
          <cell r="M1202">
            <v>3.8</v>
          </cell>
        </row>
        <row r="1203">
          <cell r="C1203" t="str">
            <v>110kV 172 Ko Lon - 171 Lai Uyên</v>
          </cell>
          <cell r="D1203">
            <v>172</v>
          </cell>
          <cell r="E1203">
            <v>-4.4000000000000004</v>
          </cell>
          <cell r="F1203">
            <v>-6</v>
          </cell>
          <cell r="G1203">
            <v>-5.5</v>
          </cell>
          <cell r="H1203">
            <v>-5.3</v>
          </cell>
          <cell r="I1203">
            <v>-6</v>
          </cell>
          <cell r="J1203">
            <v>-4.4000000000000004</v>
          </cell>
          <cell r="K1203">
            <v>-5.7</v>
          </cell>
          <cell r="L1203">
            <v>-5.3</v>
          </cell>
          <cell r="M1203">
            <v>-5.3</v>
          </cell>
        </row>
        <row r="1204">
          <cell r="C1204" t="str">
            <v>Ko Lon MBA T1 (phía 6.6kV)</v>
          </cell>
          <cell r="D1204">
            <v>631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</row>
        <row r="1205">
          <cell r="C1205" t="str">
            <v>Ko Lon MBA T2 (phía 6.6kV)</v>
          </cell>
          <cell r="D1205">
            <v>632</v>
          </cell>
          <cell r="E1205">
            <v>-1.4</v>
          </cell>
          <cell r="F1205">
            <v>-1.6</v>
          </cell>
          <cell r="G1205">
            <v>-1.4</v>
          </cell>
          <cell r="H1205">
            <v>-1.4</v>
          </cell>
          <cell r="I1205">
            <v>-1.6</v>
          </cell>
          <cell r="J1205">
            <v>-1.5</v>
          </cell>
          <cell r="K1205">
            <v>-1.6</v>
          </cell>
          <cell r="L1205">
            <v>-1.6</v>
          </cell>
          <cell r="M1205">
            <v>-1.6</v>
          </cell>
        </row>
        <row r="1206">
          <cell r="C1206" t="str">
            <v>Kumho MBA T1 (phía 110kV)</v>
          </cell>
          <cell r="D1206">
            <v>131</v>
          </cell>
          <cell r="E1206">
            <v>2.7</v>
          </cell>
          <cell r="F1206">
            <v>3.4</v>
          </cell>
          <cell r="G1206">
            <v>2.7</v>
          </cell>
          <cell r="H1206">
            <v>3.4</v>
          </cell>
          <cell r="I1206">
            <v>3.4</v>
          </cell>
          <cell r="J1206">
            <v>2.8</v>
          </cell>
          <cell r="K1206">
            <v>2.8</v>
          </cell>
          <cell r="L1206">
            <v>2.9</v>
          </cell>
          <cell r="M1206">
            <v>2.8</v>
          </cell>
        </row>
        <row r="1207">
          <cell r="C1207" t="str">
            <v>Kumho MBA T2 (phía 110kV)</v>
          </cell>
          <cell r="D1207">
            <v>132</v>
          </cell>
          <cell r="E1207">
            <v>1.4</v>
          </cell>
          <cell r="F1207">
            <v>1.7</v>
          </cell>
          <cell r="G1207">
            <v>1.6</v>
          </cell>
          <cell r="H1207">
            <v>1.7</v>
          </cell>
          <cell r="I1207">
            <v>1.5</v>
          </cell>
          <cell r="J1207">
            <v>1.5</v>
          </cell>
          <cell r="K1207">
            <v>1.6</v>
          </cell>
          <cell r="L1207">
            <v>1.6</v>
          </cell>
          <cell r="M1207">
            <v>1.4</v>
          </cell>
        </row>
        <row r="1208">
          <cell r="C1208" t="str">
            <v>110kV 171 Kumho - 174 Mỹ Phước</v>
          </cell>
          <cell r="D1208">
            <v>171</v>
          </cell>
          <cell r="E1208">
            <v>-6.7</v>
          </cell>
          <cell r="F1208">
            <v>-25.3</v>
          </cell>
          <cell r="G1208">
            <v>-14.2</v>
          </cell>
          <cell r="H1208">
            <v>-18.7</v>
          </cell>
          <cell r="I1208">
            <v>-25.3</v>
          </cell>
          <cell r="J1208">
            <v>-6.7</v>
          </cell>
          <cell r="K1208">
            <v>-15.4</v>
          </cell>
          <cell r="L1208">
            <v>-17</v>
          </cell>
          <cell r="M1208">
            <v>-16</v>
          </cell>
        </row>
        <row r="1209">
          <cell r="C1209" t="str">
            <v>110kV 172 Kumho - 171 Bến Cát - 131 Vina Kraft</v>
          </cell>
          <cell r="D1209">
            <v>172</v>
          </cell>
          <cell r="E1209">
            <v>-6.1</v>
          </cell>
          <cell r="F1209">
            <v>22.4</v>
          </cell>
          <cell r="G1209">
            <v>-17.100000000000001</v>
          </cell>
          <cell r="H1209">
            <v>13.8</v>
          </cell>
          <cell r="I1209">
            <v>22.4</v>
          </cell>
          <cell r="J1209">
            <v>-6.1</v>
          </cell>
          <cell r="K1209">
            <v>12.1</v>
          </cell>
          <cell r="L1209">
            <v>13.6</v>
          </cell>
          <cell r="M1209">
            <v>12.7</v>
          </cell>
        </row>
        <row r="1210">
          <cell r="C1210" t="str">
            <v>Kumho MBA T1 (phía 6.6kV)</v>
          </cell>
          <cell r="D1210">
            <v>631</v>
          </cell>
          <cell r="E1210">
            <v>-2.2999999999999998</v>
          </cell>
          <cell r="F1210">
            <v>-3.1</v>
          </cell>
          <cell r="G1210">
            <v>-2.4</v>
          </cell>
          <cell r="H1210">
            <v>-3.1</v>
          </cell>
          <cell r="I1210">
            <v>-2.9</v>
          </cell>
          <cell r="J1210">
            <v>-2.4</v>
          </cell>
          <cell r="K1210">
            <v>-2.7</v>
          </cell>
          <cell r="L1210">
            <v>-2.5</v>
          </cell>
          <cell r="M1210">
            <v>-2.2999999999999998</v>
          </cell>
        </row>
        <row r="1211">
          <cell r="C1211" t="str">
            <v>Kumho MBA T2 (phía 6.6kV)</v>
          </cell>
          <cell r="D1211">
            <v>632</v>
          </cell>
          <cell r="E1211">
            <v>-1.3</v>
          </cell>
          <cell r="F1211">
            <v>-1.5</v>
          </cell>
          <cell r="G1211">
            <v>-1.5</v>
          </cell>
          <cell r="H1211">
            <v>-1.5</v>
          </cell>
          <cell r="I1211">
            <v>-1.3</v>
          </cell>
          <cell r="J1211">
            <v>-1.4</v>
          </cell>
          <cell r="K1211">
            <v>-1.4</v>
          </cell>
          <cell r="L1211">
            <v>-1.4</v>
          </cell>
          <cell r="M1211">
            <v>-1.3</v>
          </cell>
        </row>
        <row r="1212">
          <cell r="C1212" t="str">
            <v>Lai Hưng MBA T1 (phía 110kV)</v>
          </cell>
          <cell r="D1212">
            <v>131</v>
          </cell>
          <cell r="E1212">
            <v>-1.8</v>
          </cell>
          <cell r="F1212">
            <v>4</v>
          </cell>
          <cell r="G1212">
            <v>3.5</v>
          </cell>
          <cell r="H1212">
            <v>3.1</v>
          </cell>
          <cell r="I1212">
            <v>2.9</v>
          </cell>
          <cell r="J1212">
            <v>-1.8</v>
          </cell>
          <cell r="K1212">
            <v>3.2</v>
          </cell>
          <cell r="L1212">
            <v>-3.8</v>
          </cell>
          <cell r="M1212">
            <v>4</v>
          </cell>
        </row>
        <row r="1213">
          <cell r="C1213" t="str">
            <v>Lai Hưng MBA T2 (phía 110kV)</v>
          </cell>
          <cell r="D1213">
            <v>132</v>
          </cell>
          <cell r="E1213">
            <v>1.9</v>
          </cell>
          <cell r="F1213">
            <v>-5.2</v>
          </cell>
          <cell r="G1213">
            <v>-4.7</v>
          </cell>
          <cell r="H1213">
            <v>-5.0999999999999996</v>
          </cell>
          <cell r="I1213">
            <v>-5</v>
          </cell>
          <cell r="J1213">
            <v>1.9</v>
          </cell>
          <cell r="K1213">
            <v>-5.2</v>
          </cell>
          <cell r="L1213">
            <v>-3.9</v>
          </cell>
          <cell r="M1213">
            <v>-4.0999999999999996</v>
          </cell>
        </row>
        <row r="1214">
          <cell r="C1214" t="str">
            <v>110kV 171 Lai Hưng - 177 Bến Cát 2</v>
          </cell>
          <cell r="D1214">
            <v>171</v>
          </cell>
          <cell r="E1214">
            <v>-8.8000000000000007</v>
          </cell>
          <cell r="F1214">
            <v>-22.8</v>
          </cell>
          <cell r="G1214">
            <v>-20.100000000000001</v>
          </cell>
          <cell r="H1214">
            <v>-20.100000000000001</v>
          </cell>
          <cell r="I1214">
            <v>-21.1</v>
          </cell>
          <cell r="J1214">
            <v>-8.8000000000000007</v>
          </cell>
          <cell r="K1214">
            <v>-22.2</v>
          </cell>
          <cell r="L1214">
            <v>-21.4</v>
          </cell>
          <cell r="M1214">
            <v>-22.8</v>
          </cell>
        </row>
        <row r="1215">
          <cell r="C1215" t="str">
            <v>110kV 172 Lai Hưng - 172 Lai Uyên</v>
          </cell>
          <cell r="D1215">
            <v>172</v>
          </cell>
          <cell r="E1215">
            <v>8</v>
          </cell>
          <cell r="F1215">
            <v>21</v>
          </cell>
          <cell r="G1215">
            <v>18.100000000000001</v>
          </cell>
          <cell r="H1215">
            <v>19.100000000000001</v>
          </cell>
          <cell r="I1215">
            <v>20</v>
          </cell>
          <cell r="J1215">
            <v>8</v>
          </cell>
          <cell r="K1215">
            <v>21</v>
          </cell>
          <cell r="L1215">
            <v>20.2</v>
          </cell>
          <cell r="M1215">
            <v>20.5</v>
          </cell>
        </row>
        <row r="1216">
          <cell r="C1216" t="str">
            <v>Lai Hưng MBA T1 (phía 22kV)</v>
          </cell>
          <cell r="D1216">
            <v>431</v>
          </cell>
          <cell r="E1216">
            <v>2.2000000000000002</v>
          </cell>
          <cell r="F1216">
            <v>5</v>
          </cell>
          <cell r="G1216">
            <v>2.5</v>
          </cell>
          <cell r="H1216">
            <v>2.2000000000000002</v>
          </cell>
          <cell r="I1216">
            <v>2.5</v>
          </cell>
          <cell r="J1216">
            <v>2.6</v>
          </cell>
          <cell r="K1216">
            <v>3.1</v>
          </cell>
          <cell r="L1216">
            <v>5</v>
          </cell>
          <cell r="M1216">
            <v>2.6</v>
          </cell>
        </row>
        <row r="1217">
          <cell r="C1217" t="str">
            <v>Lai Hưng MBA T2 (phía 22kV)</v>
          </cell>
          <cell r="D1217">
            <v>432</v>
          </cell>
          <cell r="E1217">
            <v>2.4</v>
          </cell>
          <cell r="F1217">
            <v>6.1</v>
          </cell>
          <cell r="G1217">
            <v>5.6</v>
          </cell>
          <cell r="H1217">
            <v>6</v>
          </cell>
          <cell r="I1217">
            <v>5.9</v>
          </cell>
          <cell r="J1217">
            <v>2.4</v>
          </cell>
          <cell r="K1217">
            <v>6.1</v>
          </cell>
          <cell r="L1217">
            <v>5</v>
          </cell>
          <cell r="M1217">
            <v>5.2</v>
          </cell>
        </row>
        <row r="1218">
          <cell r="C1218" t="str">
            <v>Lai Uyên MBA T1 (phía 110kV)</v>
          </cell>
          <cell r="D1218">
            <v>131</v>
          </cell>
          <cell r="E1218">
            <v>-3.9</v>
          </cell>
          <cell r="F1218">
            <v>12.9</v>
          </cell>
          <cell r="G1218">
            <v>11.5</v>
          </cell>
          <cell r="H1218">
            <v>11.4</v>
          </cell>
          <cell r="I1218">
            <v>11</v>
          </cell>
          <cell r="J1218">
            <v>-3.9</v>
          </cell>
          <cell r="K1218">
            <v>11.3</v>
          </cell>
          <cell r="L1218">
            <v>11.4</v>
          </cell>
          <cell r="M1218">
            <v>12.9</v>
          </cell>
        </row>
        <row r="1219">
          <cell r="C1219" t="str">
            <v>Lai Uyên MBA T2 (phía 110kV)</v>
          </cell>
          <cell r="D1219">
            <v>132</v>
          </cell>
          <cell r="E1219">
            <v>4.3</v>
          </cell>
          <cell r="F1219">
            <v>6.5</v>
          </cell>
          <cell r="G1219">
            <v>4.3</v>
          </cell>
          <cell r="H1219">
            <v>4.3</v>
          </cell>
          <cell r="I1219">
            <v>5.2</v>
          </cell>
          <cell r="J1219">
            <v>4.5999999999999996</v>
          </cell>
          <cell r="K1219">
            <v>5.6</v>
          </cell>
          <cell r="L1219">
            <v>6.5</v>
          </cell>
          <cell r="M1219">
            <v>4.5999999999999996</v>
          </cell>
        </row>
        <row r="1220">
          <cell r="C1220" t="str">
            <v>110kV 171 Lai Uyên - 172 Ko Lon</v>
          </cell>
          <cell r="D1220">
            <v>171</v>
          </cell>
          <cell r="E1220">
            <v>4.5</v>
          </cell>
          <cell r="F1220">
            <v>5.9</v>
          </cell>
          <cell r="G1220">
            <v>5.5</v>
          </cell>
          <cell r="H1220">
            <v>5.4</v>
          </cell>
          <cell r="I1220">
            <v>5.9</v>
          </cell>
          <cell r="J1220">
            <v>4.5</v>
          </cell>
          <cell r="K1220">
            <v>5.6</v>
          </cell>
          <cell r="L1220">
            <v>5.5</v>
          </cell>
          <cell r="M1220">
            <v>5.5</v>
          </cell>
        </row>
        <row r="1221">
          <cell r="C1221" t="str">
            <v>110kV 172 Lai Uyên - 172 Lai Hưng</v>
          </cell>
          <cell r="D1221">
            <v>172</v>
          </cell>
          <cell r="E1221">
            <v>-7.9</v>
          </cell>
          <cell r="F1221">
            <v>-21.1</v>
          </cell>
          <cell r="G1221">
            <v>-18.2</v>
          </cell>
          <cell r="H1221">
            <v>-19.2</v>
          </cell>
          <cell r="I1221">
            <v>-20.2</v>
          </cell>
          <cell r="J1221">
            <v>-7.9</v>
          </cell>
          <cell r="K1221">
            <v>-21.1</v>
          </cell>
          <cell r="L1221">
            <v>-19.600000000000001</v>
          </cell>
          <cell r="M1221">
            <v>-20.3</v>
          </cell>
        </row>
        <row r="1222">
          <cell r="C1222" t="str">
            <v>Lai Uyên MBA T1 (phía 22kV)</v>
          </cell>
          <cell r="D1222">
            <v>431</v>
          </cell>
          <cell r="E1222">
            <v>5</v>
          </cell>
          <cell r="F1222">
            <v>-8.5</v>
          </cell>
          <cell r="G1222">
            <v>-7.7</v>
          </cell>
          <cell r="H1222">
            <v>-7.4</v>
          </cell>
          <cell r="I1222">
            <v>-7</v>
          </cell>
          <cell r="J1222">
            <v>5</v>
          </cell>
          <cell r="K1222">
            <v>-7.3</v>
          </cell>
          <cell r="L1222">
            <v>-7.1</v>
          </cell>
          <cell r="M1222">
            <v>-8.5</v>
          </cell>
        </row>
        <row r="1223">
          <cell r="C1223" t="str">
            <v>Lai Uyên MBA T2 (phía 22kV)</v>
          </cell>
          <cell r="D1223">
            <v>432</v>
          </cell>
          <cell r="E1223">
            <v>-3.7</v>
          </cell>
          <cell r="F1223">
            <v>-5.2</v>
          </cell>
          <cell r="G1223">
            <v>4.0999999999999996</v>
          </cell>
          <cell r="H1223">
            <v>3.8</v>
          </cell>
          <cell r="I1223">
            <v>-4.0999999999999996</v>
          </cell>
          <cell r="J1223">
            <v>-3.7</v>
          </cell>
          <cell r="K1223">
            <v>-4</v>
          </cell>
          <cell r="L1223">
            <v>-5.2</v>
          </cell>
          <cell r="M1223">
            <v>3.9</v>
          </cell>
        </row>
        <row r="1224">
          <cell r="C1224" t="str">
            <v>Lâm Hà MBA T1 (phía 110kV)</v>
          </cell>
          <cell r="D1224">
            <v>131</v>
          </cell>
          <cell r="E1224">
            <v>-2.2999999999999998</v>
          </cell>
          <cell r="F1224">
            <v>-4.2</v>
          </cell>
          <cell r="G1224">
            <v>-2.2999999999999998</v>
          </cell>
          <cell r="H1224">
            <v>-3.2</v>
          </cell>
          <cell r="I1224">
            <v>-2.2999999999999998</v>
          </cell>
          <cell r="J1224">
            <v>-2.9</v>
          </cell>
          <cell r="K1224">
            <v>-2.7</v>
          </cell>
          <cell r="L1224">
            <v>-4.2</v>
          </cell>
          <cell r="M1224">
            <v>-2.5</v>
          </cell>
        </row>
        <row r="1225">
          <cell r="C1225" t="str">
            <v>Lâm Hà MBA T1 (phía 22kV)</v>
          </cell>
          <cell r="D1225">
            <v>431</v>
          </cell>
          <cell r="E1225">
            <v>2.4</v>
          </cell>
          <cell r="F1225">
            <v>4.3</v>
          </cell>
          <cell r="G1225">
            <v>2.4</v>
          </cell>
          <cell r="H1225">
            <v>3.2</v>
          </cell>
          <cell r="I1225">
            <v>2.4</v>
          </cell>
          <cell r="J1225">
            <v>3</v>
          </cell>
          <cell r="K1225">
            <v>2.9</v>
          </cell>
          <cell r="L1225">
            <v>4.3</v>
          </cell>
          <cell r="M1225">
            <v>2.7</v>
          </cell>
        </row>
        <row r="1226">
          <cell r="C1226" t="str">
            <v>Láng Cát MBA T1 (phía 22kV)</v>
          </cell>
          <cell r="D1226">
            <v>431</v>
          </cell>
          <cell r="E1226">
            <v>-4.7</v>
          </cell>
          <cell r="F1226">
            <v>6.7</v>
          </cell>
          <cell r="G1226">
            <v>-5.7</v>
          </cell>
          <cell r="H1226">
            <v>-5.4</v>
          </cell>
          <cell r="I1226">
            <v>-4.7</v>
          </cell>
          <cell r="J1226">
            <v>6.3</v>
          </cell>
          <cell r="K1226">
            <v>6.7</v>
          </cell>
          <cell r="L1226">
            <v>-4.8</v>
          </cell>
          <cell r="M1226">
            <v>-5</v>
          </cell>
        </row>
        <row r="1227">
          <cell r="C1227" t="str">
            <v>Láng Cát MBA T2 (phía 22kV)</v>
          </cell>
          <cell r="D1227">
            <v>432</v>
          </cell>
          <cell r="E1227">
            <v>4.2</v>
          </cell>
          <cell r="F1227">
            <v>-9.1</v>
          </cell>
          <cell r="G1227">
            <v>-9.1</v>
          </cell>
          <cell r="H1227">
            <v>-9</v>
          </cell>
          <cell r="I1227">
            <v>-8.1999999999999993</v>
          </cell>
          <cell r="J1227">
            <v>4.2</v>
          </cell>
          <cell r="K1227">
            <v>-9.1</v>
          </cell>
          <cell r="L1227">
            <v>-9.1</v>
          </cell>
          <cell r="M1227">
            <v>-9.1</v>
          </cell>
        </row>
        <row r="1228">
          <cell r="C1228" t="str">
            <v>Le Long MBA T1 (phía 110kV)</v>
          </cell>
          <cell r="D1228">
            <v>131</v>
          </cell>
          <cell r="E1228">
            <v>3.7</v>
          </cell>
          <cell r="F1228">
            <v>5</v>
          </cell>
          <cell r="G1228">
            <v>4.8</v>
          </cell>
          <cell r="H1228">
            <v>4.8</v>
          </cell>
          <cell r="I1228">
            <v>4.4000000000000004</v>
          </cell>
          <cell r="J1228">
            <v>3.7</v>
          </cell>
          <cell r="K1228">
            <v>4.5999999999999996</v>
          </cell>
          <cell r="L1228">
            <v>4.4000000000000004</v>
          </cell>
          <cell r="M1228">
            <v>5</v>
          </cell>
        </row>
        <row r="1229">
          <cell r="C1229" t="str">
            <v>110kV 171 Le Long - 176 Đức Hòa 2</v>
          </cell>
          <cell r="D1229">
            <v>171</v>
          </cell>
          <cell r="E1229">
            <v>10.199999999999999</v>
          </cell>
          <cell r="F1229">
            <v>16.2</v>
          </cell>
          <cell r="G1229">
            <v>-10.199999999999999</v>
          </cell>
          <cell r="H1229">
            <v>-12.7</v>
          </cell>
          <cell r="I1229">
            <v>-12</v>
          </cell>
          <cell r="J1229">
            <v>16.2</v>
          </cell>
          <cell r="K1229">
            <v>14.5</v>
          </cell>
          <cell r="L1229">
            <v>11.8</v>
          </cell>
          <cell r="M1229">
            <v>10.199999999999999</v>
          </cell>
        </row>
        <row r="1230">
          <cell r="C1230" t="str">
            <v>110kV 172 Le Long - 172 Hựu Thạnh</v>
          </cell>
          <cell r="D1230">
            <v>172</v>
          </cell>
          <cell r="E1230">
            <v>10.7</v>
          </cell>
          <cell r="F1230">
            <v>-16.899999999999999</v>
          </cell>
          <cell r="G1230">
            <v>-12.3</v>
          </cell>
          <cell r="H1230">
            <v>-12.4</v>
          </cell>
          <cell r="I1230">
            <v>10.7</v>
          </cell>
          <cell r="J1230">
            <v>-16.899999999999999</v>
          </cell>
          <cell r="K1230">
            <v>-14.7</v>
          </cell>
          <cell r="L1230">
            <v>-14.4</v>
          </cell>
          <cell r="M1230">
            <v>-13.1</v>
          </cell>
        </row>
        <row r="1231">
          <cell r="C1231" t="str">
            <v>Le Long MBA T1 (phía 22kV)</v>
          </cell>
          <cell r="D1231">
            <v>431</v>
          </cell>
          <cell r="E1231">
            <v>-3.5</v>
          </cell>
          <cell r="F1231">
            <v>-4.4000000000000004</v>
          </cell>
          <cell r="G1231">
            <v>-4.0999999999999996</v>
          </cell>
          <cell r="H1231">
            <v>-4.3</v>
          </cell>
          <cell r="I1231">
            <v>-4</v>
          </cell>
          <cell r="J1231">
            <v>-3.5</v>
          </cell>
          <cell r="K1231">
            <v>-4.2</v>
          </cell>
          <cell r="L1231">
            <v>-4</v>
          </cell>
          <cell r="M1231">
            <v>-4.4000000000000004</v>
          </cell>
        </row>
        <row r="1232">
          <cell r="C1232" t="str">
            <v>Lê Minh Xuân MBA T1 (phía 110kV)</v>
          </cell>
          <cell r="D1232">
            <v>131</v>
          </cell>
          <cell r="E1232">
            <v>-7.9</v>
          </cell>
          <cell r="F1232">
            <v>15.8</v>
          </cell>
          <cell r="G1232">
            <v>15.8</v>
          </cell>
          <cell r="H1232">
            <v>15.5</v>
          </cell>
          <cell r="I1232">
            <v>13.9</v>
          </cell>
          <cell r="J1232">
            <v>-7.9</v>
          </cell>
          <cell r="K1232">
            <v>15</v>
          </cell>
          <cell r="L1232">
            <v>13.3</v>
          </cell>
          <cell r="M1232">
            <v>14.8</v>
          </cell>
        </row>
        <row r="1233">
          <cell r="C1233" t="str">
            <v>Lê Minh Xuân MBA T2 (phía 110kV)</v>
          </cell>
          <cell r="D1233">
            <v>132</v>
          </cell>
          <cell r="E1233">
            <v>-7.4</v>
          </cell>
          <cell r="F1233">
            <v>15.7</v>
          </cell>
          <cell r="G1233">
            <v>12.7</v>
          </cell>
          <cell r="H1233">
            <v>11.7</v>
          </cell>
          <cell r="I1233">
            <v>10.8</v>
          </cell>
          <cell r="J1233">
            <v>-7.4</v>
          </cell>
          <cell r="K1233">
            <v>15.7</v>
          </cell>
          <cell r="L1233">
            <v>15.3</v>
          </cell>
          <cell r="M1233">
            <v>14.8</v>
          </cell>
        </row>
        <row r="1234">
          <cell r="C1234" t="str">
            <v>110kV 171 Lê Minh Xuân - 180 Phú Lâm</v>
          </cell>
          <cell r="D1234">
            <v>171</v>
          </cell>
          <cell r="E1234">
            <v>15.8</v>
          </cell>
          <cell r="F1234">
            <v>-30.7</v>
          </cell>
          <cell r="G1234">
            <v>-28.8</v>
          </cell>
          <cell r="H1234">
            <v>-26.7</v>
          </cell>
          <cell r="I1234">
            <v>-24.4</v>
          </cell>
          <cell r="J1234">
            <v>15.8</v>
          </cell>
          <cell r="K1234">
            <v>-30.7</v>
          </cell>
          <cell r="L1234">
            <v>-29.1</v>
          </cell>
          <cell r="M1234">
            <v>-29.6</v>
          </cell>
        </row>
        <row r="1235">
          <cell r="C1235" t="str">
            <v>110kV 172 Lê Minh Xuân - 171 Hựu Thạnh</v>
          </cell>
          <cell r="D1235">
            <v>172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</row>
        <row r="1236">
          <cell r="C1236" t="str">
            <v>Lê Minh Xuân MBA T1 (phía 22kV)</v>
          </cell>
          <cell r="D1236">
            <v>431</v>
          </cell>
          <cell r="E1236">
            <v>-2.5</v>
          </cell>
          <cell r="F1236">
            <v>-3.6</v>
          </cell>
          <cell r="G1236">
            <v>-3.6</v>
          </cell>
          <cell r="H1236">
            <v>-3.2</v>
          </cell>
          <cell r="I1236">
            <v>-2.7</v>
          </cell>
          <cell r="J1236">
            <v>2.8</v>
          </cell>
          <cell r="K1236">
            <v>3</v>
          </cell>
          <cell r="L1236">
            <v>-2.5</v>
          </cell>
          <cell r="M1236">
            <v>-2.5</v>
          </cell>
        </row>
        <row r="1237">
          <cell r="C1237" t="str">
            <v>Lê Minh Xuân MBA T2 (phía 22kV)</v>
          </cell>
          <cell r="D1237">
            <v>432</v>
          </cell>
          <cell r="E1237">
            <v>-4.8</v>
          </cell>
          <cell r="F1237">
            <v>8.5</v>
          </cell>
          <cell r="G1237">
            <v>-5.9</v>
          </cell>
          <cell r="H1237">
            <v>-5.5</v>
          </cell>
          <cell r="I1237">
            <v>-4.8</v>
          </cell>
          <cell r="J1237">
            <v>7.7</v>
          </cell>
          <cell r="K1237">
            <v>8.5</v>
          </cell>
          <cell r="L1237">
            <v>-7.4</v>
          </cell>
          <cell r="M1237">
            <v>-7.1</v>
          </cell>
        </row>
        <row r="1238">
          <cell r="C1238" t="str">
            <v>Linde Gas MBA T1 (phía 110kV)</v>
          </cell>
          <cell r="D1238">
            <v>131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</row>
        <row r="1239">
          <cell r="C1239" t="str">
            <v>110kV 171 Linde Gas - 172 Pos-Vina</v>
          </cell>
          <cell r="D1239">
            <v>171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</row>
        <row r="1240">
          <cell r="C1240" t="str">
            <v>110kV 172 Linde Gas - 178 Tân Thành</v>
          </cell>
          <cell r="D1240">
            <v>172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</row>
        <row r="1241">
          <cell r="C1241" t="str">
            <v>Linde Gas MBA T1 (phía 10kV)</v>
          </cell>
          <cell r="D1241">
            <v>931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</row>
        <row r="1242">
          <cell r="C1242" t="str">
            <v>Linh Trung 1 MBA T1 (phía 110kV)</v>
          </cell>
          <cell r="D1242">
            <v>131</v>
          </cell>
          <cell r="E1242">
            <v>-4.4000000000000004</v>
          </cell>
          <cell r="F1242">
            <v>9.6</v>
          </cell>
          <cell r="G1242">
            <v>9.3000000000000007</v>
          </cell>
          <cell r="H1242">
            <v>9.1999999999999993</v>
          </cell>
          <cell r="I1242">
            <v>9</v>
          </cell>
          <cell r="J1242">
            <v>-4.4000000000000004</v>
          </cell>
          <cell r="K1242">
            <v>8.6999999999999993</v>
          </cell>
          <cell r="L1242">
            <v>9.1999999999999993</v>
          </cell>
          <cell r="M1242">
            <v>9.6</v>
          </cell>
        </row>
        <row r="1243">
          <cell r="C1243" t="str">
            <v>Linh Trung 1 MBA T2 (phía 110kV)</v>
          </cell>
          <cell r="D1243">
            <v>132</v>
          </cell>
          <cell r="E1243">
            <v>-4.7</v>
          </cell>
          <cell r="F1243">
            <v>-8.8000000000000007</v>
          </cell>
          <cell r="G1243">
            <v>-4.9000000000000004</v>
          </cell>
          <cell r="H1243">
            <v>-4.7</v>
          </cell>
          <cell r="I1243">
            <v>-5.3</v>
          </cell>
          <cell r="J1243">
            <v>-8.4</v>
          </cell>
          <cell r="K1243">
            <v>-8.8000000000000007</v>
          </cell>
          <cell r="L1243">
            <v>-5</v>
          </cell>
          <cell r="M1243">
            <v>-5.6</v>
          </cell>
        </row>
        <row r="1244">
          <cell r="C1244" t="str">
            <v>110kV 171 Linh Trung 1 - 172 Đông Hòa</v>
          </cell>
          <cell r="D1244">
            <v>171</v>
          </cell>
          <cell r="E1244">
            <v>-4.2</v>
          </cell>
          <cell r="F1244">
            <v>-6.3</v>
          </cell>
          <cell r="G1244">
            <v>-4.2</v>
          </cell>
          <cell r="H1244">
            <v>-5.5</v>
          </cell>
          <cell r="I1244">
            <v>4.4000000000000004</v>
          </cell>
          <cell r="J1244">
            <v>5</v>
          </cell>
          <cell r="K1244">
            <v>-5.8</v>
          </cell>
          <cell r="L1244">
            <v>-6.3</v>
          </cell>
          <cell r="M1244">
            <v>-4.3</v>
          </cell>
        </row>
        <row r="1245">
          <cell r="C1245" t="str">
            <v>110kV 172 Linh Trung 1 - 171 NM Nước Thủ Đức</v>
          </cell>
          <cell r="D1245">
            <v>172</v>
          </cell>
          <cell r="E1245">
            <v>10.7</v>
          </cell>
          <cell r="F1245">
            <v>-16.5</v>
          </cell>
          <cell r="G1245">
            <v>-15.2</v>
          </cell>
          <cell r="H1245">
            <v>-13</v>
          </cell>
          <cell r="I1245">
            <v>-14.2</v>
          </cell>
          <cell r="J1245">
            <v>10.7</v>
          </cell>
          <cell r="K1245">
            <v>12.4</v>
          </cell>
          <cell r="L1245">
            <v>-14.2</v>
          </cell>
          <cell r="M1245">
            <v>-16.5</v>
          </cell>
        </row>
        <row r="1246">
          <cell r="C1246" t="str">
            <v>Linh Trung 1 MBA T1 (phía 22kV)</v>
          </cell>
          <cell r="D1246">
            <v>431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</row>
        <row r="1247">
          <cell r="C1247" t="str">
            <v>Linh Trung 1 MBA T2 (phía 22kV)</v>
          </cell>
          <cell r="D1247">
            <v>432</v>
          </cell>
          <cell r="E1247">
            <v>5.6</v>
          </cell>
          <cell r="F1247">
            <v>9.3000000000000007</v>
          </cell>
          <cell r="G1247">
            <v>5.9</v>
          </cell>
          <cell r="H1247">
            <v>5.6</v>
          </cell>
          <cell r="I1247">
            <v>6.4</v>
          </cell>
          <cell r="J1247">
            <v>8.9</v>
          </cell>
          <cell r="K1247">
            <v>9.3000000000000007</v>
          </cell>
          <cell r="L1247">
            <v>5.9</v>
          </cell>
          <cell r="M1247">
            <v>6.5</v>
          </cell>
        </row>
        <row r="1248">
          <cell r="C1248" t="str">
            <v>Linh Trung 2 MBA T1 (phía 110kV)</v>
          </cell>
          <cell r="D1248">
            <v>131</v>
          </cell>
          <cell r="E1248">
            <v>3.9</v>
          </cell>
          <cell r="F1248">
            <v>4.9000000000000004</v>
          </cell>
          <cell r="G1248">
            <v>4.8</v>
          </cell>
          <cell r="H1248">
            <v>4.9000000000000004</v>
          </cell>
          <cell r="I1248">
            <v>4.5</v>
          </cell>
          <cell r="J1248">
            <v>-4</v>
          </cell>
          <cell r="K1248">
            <v>-4.4000000000000004</v>
          </cell>
          <cell r="L1248">
            <v>3.9</v>
          </cell>
          <cell r="M1248">
            <v>3.9</v>
          </cell>
        </row>
        <row r="1249">
          <cell r="C1249" t="str">
            <v>Linh Trung 2 MBA T2 (phía 110kV)</v>
          </cell>
          <cell r="D1249">
            <v>132</v>
          </cell>
          <cell r="E1249">
            <v>-4.9000000000000004</v>
          </cell>
          <cell r="F1249">
            <v>-6.3</v>
          </cell>
          <cell r="G1249">
            <v>-5.3</v>
          </cell>
          <cell r="H1249">
            <v>-4.9000000000000004</v>
          </cell>
          <cell r="I1249">
            <v>-5.0999999999999996</v>
          </cell>
          <cell r="J1249">
            <v>-6</v>
          </cell>
          <cell r="K1249">
            <v>-6.3</v>
          </cell>
          <cell r="L1249">
            <v>-5.6</v>
          </cell>
          <cell r="M1249">
            <v>-5.0999999999999996</v>
          </cell>
        </row>
        <row r="1250">
          <cell r="C1250" t="str">
            <v>110kV 171 Linh Trung 2 - 171 Thủ Đức</v>
          </cell>
          <cell r="D1250">
            <v>171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</row>
        <row r="1251">
          <cell r="C1251" t="str">
            <v>110kV 172 Linh Trung 2 - 171 Thuận An</v>
          </cell>
          <cell r="D1251">
            <v>172</v>
          </cell>
          <cell r="E1251">
            <v>7.3</v>
          </cell>
          <cell r="F1251">
            <v>10.5</v>
          </cell>
          <cell r="G1251">
            <v>-7.9</v>
          </cell>
          <cell r="H1251">
            <v>-8.1</v>
          </cell>
          <cell r="I1251">
            <v>7.6</v>
          </cell>
          <cell r="J1251">
            <v>9.9</v>
          </cell>
          <cell r="K1251">
            <v>10.5</v>
          </cell>
          <cell r="L1251">
            <v>7.8</v>
          </cell>
          <cell r="M1251">
            <v>7.3</v>
          </cell>
        </row>
        <row r="1252">
          <cell r="C1252" t="str">
            <v>Linh Trung 2 MBA T1 (phía 22kV)</v>
          </cell>
          <cell r="D1252">
            <v>431</v>
          </cell>
          <cell r="E1252">
            <v>1.8</v>
          </cell>
          <cell r="F1252">
            <v>3</v>
          </cell>
          <cell r="G1252">
            <v>1.8</v>
          </cell>
          <cell r="H1252">
            <v>2.1</v>
          </cell>
          <cell r="I1252">
            <v>2.2999999999999998</v>
          </cell>
          <cell r="J1252">
            <v>2.7</v>
          </cell>
          <cell r="K1252">
            <v>3</v>
          </cell>
          <cell r="L1252">
            <v>2</v>
          </cell>
          <cell r="M1252">
            <v>1.8</v>
          </cell>
        </row>
        <row r="1253">
          <cell r="C1253" t="str">
            <v>Linh Trung 2 MBA T2 (phía 22kV)</v>
          </cell>
          <cell r="D1253">
            <v>432</v>
          </cell>
          <cell r="E1253">
            <v>2.4</v>
          </cell>
          <cell r="F1253">
            <v>-2.7</v>
          </cell>
          <cell r="G1253">
            <v>-2.6</v>
          </cell>
          <cell r="H1253">
            <v>-2.6</v>
          </cell>
          <cell r="I1253">
            <v>-2.5</v>
          </cell>
          <cell r="J1253">
            <v>2.4</v>
          </cell>
          <cell r="K1253">
            <v>-2.7</v>
          </cell>
          <cell r="L1253">
            <v>-2.6</v>
          </cell>
          <cell r="M1253">
            <v>-2.6</v>
          </cell>
        </row>
        <row r="1254">
          <cell r="C1254" t="str">
            <v>Lộc Ninh MBA T1 (phía 110kV)</v>
          </cell>
          <cell r="D1254">
            <v>131</v>
          </cell>
          <cell r="E1254">
            <v>-3.4</v>
          </cell>
          <cell r="F1254">
            <v>4.5</v>
          </cell>
          <cell r="G1254">
            <v>-3.5</v>
          </cell>
          <cell r="H1254">
            <v>3.4</v>
          </cell>
          <cell r="I1254">
            <v>4.5</v>
          </cell>
          <cell r="J1254">
            <v>-3.4</v>
          </cell>
          <cell r="K1254">
            <v>3.7</v>
          </cell>
          <cell r="L1254">
            <v>-4</v>
          </cell>
          <cell r="M1254">
            <v>-4.0999999999999996</v>
          </cell>
        </row>
        <row r="1255">
          <cell r="C1255" t="str">
            <v>Lộc Ninh MBA T2 (phía 110kV)</v>
          </cell>
          <cell r="D1255">
            <v>132</v>
          </cell>
          <cell r="E1255">
            <v>1.4</v>
          </cell>
          <cell r="F1255">
            <v>-3.5</v>
          </cell>
          <cell r="G1255">
            <v>1.7</v>
          </cell>
          <cell r="H1255">
            <v>-3.5</v>
          </cell>
          <cell r="I1255">
            <v>2.2000000000000002</v>
          </cell>
          <cell r="J1255">
            <v>1.4</v>
          </cell>
          <cell r="K1255">
            <v>1.9</v>
          </cell>
          <cell r="L1255">
            <v>-3.3</v>
          </cell>
          <cell r="M1255">
            <v>-2.8</v>
          </cell>
        </row>
        <row r="1256">
          <cell r="C1256" t="str">
            <v>110kV 171 Lộc Ninh - 173 NMĐ Thác Mơ</v>
          </cell>
          <cell r="D1256">
            <v>171</v>
          </cell>
          <cell r="E1256">
            <v>7.6</v>
          </cell>
          <cell r="F1256">
            <v>23.6</v>
          </cell>
          <cell r="G1256">
            <v>23.6</v>
          </cell>
          <cell r="H1256">
            <v>18</v>
          </cell>
          <cell r="I1256">
            <v>22.1</v>
          </cell>
          <cell r="J1256">
            <v>7.6</v>
          </cell>
          <cell r="K1256">
            <v>22.7</v>
          </cell>
          <cell r="L1256">
            <v>22</v>
          </cell>
          <cell r="M1256">
            <v>22.6</v>
          </cell>
        </row>
        <row r="1257">
          <cell r="C1257" t="str">
            <v>110kV 172 Lộc Ninh - 172 Bình Long 2</v>
          </cell>
          <cell r="D1257">
            <v>172</v>
          </cell>
          <cell r="E1257">
            <v>-10.5</v>
          </cell>
          <cell r="F1257">
            <v>-31.4</v>
          </cell>
          <cell r="G1257">
            <v>-28.1</v>
          </cell>
          <cell r="H1257">
            <v>-18.399999999999999</v>
          </cell>
          <cell r="I1257">
            <v>-30</v>
          </cell>
          <cell r="J1257">
            <v>-10.5</v>
          </cell>
          <cell r="K1257">
            <v>-31.4</v>
          </cell>
          <cell r="L1257">
            <v>-19.3</v>
          </cell>
          <cell r="M1257">
            <v>-18.5</v>
          </cell>
        </row>
        <row r="1258">
          <cell r="C1258" t="str">
            <v>110kV 173 Lộc Ninh - 172 Bù Đốp</v>
          </cell>
          <cell r="D1258">
            <v>173</v>
          </cell>
          <cell r="E1258">
            <v>-5.8</v>
          </cell>
          <cell r="F1258">
            <v>-7.8</v>
          </cell>
          <cell r="G1258">
            <v>-7.8</v>
          </cell>
          <cell r="H1258">
            <v>-7.8</v>
          </cell>
          <cell r="I1258">
            <v>-5.8</v>
          </cell>
          <cell r="J1258">
            <v>-7</v>
          </cell>
          <cell r="K1258">
            <v>-7.4</v>
          </cell>
          <cell r="L1258">
            <v>-6.8</v>
          </cell>
          <cell r="M1258">
            <v>7</v>
          </cell>
        </row>
        <row r="1259">
          <cell r="C1259" t="str">
            <v>110kV 174 Lộc Ninh - 174 Bình Long 2</v>
          </cell>
          <cell r="D1259">
            <v>174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</row>
        <row r="1260">
          <cell r="C1260" t="str">
            <v>Lộc Ninh MBA T1 (phía 22kV)</v>
          </cell>
          <cell r="D1260">
            <v>431</v>
          </cell>
          <cell r="E1260">
            <v>-2.5</v>
          </cell>
          <cell r="F1260">
            <v>4.8</v>
          </cell>
          <cell r="G1260">
            <v>4.4000000000000004</v>
          </cell>
          <cell r="H1260">
            <v>2.8</v>
          </cell>
          <cell r="I1260">
            <v>-3.9</v>
          </cell>
          <cell r="J1260">
            <v>3.8</v>
          </cell>
          <cell r="K1260">
            <v>-2.5</v>
          </cell>
          <cell r="L1260">
            <v>4.3</v>
          </cell>
          <cell r="M1260">
            <v>4.8</v>
          </cell>
        </row>
        <row r="1261">
          <cell r="C1261" t="str">
            <v>Lộc Ninh MBA T2 (phía 22kV)</v>
          </cell>
          <cell r="D1261">
            <v>432</v>
          </cell>
          <cell r="E1261">
            <v>1.9</v>
          </cell>
          <cell r="F1261">
            <v>4.2</v>
          </cell>
          <cell r="G1261">
            <v>2</v>
          </cell>
          <cell r="H1261">
            <v>3.9</v>
          </cell>
          <cell r="I1261">
            <v>2.1</v>
          </cell>
          <cell r="J1261">
            <v>1.9</v>
          </cell>
          <cell r="K1261">
            <v>2.2000000000000002</v>
          </cell>
          <cell r="L1261">
            <v>4.2</v>
          </cell>
          <cell r="M1261">
            <v>4</v>
          </cell>
        </row>
        <row r="1262">
          <cell r="C1262" t="str">
            <v>Long An MBA T1 (phía 110kV)</v>
          </cell>
          <cell r="D1262">
            <v>131</v>
          </cell>
          <cell r="E1262">
            <v>-3.3</v>
          </cell>
          <cell r="F1262">
            <v>4.5999999999999996</v>
          </cell>
          <cell r="G1262">
            <v>4.3</v>
          </cell>
          <cell r="H1262">
            <v>4.2</v>
          </cell>
          <cell r="I1262">
            <v>3.6</v>
          </cell>
          <cell r="J1262">
            <v>-3.3</v>
          </cell>
          <cell r="K1262">
            <v>4.5999999999999996</v>
          </cell>
          <cell r="L1262">
            <v>3.8</v>
          </cell>
          <cell r="M1262">
            <v>-3.6</v>
          </cell>
        </row>
        <row r="1263">
          <cell r="C1263" t="str">
            <v>Long An MBA T2 (phía 110kV)</v>
          </cell>
          <cell r="D1263">
            <v>132</v>
          </cell>
          <cell r="E1263">
            <v>-2.8</v>
          </cell>
          <cell r="F1263">
            <v>-4.8</v>
          </cell>
          <cell r="G1263">
            <v>-4.0999999999999996</v>
          </cell>
          <cell r="H1263">
            <v>-2.8</v>
          </cell>
          <cell r="I1263">
            <v>-3.4</v>
          </cell>
          <cell r="J1263">
            <v>-4.5</v>
          </cell>
          <cell r="K1263">
            <v>-4.8</v>
          </cell>
          <cell r="L1263">
            <v>-3.5</v>
          </cell>
          <cell r="M1263">
            <v>-3.1</v>
          </cell>
        </row>
        <row r="1264">
          <cell r="C1264" t="str">
            <v>110kV 171 Long An - 172 Long An 2</v>
          </cell>
          <cell r="D1264">
            <v>171</v>
          </cell>
          <cell r="E1264">
            <v>5.5</v>
          </cell>
          <cell r="F1264">
            <v>8.3000000000000007</v>
          </cell>
          <cell r="G1264">
            <v>6.9</v>
          </cell>
          <cell r="H1264">
            <v>5.5</v>
          </cell>
          <cell r="I1264">
            <v>6.1</v>
          </cell>
          <cell r="J1264">
            <v>7.5</v>
          </cell>
          <cell r="K1264">
            <v>8.3000000000000007</v>
          </cell>
          <cell r="L1264">
            <v>6.4</v>
          </cell>
          <cell r="M1264">
            <v>5.5</v>
          </cell>
        </row>
        <row r="1265">
          <cell r="C1265" t="str">
            <v>110kV 172 Long An - 171 Tân Hương</v>
          </cell>
          <cell r="D1265">
            <v>172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</row>
        <row r="1266">
          <cell r="C1266" t="str">
            <v>Long An MBA T1 (phía 22kV)</v>
          </cell>
          <cell r="D1266">
            <v>431</v>
          </cell>
          <cell r="E1266">
            <v>3.8</v>
          </cell>
          <cell r="F1266">
            <v>4.5999999999999996</v>
          </cell>
          <cell r="G1266">
            <v>4</v>
          </cell>
          <cell r="H1266">
            <v>3.9</v>
          </cell>
          <cell r="I1266">
            <v>3.8</v>
          </cell>
          <cell r="J1266">
            <v>3.9</v>
          </cell>
          <cell r="K1266">
            <v>4.5999999999999996</v>
          </cell>
          <cell r="L1266">
            <v>4.3</v>
          </cell>
          <cell r="M1266">
            <v>4.3</v>
          </cell>
        </row>
        <row r="1267">
          <cell r="C1267" t="str">
            <v>Long An MBA T2 (phía 22kV)</v>
          </cell>
          <cell r="D1267">
            <v>432</v>
          </cell>
          <cell r="E1267">
            <v>4.4000000000000004</v>
          </cell>
          <cell r="F1267">
            <v>5.8</v>
          </cell>
          <cell r="G1267">
            <v>5.0999999999999996</v>
          </cell>
          <cell r="H1267">
            <v>4.4000000000000004</v>
          </cell>
          <cell r="I1267">
            <v>4.4000000000000004</v>
          </cell>
          <cell r="J1267">
            <v>5.4</v>
          </cell>
          <cell r="K1267">
            <v>5.8</v>
          </cell>
          <cell r="L1267">
            <v>4.5999999999999996</v>
          </cell>
          <cell r="M1267">
            <v>4.8</v>
          </cell>
        </row>
        <row r="1268">
          <cell r="C1268" t="str">
            <v>Long An 2 MBA AT1 (phía 110kV)</v>
          </cell>
          <cell r="D1268">
            <v>131</v>
          </cell>
          <cell r="E1268">
            <v>16.5</v>
          </cell>
          <cell r="F1268">
            <v>76.7</v>
          </cell>
          <cell r="G1268">
            <v>66.8</v>
          </cell>
          <cell r="H1268">
            <v>64.599999999999994</v>
          </cell>
          <cell r="I1268">
            <v>65.5</v>
          </cell>
          <cell r="J1268">
            <v>23.6</v>
          </cell>
          <cell r="K1268">
            <v>67.7</v>
          </cell>
          <cell r="L1268">
            <v>76.7</v>
          </cell>
          <cell r="M1268">
            <v>16.5</v>
          </cell>
        </row>
        <row r="1269">
          <cell r="C1269" t="str">
            <v>Long An 2 MBA AT2 (phía 110kV)</v>
          </cell>
          <cell r="D1269">
            <v>132</v>
          </cell>
          <cell r="E1269">
            <v>-18.899999999999999</v>
          </cell>
          <cell r="F1269">
            <v>72.900000000000006</v>
          </cell>
          <cell r="G1269">
            <v>64.599999999999994</v>
          </cell>
          <cell r="H1269">
            <v>60.6</v>
          </cell>
          <cell r="I1269">
            <v>62.4</v>
          </cell>
          <cell r="J1269">
            <v>23.6</v>
          </cell>
          <cell r="K1269">
            <v>63.3</v>
          </cell>
          <cell r="L1269">
            <v>72.900000000000006</v>
          </cell>
          <cell r="M1269">
            <v>-18.899999999999999</v>
          </cell>
        </row>
        <row r="1270">
          <cell r="C1270" t="str">
            <v>110kV 171 Long An 2 - 171 Thủ Thừa</v>
          </cell>
          <cell r="D1270">
            <v>171</v>
          </cell>
          <cell r="E1270">
            <v>9.9</v>
          </cell>
          <cell r="F1270">
            <v>32.5</v>
          </cell>
          <cell r="G1270">
            <v>32.1</v>
          </cell>
          <cell r="H1270">
            <v>27.5</v>
          </cell>
          <cell r="I1270">
            <v>30.6</v>
          </cell>
          <cell r="J1270">
            <v>25.3</v>
          </cell>
          <cell r="K1270">
            <v>28.8</v>
          </cell>
          <cell r="L1270">
            <v>32.5</v>
          </cell>
          <cell r="M1270">
            <v>9.9</v>
          </cell>
        </row>
        <row r="1271">
          <cell r="C1271" t="str">
            <v>110kV 172 Long An 2 - 171 Long An</v>
          </cell>
          <cell r="D1271">
            <v>172</v>
          </cell>
          <cell r="E1271">
            <v>-5</v>
          </cell>
          <cell r="F1271">
            <v>-8.3000000000000007</v>
          </cell>
          <cell r="G1271">
            <v>7.1</v>
          </cell>
          <cell r="H1271">
            <v>-5</v>
          </cell>
          <cell r="I1271">
            <v>-6.5</v>
          </cell>
          <cell r="J1271">
            <v>-8.3000000000000007</v>
          </cell>
          <cell r="K1271">
            <v>-8.1999999999999993</v>
          </cell>
          <cell r="L1271">
            <v>7.4</v>
          </cell>
          <cell r="M1271">
            <v>5.0999999999999996</v>
          </cell>
        </row>
        <row r="1272">
          <cell r="C1272" t="str">
            <v>110kV 173 Long An 2 - 172 Tầm Vu</v>
          </cell>
          <cell r="D1272">
            <v>173</v>
          </cell>
          <cell r="E1272">
            <v>-0.7</v>
          </cell>
          <cell r="F1272">
            <v>-3</v>
          </cell>
          <cell r="G1272">
            <v>-1</v>
          </cell>
          <cell r="H1272">
            <v>-0.7</v>
          </cell>
          <cell r="I1272">
            <v>-1</v>
          </cell>
          <cell r="J1272">
            <v>-2.5</v>
          </cell>
          <cell r="K1272">
            <v>-3</v>
          </cell>
          <cell r="L1272">
            <v>-3</v>
          </cell>
          <cell r="M1272">
            <v>-3</v>
          </cell>
        </row>
        <row r="1273">
          <cell r="C1273" t="str">
            <v>110kV 174 Long An 2 - 171 Tân An</v>
          </cell>
          <cell r="D1273">
            <v>174</v>
          </cell>
          <cell r="E1273">
            <v>-2</v>
          </cell>
          <cell r="F1273">
            <v>-3.7</v>
          </cell>
          <cell r="G1273">
            <v>-2.7</v>
          </cell>
          <cell r="H1273">
            <v>-2.9</v>
          </cell>
          <cell r="I1273">
            <v>2.2000000000000002</v>
          </cell>
          <cell r="J1273">
            <v>-3.5</v>
          </cell>
          <cell r="K1273">
            <v>-2</v>
          </cell>
          <cell r="L1273">
            <v>3.5</v>
          </cell>
          <cell r="M1273">
            <v>-3.7</v>
          </cell>
        </row>
        <row r="1274">
          <cell r="C1274" t="str">
            <v>110kV 175 Long An 2 - 171 Rạch Chanh</v>
          </cell>
          <cell r="D1274">
            <v>175</v>
          </cell>
          <cell r="E1274">
            <v>-6.5</v>
          </cell>
          <cell r="F1274">
            <v>12.2</v>
          </cell>
          <cell r="G1274">
            <v>12.2</v>
          </cell>
          <cell r="H1274">
            <v>-10.6</v>
          </cell>
          <cell r="I1274">
            <v>9.9</v>
          </cell>
          <cell r="J1274">
            <v>-6.8</v>
          </cell>
          <cell r="K1274">
            <v>-8.6</v>
          </cell>
          <cell r="L1274">
            <v>-6.5</v>
          </cell>
          <cell r="M1274">
            <v>11</v>
          </cell>
        </row>
        <row r="1275">
          <cell r="C1275" t="str">
            <v>110kV 176 Long An 2 - 171 Long Hiệp</v>
          </cell>
          <cell r="D1275">
            <v>176</v>
          </cell>
          <cell r="E1275">
            <v>-14.1</v>
          </cell>
          <cell r="F1275">
            <v>26.2</v>
          </cell>
          <cell r="G1275">
            <v>25.2</v>
          </cell>
          <cell r="H1275">
            <v>26.2</v>
          </cell>
          <cell r="I1275">
            <v>25.2</v>
          </cell>
          <cell r="J1275">
            <v>-14.1</v>
          </cell>
          <cell r="K1275">
            <v>17.3</v>
          </cell>
          <cell r="L1275">
            <v>19</v>
          </cell>
          <cell r="M1275">
            <v>-18.399999999999999</v>
          </cell>
        </row>
        <row r="1276">
          <cell r="C1276" t="str">
            <v xml:space="preserve">110kV 177 Long An 2 - 171 Chung Shing - 171 Formosa Taffeta - 171 Bến Lức </v>
          </cell>
          <cell r="D1276">
            <v>177</v>
          </cell>
          <cell r="E1276">
            <v>3.9</v>
          </cell>
          <cell r="F1276">
            <v>-6.4</v>
          </cell>
          <cell r="G1276">
            <v>-6.1</v>
          </cell>
          <cell r="H1276">
            <v>-5.9</v>
          </cell>
          <cell r="I1276">
            <v>3.9</v>
          </cell>
          <cell r="J1276">
            <v>-5.8</v>
          </cell>
          <cell r="K1276">
            <v>-6.4</v>
          </cell>
          <cell r="L1276">
            <v>-4.2</v>
          </cell>
          <cell r="M1276">
            <v>6</v>
          </cell>
        </row>
        <row r="1277">
          <cell r="C1277" t="str">
            <v>Long An 2 MBA AT1 (phía 220kV)</v>
          </cell>
          <cell r="D1277">
            <v>231</v>
          </cell>
          <cell r="E1277">
            <v>-14.7</v>
          </cell>
          <cell r="F1277">
            <v>-63</v>
          </cell>
          <cell r="G1277">
            <v>-54.2</v>
          </cell>
          <cell r="H1277">
            <v>-47.7</v>
          </cell>
          <cell r="I1277">
            <v>-49.5</v>
          </cell>
          <cell r="J1277">
            <v>-14.7</v>
          </cell>
          <cell r="K1277">
            <v>-51.2</v>
          </cell>
          <cell r="L1277">
            <v>-63</v>
          </cell>
          <cell r="M1277">
            <v>33.5</v>
          </cell>
        </row>
        <row r="1278">
          <cell r="C1278" t="str">
            <v>Long An 2 MBA AT2 (phía 220kV)</v>
          </cell>
          <cell r="D1278">
            <v>232</v>
          </cell>
          <cell r="E1278">
            <v>-14.1</v>
          </cell>
          <cell r="F1278">
            <v>-59.7</v>
          </cell>
          <cell r="G1278">
            <v>-51.6</v>
          </cell>
          <cell r="H1278">
            <v>-43.3</v>
          </cell>
          <cell r="I1278">
            <v>-46.9</v>
          </cell>
          <cell r="J1278">
            <v>-14.1</v>
          </cell>
          <cell r="K1278">
            <v>-48.7</v>
          </cell>
          <cell r="L1278">
            <v>-59.7</v>
          </cell>
          <cell r="M1278">
            <v>34.299999999999997</v>
          </cell>
        </row>
        <row r="1279">
          <cell r="C1279" t="str">
            <v>220kV 271 Long An 2 - 277 Mỹ Tho 500kV</v>
          </cell>
          <cell r="D1279">
            <v>271</v>
          </cell>
          <cell r="E1279">
            <v>-40.5</v>
          </cell>
          <cell r="F1279">
            <v>-73.599999999999994</v>
          </cell>
          <cell r="G1279">
            <v>-52.2</v>
          </cell>
          <cell r="H1279">
            <v>-58.8</v>
          </cell>
          <cell r="I1279">
            <v>-73.599999999999994</v>
          </cell>
          <cell r="J1279">
            <v>-40.5</v>
          </cell>
          <cell r="K1279">
            <v>-47.7</v>
          </cell>
          <cell r="L1279">
            <v>-46.1</v>
          </cell>
          <cell r="M1279">
            <v>-68.599999999999994</v>
          </cell>
        </row>
        <row r="1280">
          <cell r="C1280" t="str">
            <v>220kV 272 Long An 2 - 278 Mỹ Tho 500kV</v>
          </cell>
          <cell r="D1280">
            <v>272</v>
          </cell>
          <cell r="E1280">
            <v>-38.9</v>
          </cell>
          <cell r="F1280">
            <v>-71.099999999999994</v>
          </cell>
          <cell r="G1280">
            <v>-47.7</v>
          </cell>
          <cell r="H1280">
            <v>-53.2</v>
          </cell>
          <cell r="I1280">
            <v>-71.099999999999994</v>
          </cell>
          <cell r="J1280">
            <v>-38.9</v>
          </cell>
          <cell r="K1280">
            <v>-40.799999999999997</v>
          </cell>
          <cell r="L1280">
            <v>-47.2</v>
          </cell>
          <cell r="M1280">
            <v>-63.1</v>
          </cell>
        </row>
        <row r="1281">
          <cell r="C1281" t="str">
            <v>220kV 273 Long An 2 - 273 Phú Lâm</v>
          </cell>
          <cell r="D1281">
            <v>273</v>
          </cell>
          <cell r="E1281">
            <v>47.1</v>
          </cell>
          <cell r="F1281">
            <v>72.3</v>
          </cell>
          <cell r="G1281">
            <v>66.3</v>
          </cell>
          <cell r="H1281">
            <v>66.3</v>
          </cell>
          <cell r="I1281">
            <v>47.1</v>
          </cell>
          <cell r="J1281">
            <v>50.4</v>
          </cell>
          <cell r="K1281">
            <v>63.5</v>
          </cell>
          <cell r="L1281">
            <v>72.3</v>
          </cell>
          <cell r="M1281">
            <v>50.4</v>
          </cell>
        </row>
        <row r="1282">
          <cell r="C1282" t="str">
            <v>220kV 274 Long An 2 - 274 Phú Lâm</v>
          </cell>
          <cell r="D1282">
            <v>274</v>
          </cell>
          <cell r="E1282">
            <v>48.6</v>
          </cell>
          <cell r="F1282">
            <v>75.8</v>
          </cell>
          <cell r="G1282">
            <v>72.900000000000006</v>
          </cell>
          <cell r="H1282">
            <v>74.400000000000006</v>
          </cell>
          <cell r="I1282">
            <v>53.5</v>
          </cell>
          <cell r="J1282">
            <v>48.6</v>
          </cell>
          <cell r="K1282">
            <v>69.099999999999994</v>
          </cell>
          <cell r="L1282">
            <v>75.8</v>
          </cell>
          <cell r="M1282">
            <v>54</v>
          </cell>
        </row>
        <row r="1283">
          <cell r="C1283" t="str">
            <v>Long Bình MBA AT1 (phía 110kV)</v>
          </cell>
          <cell r="D1283">
            <v>131</v>
          </cell>
          <cell r="E1283">
            <v>10.3</v>
          </cell>
          <cell r="F1283">
            <v>-47.4</v>
          </cell>
          <cell r="G1283">
            <v>-47.4</v>
          </cell>
          <cell r="H1283">
            <v>-47.1</v>
          </cell>
          <cell r="I1283">
            <v>-36</v>
          </cell>
          <cell r="J1283">
            <v>10.3</v>
          </cell>
          <cell r="K1283">
            <v>-45.2</v>
          </cell>
          <cell r="L1283">
            <v>-45.2</v>
          </cell>
          <cell r="M1283">
            <v>-44.5</v>
          </cell>
        </row>
        <row r="1284">
          <cell r="C1284" t="str">
            <v>Long Bình MBA AT2 (phía 110kV)</v>
          </cell>
          <cell r="D1284">
            <v>132</v>
          </cell>
          <cell r="E1284">
            <v>9.6999999999999993</v>
          </cell>
          <cell r="F1284">
            <v>-44.7</v>
          </cell>
          <cell r="G1284">
            <v>-43.8</v>
          </cell>
          <cell r="H1284">
            <v>-44.7</v>
          </cell>
          <cell r="I1284">
            <v>-33.6</v>
          </cell>
          <cell r="J1284">
            <v>9.6999999999999993</v>
          </cell>
          <cell r="K1284">
            <v>-42.4</v>
          </cell>
          <cell r="L1284">
            <v>-42.6</v>
          </cell>
          <cell r="M1284">
            <v>-41.9</v>
          </cell>
        </row>
        <row r="1285">
          <cell r="C1285" t="str">
            <v>Long Bình MBA AT3 (phía 110kV)</v>
          </cell>
          <cell r="D1285">
            <v>133</v>
          </cell>
          <cell r="E1285">
            <v>-18.8</v>
          </cell>
          <cell r="F1285">
            <v>61.5</v>
          </cell>
          <cell r="G1285">
            <v>61</v>
          </cell>
          <cell r="H1285">
            <v>58.3</v>
          </cell>
          <cell r="I1285">
            <v>61.5</v>
          </cell>
          <cell r="J1285">
            <v>-18.8</v>
          </cell>
          <cell r="K1285">
            <v>53.2</v>
          </cell>
          <cell r="L1285">
            <v>55.9</v>
          </cell>
          <cell r="M1285">
            <v>60.1</v>
          </cell>
        </row>
        <row r="1286">
          <cell r="C1286" t="str">
            <v>Long Bình MBA T4 (phía 110kV)</v>
          </cell>
          <cell r="D1286">
            <v>134</v>
          </cell>
          <cell r="E1286">
            <v>2.8</v>
          </cell>
          <cell r="F1286">
            <v>6.5</v>
          </cell>
          <cell r="G1286">
            <v>6.5</v>
          </cell>
          <cell r="H1286">
            <v>5.9</v>
          </cell>
          <cell r="I1286">
            <v>5.2</v>
          </cell>
          <cell r="J1286">
            <v>2.8</v>
          </cell>
          <cell r="K1286">
            <v>5.9</v>
          </cell>
          <cell r="L1286">
            <v>5.0999999999999996</v>
          </cell>
          <cell r="M1286">
            <v>5.0999999999999996</v>
          </cell>
        </row>
        <row r="1287">
          <cell r="C1287" t="str">
            <v>Long Bình MBA T5 (phía 110kV)</v>
          </cell>
          <cell r="D1287">
            <v>135</v>
          </cell>
          <cell r="E1287">
            <v>5.0999999999999996</v>
          </cell>
          <cell r="F1287">
            <v>10.6</v>
          </cell>
          <cell r="G1287">
            <v>9.6999999999999993</v>
          </cell>
          <cell r="H1287">
            <v>9.1</v>
          </cell>
          <cell r="I1287">
            <v>5.0999999999999996</v>
          </cell>
          <cell r="J1287">
            <v>-7.2</v>
          </cell>
          <cell r="K1287">
            <v>9.8000000000000007</v>
          </cell>
          <cell r="L1287">
            <v>10.6</v>
          </cell>
          <cell r="M1287">
            <v>10.199999999999999</v>
          </cell>
        </row>
        <row r="1288">
          <cell r="C1288" t="str">
            <v>110kV 171 Long Bình - 171 Đông Hòa - 171 Bình An - 171 Đồng Nai</v>
          </cell>
          <cell r="D1288">
            <v>171</v>
          </cell>
          <cell r="E1288">
            <v>-3.5</v>
          </cell>
          <cell r="F1288">
            <v>9.1</v>
          </cell>
          <cell r="G1288">
            <v>9.1</v>
          </cell>
          <cell r="H1288">
            <v>8.4</v>
          </cell>
          <cell r="I1288">
            <v>7.5</v>
          </cell>
          <cell r="J1288">
            <v>-3.5</v>
          </cell>
          <cell r="K1288">
            <v>7.7</v>
          </cell>
          <cell r="L1288">
            <v>6.9</v>
          </cell>
          <cell r="M1288">
            <v>7.1</v>
          </cell>
        </row>
        <row r="1289">
          <cell r="C1289" t="str">
            <v>110kV 172 Long Bình - 172 Đồng Nai</v>
          </cell>
          <cell r="D1289">
            <v>172</v>
          </cell>
          <cell r="E1289">
            <v>-6</v>
          </cell>
          <cell r="F1289">
            <v>8.6999999999999993</v>
          </cell>
          <cell r="G1289">
            <v>7.6</v>
          </cell>
          <cell r="H1289">
            <v>8.6</v>
          </cell>
          <cell r="I1289">
            <v>8.6999999999999993</v>
          </cell>
          <cell r="J1289">
            <v>7.6</v>
          </cell>
          <cell r="K1289">
            <v>-7.1</v>
          </cell>
          <cell r="L1289">
            <v>6.6</v>
          </cell>
          <cell r="M1289">
            <v>-6</v>
          </cell>
        </row>
        <row r="1290">
          <cell r="C1290" t="str">
            <v>110kV 173 Long Bình - 172 Tân Mai</v>
          </cell>
          <cell r="D1290">
            <v>173</v>
          </cell>
          <cell r="E1290">
            <v>13.8</v>
          </cell>
          <cell r="F1290">
            <v>22.3</v>
          </cell>
          <cell r="G1290">
            <v>18.2</v>
          </cell>
          <cell r="H1290">
            <v>17.600000000000001</v>
          </cell>
          <cell r="I1290">
            <v>13.8</v>
          </cell>
          <cell r="J1290">
            <v>22.3</v>
          </cell>
          <cell r="K1290">
            <v>17.7</v>
          </cell>
          <cell r="L1290">
            <v>18.899999999999999</v>
          </cell>
          <cell r="M1290">
            <v>14.5</v>
          </cell>
        </row>
        <row r="1291">
          <cell r="C1291" t="str">
            <v>110kV 174 Long Bình - 172 Biên Hòa</v>
          </cell>
          <cell r="D1291">
            <v>174</v>
          </cell>
          <cell r="E1291">
            <v>3.1</v>
          </cell>
          <cell r="F1291">
            <v>8.3000000000000007</v>
          </cell>
          <cell r="G1291">
            <v>7.8</v>
          </cell>
          <cell r="H1291">
            <v>8.3000000000000007</v>
          </cell>
          <cell r="I1291">
            <v>4</v>
          </cell>
          <cell r="J1291">
            <v>3.1</v>
          </cell>
          <cell r="K1291">
            <v>7.2</v>
          </cell>
          <cell r="L1291">
            <v>6.5</v>
          </cell>
          <cell r="M1291">
            <v>6.2</v>
          </cell>
        </row>
        <row r="1292">
          <cell r="C1292" t="str">
            <v>110kV 175 Long Bình - 172 Tam Phước</v>
          </cell>
          <cell r="D1292">
            <v>175</v>
          </cell>
          <cell r="E1292">
            <v>0</v>
          </cell>
          <cell r="F1292">
            <v>-1.9</v>
          </cell>
          <cell r="G1292">
            <v>0</v>
          </cell>
          <cell r="H1292">
            <v>-1.9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</row>
        <row r="1293">
          <cell r="C1293" t="str">
            <v>110kV 176 Long Bình - 171 An Bình</v>
          </cell>
          <cell r="D1293">
            <v>176</v>
          </cell>
          <cell r="E1293">
            <v>7.1</v>
          </cell>
          <cell r="F1293">
            <v>14.9</v>
          </cell>
          <cell r="G1293">
            <v>14.9</v>
          </cell>
          <cell r="H1293">
            <v>14.6</v>
          </cell>
          <cell r="I1293">
            <v>7.1</v>
          </cell>
          <cell r="J1293">
            <v>-14.3</v>
          </cell>
          <cell r="K1293">
            <v>11.9</v>
          </cell>
          <cell r="L1293">
            <v>13.9</v>
          </cell>
          <cell r="M1293">
            <v>12.5</v>
          </cell>
        </row>
        <row r="1294">
          <cell r="C1294" t="str">
            <v>110kV 177 Long Bình - 171 Amata 2</v>
          </cell>
          <cell r="D1294">
            <v>177</v>
          </cell>
          <cell r="E1294">
            <v>14.2</v>
          </cell>
          <cell r="F1294">
            <v>41.8</v>
          </cell>
          <cell r="G1294">
            <v>41.8</v>
          </cell>
          <cell r="H1294">
            <v>41.4</v>
          </cell>
          <cell r="I1294">
            <v>34.799999999999997</v>
          </cell>
          <cell r="J1294">
            <v>14.2</v>
          </cell>
          <cell r="K1294">
            <v>40.200000000000003</v>
          </cell>
          <cell r="L1294">
            <v>40.799999999999997</v>
          </cell>
          <cell r="M1294">
            <v>41.4</v>
          </cell>
        </row>
        <row r="1295">
          <cell r="C1295" t="str">
            <v>110kV 178 Long Bình - 171 Loteco</v>
          </cell>
          <cell r="D1295">
            <v>178</v>
          </cell>
          <cell r="E1295">
            <v>2.2000000000000002</v>
          </cell>
          <cell r="F1295">
            <v>16.100000000000001</v>
          </cell>
          <cell r="G1295">
            <v>16</v>
          </cell>
          <cell r="H1295">
            <v>16.100000000000001</v>
          </cell>
          <cell r="I1295">
            <v>14.6</v>
          </cell>
          <cell r="J1295">
            <v>2.2000000000000002</v>
          </cell>
          <cell r="K1295">
            <v>15.4</v>
          </cell>
          <cell r="L1295">
            <v>15.5</v>
          </cell>
          <cell r="M1295">
            <v>16.100000000000001</v>
          </cell>
        </row>
        <row r="1296">
          <cell r="C1296" t="str">
            <v>110kV 179 Long Bình - 172 Tam An</v>
          </cell>
          <cell r="D1296">
            <v>179</v>
          </cell>
          <cell r="E1296">
            <v>-0.5</v>
          </cell>
          <cell r="F1296">
            <v>9.1</v>
          </cell>
          <cell r="G1296">
            <v>-0.5</v>
          </cell>
          <cell r="H1296">
            <v>9.1</v>
          </cell>
          <cell r="I1296">
            <v>-0.5</v>
          </cell>
          <cell r="J1296">
            <v>-1</v>
          </cell>
          <cell r="K1296">
            <v>-0.5</v>
          </cell>
          <cell r="L1296">
            <v>-0.5</v>
          </cell>
          <cell r="M1296">
            <v>-0.5</v>
          </cell>
        </row>
        <row r="1297">
          <cell r="C1297" t="str">
            <v>110kV 180 Long Bình - 172 Hố Nai</v>
          </cell>
          <cell r="D1297">
            <v>180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</row>
        <row r="1298">
          <cell r="C1298" t="str">
            <v>Long Bình MBA AT1 (phía 220kV)</v>
          </cell>
          <cell r="D1298">
            <v>231</v>
          </cell>
          <cell r="E1298">
            <v>9.5</v>
          </cell>
          <cell r="F1298">
            <v>61.7</v>
          </cell>
          <cell r="G1298">
            <v>60.8</v>
          </cell>
          <cell r="H1298">
            <v>61.7</v>
          </cell>
          <cell r="I1298">
            <v>46.8</v>
          </cell>
          <cell r="J1298">
            <v>9.5</v>
          </cell>
          <cell r="K1298">
            <v>59.1</v>
          </cell>
          <cell r="L1298">
            <v>58.6</v>
          </cell>
          <cell r="M1298">
            <v>58.4</v>
          </cell>
        </row>
        <row r="1299">
          <cell r="C1299" t="str">
            <v>Long Bình MBA AT2 (phía 220kV)</v>
          </cell>
          <cell r="D1299">
            <v>232</v>
          </cell>
          <cell r="E1299">
            <v>10.6</v>
          </cell>
          <cell r="F1299">
            <v>58.4</v>
          </cell>
          <cell r="G1299">
            <v>57.2</v>
          </cell>
          <cell r="H1299">
            <v>58.4</v>
          </cell>
          <cell r="I1299">
            <v>44.3</v>
          </cell>
          <cell r="J1299">
            <v>10.6</v>
          </cell>
          <cell r="K1299">
            <v>56.6</v>
          </cell>
          <cell r="L1299">
            <v>56.2</v>
          </cell>
          <cell r="M1299">
            <v>55.5</v>
          </cell>
        </row>
        <row r="1300">
          <cell r="C1300" t="str">
            <v>Long Bình MBA AT3 (phía 220kV)</v>
          </cell>
          <cell r="D1300">
            <v>233</v>
          </cell>
          <cell r="E1300">
            <v>25.1</v>
          </cell>
          <cell r="F1300">
            <v>-53.5</v>
          </cell>
          <cell r="G1300">
            <v>-51.5</v>
          </cell>
          <cell r="H1300">
            <v>-48.9</v>
          </cell>
          <cell r="I1300">
            <v>-53.5</v>
          </cell>
          <cell r="J1300">
            <v>25.1</v>
          </cell>
          <cell r="K1300">
            <v>-44.1</v>
          </cell>
          <cell r="L1300">
            <v>-47.7</v>
          </cell>
          <cell r="M1300">
            <v>-50.9</v>
          </cell>
        </row>
        <row r="1301">
          <cell r="C1301" t="str">
            <v>220kV 271 Long Bình - 274 Thủ Đức</v>
          </cell>
          <cell r="D1301">
            <v>271</v>
          </cell>
          <cell r="E1301">
            <v>-46.7</v>
          </cell>
          <cell r="F1301">
            <v>-73.8</v>
          </cell>
          <cell r="G1301">
            <v>-61.1</v>
          </cell>
          <cell r="H1301">
            <v>-73.8</v>
          </cell>
          <cell r="I1301">
            <v>-65.900000000000006</v>
          </cell>
          <cell r="J1301">
            <v>-46.7</v>
          </cell>
          <cell r="K1301">
            <v>-53.4</v>
          </cell>
          <cell r="L1301">
            <v>-52.5</v>
          </cell>
          <cell r="M1301">
            <v>-72.2</v>
          </cell>
        </row>
        <row r="1302">
          <cell r="C1302" t="str">
            <v>220kV 272 Long Bình - 273 Thủ Đức</v>
          </cell>
          <cell r="D1302">
            <v>272</v>
          </cell>
          <cell r="E1302">
            <v>-46.3</v>
          </cell>
          <cell r="F1302">
            <v>-74.8</v>
          </cell>
          <cell r="G1302">
            <v>-61</v>
          </cell>
          <cell r="H1302">
            <v>-74.8</v>
          </cell>
          <cell r="I1302">
            <v>-66.5</v>
          </cell>
          <cell r="J1302">
            <v>-46.3</v>
          </cell>
          <cell r="K1302">
            <v>-52.9</v>
          </cell>
          <cell r="L1302">
            <v>-53.2</v>
          </cell>
          <cell r="M1302">
            <v>-71.2</v>
          </cell>
        </row>
        <row r="1303">
          <cell r="C1303" t="str">
            <v>220kV 273 Long Bình - 273 Sông Mây</v>
          </cell>
          <cell r="D1303">
            <v>273</v>
          </cell>
          <cell r="E1303">
            <v>-11.4</v>
          </cell>
          <cell r="F1303">
            <v>-31.9</v>
          </cell>
          <cell r="G1303">
            <v>-11.4</v>
          </cell>
          <cell r="H1303">
            <v>-31.9</v>
          </cell>
          <cell r="I1303">
            <v>15.2</v>
          </cell>
          <cell r="J1303">
            <v>18</v>
          </cell>
          <cell r="K1303">
            <v>-20.100000000000001</v>
          </cell>
          <cell r="L1303">
            <v>-19.2</v>
          </cell>
          <cell r="M1303">
            <v>12.2</v>
          </cell>
        </row>
        <row r="1304">
          <cell r="C1304" t="str">
            <v>220kV 274 Long Bình - 274 Long Thành</v>
          </cell>
          <cell r="D1304">
            <v>274</v>
          </cell>
          <cell r="E1304">
            <v>16.3</v>
          </cell>
          <cell r="F1304">
            <v>58.6</v>
          </cell>
          <cell r="G1304">
            <v>31.3</v>
          </cell>
          <cell r="H1304">
            <v>51.4</v>
          </cell>
          <cell r="I1304">
            <v>32.9</v>
          </cell>
          <cell r="J1304">
            <v>58.6</v>
          </cell>
          <cell r="K1304">
            <v>31.4</v>
          </cell>
          <cell r="L1304">
            <v>16.3</v>
          </cell>
          <cell r="M1304">
            <v>44.5</v>
          </cell>
        </row>
        <row r="1305">
          <cell r="C1305" t="str">
            <v>220kV 275 Long Bình - 273 Long Thành</v>
          </cell>
          <cell r="D1305">
            <v>275</v>
          </cell>
          <cell r="E1305">
            <v>15</v>
          </cell>
          <cell r="F1305">
            <v>49.1</v>
          </cell>
          <cell r="G1305">
            <v>29.6</v>
          </cell>
          <cell r="H1305">
            <v>49.1</v>
          </cell>
          <cell r="I1305">
            <v>31.2</v>
          </cell>
          <cell r="J1305">
            <v>33.9</v>
          </cell>
          <cell r="K1305">
            <v>30.8</v>
          </cell>
          <cell r="L1305">
            <v>15</v>
          </cell>
          <cell r="M1305">
            <v>43.7</v>
          </cell>
        </row>
        <row r="1306">
          <cell r="C1306" t="str">
            <v>220kV 276 Long Bình - 275 Sông Mây</v>
          </cell>
          <cell r="D1306">
            <v>276</v>
          </cell>
          <cell r="E1306">
            <v>15.7</v>
          </cell>
          <cell r="F1306">
            <v>-40</v>
          </cell>
          <cell r="G1306">
            <v>15.7</v>
          </cell>
          <cell r="H1306">
            <v>-40</v>
          </cell>
          <cell r="I1306">
            <v>25.5</v>
          </cell>
          <cell r="J1306">
            <v>30</v>
          </cell>
          <cell r="K1306">
            <v>33</v>
          </cell>
          <cell r="L1306">
            <v>23.8</v>
          </cell>
          <cell r="M1306">
            <v>21.8</v>
          </cell>
        </row>
        <row r="1307">
          <cell r="C1307" t="str">
            <v>Long Bình MBA T4 (phía 22kV)</v>
          </cell>
          <cell r="D1307">
            <v>434</v>
          </cell>
          <cell r="E1307">
            <v>-2.9</v>
          </cell>
          <cell r="F1307">
            <v>-4.2</v>
          </cell>
          <cell r="G1307">
            <v>-4.2</v>
          </cell>
          <cell r="H1307">
            <v>-3.4</v>
          </cell>
          <cell r="I1307">
            <v>-2.9</v>
          </cell>
          <cell r="J1307">
            <v>3.3</v>
          </cell>
          <cell r="K1307">
            <v>-3.9</v>
          </cell>
          <cell r="L1307">
            <v>-3.4</v>
          </cell>
          <cell r="M1307">
            <v>-3.2</v>
          </cell>
        </row>
        <row r="1308">
          <cell r="C1308" t="str">
            <v>Long Bình MBA T5 (phía 22kV)</v>
          </cell>
          <cell r="D1308">
            <v>435</v>
          </cell>
          <cell r="E1308">
            <v>-5</v>
          </cell>
          <cell r="F1308">
            <v>9.1999999999999993</v>
          </cell>
          <cell r="G1308">
            <v>-5.5</v>
          </cell>
          <cell r="H1308">
            <v>-5</v>
          </cell>
          <cell r="I1308">
            <v>5.4</v>
          </cell>
          <cell r="J1308">
            <v>8.1999999999999993</v>
          </cell>
          <cell r="K1308">
            <v>9.1999999999999993</v>
          </cell>
          <cell r="L1308">
            <v>-6</v>
          </cell>
          <cell r="M1308">
            <v>-5.7</v>
          </cell>
        </row>
        <row r="1309">
          <cell r="C1309" t="str">
            <v>Long Đất MBA T1 (phía 110kV)</v>
          </cell>
          <cell r="D1309">
            <v>131</v>
          </cell>
          <cell r="E1309">
            <v>-1.8</v>
          </cell>
          <cell r="F1309">
            <v>-2.2000000000000002</v>
          </cell>
          <cell r="G1309">
            <v>-2</v>
          </cell>
          <cell r="H1309">
            <v>-1.8</v>
          </cell>
          <cell r="I1309">
            <v>-1.9</v>
          </cell>
          <cell r="J1309">
            <v>-1.8</v>
          </cell>
          <cell r="K1309">
            <v>-2.1</v>
          </cell>
          <cell r="L1309">
            <v>-2</v>
          </cell>
          <cell r="M1309">
            <v>-2.2000000000000002</v>
          </cell>
        </row>
        <row r="1310">
          <cell r="C1310" t="str">
            <v>Long Đất MBA T2 (phía 110kV)</v>
          </cell>
          <cell r="D1310">
            <v>132</v>
          </cell>
          <cell r="E1310">
            <v>0.7</v>
          </cell>
          <cell r="F1310">
            <v>1.8</v>
          </cell>
          <cell r="G1310">
            <v>1.5</v>
          </cell>
          <cell r="H1310">
            <v>1.5</v>
          </cell>
          <cell r="I1310">
            <v>1.8</v>
          </cell>
          <cell r="J1310">
            <v>1.4</v>
          </cell>
          <cell r="K1310">
            <v>0.7</v>
          </cell>
          <cell r="L1310">
            <v>1</v>
          </cell>
          <cell r="M1310">
            <v>0.8</v>
          </cell>
        </row>
        <row r="1311">
          <cell r="C1311" t="str">
            <v>110kV 171 Long Đất - 171 Bà Rịa</v>
          </cell>
          <cell r="D1311">
            <v>171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</row>
        <row r="1312">
          <cell r="C1312" t="str">
            <v>110kV 172 Long Đất - 171 Xuyên Mộc</v>
          </cell>
          <cell r="D1312">
            <v>172</v>
          </cell>
          <cell r="E1312">
            <v>1.6</v>
          </cell>
          <cell r="F1312">
            <v>2.2999999999999998</v>
          </cell>
          <cell r="G1312">
            <v>2.2000000000000002</v>
          </cell>
          <cell r="H1312">
            <v>1.9</v>
          </cell>
          <cell r="I1312">
            <v>1.9</v>
          </cell>
          <cell r="J1312">
            <v>1.6</v>
          </cell>
          <cell r="K1312">
            <v>2.2000000000000002</v>
          </cell>
          <cell r="L1312">
            <v>2.2999999999999998</v>
          </cell>
          <cell r="M1312">
            <v>2.2000000000000002</v>
          </cell>
        </row>
        <row r="1313">
          <cell r="C1313" t="str">
            <v>Long Đất MBA T1 (phía 22kV)</v>
          </cell>
          <cell r="D1313">
            <v>431</v>
          </cell>
          <cell r="E1313">
            <v>2.1</v>
          </cell>
          <cell r="F1313">
            <v>2.4</v>
          </cell>
          <cell r="G1313">
            <v>2.2999999999999998</v>
          </cell>
          <cell r="H1313">
            <v>2.1</v>
          </cell>
          <cell r="I1313">
            <v>2.2999999999999998</v>
          </cell>
          <cell r="J1313">
            <v>2.4</v>
          </cell>
          <cell r="K1313">
            <v>2.2999999999999998</v>
          </cell>
          <cell r="L1313">
            <v>2.2999999999999998</v>
          </cell>
          <cell r="M1313">
            <v>2.4</v>
          </cell>
        </row>
        <row r="1314">
          <cell r="C1314" t="str">
            <v>Long Đất MBA T2 (phía 22kV)</v>
          </cell>
          <cell r="D1314">
            <v>432</v>
          </cell>
          <cell r="E1314">
            <v>-0.9</v>
          </cell>
          <cell r="F1314">
            <v>1.1000000000000001</v>
          </cell>
          <cell r="G1314">
            <v>-0.9</v>
          </cell>
          <cell r="H1314">
            <v>-1</v>
          </cell>
          <cell r="I1314">
            <v>-1.1000000000000001</v>
          </cell>
          <cell r="J1314">
            <v>-0.9</v>
          </cell>
          <cell r="K1314">
            <v>1.1000000000000001</v>
          </cell>
          <cell r="L1314">
            <v>1.1000000000000001</v>
          </cell>
          <cell r="M1314">
            <v>1</v>
          </cell>
        </row>
        <row r="1315">
          <cell r="C1315" t="str">
            <v>Long Đức MBA T1 (phía 110kV)</v>
          </cell>
          <cell r="D1315">
            <v>131</v>
          </cell>
          <cell r="E1315">
            <v>2.5</v>
          </cell>
          <cell r="F1315">
            <v>3.9</v>
          </cell>
          <cell r="G1315">
            <v>3.9</v>
          </cell>
          <cell r="H1315">
            <v>3.3</v>
          </cell>
          <cell r="I1315">
            <v>2.5</v>
          </cell>
          <cell r="J1315">
            <v>-2.5</v>
          </cell>
          <cell r="K1315">
            <v>2.5</v>
          </cell>
          <cell r="L1315">
            <v>3.2</v>
          </cell>
          <cell r="M1315">
            <v>3.4</v>
          </cell>
        </row>
        <row r="1316">
          <cell r="C1316" t="str">
            <v>110kV 171 Long Đức - 171 Trà Vinh</v>
          </cell>
          <cell r="D1316">
            <v>171</v>
          </cell>
          <cell r="E1316">
            <v>2.5</v>
          </cell>
          <cell r="F1316">
            <v>3.9</v>
          </cell>
          <cell r="G1316">
            <v>2.6</v>
          </cell>
          <cell r="H1316">
            <v>2.5</v>
          </cell>
          <cell r="I1316">
            <v>2.7</v>
          </cell>
          <cell r="J1316">
            <v>3.9</v>
          </cell>
          <cell r="K1316">
            <v>3.4</v>
          </cell>
          <cell r="L1316">
            <v>3.3</v>
          </cell>
          <cell r="M1316">
            <v>2.6</v>
          </cell>
        </row>
        <row r="1317">
          <cell r="C1317" t="str">
            <v>110kV 172 Long Đức - 171 Vũng Liêm</v>
          </cell>
          <cell r="D1317">
            <v>172</v>
          </cell>
          <cell r="E1317">
            <v>-1.7</v>
          </cell>
          <cell r="F1317">
            <v>-1.7</v>
          </cell>
          <cell r="G1317">
            <v>-1.7</v>
          </cell>
          <cell r="H1317">
            <v>-1.7</v>
          </cell>
          <cell r="I1317">
            <v>-1.7</v>
          </cell>
          <cell r="J1317">
            <v>-1.7</v>
          </cell>
          <cell r="K1317">
            <v>-1.7</v>
          </cell>
          <cell r="L1317">
            <v>-1.7</v>
          </cell>
          <cell r="M1317">
            <v>-1.7</v>
          </cell>
        </row>
        <row r="1318">
          <cell r="C1318" t="str">
            <v>Long Đức MBA T1 (phía 22kV)</v>
          </cell>
          <cell r="D1318">
            <v>431</v>
          </cell>
          <cell r="E1318">
            <v>2.4</v>
          </cell>
          <cell r="F1318">
            <v>3.4</v>
          </cell>
          <cell r="G1318">
            <v>2.4</v>
          </cell>
          <cell r="H1318">
            <v>2.5</v>
          </cell>
          <cell r="I1318">
            <v>2.5</v>
          </cell>
          <cell r="J1318">
            <v>3.4</v>
          </cell>
          <cell r="K1318">
            <v>2.9</v>
          </cell>
          <cell r="L1318">
            <v>3.2</v>
          </cell>
          <cell r="M1318">
            <v>2.4</v>
          </cell>
        </row>
        <row r="1319">
          <cell r="C1319" t="str">
            <v>Long Giang MBA T1 (phía 110kV)</v>
          </cell>
          <cell r="D1319">
            <v>131</v>
          </cell>
          <cell r="E1319">
            <v>6.9</v>
          </cell>
          <cell r="F1319">
            <v>11.9</v>
          </cell>
          <cell r="G1319">
            <v>7.4</v>
          </cell>
          <cell r="H1319">
            <v>8.3000000000000007</v>
          </cell>
          <cell r="I1319">
            <v>8.3000000000000007</v>
          </cell>
          <cell r="J1319">
            <v>6.9</v>
          </cell>
          <cell r="K1319">
            <v>9.8000000000000007</v>
          </cell>
          <cell r="L1319">
            <v>11.7</v>
          </cell>
          <cell r="M1319">
            <v>11.9</v>
          </cell>
        </row>
        <row r="1320">
          <cell r="C1320" t="str">
            <v>Long Giang MBA T2 (phía 110kV)</v>
          </cell>
          <cell r="D1320">
            <v>132</v>
          </cell>
          <cell r="E1320">
            <v>2.7</v>
          </cell>
          <cell r="F1320">
            <v>4.0999999999999996</v>
          </cell>
          <cell r="G1320">
            <v>2.7</v>
          </cell>
          <cell r="H1320">
            <v>3.7</v>
          </cell>
          <cell r="I1320">
            <v>3.7</v>
          </cell>
          <cell r="J1320">
            <v>3.3</v>
          </cell>
          <cell r="K1320">
            <v>3.8</v>
          </cell>
          <cell r="L1320">
            <v>4.0999999999999996</v>
          </cell>
          <cell r="M1320">
            <v>4</v>
          </cell>
        </row>
        <row r="1321">
          <cell r="C1321" t="str">
            <v>110kV 171 Long Giang - 172 Tân An</v>
          </cell>
          <cell r="D1321">
            <v>171</v>
          </cell>
          <cell r="E1321">
            <v>-1.7</v>
          </cell>
          <cell r="F1321">
            <v>-5.0999999999999996</v>
          </cell>
          <cell r="G1321">
            <v>-1.8</v>
          </cell>
          <cell r="H1321">
            <v>2.1</v>
          </cell>
          <cell r="I1321">
            <v>-1.7</v>
          </cell>
          <cell r="J1321">
            <v>-5.0999999999999996</v>
          </cell>
          <cell r="K1321">
            <v>-2.1</v>
          </cell>
          <cell r="L1321">
            <v>-2.1</v>
          </cell>
          <cell r="M1321">
            <v>-2</v>
          </cell>
        </row>
        <row r="1322">
          <cell r="C1322" t="str">
            <v>110kV 172 Long Giang - 171 Mỹ Tho 2</v>
          </cell>
          <cell r="D1322">
            <v>172</v>
          </cell>
          <cell r="E1322">
            <v>-8.8000000000000007</v>
          </cell>
          <cell r="F1322">
            <v>-16.100000000000001</v>
          </cell>
          <cell r="G1322">
            <v>-10.6</v>
          </cell>
          <cell r="H1322">
            <v>-13.2</v>
          </cell>
          <cell r="I1322">
            <v>-12.1</v>
          </cell>
          <cell r="J1322">
            <v>-8.8000000000000007</v>
          </cell>
          <cell r="K1322">
            <v>-14.1</v>
          </cell>
          <cell r="L1322">
            <v>-15.3</v>
          </cell>
          <cell r="M1322">
            <v>-16.100000000000001</v>
          </cell>
        </row>
        <row r="1323">
          <cell r="C1323" t="str">
            <v>Long Giang MBA T1 (phía 22kV)</v>
          </cell>
          <cell r="D1323">
            <v>431</v>
          </cell>
          <cell r="E1323">
            <v>-4.9000000000000004</v>
          </cell>
          <cell r="F1323">
            <v>-8</v>
          </cell>
          <cell r="G1323">
            <v>-5.3</v>
          </cell>
          <cell r="H1323">
            <v>-5.7</v>
          </cell>
          <cell r="I1323">
            <v>-5.4</v>
          </cell>
          <cell r="J1323">
            <v>-4.9000000000000004</v>
          </cell>
          <cell r="K1323">
            <v>-6.4</v>
          </cell>
          <cell r="L1323">
            <v>-8</v>
          </cell>
          <cell r="M1323">
            <v>-8</v>
          </cell>
        </row>
        <row r="1324">
          <cell r="C1324" t="str">
            <v>Long Giang MBA T2 (phía 22kV)</v>
          </cell>
          <cell r="D1324">
            <v>432</v>
          </cell>
          <cell r="E1324">
            <v>-2.2999999999999998</v>
          </cell>
          <cell r="F1324">
            <v>-3.4</v>
          </cell>
          <cell r="G1324">
            <v>-2.2999999999999998</v>
          </cell>
          <cell r="H1324">
            <v>-3.1</v>
          </cell>
          <cell r="I1324">
            <v>-3.2</v>
          </cell>
          <cell r="J1324">
            <v>-2.8</v>
          </cell>
          <cell r="K1324">
            <v>-3.1</v>
          </cell>
          <cell r="L1324">
            <v>-3.2</v>
          </cell>
          <cell r="M1324">
            <v>-3.4</v>
          </cell>
        </row>
        <row r="1325">
          <cell r="C1325" t="str">
            <v>Long Hậu MBA T1 (phía 110kV)</v>
          </cell>
          <cell r="D1325">
            <v>131</v>
          </cell>
          <cell r="E1325">
            <v>2</v>
          </cell>
          <cell r="F1325">
            <v>3.5</v>
          </cell>
          <cell r="G1325">
            <v>3.5</v>
          </cell>
          <cell r="H1325">
            <v>3.4</v>
          </cell>
          <cell r="I1325">
            <v>2</v>
          </cell>
          <cell r="J1325">
            <v>2.8</v>
          </cell>
          <cell r="K1325">
            <v>3</v>
          </cell>
          <cell r="L1325">
            <v>2.6</v>
          </cell>
          <cell r="M1325">
            <v>2.4</v>
          </cell>
        </row>
        <row r="1326">
          <cell r="C1326" t="str">
            <v>Long Hậu MBA T2 (phía 110kV)</v>
          </cell>
          <cell r="D1326">
            <v>132</v>
          </cell>
          <cell r="E1326">
            <v>-3.1</v>
          </cell>
          <cell r="F1326">
            <v>-5.5</v>
          </cell>
          <cell r="G1326">
            <v>-3.2</v>
          </cell>
          <cell r="H1326">
            <v>3.1</v>
          </cell>
          <cell r="I1326">
            <v>4.8</v>
          </cell>
          <cell r="J1326">
            <v>-5.2</v>
          </cell>
          <cell r="K1326">
            <v>-5.5</v>
          </cell>
          <cell r="L1326">
            <v>-3.1</v>
          </cell>
          <cell r="M1326">
            <v>-3.3</v>
          </cell>
        </row>
        <row r="1327">
          <cell r="C1327" t="str">
            <v>110kV 171 Long Hậu - 171 Nhà Bè</v>
          </cell>
          <cell r="D1327">
            <v>171</v>
          </cell>
          <cell r="E1327">
            <v>0</v>
          </cell>
          <cell r="F1327">
            <v>-0.2</v>
          </cell>
          <cell r="G1327">
            <v>-0.2</v>
          </cell>
          <cell r="H1327">
            <v>-0.2</v>
          </cell>
          <cell r="I1327">
            <v>-0.2</v>
          </cell>
          <cell r="J1327">
            <v>-0.2</v>
          </cell>
          <cell r="K1327">
            <v>0</v>
          </cell>
          <cell r="L1327">
            <v>-0.2</v>
          </cell>
          <cell r="M1327">
            <v>0</v>
          </cell>
        </row>
        <row r="1328">
          <cell r="C1328" t="str">
            <v>110kV 172 Long Hậu - 172 Cần Giuộc</v>
          </cell>
          <cell r="D1328">
            <v>172</v>
          </cell>
          <cell r="E1328">
            <v>-5.0999999999999996</v>
          </cell>
          <cell r="F1328">
            <v>-8.6999999999999993</v>
          </cell>
          <cell r="G1328">
            <v>-5.8</v>
          </cell>
          <cell r="H1328">
            <v>-5.7</v>
          </cell>
          <cell r="I1328">
            <v>-5.0999999999999996</v>
          </cell>
          <cell r="J1328">
            <v>-8.4</v>
          </cell>
          <cell r="K1328">
            <v>-8.6999999999999993</v>
          </cell>
          <cell r="L1328">
            <v>-5.3</v>
          </cell>
          <cell r="M1328">
            <v>-5.4</v>
          </cell>
        </row>
        <row r="1329">
          <cell r="C1329" t="str">
            <v>Long Hậu MBA T1 (phía 22kV)</v>
          </cell>
          <cell r="D1329">
            <v>431</v>
          </cell>
          <cell r="E1329">
            <v>2.6</v>
          </cell>
          <cell r="F1329">
            <v>3.8</v>
          </cell>
          <cell r="G1329">
            <v>3.8</v>
          </cell>
          <cell r="H1329">
            <v>3.8</v>
          </cell>
          <cell r="I1329">
            <v>2.6</v>
          </cell>
          <cell r="J1329">
            <v>3</v>
          </cell>
          <cell r="K1329">
            <v>3.5</v>
          </cell>
          <cell r="L1329">
            <v>3.1</v>
          </cell>
          <cell r="M1329">
            <v>3.2</v>
          </cell>
        </row>
        <row r="1330">
          <cell r="C1330" t="str">
            <v>Long Hậu MBA T2 (phía 22kV)</v>
          </cell>
          <cell r="D1330">
            <v>432</v>
          </cell>
          <cell r="E1330">
            <v>2.7</v>
          </cell>
          <cell r="F1330">
            <v>5.8</v>
          </cell>
          <cell r="G1330">
            <v>3.8</v>
          </cell>
          <cell r="H1330">
            <v>4</v>
          </cell>
          <cell r="I1330">
            <v>2.7</v>
          </cell>
          <cell r="J1330">
            <v>5.5</v>
          </cell>
          <cell r="K1330">
            <v>5.8</v>
          </cell>
          <cell r="L1330">
            <v>3.8</v>
          </cell>
          <cell r="M1330">
            <v>3.9</v>
          </cell>
        </row>
        <row r="1331">
          <cell r="C1331" t="str">
            <v>Long Hiệp MBA T1 (phía 110kV)</v>
          </cell>
          <cell r="D1331">
            <v>131</v>
          </cell>
          <cell r="E1331">
            <v>-3.8</v>
          </cell>
          <cell r="F1331">
            <v>9.9</v>
          </cell>
          <cell r="G1331">
            <v>8.1</v>
          </cell>
          <cell r="H1331">
            <v>9.9</v>
          </cell>
          <cell r="I1331">
            <v>9.9</v>
          </cell>
          <cell r="J1331">
            <v>-3.8</v>
          </cell>
          <cell r="K1331">
            <v>6.5</v>
          </cell>
          <cell r="L1331">
            <v>8.4</v>
          </cell>
          <cell r="M1331">
            <v>-8.9</v>
          </cell>
        </row>
        <row r="1332">
          <cell r="C1332" t="str">
            <v>Long Hiệp MBA T2 (phía 110kV)</v>
          </cell>
          <cell r="D1332">
            <v>132</v>
          </cell>
          <cell r="E1332">
            <v>-4.4000000000000004</v>
          </cell>
          <cell r="F1332">
            <v>-8.9</v>
          </cell>
          <cell r="G1332">
            <v>-8.9</v>
          </cell>
          <cell r="H1332">
            <v>7.1</v>
          </cell>
          <cell r="I1332">
            <v>6.1</v>
          </cell>
          <cell r="J1332">
            <v>-4.4000000000000004</v>
          </cell>
          <cell r="K1332">
            <v>5.5</v>
          </cell>
          <cell r="L1332">
            <v>6.9</v>
          </cell>
          <cell r="M1332">
            <v>-6.3</v>
          </cell>
        </row>
        <row r="1333">
          <cell r="C1333" t="str">
            <v>110kV 171 Long Hiệp - 176 Long An 2</v>
          </cell>
          <cell r="D1333">
            <v>171</v>
          </cell>
          <cell r="E1333">
            <v>15.1</v>
          </cell>
          <cell r="F1333">
            <v>-22.8</v>
          </cell>
          <cell r="G1333">
            <v>-20.2</v>
          </cell>
          <cell r="H1333">
            <v>-22.8</v>
          </cell>
          <cell r="I1333">
            <v>-21.7</v>
          </cell>
          <cell r="J1333">
            <v>15.1</v>
          </cell>
          <cell r="K1333">
            <v>16.399999999999999</v>
          </cell>
          <cell r="L1333">
            <v>17</v>
          </cell>
          <cell r="M1333">
            <v>17.600000000000001</v>
          </cell>
        </row>
        <row r="1334">
          <cell r="C1334" t="str">
            <v>110kV 172 Long Hiệp - 176 Tân Túc</v>
          </cell>
          <cell r="D1334">
            <v>172</v>
          </cell>
          <cell r="E1334">
            <v>-8.1</v>
          </cell>
          <cell r="F1334">
            <v>-9.3000000000000007</v>
          </cell>
          <cell r="G1334">
            <v>9</v>
          </cell>
          <cell r="H1334">
            <v>-9</v>
          </cell>
          <cell r="I1334">
            <v>-8.9</v>
          </cell>
          <cell r="J1334">
            <v>-9.3000000000000007</v>
          </cell>
          <cell r="K1334">
            <v>-9.1999999999999993</v>
          </cell>
          <cell r="L1334">
            <v>-8.1</v>
          </cell>
          <cell r="M1334">
            <v>-8.4</v>
          </cell>
        </row>
        <row r="1335">
          <cell r="C1335" t="str">
            <v>Long Hiệp MBA T1 (phía 22kV)</v>
          </cell>
          <cell r="D1335">
            <v>431</v>
          </cell>
          <cell r="E1335">
            <v>4.3</v>
          </cell>
          <cell r="F1335">
            <v>9.6999999999999993</v>
          </cell>
          <cell r="G1335">
            <v>-5.0999999999999996</v>
          </cell>
          <cell r="H1335">
            <v>-5.8</v>
          </cell>
          <cell r="I1335">
            <v>-6.2</v>
          </cell>
          <cell r="J1335">
            <v>4.3</v>
          </cell>
          <cell r="K1335">
            <v>6.4</v>
          </cell>
          <cell r="L1335">
            <v>8.8000000000000007</v>
          </cell>
          <cell r="M1335">
            <v>9.6999999999999993</v>
          </cell>
        </row>
        <row r="1336">
          <cell r="C1336" t="str">
            <v>Long Hiệp MBA T2 (phía 22kV)</v>
          </cell>
          <cell r="D1336">
            <v>432</v>
          </cell>
          <cell r="E1336">
            <v>-4.0999999999999996</v>
          </cell>
          <cell r="F1336">
            <v>10.5</v>
          </cell>
          <cell r="G1336">
            <v>10.5</v>
          </cell>
          <cell r="H1336">
            <v>-4.9000000000000004</v>
          </cell>
          <cell r="I1336">
            <v>-4.0999999999999996</v>
          </cell>
          <cell r="J1336">
            <v>4.3</v>
          </cell>
          <cell r="K1336">
            <v>5.3</v>
          </cell>
          <cell r="L1336">
            <v>7</v>
          </cell>
          <cell r="M1336">
            <v>7.3</v>
          </cell>
        </row>
        <row r="1337">
          <cell r="C1337" t="str">
            <v>Long Hòa MBA T1 (phía 110kV)</v>
          </cell>
          <cell r="D1337">
            <v>131</v>
          </cell>
          <cell r="E1337">
            <v>1.9</v>
          </cell>
          <cell r="F1337">
            <v>2.6</v>
          </cell>
          <cell r="G1337">
            <v>2.4</v>
          </cell>
          <cell r="H1337">
            <v>2.6</v>
          </cell>
          <cell r="I1337">
            <v>2</v>
          </cell>
          <cell r="J1337">
            <v>-2.1</v>
          </cell>
          <cell r="K1337">
            <v>1.9</v>
          </cell>
          <cell r="L1337">
            <v>2.2000000000000002</v>
          </cell>
          <cell r="M1337">
            <v>1.9</v>
          </cell>
        </row>
        <row r="1338">
          <cell r="C1338" t="str">
            <v>Long Hòa MBA T2 (phía 110kV)</v>
          </cell>
          <cell r="D1338">
            <v>132</v>
          </cell>
          <cell r="E1338">
            <v>-1.7</v>
          </cell>
          <cell r="F1338">
            <v>3</v>
          </cell>
          <cell r="G1338">
            <v>2.6</v>
          </cell>
          <cell r="H1338">
            <v>2</v>
          </cell>
          <cell r="I1338">
            <v>-1.7</v>
          </cell>
          <cell r="J1338">
            <v>-2.1</v>
          </cell>
          <cell r="K1338">
            <v>2</v>
          </cell>
          <cell r="L1338">
            <v>2.2999999999999998</v>
          </cell>
          <cell r="M1338">
            <v>3</v>
          </cell>
        </row>
        <row r="1339">
          <cell r="C1339" t="str">
            <v>110kV 171 Long Hòa - 175 Trà Nóc</v>
          </cell>
          <cell r="D1339">
            <v>171</v>
          </cell>
          <cell r="E1339">
            <v>-4.8</v>
          </cell>
          <cell r="F1339">
            <v>-10</v>
          </cell>
          <cell r="G1339">
            <v>-4.8</v>
          </cell>
          <cell r="H1339">
            <v>-6.9</v>
          </cell>
          <cell r="I1339">
            <v>-5.8</v>
          </cell>
          <cell r="J1339">
            <v>-7.2</v>
          </cell>
          <cell r="K1339">
            <v>-6.1</v>
          </cell>
          <cell r="L1339">
            <v>-6.9</v>
          </cell>
          <cell r="M1339">
            <v>-10</v>
          </cell>
        </row>
        <row r="1340">
          <cell r="C1340" t="str">
            <v>110kV 172 Long Hòa - 171 Cần Thơ</v>
          </cell>
          <cell r="D1340">
            <v>172</v>
          </cell>
          <cell r="E1340">
            <v>3.9</v>
          </cell>
          <cell r="F1340">
            <v>6.2</v>
          </cell>
          <cell r="G1340">
            <v>-4.5999999999999996</v>
          </cell>
          <cell r="H1340">
            <v>-5.3</v>
          </cell>
          <cell r="I1340">
            <v>4.8</v>
          </cell>
          <cell r="J1340">
            <v>5.6</v>
          </cell>
          <cell r="K1340">
            <v>3.9</v>
          </cell>
          <cell r="L1340">
            <v>-4.9000000000000004</v>
          </cell>
          <cell r="M1340">
            <v>6.2</v>
          </cell>
        </row>
        <row r="1341">
          <cell r="C1341" t="str">
            <v>Long Hòa MBA T1 (phía 22kV)</v>
          </cell>
          <cell r="D1341">
            <v>431</v>
          </cell>
          <cell r="E1341">
            <v>-1.2</v>
          </cell>
          <cell r="F1341">
            <v>2.9</v>
          </cell>
          <cell r="G1341">
            <v>1.2</v>
          </cell>
          <cell r="H1341">
            <v>-1.2</v>
          </cell>
          <cell r="I1341">
            <v>2</v>
          </cell>
          <cell r="J1341">
            <v>2.9</v>
          </cell>
          <cell r="K1341">
            <v>1.6</v>
          </cell>
          <cell r="L1341">
            <v>1.5</v>
          </cell>
          <cell r="M1341">
            <v>1.7</v>
          </cell>
        </row>
        <row r="1342">
          <cell r="C1342" t="str">
            <v>Long Hòa MBA T2 (phía 22kV)</v>
          </cell>
          <cell r="D1342">
            <v>432</v>
          </cell>
          <cell r="E1342">
            <v>1.5</v>
          </cell>
          <cell r="F1342">
            <v>2.8</v>
          </cell>
          <cell r="G1342">
            <v>1.7</v>
          </cell>
          <cell r="H1342">
            <v>1.5</v>
          </cell>
          <cell r="I1342">
            <v>2.4</v>
          </cell>
          <cell r="J1342">
            <v>2.8</v>
          </cell>
          <cell r="K1342">
            <v>1.9</v>
          </cell>
          <cell r="L1342">
            <v>1.8</v>
          </cell>
          <cell r="M1342">
            <v>-2</v>
          </cell>
        </row>
        <row r="1343">
          <cell r="C1343" t="str">
            <v>Long Khánh MBA T1 (phía 110kV)</v>
          </cell>
          <cell r="D1343">
            <v>131</v>
          </cell>
          <cell r="E1343">
            <v>-1.8</v>
          </cell>
          <cell r="F1343">
            <v>4.8</v>
          </cell>
          <cell r="G1343">
            <v>-2.8</v>
          </cell>
          <cell r="H1343">
            <v>4.5999999999999996</v>
          </cell>
          <cell r="I1343">
            <v>4.8</v>
          </cell>
          <cell r="J1343">
            <v>-1.8</v>
          </cell>
          <cell r="K1343">
            <v>3.6</v>
          </cell>
          <cell r="L1343">
            <v>-3.8</v>
          </cell>
          <cell r="M1343">
            <v>-2.5</v>
          </cell>
        </row>
        <row r="1344">
          <cell r="C1344" t="str">
            <v>Long Khánh MBA T2 (phía 110kV)</v>
          </cell>
          <cell r="D1344">
            <v>132</v>
          </cell>
          <cell r="E1344">
            <v>-1.6</v>
          </cell>
          <cell r="F1344">
            <v>4.9000000000000004</v>
          </cell>
          <cell r="G1344">
            <v>4.3</v>
          </cell>
          <cell r="H1344">
            <v>2.2000000000000002</v>
          </cell>
          <cell r="I1344">
            <v>2.2999999999999998</v>
          </cell>
          <cell r="J1344">
            <v>-1.6</v>
          </cell>
          <cell r="K1344">
            <v>4.4000000000000004</v>
          </cell>
          <cell r="L1344">
            <v>3.9</v>
          </cell>
          <cell r="M1344">
            <v>4.9000000000000004</v>
          </cell>
        </row>
        <row r="1345">
          <cell r="C1345" t="str">
            <v>110kV 171 Long Khánh - 171 Dầu Giây</v>
          </cell>
          <cell r="D1345">
            <v>171</v>
          </cell>
          <cell r="E1345">
            <v>0</v>
          </cell>
          <cell r="F1345">
            <v>-5</v>
          </cell>
          <cell r="G1345">
            <v>4</v>
          </cell>
          <cell r="H1345">
            <v>-4</v>
          </cell>
          <cell r="I1345">
            <v>5</v>
          </cell>
          <cell r="J1345">
            <v>-3</v>
          </cell>
          <cell r="K1345">
            <v>-5</v>
          </cell>
          <cell r="L1345">
            <v>0</v>
          </cell>
          <cell r="M1345">
            <v>0</v>
          </cell>
        </row>
        <row r="1346">
          <cell r="C1346" t="str">
            <v>110kV 172 Long Khánh - 175 Xuân Lộc 2</v>
          </cell>
          <cell r="D1346">
            <v>172</v>
          </cell>
          <cell r="E1346">
            <v>2.9</v>
          </cell>
          <cell r="F1346">
            <v>10</v>
          </cell>
          <cell r="G1346">
            <v>-7.5</v>
          </cell>
          <cell r="H1346">
            <v>7.4</v>
          </cell>
          <cell r="I1346">
            <v>-9.6</v>
          </cell>
          <cell r="J1346">
            <v>7.1</v>
          </cell>
          <cell r="K1346">
            <v>10</v>
          </cell>
          <cell r="L1346">
            <v>3.8</v>
          </cell>
          <cell r="M1346">
            <v>2.9</v>
          </cell>
        </row>
        <row r="1347">
          <cell r="C1347" t="str">
            <v>Long Khánh MBA T1 (phía 22kV)</v>
          </cell>
          <cell r="D1347">
            <v>431</v>
          </cell>
          <cell r="E1347">
            <v>2</v>
          </cell>
          <cell r="F1347">
            <v>5</v>
          </cell>
          <cell r="G1347">
            <v>4</v>
          </cell>
          <cell r="H1347">
            <v>4</v>
          </cell>
          <cell r="I1347">
            <v>2</v>
          </cell>
          <cell r="J1347">
            <v>2</v>
          </cell>
          <cell r="K1347">
            <v>5</v>
          </cell>
          <cell r="L1347">
            <v>5</v>
          </cell>
          <cell r="M1347">
            <v>4</v>
          </cell>
        </row>
        <row r="1348">
          <cell r="C1348" t="str">
            <v>Long Khánh MBA T2 (phía 22kV)</v>
          </cell>
          <cell r="D1348">
            <v>432</v>
          </cell>
          <cell r="E1348">
            <v>2</v>
          </cell>
          <cell r="F1348">
            <v>3</v>
          </cell>
          <cell r="G1348">
            <v>-2.9</v>
          </cell>
          <cell r="H1348">
            <v>2.6</v>
          </cell>
          <cell r="I1348">
            <v>3</v>
          </cell>
          <cell r="J1348">
            <v>2</v>
          </cell>
          <cell r="K1348">
            <v>-2.8</v>
          </cell>
          <cell r="L1348">
            <v>-2.6</v>
          </cell>
          <cell r="M1348">
            <v>-2.8</v>
          </cell>
        </row>
        <row r="1349">
          <cell r="C1349" t="str">
            <v>Long Mỹ MBA T2 (phía 110kV)</v>
          </cell>
          <cell r="D1349">
            <v>132</v>
          </cell>
          <cell r="E1349">
            <v>-1.4</v>
          </cell>
          <cell r="F1349">
            <v>2.2000000000000002</v>
          </cell>
          <cell r="G1349">
            <v>1.6</v>
          </cell>
          <cell r="H1349">
            <v>2.1</v>
          </cell>
          <cell r="I1349">
            <v>2.2000000000000002</v>
          </cell>
          <cell r="J1349">
            <v>-1.4</v>
          </cell>
          <cell r="K1349">
            <v>1.5</v>
          </cell>
          <cell r="L1349">
            <v>1.6</v>
          </cell>
          <cell r="M1349">
            <v>-1.9</v>
          </cell>
        </row>
        <row r="1350">
          <cell r="C1350" t="str">
            <v>110kV 171 Long Mỹ - 172 Hồng Dân</v>
          </cell>
          <cell r="D1350">
            <v>171</v>
          </cell>
          <cell r="E1350">
            <v>-1.6</v>
          </cell>
          <cell r="F1350">
            <v>-3.8</v>
          </cell>
          <cell r="G1350">
            <v>-1.6</v>
          </cell>
          <cell r="H1350">
            <v>-2.1</v>
          </cell>
          <cell r="I1350">
            <v>-3.2</v>
          </cell>
          <cell r="J1350">
            <v>-3.8</v>
          </cell>
          <cell r="K1350">
            <v>1.6</v>
          </cell>
          <cell r="L1350">
            <v>-1.6</v>
          </cell>
          <cell r="M1350">
            <v>2</v>
          </cell>
        </row>
        <row r="1351">
          <cell r="C1351" t="str">
            <v>110kV 172 Long Mỹ - 172 Vị Thanh</v>
          </cell>
          <cell r="D1351">
            <v>172</v>
          </cell>
          <cell r="E1351">
            <v>0</v>
          </cell>
          <cell r="F1351">
            <v>5.3</v>
          </cell>
          <cell r="G1351">
            <v>0</v>
          </cell>
          <cell r="H1351">
            <v>0</v>
          </cell>
          <cell r="I1351">
            <v>4.5</v>
          </cell>
          <cell r="J1351">
            <v>5.3</v>
          </cell>
          <cell r="K1351">
            <v>0</v>
          </cell>
          <cell r="L1351">
            <v>0</v>
          </cell>
          <cell r="M1351">
            <v>0</v>
          </cell>
        </row>
        <row r="1352">
          <cell r="C1352" t="str">
            <v>Long Mỹ MBA T2 (phía 22kV)</v>
          </cell>
          <cell r="D1352">
            <v>432</v>
          </cell>
          <cell r="E1352">
            <v>2.1</v>
          </cell>
          <cell r="F1352">
            <v>2.5</v>
          </cell>
          <cell r="G1352">
            <v>2.2999999999999998</v>
          </cell>
          <cell r="H1352">
            <v>2.5</v>
          </cell>
          <cell r="I1352">
            <v>2.2999999999999998</v>
          </cell>
          <cell r="J1352">
            <v>2.1</v>
          </cell>
          <cell r="K1352">
            <v>2.5</v>
          </cell>
          <cell r="L1352">
            <v>2.2000000000000002</v>
          </cell>
          <cell r="M1352">
            <v>2.2999999999999998</v>
          </cell>
        </row>
        <row r="1353">
          <cell r="C1353" t="str">
            <v>220kV 283 Long Phú - 275 Sóc Trăng 2</v>
          </cell>
          <cell r="D1353">
            <v>283</v>
          </cell>
          <cell r="E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</row>
        <row r="1354">
          <cell r="C1354" t="str">
            <v>220kV 284 Long Phú - 276 Sóc Trăng 2</v>
          </cell>
          <cell r="D1354">
            <v>284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</row>
        <row r="1355">
          <cell r="C1355" t="str">
            <v>Long Thành MBA AT1 (phía 110kV)</v>
          </cell>
          <cell r="D1355">
            <v>131</v>
          </cell>
          <cell r="E1355">
            <v>-20</v>
          </cell>
          <cell r="F1355">
            <v>-36.5</v>
          </cell>
          <cell r="G1355">
            <v>-27.3</v>
          </cell>
          <cell r="H1355">
            <v>-20</v>
          </cell>
          <cell r="I1355">
            <v>-20.3</v>
          </cell>
          <cell r="J1355">
            <v>-36.5</v>
          </cell>
          <cell r="K1355">
            <v>-25.6</v>
          </cell>
          <cell r="L1355">
            <v>-25.5</v>
          </cell>
          <cell r="M1355">
            <v>-21</v>
          </cell>
        </row>
        <row r="1356">
          <cell r="C1356" t="str">
            <v>Long Thành MBA AT2 (phía 110kV)</v>
          </cell>
          <cell r="D1356">
            <v>132</v>
          </cell>
          <cell r="E1356">
            <v>-26.2</v>
          </cell>
          <cell r="F1356">
            <v>-46.5</v>
          </cell>
          <cell r="G1356">
            <v>-34.200000000000003</v>
          </cell>
          <cell r="H1356">
            <v>-27.7</v>
          </cell>
          <cell r="I1356">
            <v>-26.2</v>
          </cell>
          <cell r="J1356">
            <v>-46.5</v>
          </cell>
          <cell r="K1356">
            <v>-32.700000000000003</v>
          </cell>
          <cell r="L1356">
            <v>-31.2</v>
          </cell>
          <cell r="M1356">
            <v>-30.2</v>
          </cell>
        </row>
        <row r="1357">
          <cell r="C1357" t="str">
            <v>Long Thành MBA T3 (phía 110kV)</v>
          </cell>
          <cell r="D1357">
            <v>133</v>
          </cell>
          <cell r="E1357">
            <v>2.4</v>
          </cell>
          <cell r="F1357">
            <v>5.0999999999999996</v>
          </cell>
          <cell r="G1357">
            <v>4.2</v>
          </cell>
          <cell r="H1357">
            <v>2.4</v>
          </cell>
          <cell r="I1357">
            <v>4.9000000000000004</v>
          </cell>
          <cell r="J1357">
            <v>5.0999999999999996</v>
          </cell>
          <cell r="K1357">
            <v>4.0999999999999996</v>
          </cell>
          <cell r="L1357">
            <v>5</v>
          </cell>
          <cell r="M1357">
            <v>5.0999999999999996</v>
          </cell>
        </row>
        <row r="1358">
          <cell r="C1358" t="str">
            <v>Long Thành MBA T4 (phía 110kV)</v>
          </cell>
          <cell r="D1358">
            <v>134</v>
          </cell>
          <cell r="E1358">
            <v>3.8</v>
          </cell>
          <cell r="F1358">
            <v>8.9</v>
          </cell>
          <cell r="G1358">
            <v>6.1</v>
          </cell>
          <cell r="H1358">
            <v>8.1999999999999993</v>
          </cell>
          <cell r="I1358">
            <v>8.9</v>
          </cell>
          <cell r="J1358">
            <v>3.8</v>
          </cell>
          <cell r="K1358">
            <v>6.2</v>
          </cell>
          <cell r="L1358">
            <v>6</v>
          </cell>
          <cell r="M1358">
            <v>5.6</v>
          </cell>
        </row>
        <row r="1359">
          <cell r="C1359" t="str">
            <v>110kV 172 Long Thành - 172 Nhơn Trạch 5</v>
          </cell>
          <cell r="D1359">
            <v>172</v>
          </cell>
          <cell r="E1359">
            <v>27.3</v>
          </cell>
          <cell r="F1359">
            <v>42.2</v>
          </cell>
          <cell r="G1359">
            <v>40.700000000000003</v>
          </cell>
          <cell r="H1359">
            <v>42.2</v>
          </cell>
          <cell r="I1359">
            <v>38.1</v>
          </cell>
          <cell r="J1359">
            <v>27.3</v>
          </cell>
          <cell r="K1359">
            <v>41.7</v>
          </cell>
          <cell r="L1359">
            <v>41.3</v>
          </cell>
          <cell r="M1359">
            <v>42.2</v>
          </cell>
        </row>
        <row r="1360">
          <cell r="C1360" t="str">
            <v>110kV 173 Long Thành - 172 Hyosung 2</v>
          </cell>
          <cell r="D1360">
            <v>173</v>
          </cell>
          <cell r="E1360">
            <v>6.9</v>
          </cell>
          <cell r="F1360">
            <v>-13</v>
          </cell>
          <cell r="G1360">
            <v>7.6</v>
          </cell>
          <cell r="H1360">
            <v>12.3</v>
          </cell>
          <cell r="I1360">
            <v>7.2</v>
          </cell>
          <cell r="J1360">
            <v>-13</v>
          </cell>
          <cell r="K1360">
            <v>-6.9</v>
          </cell>
          <cell r="L1360">
            <v>-7.2</v>
          </cell>
          <cell r="M1360">
            <v>6.9</v>
          </cell>
        </row>
        <row r="1361">
          <cell r="C1361" t="str">
            <v>110kV 174 Long Thành - 172 Phú Thạnh</v>
          </cell>
          <cell r="D1361">
            <v>174</v>
          </cell>
          <cell r="E1361">
            <v>-15.9</v>
          </cell>
          <cell r="F1361">
            <v>-23.5</v>
          </cell>
          <cell r="G1361">
            <v>-23.1</v>
          </cell>
          <cell r="H1361">
            <v>-15.9</v>
          </cell>
          <cell r="I1361">
            <v>-20.7</v>
          </cell>
          <cell r="J1361">
            <v>-20.100000000000001</v>
          </cell>
          <cell r="K1361">
            <v>-22.8</v>
          </cell>
          <cell r="L1361">
            <v>-23.5</v>
          </cell>
          <cell r="M1361">
            <v>-20</v>
          </cell>
        </row>
        <row r="1362">
          <cell r="C1362" t="str">
            <v>110kV 175 Long Thành - 172 Hyosung</v>
          </cell>
          <cell r="D1362">
            <v>175</v>
          </cell>
          <cell r="E1362">
            <v>25.7</v>
          </cell>
          <cell r="F1362">
            <v>48.3</v>
          </cell>
          <cell r="G1362">
            <v>29.6</v>
          </cell>
          <cell r="H1362">
            <v>33.200000000000003</v>
          </cell>
          <cell r="I1362">
            <v>28.8</v>
          </cell>
          <cell r="J1362">
            <v>48.3</v>
          </cell>
          <cell r="K1362">
            <v>25.7</v>
          </cell>
          <cell r="L1362">
            <v>27.2</v>
          </cell>
          <cell r="M1362">
            <v>28.4</v>
          </cell>
        </row>
        <row r="1363">
          <cell r="C1363" t="str">
            <v>110kV 176 Long Thành - 171 Dệt May</v>
          </cell>
          <cell r="D1363">
            <v>176</v>
          </cell>
          <cell r="E1363">
            <v>-17</v>
          </cell>
          <cell r="F1363">
            <v>-29.7</v>
          </cell>
          <cell r="G1363">
            <v>-17.399999999999999</v>
          </cell>
          <cell r="H1363">
            <v>-18</v>
          </cell>
          <cell r="I1363">
            <v>-24.5</v>
          </cell>
          <cell r="J1363">
            <v>-29.7</v>
          </cell>
          <cell r="K1363">
            <v>-17</v>
          </cell>
          <cell r="L1363">
            <v>-17.5</v>
          </cell>
          <cell r="M1363">
            <v>-24.8</v>
          </cell>
        </row>
        <row r="1364">
          <cell r="C1364" t="str">
            <v>110kV 177 Long Thành - 172 Nhơn Trạch 6</v>
          </cell>
          <cell r="D1364">
            <v>177</v>
          </cell>
          <cell r="E1364">
            <v>19</v>
          </cell>
          <cell r="F1364">
            <v>32.5</v>
          </cell>
          <cell r="G1364">
            <v>31.1</v>
          </cell>
          <cell r="H1364">
            <v>32.5</v>
          </cell>
          <cell r="I1364">
            <v>29.1</v>
          </cell>
          <cell r="J1364">
            <v>19</v>
          </cell>
          <cell r="K1364">
            <v>31.9</v>
          </cell>
          <cell r="L1364">
            <v>30.8</v>
          </cell>
          <cell r="M1364">
            <v>31.7</v>
          </cell>
        </row>
        <row r="1365">
          <cell r="C1365" t="str">
            <v>110kV 178 Long Thành - 173 Tuy Hạ</v>
          </cell>
          <cell r="D1365">
            <v>178</v>
          </cell>
          <cell r="E1365">
            <v>15.4</v>
          </cell>
          <cell r="F1365">
            <v>36.299999999999997</v>
          </cell>
          <cell r="G1365">
            <v>33.4</v>
          </cell>
          <cell r="H1365">
            <v>34.799999999999997</v>
          </cell>
          <cell r="I1365">
            <v>32.799999999999997</v>
          </cell>
          <cell r="J1365">
            <v>15.4</v>
          </cell>
          <cell r="K1365">
            <v>34.1</v>
          </cell>
          <cell r="L1365">
            <v>36.299999999999997</v>
          </cell>
          <cell r="M1365">
            <v>35.9</v>
          </cell>
        </row>
        <row r="1366">
          <cell r="C1366" t="str">
            <v>110kV 179 Long Thành - 172 Tuy Hạ</v>
          </cell>
          <cell r="D1366">
            <v>179</v>
          </cell>
          <cell r="E1366">
            <v>11.9</v>
          </cell>
          <cell r="F1366">
            <v>12.9</v>
          </cell>
          <cell r="G1366">
            <v>12.7</v>
          </cell>
          <cell r="H1366">
            <v>12</v>
          </cell>
          <cell r="I1366">
            <v>12.9</v>
          </cell>
          <cell r="J1366">
            <v>12.1</v>
          </cell>
          <cell r="K1366">
            <v>12.2</v>
          </cell>
          <cell r="L1366">
            <v>12</v>
          </cell>
          <cell r="M1366">
            <v>11.9</v>
          </cell>
        </row>
        <row r="1367">
          <cell r="C1367" t="str">
            <v>110kV 180 Long Thành - 171 Tam An</v>
          </cell>
          <cell r="D1367">
            <v>180</v>
          </cell>
          <cell r="E1367">
            <v>8.4</v>
          </cell>
          <cell r="F1367">
            <v>20.2</v>
          </cell>
          <cell r="G1367">
            <v>20.2</v>
          </cell>
          <cell r="H1367">
            <v>18.899999999999999</v>
          </cell>
          <cell r="I1367">
            <v>13.9</v>
          </cell>
          <cell r="J1367">
            <v>8.4</v>
          </cell>
          <cell r="K1367">
            <v>19</v>
          </cell>
          <cell r="L1367">
            <v>18.399999999999999</v>
          </cell>
          <cell r="M1367">
            <v>18.8</v>
          </cell>
        </row>
        <row r="1368">
          <cell r="C1368" t="str">
            <v>110kV 181 Long Thành - 171 An Phước</v>
          </cell>
          <cell r="D1368">
            <v>181</v>
          </cell>
          <cell r="E1368">
            <v>-10.3</v>
          </cell>
          <cell r="F1368">
            <v>37.1</v>
          </cell>
          <cell r="G1368">
            <v>35.799999999999997</v>
          </cell>
          <cell r="H1368">
            <v>35.799999999999997</v>
          </cell>
          <cell r="I1368">
            <v>29.3</v>
          </cell>
          <cell r="J1368">
            <v>-10.3</v>
          </cell>
          <cell r="K1368">
            <v>34.299999999999997</v>
          </cell>
          <cell r="L1368">
            <v>36.200000000000003</v>
          </cell>
          <cell r="M1368">
            <v>37.1</v>
          </cell>
        </row>
        <row r="1369">
          <cell r="C1369" t="str">
            <v>110kV 182 Long Thành - 172 Bình Sơn</v>
          </cell>
          <cell r="D1369">
            <v>182</v>
          </cell>
          <cell r="E1369">
            <v>-13.1</v>
          </cell>
          <cell r="F1369">
            <v>-20.8</v>
          </cell>
          <cell r="G1369">
            <v>-20.8</v>
          </cell>
          <cell r="H1369">
            <v>-16.100000000000001</v>
          </cell>
          <cell r="I1369">
            <v>-14.3</v>
          </cell>
          <cell r="J1369">
            <v>-13.5</v>
          </cell>
          <cell r="K1369">
            <v>-14.4</v>
          </cell>
          <cell r="L1369">
            <v>-16.7</v>
          </cell>
          <cell r="M1369">
            <v>-13.1</v>
          </cell>
        </row>
        <row r="1370">
          <cell r="C1370" t="str">
            <v>110kV 183 Long Thành - 171 Vedan</v>
          </cell>
          <cell r="D1370">
            <v>183</v>
          </cell>
          <cell r="E1370">
            <v>-18.2</v>
          </cell>
          <cell r="F1370">
            <v>-37.200000000000003</v>
          </cell>
          <cell r="G1370">
            <v>-37.200000000000003</v>
          </cell>
          <cell r="H1370">
            <v>-31.4</v>
          </cell>
          <cell r="I1370">
            <v>-27.9</v>
          </cell>
          <cell r="J1370">
            <v>-18.2</v>
          </cell>
          <cell r="K1370">
            <v>-27.7</v>
          </cell>
          <cell r="L1370">
            <v>-31.6</v>
          </cell>
          <cell r="M1370">
            <v>-22.5</v>
          </cell>
        </row>
        <row r="1371">
          <cell r="C1371" t="str">
            <v>Long Thành MBA AT1 (phía 220kV)</v>
          </cell>
          <cell r="D1371">
            <v>231</v>
          </cell>
          <cell r="E1371">
            <v>29.6</v>
          </cell>
          <cell r="F1371">
            <v>49.2</v>
          </cell>
          <cell r="G1371">
            <v>36.9</v>
          </cell>
          <cell r="H1371">
            <v>35.9</v>
          </cell>
          <cell r="I1371">
            <v>29.6</v>
          </cell>
          <cell r="J1371">
            <v>49.2</v>
          </cell>
          <cell r="K1371">
            <v>36.6</v>
          </cell>
          <cell r="L1371">
            <v>36</v>
          </cell>
          <cell r="M1371">
            <v>34.9</v>
          </cell>
        </row>
        <row r="1372">
          <cell r="C1372" t="str">
            <v>Long Thành MBA AT2 (phía 220kV)</v>
          </cell>
          <cell r="D1372">
            <v>232</v>
          </cell>
          <cell r="E1372">
            <v>36.9</v>
          </cell>
          <cell r="F1372">
            <v>56.6</v>
          </cell>
          <cell r="G1372">
            <v>44.9</v>
          </cell>
          <cell r="H1372">
            <v>45.2</v>
          </cell>
          <cell r="I1372">
            <v>36.9</v>
          </cell>
          <cell r="J1372">
            <v>56.6</v>
          </cell>
          <cell r="K1372">
            <v>47.9</v>
          </cell>
          <cell r="L1372">
            <v>44.2</v>
          </cell>
          <cell r="M1372">
            <v>47.6</v>
          </cell>
        </row>
        <row r="1373">
          <cell r="C1373" t="str">
            <v>220kV 271 Long Thành - 271 NMĐ Formosa</v>
          </cell>
          <cell r="D1373">
            <v>271</v>
          </cell>
          <cell r="E1373">
            <v>9.5</v>
          </cell>
          <cell r="F1373">
            <v>-2147.3000000000002</v>
          </cell>
          <cell r="G1373">
            <v>-2136.9</v>
          </cell>
          <cell r="H1373">
            <v>-2136.9</v>
          </cell>
          <cell r="I1373">
            <v>-2136.9</v>
          </cell>
          <cell r="J1373">
            <v>-2136.9</v>
          </cell>
          <cell r="K1373">
            <v>-2147.3000000000002</v>
          </cell>
          <cell r="L1373">
            <v>9.9</v>
          </cell>
          <cell r="M1373">
            <v>9.5</v>
          </cell>
        </row>
        <row r="1374">
          <cell r="C1374" t="str">
            <v>220kV 272 Long Thành - 272 NMĐ Formosa</v>
          </cell>
          <cell r="D1374">
            <v>272</v>
          </cell>
          <cell r="E1374">
            <v>8.9</v>
          </cell>
          <cell r="F1374">
            <v>-2146.9</v>
          </cell>
          <cell r="G1374">
            <v>-2146</v>
          </cell>
          <cell r="H1374">
            <v>9.1</v>
          </cell>
          <cell r="I1374">
            <v>-2145.4</v>
          </cell>
          <cell r="J1374">
            <v>-2146.9</v>
          </cell>
          <cell r="K1374">
            <v>-2146.1</v>
          </cell>
          <cell r="L1374">
            <v>8.9</v>
          </cell>
          <cell r="M1374">
            <v>9.6999999999999993</v>
          </cell>
        </row>
        <row r="1375">
          <cell r="C1375" t="str">
            <v>220kV 273 Long Thành - 275 Long Bình</v>
          </cell>
          <cell r="D1375">
            <v>273</v>
          </cell>
          <cell r="E1375">
            <v>-19.7</v>
          </cell>
          <cell r="F1375">
            <v>-51</v>
          </cell>
          <cell r="G1375">
            <v>-31.7</v>
          </cell>
          <cell r="H1375">
            <v>-51</v>
          </cell>
          <cell r="I1375">
            <v>-33.5</v>
          </cell>
          <cell r="J1375">
            <v>-36.700000000000003</v>
          </cell>
          <cell r="K1375">
            <v>-34</v>
          </cell>
          <cell r="L1375">
            <v>-19.7</v>
          </cell>
          <cell r="M1375">
            <v>-45.3</v>
          </cell>
        </row>
        <row r="1376">
          <cell r="C1376" t="str">
            <v>220kV 274 Long Thành - 274 Long Bình</v>
          </cell>
          <cell r="D1376">
            <v>274</v>
          </cell>
          <cell r="E1376">
            <v>-20.5</v>
          </cell>
          <cell r="F1376">
            <v>-63</v>
          </cell>
          <cell r="G1376">
            <v>-34.5</v>
          </cell>
          <cell r="H1376">
            <v>-51.9</v>
          </cell>
          <cell r="I1376">
            <v>-37</v>
          </cell>
          <cell r="J1376">
            <v>-63</v>
          </cell>
          <cell r="K1376">
            <v>-36.299999999999997</v>
          </cell>
          <cell r="L1376">
            <v>-20.5</v>
          </cell>
          <cell r="M1376">
            <v>-47.8</v>
          </cell>
        </row>
        <row r="1377">
          <cell r="C1377" t="str">
            <v>220kV 275 Long Thành - 271 Xuân Lộc 2</v>
          </cell>
          <cell r="D1377">
            <v>275</v>
          </cell>
          <cell r="E1377">
            <v>-10</v>
          </cell>
          <cell r="F1377">
            <v>21.7</v>
          </cell>
          <cell r="G1377">
            <v>15.3</v>
          </cell>
          <cell r="H1377">
            <v>19.7</v>
          </cell>
          <cell r="I1377">
            <v>21.7</v>
          </cell>
          <cell r="J1377">
            <v>-10</v>
          </cell>
          <cell r="K1377">
            <v>15.5</v>
          </cell>
          <cell r="L1377">
            <v>-10</v>
          </cell>
          <cell r="M1377">
            <v>18.5</v>
          </cell>
        </row>
        <row r="1378">
          <cell r="C1378" t="str">
            <v>220kV 276 Long Thành - 272 Xuân Lộc 2</v>
          </cell>
          <cell r="D1378">
            <v>276</v>
          </cell>
          <cell r="E1378">
            <v>9.6</v>
          </cell>
          <cell r="F1378">
            <v>22.8</v>
          </cell>
          <cell r="G1378">
            <v>16.3</v>
          </cell>
          <cell r="H1378">
            <v>20.2</v>
          </cell>
          <cell r="I1378">
            <v>22.8</v>
          </cell>
          <cell r="J1378">
            <v>-10.199999999999999</v>
          </cell>
          <cell r="K1378">
            <v>16.399999999999999</v>
          </cell>
          <cell r="L1378">
            <v>9.6</v>
          </cell>
          <cell r="M1378">
            <v>19.8</v>
          </cell>
        </row>
        <row r="1379">
          <cell r="C1379" t="str">
            <v>220kV 277 Long Thành - 273 NMĐ Phú Mỹ 1</v>
          </cell>
          <cell r="D1379">
            <v>277</v>
          </cell>
          <cell r="E1379">
            <v>-24.1</v>
          </cell>
          <cell r="F1379">
            <v>-45</v>
          </cell>
          <cell r="G1379">
            <v>-29.5</v>
          </cell>
          <cell r="H1379">
            <v>-34.9</v>
          </cell>
          <cell r="I1379">
            <v>-37.5</v>
          </cell>
          <cell r="J1379">
            <v>-24.1</v>
          </cell>
          <cell r="K1379">
            <v>-40</v>
          </cell>
          <cell r="L1379">
            <v>-45</v>
          </cell>
          <cell r="M1379">
            <v>-37.799999999999997</v>
          </cell>
        </row>
        <row r="1380">
          <cell r="C1380" t="str">
            <v>220kV 278 Long Thành - 284 NMĐ Phú Mỹ 1</v>
          </cell>
          <cell r="D1380">
            <v>278</v>
          </cell>
          <cell r="E1380">
            <v>-25.4</v>
          </cell>
          <cell r="F1380">
            <v>-42.3</v>
          </cell>
          <cell r="G1380">
            <v>-25.4</v>
          </cell>
          <cell r="H1380">
            <v>-33</v>
          </cell>
          <cell r="I1380">
            <v>-32.299999999999997</v>
          </cell>
          <cell r="J1380">
            <v>-30.5</v>
          </cell>
          <cell r="K1380">
            <v>-36.5</v>
          </cell>
          <cell r="L1380">
            <v>-42.3</v>
          </cell>
          <cell r="M1380">
            <v>-35.299999999999997</v>
          </cell>
        </row>
        <row r="1381">
          <cell r="C1381" t="str">
            <v>Long Thành MBA T3 (phía 22kV)</v>
          </cell>
          <cell r="D1381">
            <v>433</v>
          </cell>
          <cell r="E1381">
            <v>-0.4</v>
          </cell>
          <cell r="F1381">
            <v>-0.9</v>
          </cell>
          <cell r="G1381">
            <v>-0.8</v>
          </cell>
          <cell r="H1381">
            <v>-0.4</v>
          </cell>
          <cell r="I1381">
            <v>-0.7</v>
          </cell>
          <cell r="J1381">
            <v>-0.8</v>
          </cell>
          <cell r="K1381">
            <v>-0.7</v>
          </cell>
          <cell r="L1381">
            <v>-0.7</v>
          </cell>
          <cell r="M1381">
            <v>-0.9</v>
          </cell>
        </row>
        <row r="1382">
          <cell r="C1382" t="str">
            <v>Long Thành MBA T4 (phía 22kV)</v>
          </cell>
          <cell r="D1382">
            <v>434</v>
          </cell>
          <cell r="E1382">
            <v>21.5</v>
          </cell>
          <cell r="F1382">
            <v>28.5</v>
          </cell>
          <cell r="G1382">
            <v>21.5</v>
          </cell>
          <cell r="H1382">
            <v>28.5</v>
          </cell>
          <cell r="I1382">
            <v>26.4</v>
          </cell>
          <cell r="J1382">
            <v>21.9</v>
          </cell>
          <cell r="K1382">
            <v>21.9</v>
          </cell>
          <cell r="L1382">
            <v>21.9</v>
          </cell>
          <cell r="M1382">
            <v>21.8</v>
          </cell>
        </row>
        <row r="1383">
          <cell r="C1383" t="str">
            <v>Long Thới MBA T1 (phía 110kV)</v>
          </cell>
          <cell r="D1383">
            <v>131</v>
          </cell>
          <cell r="E1383">
            <v>-8.9</v>
          </cell>
          <cell r="F1383">
            <v>-16.600000000000001</v>
          </cell>
          <cell r="G1383">
            <v>-14.2</v>
          </cell>
          <cell r="H1383">
            <v>-13</v>
          </cell>
          <cell r="I1383">
            <v>-8.9</v>
          </cell>
          <cell r="J1383">
            <v>-15</v>
          </cell>
          <cell r="K1383">
            <v>-15.7</v>
          </cell>
          <cell r="L1383">
            <v>-16.600000000000001</v>
          </cell>
          <cell r="M1383">
            <v>-14.2</v>
          </cell>
        </row>
        <row r="1384">
          <cell r="C1384" t="str">
            <v>Long Thới MBA T2 (phía 110kV)</v>
          </cell>
          <cell r="D1384">
            <v>132</v>
          </cell>
          <cell r="E1384">
            <v>-8.6999999999999993</v>
          </cell>
          <cell r="F1384">
            <v>-14.1</v>
          </cell>
          <cell r="G1384">
            <v>-14.1</v>
          </cell>
          <cell r="H1384">
            <v>-13.6</v>
          </cell>
          <cell r="I1384">
            <v>-12.1</v>
          </cell>
          <cell r="J1384">
            <v>-8.6999999999999993</v>
          </cell>
          <cell r="K1384">
            <v>-11</v>
          </cell>
          <cell r="L1384">
            <v>-12.9</v>
          </cell>
          <cell r="M1384">
            <v>-11.9</v>
          </cell>
        </row>
        <row r="1385">
          <cell r="C1385" t="str">
            <v>110kV 171 Long Thới - 172 Nhà Bè</v>
          </cell>
          <cell r="D1385">
            <v>171</v>
          </cell>
          <cell r="E1385">
            <v>-10.199999999999999</v>
          </cell>
          <cell r="F1385">
            <v>-28.6</v>
          </cell>
          <cell r="G1385">
            <v>-28.6</v>
          </cell>
          <cell r="H1385">
            <v>-25.4</v>
          </cell>
          <cell r="I1385">
            <v>-20</v>
          </cell>
          <cell r="J1385">
            <v>-10.199999999999999</v>
          </cell>
          <cell r="K1385">
            <v>-26.8</v>
          </cell>
          <cell r="L1385">
            <v>-26.3</v>
          </cell>
          <cell r="M1385">
            <v>-26.7</v>
          </cell>
        </row>
        <row r="1386">
          <cell r="C1386" t="str">
            <v>110kV 172 Long Thới - 174 NMĐ Hiệp Phước</v>
          </cell>
          <cell r="D1386">
            <v>172</v>
          </cell>
          <cell r="E1386">
            <v>-11.3</v>
          </cell>
          <cell r="F1386">
            <v>-17.399999999999999</v>
          </cell>
          <cell r="G1386">
            <v>-12.9</v>
          </cell>
          <cell r="H1386">
            <v>-12.1</v>
          </cell>
          <cell r="I1386">
            <v>-11.3</v>
          </cell>
          <cell r="J1386">
            <v>-16.100000000000001</v>
          </cell>
          <cell r="K1386">
            <v>-17.399999999999999</v>
          </cell>
          <cell r="L1386">
            <v>-15.7</v>
          </cell>
          <cell r="M1386">
            <v>-12.4</v>
          </cell>
        </row>
        <row r="1387">
          <cell r="C1387" t="str">
            <v>Long Thới MBA T1 (phía 22kV)</v>
          </cell>
          <cell r="D1387">
            <v>431</v>
          </cell>
          <cell r="E1387">
            <v>7.2</v>
          </cell>
          <cell r="F1387">
            <v>12.1</v>
          </cell>
          <cell r="G1387">
            <v>10.3</v>
          </cell>
          <cell r="H1387">
            <v>8.8000000000000007</v>
          </cell>
          <cell r="I1387">
            <v>7.2</v>
          </cell>
          <cell r="J1387">
            <v>10.4</v>
          </cell>
          <cell r="K1387">
            <v>11.5</v>
          </cell>
          <cell r="L1387">
            <v>12.1</v>
          </cell>
          <cell r="M1387">
            <v>10.199999999999999</v>
          </cell>
        </row>
        <row r="1388">
          <cell r="C1388" t="str">
            <v>Long Thới MBA T2 (phía 22kV)</v>
          </cell>
          <cell r="D1388">
            <v>432</v>
          </cell>
          <cell r="E1388">
            <v>6.7</v>
          </cell>
          <cell r="F1388">
            <v>9.9</v>
          </cell>
          <cell r="G1388">
            <v>9.9</v>
          </cell>
          <cell r="H1388">
            <v>9.8000000000000007</v>
          </cell>
          <cell r="I1388">
            <v>9.1</v>
          </cell>
          <cell r="J1388">
            <v>6.7</v>
          </cell>
          <cell r="K1388">
            <v>7.8</v>
          </cell>
          <cell r="L1388">
            <v>9.1</v>
          </cell>
          <cell r="M1388">
            <v>8.1999999999999993</v>
          </cell>
        </row>
        <row r="1389">
          <cell r="C1389" t="str">
            <v>Long Xuyên MBA T1 (phía 110kV)</v>
          </cell>
          <cell r="D1389">
            <v>131</v>
          </cell>
          <cell r="E1389">
            <v>-3.4</v>
          </cell>
          <cell r="F1389">
            <v>-5.6</v>
          </cell>
          <cell r="G1389">
            <v>3.4</v>
          </cell>
          <cell r="H1389">
            <v>3.8</v>
          </cell>
          <cell r="I1389">
            <v>3.6</v>
          </cell>
          <cell r="J1389">
            <v>-4.5</v>
          </cell>
          <cell r="K1389">
            <v>-5.6</v>
          </cell>
          <cell r="L1389">
            <v>-3.6</v>
          </cell>
          <cell r="M1389">
            <v>-3.4</v>
          </cell>
        </row>
        <row r="1390">
          <cell r="C1390" t="str">
            <v>Long Xuyên MBA T2 (phía 110kV)</v>
          </cell>
          <cell r="D1390">
            <v>132</v>
          </cell>
          <cell r="E1390">
            <v>1.6</v>
          </cell>
          <cell r="F1390">
            <v>3.7</v>
          </cell>
          <cell r="G1390">
            <v>3.2</v>
          </cell>
          <cell r="H1390">
            <v>2.5</v>
          </cell>
          <cell r="I1390">
            <v>2.2999999999999998</v>
          </cell>
          <cell r="J1390">
            <v>1.6</v>
          </cell>
          <cell r="K1390">
            <v>2.9</v>
          </cell>
          <cell r="L1390">
            <v>3.7</v>
          </cell>
          <cell r="M1390">
            <v>2.9</v>
          </cell>
        </row>
        <row r="1391">
          <cell r="C1391" t="str">
            <v>110kV 171 Long Xuyên - 171 Thới Thuận</v>
          </cell>
          <cell r="D1391">
            <v>171</v>
          </cell>
          <cell r="E1391">
            <v>-3.4</v>
          </cell>
          <cell r="F1391">
            <v>5.7</v>
          </cell>
          <cell r="G1391">
            <v>-3.4</v>
          </cell>
          <cell r="H1391">
            <v>-3.8</v>
          </cell>
          <cell r="I1391">
            <v>-3.5</v>
          </cell>
          <cell r="J1391">
            <v>4.5999999999999996</v>
          </cell>
          <cell r="K1391">
            <v>5.7</v>
          </cell>
          <cell r="L1391">
            <v>3.6</v>
          </cell>
          <cell r="M1391">
            <v>3.5</v>
          </cell>
        </row>
        <row r="1392">
          <cell r="C1392" t="str">
            <v>110kV 172 Long Xuyên - 175 Long Xuyên 2</v>
          </cell>
          <cell r="D1392">
            <v>172</v>
          </cell>
          <cell r="E1392">
            <v>-1.7</v>
          </cell>
          <cell r="F1392">
            <v>-3.6</v>
          </cell>
          <cell r="G1392">
            <v>-3.2</v>
          </cell>
          <cell r="H1392">
            <v>-2.6</v>
          </cell>
          <cell r="I1392">
            <v>-2.4</v>
          </cell>
          <cell r="J1392">
            <v>-1.7</v>
          </cell>
          <cell r="K1392">
            <v>-2.9</v>
          </cell>
          <cell r="L1392">
            <v>-3.6</v>
          </cell>
          <cell r="M1392">
            <v>-3</v>
          </cell>
        </row>
        <row r="1393">
          <cell r="C1393" t="str">
            <v>Long Xuyên MBA T1 (phía 22kV)</v>
          </cell>
          <cell r="D1393">
            <v>431</v>
          </cell>
          <cell r="E1393">
            <v>1.6</v>
          </cell>
          <cell r="F1393">
            <v>6.4</v>
          </cell>
          <cell r="G1393">
            <v>1.6</v>
          </cell>
          <cell r="H1393">
            <v>-2.1</v>
          </cell>
          <cell r="I1393">
            <v>3.2</v>
          </cell>
          <cell r="J1393">
            <v>5.6</v>
          </cell>
          <cell r="K1393">
            <v>6.4</v>
          </cell>
          <cell r="L1393">
            <v>4.7</v>
          </cell>
          <cell r="M1393">
            <v>4.5999999999999996</v>
          </cell>
        </row>
        <row r="1394">
          <cell r="C1394" t="str">
            <v>Long Xuyên MBA T2 (phía 22kV)</v>
          </cell>
          <cell r="D1394">
            <v>432</v>
          </cell>
          <cell r="E1394">
            <v>1.4</v>
          </cell>
          <cell r="F1394">
            <v>2.8</v>
          </cell>
          <cell r="G1394">
            <v>2.8</v>
          </cell>
          <cell r="H1394">
            <v>2.5</v>
          </cell>
          <cell r="I1394">
            <v>2.4</v>
          </cell>
          <cell r="J1394">
            <v>2.5</v>
          </cell>
          <cell r="K1394">
            <v>2.6</v>
          </cell>
          <cell r="L1394">
            <v>2.2999999999999998</v>
          </cell>
          <cell r="M1394">
            <v>1.4</v>
          </cell>
        </row>
        <row r="1395">
          <cell r="C1395" t="str">
            <v>Long Xuyên 2 MBA AT2 (phía 110kV)</v>
          </cell>
          <cell r="D1395">
            <v>132</v>
          </cell>
          <cell r="E1395">
            <v>5.9</v>
          </cell>
          <cell r="F1395">
            <v>9.5</v>
          </cell>
          <cell r="G1395">
            <v>7.2</v>
          </cell>
          <cell r="H1395">
            <v>6.7</v>
          </cell>
          <cell r="I1395">
            <v>6.2</v>
          </cell>
          <cell r="J1395">
            <v>8.3000000000000007</v>
          </cell>
          <cell r="K1395">
            <v>9.5</v>
          </cell>
          <cell r="L1395">
            <v>6.7</v>
          </cell>
          <cell r="M1395">
            <v>5.9</v>
          </cell>
        </row>
        <row r="1396">
          <cell r="C1396" t="str">
            <v>Long Xuyên 2 MBA T3 (phía 110kV)</v>
          </cell>
          <cell r="D1396">
            <v>133</v>
          </cell>
          <cell r="E1396">
            <v>0</v>
          </cell>
          <cell r="F1396">
            <v>1.5</v>
          </cell>
          <cell r="G1396">
            <v>1.5</v>
          </cell>
          <cell r="H1396">
            <v>0.1</v>
          </cell>
          <cell r="I1396">
            <v>1.3</v>
          </cell>
          <cell r="J1396">
            <v>0</v>
          </cell>
          <cell r="K1396">
            <v>1.4</v>
          </cell>
          <cell r="L1396">
            <v>1.4</v>
          </cell>
          <cell r="M1396">
            <v>1.4</v>
          </cell>
        </row>
        <row r="1397">
          <cell r="C1397" t="str">
            <v>110kV 173 Long Xuyên 2 - 172 Vĩnh Thạnh</v>
          </cell>
          <cell r="D1397">
            <v>173</v>
          </cell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</row>
        <row r="1398">
          <cell r="C1398" t="str">
            <v>110kV 175 Long Xuyên 2 - 172 Long Xuyên</v>
          </cell>
          <cell r="D1398">
            <v>175</v>
          </cell>
          <cell r="E1398">
            <v>0</v>
          </cell>
          <cell r="F1398">
            <v>4</v>
          </cell>
          <cell r="G1398">
            <v>3.9</v>
          </cell>
          <cell r="H1398">
            <v>0.1</v>
          </cell>
          <cell r="I1398">
            <v>0</v>
          </cell>
          <cell r="J1398">
            <v>0</v>
          </cell>
          <cell r="K1398">
            <v>4</v>
          </cell>
          <cell r="L1398">
            <v>3.8</v>
          </cell>
          <cell r="M1398">
            <v>3.9</v>
          </cell>
        </row>
        <row r="1399">
          <cell r="C1399" t="str">
            <v>110kV 176 Long Xuyên 2 - 172 An Châu</v>
          </cell>
          <cell r="D1399">
            <v>176</v>
          </cell>
          <cell r="E1399">
            <v>-2.2999999999999998</v>
          </cell>
          <cell r="F1399">
            <v>-5.2</v>
          </cell>
          <cell r="G1399">
            <v>-2.2999999999999998</v>
          </cell>
          <cell r="H1399">
            <v>-5</v>
          </cell>
          <cell r="I1399">
            <v>-5.2</v>
          </cell>
          <cell r="J1399">
            <v>-4.5999999999999996</v>
          </cell>
          <cell r="K1399">
            <v>-4.5999999999999996</v>
          </cell>
          <cell r="L1399">
            <v>-2.2999999999999998</v>
          </cell>
          <cell r="M1399">
            <v>-5.0999999999999996</v>
          </cell>
        </row>
        <row r="1400">
          <cell r="C1400" t="str">
            <v>Long Xuyên 2 MBA AT2 (phía 220kV)</v>
          </cell>
          <cell r="D1400">
            <v>232</v>
          </cell>
          <cell r="E1400">
            <v>-5.0999999999999996</v>
          </cell>
          <cell r="F1400">
            <v>-5.0999999999999996</v>
          </cell>
          <cell r="G1400">
            <v>-5.0999999999999996</v>
          </cell>
          <cell r="H1400">
            <v>-5.0999999999999996</v>
          </cell>
          <cell r="I1400">
            <v>-5.0999999999999996</v>
          </cell>
          <cell r="J1400">
            <v>-5.0999999999999996</v>
          </cell>
          <cell r="K1400">
            <v>-5.0999999999999996</v>
          </cell>
          <cell r="L1400">
            <v>-5.0999999999999996</v>
          </cell>
          <cell r="M1400">
            <v>-5.0999999999999996</v>
          </cell>
        </row>
        <row r="1401">
          <cell r="C1401" t="str">
            <v>220kV 271 Long Xuyên 2 - 275 Thốt Nốt 2</v>
          </cell>
          <cell r="D1401">
            <v>271</v>
          </cell>
          <cell r="E1401">
            <v>27.3</v>
          </cell>
          <cell r="F1401">
            <v>38.4</v>
          </cell>
          <cell r="G1401">
            <v>30.4</v>
          </cell>
          <cell r="H1401">
            <v>27.3</v>
          </cell>
          <cell r="I1401">
            <v>32.299999999999997</v>
          </cell>
          <cell r="J1401">
            <v>30.9</v>
          </cell>
          <cell r="K1401">
            <v>38.4</v>
          </cell>
          <cell r="L1401">
            <v>30.8</v>
          </cell>
          <cell r="M1401">
            <v>31</v>
          </cell>
        </row>
        <row r="1402">
          <cell r="C1402" t="str">
            <v>220kV 272 Long Xuyên 2 - 271 Châu Đốc 2</v>
          </cell>
          <cell r="D1402">
            <v>272</v>
          </cell>
          <cell r="E1402">
            <v>-24.7</v>
          </cell>
          <cell r="F1402">
            <v>-31.3</v>
          </cell>
          <cell r="G1402">
            <v>-30.7</v>
          </cell>
          <cell r="H1402">
            <v>-24.8</v>
          </cell>
          <cell r="I1402">
            <v>-24.7</v>
          </cell>
          <cell r="J1402">
            <v>-31.3</v>
          </cell>
          <cell r="K1402">
            <v>-30.7</v>
          </cell>
          <cell r="L1402">
            <v>-30.2</v>
          </cell>
          <cell r="M1402">
            <v>-30.6</v>
          </cell>
        </row>
        <row r="1403">
          <cell r="C1403" t="str">
            <v>Long Xuyên 2 MBA T3 (phía 22kV)</v>
          </cell>
          <cell r="D1403">
            <v>433</v>
          </cell>
          <cell r="E1403">
            <v>0.6</v>
          </cell>
          <cell r="F1403">
            <v>-1.3</v>
          </cell>
          <cell r="G1403">
            <v>-0.9</v>
          </cell>
          <cell r="H1403">
            <v>0.8</v>
          </cell>
          <cell r="I1403">
            <v>-1.2</v>
          </cell>
          <cell r="J1403">
            <v>1</v>
          </cell>
          <cell r="K1403">
            <v>1.1000000000000001</v>
          </cell>
          <cell r="L1403">
            <v>-1.3</v>
          </cell>
          <cell r="M1403">
            <v>0.6</v>
          </cell>
        </row>
        <row r="1404">
          <cell r="C1404" t="str">
            <v>Loteco MBA T1 (phía 110kV)</v>
          </cell>
          <cell r="D1404">
            <v>131</v>
          </cell>
          <cell r="E1404">
            <v>1.8</v>
          </cell>
          <cell r="F1404">
            <v>15.7</v>
          </cell>
          <cell r="G1404">
            <v>15.3</v>
          </cell>
          <cell r="H1404">
            <v>15.6</v>
          </cell>
          <cell r="I1404">
            <v>14.4</v>
          </cell>
          <cell r="J1404">
            <v>1.8</v>
          </cell>
          <cell r="K1404">
            <v>14.6</v>
          </cell>
          <cell r="L1404">
            <v>14.8</v>
          </cell>
          <cell r="M1404">
            <v>15.7</v>
          </cell>
        </row>
        <row r="1405">
          <cell r="C1405" t="str">
            <v>Loteco MBA T2 (phía 110kV)</v>
          </cell>
          <cell r="D1405">
            <v>132</v>
          </cell>
          <cell r="E1405">
            <v>-1.5</v>
          </cell>
          <cell r="F1405">
            <v>6.2</v>
          </cell>
          <cell r="G1405">
            <v>4.4000000000000004</v>
          </cell>
          <cell r="H1405">
            <v>5.0999999999999996</v>
          </cell>
          <cell r="I1405">
            <v>4.5</v>
          </cell>
          <cell r="J1405">
            <v>-1.5</v>
          </cell>
          <cell r="K1405">
            <v>5.7</v>
          </cell>
          <cell r="L1405">
            <v>5.7</v>
          </cell>
          <cell r="M1405">
            <v>6.2</v>
          </cell>
        </row>
        <row r="1406">
          <cell r="C1406" t="str">
            <v>110kV 171 Loteco - 178 Long Bình</v>
          </cell>
          <cell r="D1406">
            <v>171</v>
          </cell>
          <cell r="E1406">
            <v>0</v>
          </cell>
          <cell r="F1406">
            <v>-15.6</v>
          </cell>
          <cell r="G1406">
            <v>-15.2</v>
          </cell>
          <cell r="H1406">
            <v>-15.3</v>
          </cell>
          <cell r="I1406">
            <v>-14.2</v>
          </cell>
          <cell r="J1406">
            <v>0</v>
          </cell>
          <cell r="K1406">
            <v>-14.6</v>
          </cell>
          <cell r="L1406">
            <v>-14.3</v>
          </cell>
          <cell r="M1406">
            <v>-15.6</v>
          </cell>
        </row>
        <row r="1407">
          <cell r="C1407" t="str">
            <v>110kV 172 Loteco - 171 Thống Nhất</v>
          </cell>
          <cell r="D1407">
            <v>172</v>
          </cell>
          <cell r="E1407">
            <v>1.9</v>
          </cell>
          <cell r="F1407">
            <v>-4.4000000000000004</v>
          </cell>
          <cell r="G1407">
            <v>-2.8</v>
          </cell>
          <cell r="H1407">
            <v>-3.5</v>
          </cell>
          <cell r="I1407">
            <v>-3</v>
          </cell>
          <cell r="J1407">
            <v>1.9</v>
          </cell>
          <cell r="K1407">
            <v>-4.2</v>
          </cell>
          <cell r="L1407">
            <v>-3.9</v>
          </cell>
          <cell r="M1407">
            <v>-4.4000000000000004</v>
          </cell>
        </row>
        <row r="1408">
          <cell r="C1408" t="str">
            <v>Loteco MBA T1 (phía 22kV)</v>
          </cell>
          <cell r="D1408">
            <v>431</v>
          </cell>
          <cell r="E1408">
            <v>-2.6</v>
          </cell>
          <cell r="F1408">
            <v>-10.8</v>
          </cell>
          <cell r="G1408">
            <v>-10.6</v>
          </cell>
          <cell r="H1408">
            <v>-10.8</v>
          </cell>
          <cell r="I1408">
            <v>-10.1</v>
          </cell>
          <cell r="J1408">
            <v>-2.6</v>
          </cell>
          <cell r="K1408">
            <v>-10</v>
          </cell>
          <cell r="L1408">
            <v>-10.199999999999999</v>
          </cell>
          <cell r="M1408">
            <v>-10.8</v>
          </cell>
        </row>
        <row r="1409">
          <cell r="C1409" t="str">
            <v>Loteco MBA T2 (phía 22kV)</v>
          </cell>
          <cell r="D1409">
            <v>432</v>
          </cell>
          <cell r="E1409">
            <v>2.7</v>
          </cell>
          <cell r="F1409">
            <v>-5.5</v>
          </cell>
          <cell r="G1409">
            <v>-4.3</v>
          </cell>
          <cell r="H1409">
            <v>-4.3</v>
          </cell>
          <cell r="I1409">
            <v>-3.4</v>
          </cell>
          <cell r="J1409">
            <v>2.7</v>
          </cell>
          <cell r="K1409">
            <v>-5.5</v>
          </cell>
          <cell r="L1409">
            <v>-4.9000000000000004</v>
          </cell>
          <cell r="M1409">
            <v>-5.3</v>
          </cell>
        </row>
        <row r="1410">
          <cell r="C1410" t="str">
            <v>Lương Sơn MBA T1 (phía 110kV)</v>
          </cell>
          <cell r="D1410">
            <v>131</v>
          </cell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</row>
        <row r="1411">
          <cell r="C1411" t="str">
            <v>Lương Sơn MBA T2 (phía 110kV)</v>
          </cell>
          <cell r="D1411">
            <v>132</v>
          </cell>
          <cell r="E1411">
            <v>4.0999999999999996</v>
          </cell>
          <cell r="F1411">
            <v>6.3</v>
          </cell>
          <cell r="G1411">
            <v>5.5</v>
          </cell>
          <cell r="H1411">
            <v>4.8</v>
          </cell>
          <cell r="I1411">
            <v>4.0999999999999996</v>
          </cell>
          <cell r="J1411">
            <v>5.4</v>
          </cell>
          <cell r="K1411">
            <v>5.9</v>
          </cell>
          <cell r="L1411">
            <v>6.3</v>
          </cell>
          <cell r="M1411">
            <v>5.5</v>
          </cell>
        </row>
        <row r="1412">
          <cell r="C1412" t="str">
            <v>110kV 171 Lương Sơn - 177 Phan Rí 2</v>
          </cell>
          <cell r="D1412">
            <v>171</v>
          </cell>
          <cell r="E1412">
            <v>-1.5</v>
          </cell>
          <cell r="F1412">
            <v>-6.9</v>
          </cell>
          <cell r="G1412">
            <v>-1.5</v>
          </cell>
          <cell r="H1412">
            <v>-1.5</v>
          </cell>
          <cell r="I1412">
            <v>-6.9</v>
          </cell>
          <cell r="J1412">
            <v>-1.5</v>
          </cell>
          <cell r="K1412">
            <v>-1.5</v>
          </cell>
          <cell r="L1412">
            <v>-1.5</v>
          </cell>
          <cell r="M1412">
            <v>-1.5</v>
          </cell>
        </row>
        <row r="1413">
          <cell r="C1413" t="str">
            <v>110kV 172 Lương Sơn - 174 trạm cắt Sông Lũy 1</v>
          </cell>
          <cell r="D1413">
            <v>172</v>
          </cell>
          <cell r="E1413">
            <v>-2.6</v>
          </cell>
          <cell r="F1413">
            <v>4.0999999999999996</v>
          </cell>
          <cell r="G1413">
            <v>3.3</v>
          </cell>
          <cell r="H1413">
            <v>4.0999999999999996</v>
          </cell>
          <cell r="I1413">
            <v>2.7</v>
          </cell>
          <cell r="J1413">
            <v>-2.6</v>
          </cell>
          <cell r="K1413">
            <v>3</v>
          </cell>
          <cell r="L1413">
            <v>3.2</v>
          </cell>
          <cell r="M1413">
            <v>3.3</v>
          </cell>
        </row>
        <row r="1414">
          <cell r="C1414" t="str">
            <v>110kV 173 Lương Sơn - 171 NMĐ MT Hồng Phong 4</v>
          </cell>
          <cell r="D1414">
            <v>173</v>
          </cell>
          <cell r="E1414">
            <v>-2.2000000000000002</v>
          </cell>
          <cell r="F1414">
            <v>-3.5</v>
          </cell>
          <cell r="G1414">
            <v>-3.5</v>
          </cell>
          <cell r="H1414">
            <v>-3.4</v>
          </cell>
          <cell r="I1414">
            <v>3.3</v>
          </cell>
          <cell r="J1414">
            <v>-2.4</v>
          </cell>
          <cell r="K1414">
            <v>-3</v>
          </cell>
          <cell r="L1414">
            <v>-2.2000000000000002</v>
          </cell>
          <cell r="M1414">
            <v>-2.6</v>
          </cell>
        </row>
        <row r="1415">
          <cell r="C1415" t="str">
            <v>Lương Sơn MBA T1 (phía 22kV)</v>
          </cell>
          <cell r="D1415">
            <v>431</v>
          </cell>
          <cell r="E1415">
            <v>0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</row>
        <row r="1416">
          <cell r="C1416" t="str">
            <v>Lương Sơn MBA T2 (phía 22kV)</v>
          </cell>
          <cell r="D1416">
            <v>432</v>
          </cell>
          <cell r="E1416">
            <v>3.4</v>
          </cell>
          <cell r="F1416">
            <v>-4.8</v>
          </cell>
          <cell r="G1416">
            <v>-4.4000000000000004</v>
          </cell>
          <cell r="H1416">
            <v>3.8</v>
          </cell>
          <cell r="I1416">
            <v>3.4</v>
          </cell>
          <cell r="J1416">
            <v>-4.0999999999999996</v>
          </cell>
          <cell r="K1416">
            <v>-4.8</v>
          </cell>
          <cell r="L1416">
            <v>-4.4000000000000004</v>
          </cell>
          <cell r="M1416">
            <v>-4</v>
          </cell>
        </row>
        <row r="1417">
          <cell r="C1417" t="str">
            <v>Lưu Động Bà Điểm MBA T1 (phía 110kV)</v>
          </cell>
          <cell r="D1417">
            <v>131</v>
          </cell>
          <cell r="E1417">
            <v>-2.2999999999999998</v>
          </cell>
          <cell r="F1417">
            <v>6.3</v>
          </cell>
          <cell r="G1417">
            <v>6.3</v>
          </cell>
          <cell r="H1417">
            <v>6.2</v>
          </cell>
          <cell r="I1417">
            <v>6</v>
          </cell>
          <cell r="J1417">
            <v>-2.2999999999999998</v>
          </cell>
          <cell r="K1417">
            <v>5.3</v>
          </cell>
          <cell r="L1417">
            <v>5.3</v>
          </cell>
          <cell r="M1417">
            <v>5</v>
          </cell>
        </row>
        <row r="1418">
          <cell r="C1418" t="str">
            <v>Lưu Động Bà Điểm MBA T1 (phía 22kV)</v>
          </cell>
          <cell r="D1418">
            <v>431</v>
          </cell>
          <cell r="E1418">
            <v>3.2</v>
          </cell>
          <cell r="F1418">
            <v>-3.6</v>
          </cell>
          <cell r="G1418">
            <v>-3.6</v>
          </cell>
          <cell r="H1418">
            <v>-3.5</v>
          </cell>
          <cell r="I1418">
            <v>3.3</v>
          </cell>
          <cell r="J1418">
            <v>3.2</v>
          </cell>
          <cell r="K1418">
            <v>3.5</v>
          </cell>
          <cell r="L1418">
            <v>3.4</v>
          </cell>
          <cell r="M1418">
            <v>3.3</v>
          </cell>
        </row>
        <row r="1419">
          <cell r="C1419" t="str">
            <v>Ma Lâm MBA T1 (phía 110kV)</v>
          </cell>
          <cell r="D1419">
            <v>131</v>
          </cell>
          <cell r="E1419">
            <v>424.9</v>
          </cell>
          <cell r="F1419">
            <v>-481.5</v>
          </cell>
          <cell r="G1419">
            <v>-455.7</v>
          </cell>
          <cell r="H1419">
            <v>-459.4</v>
          </cell>
          <cell r="I1419">
            <v>-481.5</v>
          </cell>
          <cell r="J1419">
            <v>-455.6</v>
          </cell>
          <cell r="K1419">
            <v>470.5</v>
          </cell>
          <cell r="L1419">
            <v>465.8</v>
          </cell>
          <cell r="M1419">
            <v>424.9</v>
          </cell>
        </row>
        <row r="1420">
          <cell r="C1420" t="str">
            <v>Ma Lâm MBA T2 (phía 110kV)</v>
          </cell>
          <cell r="D1420">
            <v>132</v>
          </cell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</row>
        <row r="1421">
          <cell r="C1421" t="str">
            <v>110kV 171 Ma Lâm - 175 Phan Thiết 2</v>
          </cell>
          <cell r="D1421">
            <v>171</v>
          </cell>
          <cell r="E1421">
            <v>-7.6</v>
          </cell>
          <cell r="F1421">
            <v>-10.5</v>
          </cell>
          <cell r="G1421">
            <v>-9.5</v>
          </cell>
          <cell r="H1421">
            <v>-8.6</v>
          </cell>
          <cell r="I1421">
            <v>-7.6</v>
          </cell>
          <cell r="J1421">
            <v>-10.4</v>
          </cell>
          <cell r="K1421">
            <v>-8.3000000000000007</v>
          </cell>
          <cell r="L1421">
            <v>-7.6</v>
          </cell>
          <cell r="M1421">
            <v>-10.5</v>
          </cell>
        </row>
        <row r="1422">
          <cell r="C1422" t="str">
            <v>110kV 172 Ma Lâm - 171 NMĐ MT Hàm Phú 2</v>
          </cell>
          <cell r="D1422">
            <v>172</v>
          </cell>
          <cell r="E1422">
            <v>-3.1</v>
          </cell>
          <cell r="F1422">
            <v>3.8</v>
          </cell>
          <cell r="G1422">
            <v>-3.1</v>
          </cell>
          <cell r="H1422">
            <v>-3.1</v>
          </cell>
          <cell r="I1422">
            <v>-3.1</v>
          </cell>
          <cell r="J1422">
            <v>-3.1</v>
          </cell>
          <cell r="K1422">
            <v>3.8</v>
          </cell>
          <cell r="L1422">
            <v>-3.1</v>
          </cell>
          <cell r="M1422">
            <v>-3.2</v>
          </cell>
        </row>
        <row r="1423">
          <cell r="C1423" t="str">
            <v>110kV 173 Ma Lâm - 171 NMĐ MT Thuận Minh 2</v>
          </cell>
          <cell r="D1423">
            <v>173</v>
          </cell>
          <cell r="E1423">
            <v>-6.5</v>
          </cell>
          <cell r="F1423">
            <v>9.8000000000000007</v>
          </cell>
          <cell r="G1423">
            <v>8.4</v>
          </cell>
          <cell r="H1423">
            <v>-6.5</v>
          </cell>
          <cell r="I1423">
            <v>7.4</v>
          </cell>
          <cell r="J1423">
            <v>9.6</v>
          </cell>
          <cell r="K1423">
            <v>7.5</v>
          </cell>
          <cell r="L1423">
            <v>7.4</v>
          </cell>
          <cell r="M1423">
            <v>9.8000000000000007</v>
          </cell>
        </row>
        <row r="1424">
          <cell r="C1424" t="str">
            <v>Ma Lâm MBA T1 (phía 22kV)</v>
          </cell>
          <cell r="D1424">
            <v>431</v>
          </cell>
          <cell r="E1424">
            <v>10.1</v>
          </cell>
          <cell r="F1424">
            <v>10.7</v>
          </cell>
          <cell r="G1424">
            <v>10.1</v>
          </cell>
          <cell r="H1424">
            <v>10.3</v>
          </cell>
          <cell r="I1424">
            <v>10.3</v>
          </cell>
          <cell r="J1424">
            <v>10.4</v>
          </cell>
          <cell r="K1424">
            <v>10.7</v>
          </cell>
          <cell r="L1424">
            <v>10.3</v>
          </cell>
          <cell r="M1424">
            <v>10.1</v>
          </cell>
        </row>
        <row r="1425">
          <cell r="C1425" t="str">
            <v>Ma Lâm MBA T2 (phía 22kV)</v>
          </cell>
          <cell r="D1425">
            <v>432</v>
          </cell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</row>
        <row r="1426">
          <cell r="C1426" t="str">
            <v>Minh Hưng MBA T2 (phía 110kV)</v>
          </cell>
          <cell r="D1426">
            <v>132</v>
          </cell>
          <cell r="E1426">
            <v>-3.4</v>
          </cell>
          <cell r="F1426">
            <v>5.3</v>
          </cell>
          <cell r="G1426">
            <v>4.7</v>
          </cell>
          <cell r="H1426">
            <v>5.3</v>
          </cell>
          <cell r="I1426">
            <v>4.3</v>
          </cell>
          <cell r="J1426">
            <v>-3.4</v>
          </cell>
          <cell r="K1426">
            <v>4.5999999999999996</v>
          </cell>
          <cell r="L1426">
            <v>4.3</v>
          </cell>
          <cell r="M1426">
            <v>4.4000000000000004</v>
          </cell>
        </row>
        <row r="1427">
          <cell r="C1427" t="str">
            <v>110kV 171 Minh Hưng - 176 Bình Long 2</v>
          </cell>
          <cell r="D1427">
            <v>171</v>
          </cell>
          <cell r="E1427">
            <v>3.5</v>
          </cell>
          <cell r="F1427">
            <v>-5.2</v>
          </cell>
          <cell r="G1427">
            <v>-4.7</v>
          </cell>
          <cell r="H1427">
            <v>-5.2</v>
          </cell>
          <cell r="I1427">
            <v>-4.2</v>
          </cell>
          <cell r="J1427">
            <v>3.5</v>
          </cell>
          <cell r="K1427">
            <v>-4.7</v>
          </cell>
          <cell r="L1427">
            <v>-4.2</v>
          </cell>
          <cell r="M1427">
            <v>-4.4000000000000004</v>
          </cell>
        </row>
        <row r="1428">
          <cell r="C1428" t="str">
            <v>110kV 172 Minh Hưng - 172 Dầu Tiếng</v>
          </cell>
          <cell r="D1428">
            <v>172</v>
          </cell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</row>
        <row r="1429">
          <cell r="C1429" t="str">
            <v>Minh Hưng MBA T2 (phía 22kV)</v>
          </cell>
          <cell r="D1429">
            <v>432</v>
          </cell>
          <cell r="E1429">
            <v>3.2</v>
          </cell>
          <cell r="F1429">
            <v>5.2</v>
          </cell>
          <cell r="G1429">
            <v>4</v>
          </cell>
          <cell r="H1429">
            <v>4.0999999999999996</v>
          </cell>
          <cell r="I1429">
            <v>5.2</v>
          </cell>
          <cell r="J1429">
            <v>5.0999999999999996</v>
          </cell>
          <cell r="K1429">
            <v>3.2</v>
          </cell>
          <cell r="L1429">
            <v>4.9000000000000004</v>
          </cell>
          <cell r="M1429">
            <v>4.9000000000000004</v>
          </cell>
        </row>
        <row r="1430">
          <cell r="C1430" t="str">
            <v>Minh Phong MBA T1 (phía 110kV)</v>
          </cell>
          <cell r="D1430">
            <v>131</v>
          </cell>
          <cell r="E1430">
            <v>-2.1</v>
          </cell>
          <cell r="F1430">
            <v>-2.9</v>
          </cell>
          <cell r="G1430">
            <v>-2.1</v>
          </cell>
          <cell r="H1430">
            <v>2.9</v>
          </cell>
          <cell r="I1430">
            <v>2.8</v>
          </cell>
          <cell r="J1430">
            <v>2.7</v>
          </cell>
          <cell r="K1430">
            <v>2.7</v>
          </cell>
          <cell r="L1430">
            <v>-2.9</v>
          </cell>
          <cell r="M1430">
            <v>2.8</v>
          </cell>
        </row>
        <row r="1431">
          <cell r="C1431" t="str">
            <v>Minh Phong MBA T2 (phía 110kV)</v>
          </cell>
          <cell r="D1431">
            <v>132</v>
          </cell>
          <cell r="E1431">
            <v>2</v>
          </cell>
          <cell r="F1431">
            <v>3.2</v>
          </cell>
          <cell r="G1431">
            <v>2</v>
          </cell>
          <cell r="H1431">
            <v>3.1</v>
          </cell>
          <cell r="I1431">
            <v>3</v>
          </cell>
          <cell r="J1431">
            <v>3</v>
          </cell>
          <cell r="K1431">
            <v>2.8</v>
          </cell>
          <cell r="L1431">
            <v>-2.4</v>
          </cell>
          <cell r="M1431">
            <v>3.2</v>
          </cell>
        </row>
        <row r="1432">
          <cell r="C1432" t="str">
            <v>110kV 171 Minh Phong - 171 An Biên</v>
          </cell>
          <cell r="D1432">
            <v>171</v>
          </cell>
          <cell r="E1432">
            <v>-2.9</v>
          </cell>
          <cell r="F1432">
            <v>5.2</v>
          </cell>
          <cell r="G1432">
            <v>5.2</v>
          </cell>
          <cell r="H1432">
            <v>3.3</v>
          </cell>
          <cell r="I1432">
            <v>-4.2</v>
          </cell>
          <cell r="J1432">
            <v>-3</v>
          </cell>
          <cell r="K1432">
            <v>-2.9</v>
          </cell>
          <cell r="L1432">
            <v>-3.8</v>
          </cell>
          <cell r="M1432">
            <v>-3.9</v>
          </cell>
        </row>
        <row r="1433">
          <cell r="C1433" t="str">
            <v>110kV 172 Minh Phong - 173 Rạch Giá 2</v>
          </cell>
          <cell r="D1433">
            <v>172</v>
          </cell>
          <cell r="E1433">
            <v>-4.5</v>
          </cell>
          <cell r="F1433">
            <v>-8.5</v>
          </cell>
          <cell r="G1433">
            <v>-8.5</v>
          </cell>
          <cell r="H1433">
            <v>-4.5</v>
          </cell>
          <cell r="I1433">
            <v>-5.8</v>
          </cell>
          <cell r="J1433">
            <v>-7</v>
          </cell>
          <cell r="K1433">
            <v>-6.7</v>
          </cell>
          <cell r="L1433">
            <v>6.2</v>
          </cell>
          <cell r="M1433">
            <v>-7.7</v>
          </cell>
        </row>
        <row r="1434">
          <cell r="C1434" t="str">
            <v>Minh Phong MBA T1 (phía 22kV)</v>
          </cell>
          <cell r="D1434">
            <v>431</v>
          </cell>
          <cell r="E1434">
            <v>-1.8</v>
          </cell>
          <cell r="F1434">
            <v>3.2</v>
          </cell>
          <cell r="G1434">
            <v>2.2999999999999998</v>
          </cell>
          <cell r="H1434">
            <v>2.2000000000000002</v>
          </cell>
          <cell r="I1434">
            <v>-1.9</v>
          </cell>
          <cell r="J1434">
            <v>-1.8</v>
          </cell>
          <cell r="K1434">
            <v>-1.8</v>
          </cell>
          <cell r="L1434">
            <v>3.2</v>
          </cell>
          <cell r="M1434">
            <v>-2</v>
          </cell>
        </row>
        <row r="1435">
          <cell r="C1435" t="str">
            <v>Minh Phong MBA T2 (phía 22kV)</v>
          </cell>
          <cell r="D1435">
            <v>432</v>
          </cell>
          <cell r="E1435">
            <v>2.2000000000000002</v>
          </cell>
          <cell r="F1435">
            <v>3</v>
          </cell>
          <cell r="G1435">
            <v>2.5</v>
          </cell>
          <cell r="H1435">
            <v>2.4</v>
          </cell>
          <cell r="I1435">
            <v>2.2999999999999998</v>
          </cell>
          <cell r="J1435">
            <v>-2.2999999999999998</v>
          </cell>
          <cell r="K1435">
            <v>2.2000000000000002</v>
          </cell>
          <cell r="L1435">
            <v>3</v>
          </cell>
          <cell r="M1435">
            <v>-2.2999999999999998</v>
          </cell>
        </row>
        <row r="1436">
          <cell r="C1436" t="str">
            <v>Mỏ Cày MBA T1 (phía 110kV)</v>
          </cell>
          <cell r="D1436">
            <v>131</v>
          </cell>
          <cell r="E1436">
            <v>1.5</v>
          </cell>
          <cell r="F1436">
            <v>2.2000000000000002</v>
          </cell>
          <cell r="G1436">
            <v>1.6</v>
          </cell>
          <cell r="H1436">
            <v>1.8</v>
          </cell>
          <cell r="I1436">
            <v>2.2000000000000002</v>
          </cell>
          <cell r="J1436">
            <v>1.5</v>
          </cell>
          <cell r="K1436">
            <v>1.8</v>
          </cell>
          <cell r="L1436">
            <v>2.1</v>
          </cell>
          <cell r="M1436">
            <v>1.5</v>
          </cell>
        </row>
        <row r="1437">
          <cell r="C1437" t="str">
            <v>Mỏ Cày MBA T2 (phía 110kV)</v>
          </cell>
          <cell r="D1437">
            <v>132</v>
          </cell>
          <cell r="E1437">
            <v>2.7</v>
          </cell>
          <cell r="F1437">
            <v>3.4</v>
          </cell>
          <cell r="G1437">
            <v>2.7</v>
          </cell>
          <cell r="H1437">
            <v>2.7</v>
          </cell>
          <cell r="I1437">
            <v>2.7</v>
          </cell>
          <cell r="J1437">
            <v>3.1</v>
          </cell>
          <cell r="K1437">
            <v>2.7</v>
          </cell>
          <cell r="L1437">
            <v>3.3</v>
          </cell>
          <cell r="M1437">
            <v>3.4</v>
          </cell>
        </row>
        <row r="1438">
          <cell r="C1438" t="str">
            <v>110kV 171 Mỏ Cày - 172 Mỏ Cày 2</v>
          </cell>
          <cell r="D1438">
            <v>171</v>
          </cell>
          <cell r="E1438">
            <v>-3.4</v>
          </cell>
          <cell r="F1438">
            <v>-4.5</v>
          </cell>
          <cell r="G1438">
            <v>-4</v>
          </cell>
          <cell r="H1438">
            <v>-3.9</v>
          </cell>
          <cell r="I1438">
            <v>-4</v>
          </cell>
          <cell r="J1438">
            <v>-3.8</v>
          </cell>
          <cell r="K1438">
            <v>-3.4</v>
          </cell>
          <cell r="L1438">
            <v>-4.5</v>
          </cell>
          <cell r="M1438">
            <v>-3.9</v>
          </cell>
        </row>
        <row r="1439">
          <cell r="C1439" t="str">
            <v>110kV 172 Mỏ Cày - 173 Mỏ Cày 2</v>
          </cell>
          <cell r="D1439">
            <v>172</v>
          </cell>
          <cell r="E1439">
            <v>0.9</v>
          </cell>
          <cell r="F1439">
            <v>2.1</v>
          </cell>
          <cell r="G1439">
            <v>1.3</v>
          </cell>
          <cell r="H1439">
            <v>2.1</v>
          </cell>
          <cell r="I1439">
            <v>1.6</v>
          </cell>
          <cell r="J1439">
            <v>1.8</v>
          </cell>
          <cell r="K1439">
            <v>0.9</v>
          </cell>
          <cell r="L1439">
            <v>1.5</v>
          </cell>
          <cell r="M1439">
            <v>2.1</v>
          </cell>
        </row>
        <row r="1440">
          <cell r="C1440" t="str">
            <v>110kV 174 Mỏ Cày - 131 Bình Thạnh</v>
          </cell>
          <cell r="D1440">
            <v>174</v>
          </cell>
          <cell r="E1440">
            <v>1.2</v>
          </cell>
          <cell r="F1440">
            <v>1.5</v>
          </cell>
          <cell r="G1440">
            <v>1.3</v>
          </cell>
          <cell r="H1440">
            <v>1.5</v>
          </cell>
          <cell r="I1440">
            <v>1.4</v>
          </cell>
          <cell r="J1440">
            <v>1.5</v>
          </cell>
          <cell r="K1440">
            <v>1.2</v>
          </cell>
          <cell r="L1440">
            <v>-1.4</v>
          </cell>
          <cell r="M1440">
            <v>1.4</v>
          </cell>
        </row>
        <row r="1441">
          <cell r="C1441" t="str">
            <v>Mỏ Cày MBA T1 (phía 22kV)</v>
          </cell>
          <cell r="D1441">
            <v>431</v>
          </cell>
          <cell r="E1441">
            <v>-1.1000000000000001</v>
          </cell>
          <cell r="F1441">
            <v>-1.7</v>
          </cell>
          <cell r="G1441">
            <v>-1.1000000000000001</v>
          </cell>
          <cell r="H1441">
            <v>-1.4</v>
          </cell>
          <cell r="I1441">
            <v>-1.4</v>
          </cell>
          <cell r="J1441">
            <v>-1.1000000000000001</v>
          </cell>
          <cell r="K1441">
            <v>-1.3</v>
          </cell>
          <cell r="L1441">
            <v>-1.7</v>
          </cell>
          <cell r="M1441">
            <v>-1.2</v>
          </cell>
        </row>
        <row r="1442">
          <cell r="C1442" t="str">
            <v>Mỏ Cày MBA T2 (phía 22kV)</v>
          </cell>
          <cell r="D1442">
            <v>432</v>
          </cell>
          <cell r="E1442">
            <v>-1.6</v>
          </cell>
          <cell r="F1442">
            <v>-2.5</v>
          </cell>
          <cell r="G1442">
            <v>-1.7</v>
          </cell>
          <cell r="H1442">
            <v>-1.6</v>
          </cell>
          <cell r="I1442">
            <v>-2.1</v>
          </cell>
          <cell r="J1442">
            <v>-2.2000000000000002</v>
          </cell>
          <cell r="K1442">
            <v>-1.9</v>
          </cell>
          <cell r="L1442">
            <v>-2.1</v>
          </cell>
          <cell r="M1442">
            <v>-2.5</v>
          </cell>
        </row>
        <row r="1443">
          <cell r="C1443" t="str">
            <v>Mỏ Cày Tụ Bù Ngang 101</v>
          </cell>
          <cell r="D1443" t="str">
            <v>T101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</row>
        <row r="1444">
          <cell r="C1444" t="str">
            <v>Mỏ Cày 2 MBA AT1 (phía 110kV)</v>
          </cell>
          <cell r="D1444">
            <v>131</v>
          </cell>
          <cell r="E1444">
            <v>-3</v>
          </cell>
          <cell r="F1444">
            <v>-5</v>
          </cell>
          <cell r="G1444">
            <v>-4.5999999999999996</v>
          </cell>
          <cell r="H1444">
            <v>3.9</v>
          </cell>
          <cell r="I1444">
            <v>-4.0999999999999996</v>
          </cell>
          <cell r="J1444">
            <v>-3.8</v>
          </cell>
          <cell r="K1444">
            <v>-3</v>
          </cell>
          <cell r="L1444">
            <v>-5</v>
          </cell>
          <cell r="M1444">
            <v>-3.9</v>
          </cell>
        </row>
        <row r="1445">
          <cell r="C1445" t="str">
            <v>110kV 171 Mỏ Cày 2 - 171 Chợ Lách</v>
          </cell>
          <cell r="D1445">
            <v>171</v>
          </cell>
          <cell r="E1445">
            <v>-1.1000000000000001</v>
          </cell>
          <cell r="F1445">
            <v>-2</v>
          </cell>
          <cell r="G1445">
            <v>-1.3</v>
          </cell>
          <cell r="H1445">
            <v>-2</v>
          </cell>
          <cell r="I1445">
            <v>-1.6</v>
          </cell>
          <cell r="J1445">
            <v>-1.1000000000000001</v>
          </cell>
          <cell r="K1445">
            <v>-1.1000000000000001</v>
          </cell>
          <cell r="L1445">
            <v>-1.3</v>
          </cell>
          <cell r="M1445">
            <v>-1.8</v>
          </cell>
        </row>
        <row r="1446">
          <cell r="C1446" t="str">
            <v>110kV 172 Mỏ Cày 2 - 171 Mỏ Cày</v>
          </cell>
          <cell r="D1446">
            <v>172</v>
          </cell>
          <cell r="E1446">
            <v>2.9</v>
          </cell>
          <cell r="F1446">
            <v>4</v>
          </cell>
          <cell r="G1446">
            <v>3.6</v>
          </cell>
          <cell r="H1446">
            <v>3.3</v>
          </cell>
          <cell r="I1446">
            <v>3.6</v>
          </cell>
          <cell r="J1446">
            <v>3.3</v>
          </cell>
          <cell r="K1446">
            <v>2.9</v>
          </cell>
          <cell r="L1446">
            <v>4</v>
          </cell>
          <cell r="M1446">
            <v>3.5</v>
          </cell>
        </row>
        <row r="1447">
          <cell r="C1447" t="str">
            <v>110kV 173 Mỏ Cày 2 - 172 Mỏ Cày</v>
          </cell>
          <cell r="D1447">
            <v>173</v>
          </cell>
          <cell r="E1447">
            <v>-1.6</v>
          </cell>
          <cell r="F1447">
            <v>-2.7</v>
          </cell>
          <cell r="G1447">
            <v>-1.9</v>
          </cell>
          <cell r="H1447">
            <v>-2.7</v>
          </cell>
          <cell r="I1447">
            <v>-2.2999999999999998</v>
          </cell>
          <cell r="J1447">
            <v>-2.2000000000000002</v>
          </cell>
          <cell r="K1447">
            <v>-1.6</v>
          </cell>
          <cell r="L1447">
            <v>-2</v>
          </cell>
          <cell r="M1447">
            <v>-2.5</v>
          </cell>
        </row>
        <row r="1448">
          <cell r="C1448" t="str">
            <v>110kV 174 Mỏ Cày 2 - 172 Bến Tre 2</v>
          </cell>
          <cell r="D1448">
            <v>174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</row>
        <row r="1449">
          <cell r="C1449" t="str">
            <v>Mỏ Cày 2 MBA AT1 (phía 220kV)</v>
          </cell>
          <cell r="D1449">
            <v>231</v>
          </cell>
          <cell r="E1449">
            <v>7.3</v>
          </cell>
          <cell r="F1449">
            <v>11.3</v>
          </cell>
          <cell r="G1449">
            <v>10.199999999999999</v>
          </cell>
          <cell r="H1449">
            <v>9.4</v>
          </cell>
          <cell r="I1449">
            <v>8.3000000000000007</v>
          </cell>
          <cell r="J1449">
            <v>10.3</v>
          </cell>
          <cell r="K1449">
            <v>7.3</v>
          </cell>
          <cell r="L1449">
            <v>11.3</v>
          </cell>
          <cell r="M1449">
            <v>10.199999999999999</v>
          </cell>
        </row>
        <row r="1450">
          <cell r="C1450" t="str">
            <v>220kV 271 Mỏ Cày 2 - 271 Duyên Hải</v>
          </cell>
          <cell r="D1450">
            <v>271</v>
          </cell>
          <cell r="E1450">
            <v>-11.4</v>
          </cell>
          <cell r="F1450">
            <v>30.3</v>
          </cell>
          <cell r="G1450">
            <v>-23.3</v>
          </cell>
          <cell r="H1450">
            <v>30.3</v>
          </cell>
          <cell r="I1450">
            <v>-27.1</v>
          </cell>
          <cell r="J1450">
            <v>-11.4</v>
          </cell>
          <cell r="K1450">
            <v>-25.8</v>
          </cell>
          <cell r="L1450">
            <v>-23.4</v>
          </cell>
          <cell r="M1450">
            <v>-18.600000000000001</v>
          </cell>
        </row>
        <row r="1451">
          <cell r="C1451" t="str">
            <v>220kV 272 Mỏ Cày 2 - 272 Duyên Hải</v>
          </cell>
          <cell r="D1451">
            <v>272</v>
          </cell>
          <cell r="E1451">
            <v>14.6</v>
          </cell>
          <cell r="F1451">
            <v>33.6</v>
          </cell>
          <cell r="G1451">
            <v>21.8</v>
          </cell>
          <cell r="H1451">
            <v>33.6</v>
          </cell>
          <cell r="I1451">
            <v>-23.3</v>
          </cell>
          <cell r="J1451">
            <v>14.6</v>
          </cell>
          <cell r="K1451">
            <v>-21.6</v>
          </cell>
          <cell r="L1451">
            <v>-20.399999999999999</v>
          </cell>
          <cell r="M1451">
            <v>-15.3</v>
          </cell>
        </row>
        <row r="1452">
          <cell r="C1452" t="str">
            <v>220kV 273 Mỏ Cày 2 - 275 Bến Tre 2</v>
          </cell>
          <cell r="D1452">
            <v>273</v>
          </cell>
          <cell r="E1452">
            <v>13.7</v>
          </cell>
          <cell r="F1452">
            <v>-34</v>
          </cell>
          <cell r="G1452">
            <v>-22.1</v>
          </cell>
          <cell r="H1452">
            <v>-34</v>
          </cell>
          <cell r="I1452">
            <v>22.6</v>
          </cell>
          <cell r="J1452">
            <v>-15.9</v>
          </cell>
          <cell r="K1452">
            <v>20.3</v>
          </cell>
          <cell r="L1452">
            <v>20.5</v>
          </cell>
          <cell r="M1452">
            <v>13.7</v>
          </cell>
        </row>
        <row r="1453">
          <cell r="C1453" t="str">
            <v>220kV 274 Mỏ Cày 2 - 276 Bến Tre 2</v>
          </cell>
          <cell r="D1453">
            <v>274</v>
          </cell>
          <cell r="E1453">
            <v>13.1</v>
          </cell>
          <cell r="F1453">
            <v>-35</v>
          </cell>
          <cell r="G1453">
            <v>-23.1</v>
          </cell>
          <cell r="H1453">
            <v>-35</v>
          </cell>
          <cell r="I1453">
            <v>21.9</v>
          </cell>
          <cell r="J1453">
            <v>-16.8</v>
          </cell>
          <cell r="K1453">
            <v>19.3</v>
          </cell>
          <cell r="L1453">
            <v>19.399999999999999</v>
          </cell>
          <cell r="M1453">
            <v>13.1</v>
          </cell>
        </row>
        <row r="1454">
          <cell r="C1454" t="str">
            <v>Mộc Hóa MBA T1 (phía 110kV)</v>
          </cell>
          <cell r="D1454">
            <v>131</v>
          </cell>
          <cell r="E1454">
            <v>-1.2</v>
          </cell>
          <cell r="F1454">
            <v>-1.4</v>
          </cell>
          <cell r="G1454">
            <v>-1.3</v>
          </cell>
          <cell r="H1454">
            <v>-1.3</v>
          </cell>
          <cell r="I1454">
            <v>-1.4</v>
          </cell>
          <cell r="J1454">
            <v>-1.3</v>
          </cell>
          <cell r="K1454">
            <v>-1.4</v>
          </cell>
          <cell r="L1454">
            <v>-1.2</v>
          </cell>
          <cell r="M1454">
            <v>-1.3</v>
          </cell>
        </row>
        <row r="1455">
          <cell r="C1455" t="str">
            <v>Mộc Hóa MBA T2 (phía 110kV)</v>
          </cell>
          <cell r="D1455">
            <v>132</v>
          </cell>
          <cell r="E1455">
            <v>-0.9</v>
          </cell>
          <cell r="F1455">
            <v>1.3</v>
          </cell>
          <cell r="G1455">
            <v>-1.2</v>
          </cell>
          <cell r="H1455">
            <v>-0.9</v>
          </cell>
          <cell r="I1455">
            <v>-1</v>
          </cell>
          <cell r="J1455">
            <v>-1.1000000000000001</v>
          </cell>
          <cell r="K1455">
            <v>-1</v>
          </cell>
          <cell r="L1455">
            <v>1.3</v>
          </cell>
          <cell r="M1455">
            <v>-0.9</v>
          </cell>
        </row>
        <row r="1456">
          <cell r="C1456" t="str">
            <v>110kV 171 Mộc Hóa - 172 Tân Thạnh</v>
          </cell>
          <cell r="D1456">
            <v>171</v>
          </cell>
          <cell r="E1456">
            <v>4.0999999999999996</v>
          </cell>
          <cell r="F1456">
            <v>4.7</v>
          </cell>
          <cell r="G1456">
            <v>4.4000000000000004</v>
          </cell>
          <cell r="H1456">
            <v>4.0999999999999996</v>
          </cell>
          <cell r="I1456">
            <v>4.5</v>
          </cell>
          <cell r="J1456">
            <v>4.4000000000000004</v>
          </cell>
          <cell r="K1456">
            <v>4.7</v>
          </cell>
          <cell r="L1456">
            <v>4.0999999999999996</v>
          </cell>
          <cell r="M1456">
            <v>4.3</v>
          </cell>
        </row>
        <row r="1457">
          <cell r="C1457" t="str">
            <v>110kV 172 Mộc Hóa - 132 Vĩnh Hưng</v>
          </cell>
          <cell r="D1457">
            <v>172</v>
          </cell>
          <cell r="E1457">
            <v>-1.8</v>
          </cell>
          <cell r="F1457">
            <v>-2.2999999999999998</v>
          </cell>
          <cell r="G1457">
            <v>-1.8</v>
          </cell>
          <cell r="H1457">
            <v>-2</v>
          </cell>
          <cell r="I1457">
            <v>-2.1</v>
          </cell>
          <cell r="J1457">
            <v>-2.2000000000000002</v>
          </cell>
          <cell r="K1457">
            <v>-2.2999999999999998</v>
          </cell>
          <cell r="L1457">
            <v>-2.2000000000000002</v>
          </cell>
          <cell r="M1457">
            <v>-2.2000000000000002</v>
          </cell>
        </row>
        <row r="1458">
          <cell r="C1458" t="str">
            <v>Mộc Hóa MBA T1 (phía 22kV)</v>
          </cell>
          <cell r="D1458">
            <v>431</v>
          </cell>
          <cell r="E1458">
            <v>1.4</v>
          </cell>
          <cell r="F1458">
            <v>1.6</v>
          </cell>
          <cell r="G1458">
            <v>1.5</v>
          </cell>
          <cell r="H1458">
            <v>1.6</v>
          </cell>
          <cell r="I1458">
            <v>1.6</v>
          </cell>
          <cell r="J1458">
            <v>1.5</v>
          </cell>
          <cell r="K1458">
            <v>1.6</v>
          </cell>
          <cell r="L1458">
            <v>1.4</v>
          </cell>
          <cell r="M1458">
            <v>1.5</v>
          </cell>
        </row>
        <row r="1459">
          <cell r="C1459" t="str">
            <v>Mộc Hóa MBA T2 (phía 22kV)</v>
          </cell>
          <cell r="D1459">
            <v>432</v>
          </cell>
          <cell r="E1459">
            <v>1.4</v>
          </cell>
          <cell r="F1459">
            <v>1.7</v>
          </cell>
          <cell r="G1459">
            <v>1.7</v>
          </cell>
          <cell r="H1459">
            <v>1.5</v>
          </cell>
          <cell r="I1459">
            <v>1.7</v>
          </cell>
          <cell r="J1459">
            <v>1.5</v>
          </cell>
          <cell r="K1459">
            <v>1.5</v>
          </cell>
          <cell r="L1459">
            <v>1.4</v>
          </cell>
          <cell r="M1459">
            <v>1.6</v>
          </cell>
        </row>
        <row r="1460">
          <cell r="C1460" t="str">
            <v>Mũi Né MBA T1 (phía 110kV)</v>
          </cell>
          <cell r="D1460">
            <v>131</v>
          </cell>
          <cell r="E1460">
            <v>0.7</v>
          </cell>
          <cell r="F1460">
            <v>2.9</v>
          </cell>
          <cell r="G1460">
            <v>1.6</v>
          </cell>
          <cell r="H1460">
            <v>1.7</v>
          </cell>
          <cell r="I1460">
            <v>2.9</v>
          </cell>
          <cell r="J1460">
            <v>2.2000000000000002</v>
          </cell>
          <cell r="K1460">
            <v>0.8</v>
          </cell>
          <cell r="L1460">
            <v>0.7</v>
          </cell>
          <cell r="M1460">
            <v>0.7</v>
          </cell>
        </row>
        <row r="1461">
          <cell r="C1461" t="str">
            <v>Mũi Né MBA T2 (phía 110kV)</v>
          </cell>
          <cell r="D1461">
            <v>132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</row>
        <row r="1462">
          <cell r="C1462" t="str">
            <v>110kV 171 Mũi Né - 174 Phan Thiết 2</v>
          </cell>
          <cell r="D1462">
            <v>171</v>
          </cell>
          <cell r="E1462">
            <v>3.5</v>
          </cell>
          <cell r="F1462">
            <v>-8.5</v>
          </cell>
          <cell r="G1462">
            <v>-5</v>
          </cell>
          <cell r="H1462">
            <v>-4.5999999999999996</v>
          </cell>
          <cell r="I1462">
            <v>-5.8</v>
          </cell>
          <cell r="J1462">
            <v>-5.3</v>
          </cell>
          <cell r="K1462">
            <v>-5.0999999999999996</v>
          </cell>
          <cell r="L1462">
            <v>3.5</v>
          </cell>
          <cell r="M1462">
            <v>-8.5</v>
          </cell>
        </row>
        <row r="1463">
          <cell r="C1463" t="str">
            <v>110kV 172 Mũi Né - 171 NMĐ MT Mũi Né</v>
          </cell>
          <cell r="D1463">
            <v>172</v>
          </cell>
          <cell r="E1463">
            <v>-2.8</v>
          </cell>
          <cell r="F1463">
            <v>4.5999999999999996</v>
          </cell>
          <cell r="G1463">
            <v>4.5999999999999996</v>
          </cell>
          <cell r="H1463">
            <v>-3.6</v>
          </cell>
          <cell r="I1463">
            <v>4.2</v>
          </cell>
          <cell r="J1463">
            <v>4</v>
          </cell>
          <cell r="K1463">
            <v>4.5999999999999996</v>
          </cell>
          <cell r="L1463">
            <v>-2.8</v>
          </cell>
          <cell r="M1463">
            <v>4.3</v>
          </cell>
        </row>
        <row r="1464">
          <cell r="C1464" t="str">
            <v>110kV 176 Mũi Né - 131 NMĐ Gió Đại Phong</v>
          </cell>
          <cell r="D1464">
            <v>176</v>
          </cell>
          <cell r="E1464">
            <v>-0.3</v>
          </cell>
          <cell r="F1464">
            <v>4.5</v>
          </cell>
          <cell r="G1464">
            <v>-0.3</v>
          </cell>
          <cell r="H1464">
            <v>-0.3</v>
          </cell>
          <cell r="I1464">
            <v>3.9</v>
          </cell>
          <cell r="J1464">
            <v>1.7</v>
          </cell>
          <cell r="K1464">
            <v>1.8</v>
          </cell>
          <cell r="L1464">
            <v>-0.3</v>
          </cell>
          <cell r="M1464">
            <v>4.5</v>
          </cell>
        </row>
        <row r="1465">
          <cell r="C1465" t="str">
            <v>Mũi Né MBA T1 (phía 22kV)</v>
          </cell>
          <cell r="D1465">
            <v>431</v>
          </cell>
          <cell r="E1465">
            <v>0.6</v>
          </cell>
          <cell r="F1465">
            <v>-2</v>
          </cell>
          <cell r="G1465">
            <v>-1.2</v>
          </cell>
          <cell r="H1465">
            <v>-1.2</v>
          </cell>
          <cell r="I1465">
            <v>-2</v>
          </cell>
          <cell r="J1465">
            <v>-1.5</v>
          </cell>
          <cell r="K1465">
            <v>0.7</v>
          </cell>
          <cell r="L1465">
            <v>0.7</v>
          </cell>
          <cell r="M1465">
            <v>0.6</v>
          </cell>
        </row>
        <row r="1466">
          <cell r="C1466" t="str">
            <v>Mũi Né MBA T2 (phía 22kV)</v>
          </cell>
          <cell r="D1466">
            <v>432</v>
          </cell>
          <cell r="E1466">
            <v>0</v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</row>
        <row r="1467">
          <cell r="C1467" t="str">
            <v>Mỹ Phước MBA AT1 (phía 110kV)</v>
          </cell>
          <cell r="D1467">
            <v>131</v>
          </cell>
          <cell r="E1467">
            <v>57.1</v>
          </cell>
          <cell r="F1467">
            <v>71.900000000000006</v>
          </cell>
          <cell r="G1467">
            <v>67.5</v>
          </cell>
          <cell r="H1467">
            <v>57.1</v>
          </cell>
          <cell r="I1467">
            <v>68.5</v>
          </cell>
          <cell r="J1467">
            <v>71.900000000000006</v>
          </cell>
          <cell r="K1467">
            <v>64</v>
          </cell>
          <cell r="L1467">
            <v>58.7</v>
          </cell>
          <cell r="M1467">
            <v>62.5</v>
          </cell>
        </row>
        <row r="1468">
          <cell r="C1468" t="str">
            <v>Mỹ Phước MBA AT2 (phía 110kV)</v>
          </cell>
          <cell r="D1468">
            <v>132</v>
          </cell>
          <cell r="E1468">
            <v>49.2</v>
          </cell>
          <cell r="F1468">
            <v>80.099999999999994</v>
          </cell>
          <cell r="G1468">
            <v>59</v>
          </cell>
          <cell r="H1468">
            <v>49.2</v>
          </cell>
          <cell r="I1468">
            <v>56</v>
          </cell>
          <cell r="J1468">
            <v>80.099999999999994</v>
          </cell>
          <cell r="K1468">
            <v>56.1</v>
          </cell>
          <cell r="L1468">
            <v>53.5</v>
          </cell>
          <cell r="M1468">
            <v>54.6</v>
          </cell>
        </row>
        <row r="1469">
          <cell r="C1469" t="str">
            <v>110kV 173 Mỹ Phước - 171 Hòa Thuận</v>
          </cell>
          <cell r="D1469">
            <v>173</v>
          </cell>
          <cell r="E1469">
            <v>8</v>
          </cell>
          <cell r="F1469">
            <v>19.600000000000001</v>
          </cell>
          <cell r="G1469">
            <v>15</v>
          </cell>
          <cell r="H1469">
            <v>18.3</v>
          </cell>
          <cell r="I1469">
            <v>8</v>
          </cell>
          <cell r="J1469">
            <v>-12.9</v>
          </cell>
          <cell r="K1469">
            <v>13.5</v>
          </cell>
          <cell r="L1469">
            <v>19.600000000000001</v>
          </cell>
          <cell r="M1469">
            <v>18.600000000000001</v>
          </cell>
        </row>
        <row r="1470">
          <cell r="C1470" t="str">
            <v>110kV 174 Mỹ Phước - 171 Kumho</v>
          </cell>
          <cell r="D1470">
            <v>174</v>
          </cell>
          <cell r="E1470">
            <v>7</v>
          </cell>
          <cell r="F1470">
            <v>26.7</v>
          </cell>
          <cell r="G1470">
            <v>13.9</v>
          </cell>
          <cell r="H1470">
            <v>20.399999999999999</v>
          </cell>
          <cell r="I1470">
            <v>26.7</v>
          </cell>
          <cell r="J1470">
            <v>7</v>
          </cell>
          <cell r="K1470">
            <v>17.3</v>
          </cell>
          <cell r="L1470">
            <v>18.100000000000001</v>
          </cell>
          <cell r="M1470">
            <v>16.600000000000001</v>
          </cell>
        </row>
        <row r="1471">
          <cell r="C1471" t="str">
            <v>110kV 175 Mỹ Phước - 173 Bến Cát 2</v>
          </cell>
          <cell r="D1471">
            <v>175</v>
          </cell>
          <cell r="E1471">
            <v>0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</row>
        <row r="1472">
          <cell r="C1472" t="str">
            <v>110kV 176 Mỹ Phước - 171 Thới Hòa</v>
          </cell>
          <cell r="D1472">
            <v>176</v>
          </cell>
          <cell r="E1472">
            <v>-6</v>
          </cell>
          <cell r="F1472">
            <v>8.6</v>
          </cell>
          <cell r="G1472">
            <v>7.8</v>
          </cell>
          <cell r="H1472">
            <v>8.6</v>
          </cell>
          <cell r="I1472">
            <v>8</v>
          </cell>
          <cell r="J1472">
            <v>-6</v>
          </cell>
          <cell r="K1472">
            <v>7.4</v>
          </cell>
          <cell r="L1472">
            <v>7.5</v>
          </cell>
          <cell r="M1472">
            <v>7.4</v>
          </cell>
        </row>
        <row r="1473">
          <cell r="C1473" t="str">
            <v>110kV 177 Mỹ Phước - 171 An Tây</v>
          </cell>
          <cell r="D1473">
            <v>177</v>
          </cell>
          <cell r="E1473">
            <v>4.7</v>
          </cell>
          <cell r="F1473">
            <v>8.9</v>
          </cell>
          <cell r="G1473">
            <v>8.9</v>
          </cell>
          <cell r="H1473">
            <v>8.6</v>
          </cell>
          <cell r="I1473">
            <v>7.3</v>
          </cell>
          <cell r="J1473">
            <v>4.7</v>
          </cell>
          <cell r="K1473">
            <v>7.7</v>
          </cell>
          <cell r="L1473">
            <v>8.1999999999999993</v>
          </cell>
          <cell r="M1473">
            <v>8.9</v>
          </cell>
        </row>
        <row r="1474">
          <cell r="C1474" t="str">
            <v>110kV 178 Mỹ Phước - 172 An Tây</v>
          </cell>
          <cell r="D1474">
            <v>178</v>
          </cell>
          <cell r="E1474">
            <v>4.7</v>
          </cell>
          <cell r="F1474">
            <v>8.9</v>
          </cell>
          <cell r="G1474">
            <v>8.6</v>
          </cell>
          <cell r="H1474">
            <v>8.3000000000000007</v>
          </cell>
          <cell r="I1474">
            <v>6.9</v>
          </cell>
          <cell r="J1474">
            <v>4.7</v>
          </cell>
          <cell r="K1474">
            <v>7.5</v>
          </cell>
          <cell r="L1474">
            <v>8.3000000000000007</v>
          </cell>
          <cell r="M1474">
            <v>8.9</v>
          </cell>
        </row>
        <row r="1475">
          <cell r="C1475" t="str">
            <v>Mỹ Phước MBA AT1 (phía 220kV)</v>
          </cell>
          <cell r="D1475">
            <v>231</v>
          </cell>
          <cell r="E1475">
            <v>-44.9</v>
          </cell>
          <cell r="F1475">
            <v>-61.7</v>
          </cell>
          <cell r="G1475">
            <v>-53.7</v>
          </cell>
          <cell r="H1475">
            <v>-45.1</v>
          </cell>
          <cell r="I1475">
            <v>-58.9</v>
          </cell>
          <cell r="J1475">
            <v>-61.7</v>
          </cell>
          <cell r="K1475">
            <v>-52.2</v>
          </cell>
          <cell r="L1475">
            <v>-44.9</v>
          </cell>
          <cell r="M1475">
            <v>-51</v>
          </cell>
        </row>
        <row r="1476">
          <cell r="C1476" t="str">
            <v>Mỹ Phước MBA AT2 (phía 220kV)</v>
          </cell>
          <cell r="D1476">
            <v>232</v>
          </cell>
          <cell r="E1476">
            <v>-39.4</v>
          </cell>
          <cell r="F1476">
            <v>-71.8</v>
          </cell>
          <cell r="G1476">
            <v>-47.1</v>
          </cell>
          <cell r="H1476">
            <v>-39.4</v>
          </cell>
          <cell r="I1476">
            <v>-49.8</v>
          </cell>
          <cell r="J1476">
            <v>-71.8</v>
          </cell>
          <cell r="K1476">
            <v>-46</v>
          </cell>
          <cell r="L1476">
            <v>-41.6</v>
          </cell>
          <cell r="M1476">
            <v>-43.8</v>
          </cell>
        </row>
        <row r="1477">
          <cell r="C1477" t="str">
            <v>220kV 271 Mỹ Phước - 271 Bến Cát 2</v>
          </cell>
          <cell r="D1477">
            <v>271</v>
          </cell>
          <cell r="E1477">
            <v>21.6</v>
          </cell>
          <cell r="F1477">
            <v>35.200000000000003</v>
          </cell>
          <cell r="G1477">
            <v>23.4</v>
          </cell>
          <cell r="H1477">
            <v>21.6</v>
          </cell>
          <cell r="I1477">
            <v>27.6</v>
          </cell>
          <cell r="J1477">
            <v>28</v>
          </cell>
          <cell r="K1477">
            <v>35.200000000000003</v>
          </cell>
          <cell r="L1477">
            <v>29.6</v>
          </cell>
          <cell r="M1477">
            <v>30.9</v>
          </cell>
        </row>
        <row r="1478">
          <cell r="C1478" t="str">
            <v>220kV 272 Mỹ Phước - 272 Bến Cát 2</v>
          </cell>
          <cell r="D1478">
            <v>272</v>
          </cell>
          <cell r="E1478">
            <v>21.1</v>
          </cell>
          <cell r="F1478">
            <v>34.9</v>
          </cell>
          <cell r="G1478">
            <v>23.9</v>
          </cell>
          <cell r="H1478">
            <v>21.1</v>
          </cell>
          <cell r="I1478">
            <v>27.8</v>
          </cell>
          <cell r="J1478">
            <v>28.2</v>
          </cell>
          <cell r="K1478">
            <v>34.9</v>
          </cell>
          <cell r="L1478">
            <v>29.9</v>
          </cell>
          <cell r="M1478">
            <v>31.4</v>
          </cell>
        </row>
        <row r="1479">
          <cell r="C1479" t="str">
            <v>220kV 273 Mỹ Phước - 277 Uyên Hưng</v>
          </cell>
          <cell r="D1479">
            <v>273</v>
          </cell>
          <cell r="E1479">
            <v>25</v>
          </cell>
          <cell r="F1479">
            <v>47.7</v>
          </cell>
          <cell r="G1479">
            <v>40</v>
          </cell>
          <cell r="H1479">
            <v>44.2</v>
          </cell>
          <cell r="I1479">
            <v>34.9</v>
          </cell>
          <cell r="J1479">
            <v>47.7</v>
          </cell>
          <cell r="K1479">
            <v>29.6</v>
          </cell>
          <cell r="L1479">
            <v>25</v>
          </cell>
          <cell r="M1479">
            <v>27.3</v>
          </cell>
        </row>
        <row r="1480">
          <cell r="C1480" t="str">
            <v>220kV 274 Mỹ Phước - 279 Tân Định</v>
          </cell>
          <cell r="D1480">
            <v>274</v>
          </cell>
          <cell r="E1480">
            <v>35.6</v>
          </cell>
          <cell r="F1480">
            <v>-66</v>
          </cell>
          <cell r="G1480">
            <v>45.8</v>
          </cell>
          <cell r="H1480">
            <v>35.6</v>
          </cell>
          <cell r="I1480">
            <v>-65.900000000000006</v>
          </cell>
          <cell r="J1480">
            <v>37.9</v>
          </cell>
          <cell r="K1480">
            <v>-41</v>
          </cell>
          <cell r="L1480">
            <v>-63.1</v>
          </cell>
          <cell r="M1480">
            <v>-66</v>
          </cell>
        </row>
        <row r="1481">
          <cell r="C1481" t="str">
            <v>Mỹ Phước Tụ Bù Ngang 101</v>
          </cell>
          <cell r="D1481" t="str">
            <v>T101</v>
          </cell>
          <cell r="E1481">
            <v>58.2</v>
          </cell>
          <cell r="F1481">
            <v>59.9</v>
          </cell>
          <cell r="G1481">
            <v>59.3</v>
          </cell>
          <cell r="H1481">
            <v>59.4</v>
          </cell>
          <cell r="I1481">
            <v>59.5</v>
          </cell>
          <cell r="J1481">
            <v>58.6</v>
          </cell>
          <cell r="K1481">
            <v>58.2</v>
          </cell>
          <cell r="L1481">
            <v>59.7</v>
          </cell>
          <cell r="M1481">
            <v>59.9</v>
          </cell>
        </row>
        <row r="1482">
          <cell r="C1482" t="str">
            <v>Mỹ Phước Tụ Bù Ngang 102</v>
          </cell>
          <cell r="D1482" t="str">
            <v>T102</v>
          </cell>
          <cell r="E1482">
            <v>58.5</v>
          </cell>
          <cell r="F1482">
            <v>60.5</v>
          </cell>
          <cell r="G1482">
            <v>59.1</v>
          </cell>
          <cell r="H1482">
            <v>59.1</v>
          </cell>
          <cell r="I1482">
            <v>59.3</v>
          </cell>
          <cell r="J1482">
            <v>60.5</v>
          </cell>
          <cell r="K1482">
            <v>58.5</v>
          </cell>
          <cell r="L1482">
            <v>59.6</v>
          </cell>
          <cell r="M1482">
            <v>59.8</v>
          </cell>
        </row>
        <row r="1483">
          <cell r="C1483" t="str">
            <v>Mỹ Tho MBA T3 (phía 110kV)</v>
          </cell>
          <cell r="D1483">
            <v>133</v>
          </cell>
          <cell r="E1483">
            <v>-1.3</v>
          </cell>
          <cell r="F1483">
            <v>-1.6</v>
          </cell>
          <cell r="G1483">
            <v>-1.4</v>
          </cell>
          <cell r="H1483">
            <v>-1.3</v>
          </cell>
          <cell r="I1483">
            <v>-1.6</v>
          </cell>
          <cell r="J1483">
            <v>-1.4</v>
          </cell>
          <cell r="K1483">
            <v>-1.5</v>
          </cell>
          <cell r="L1483">
            <v>1.5</v>
          </cell>
          <cell r="M1483">
            <v>1.4</v>
          </cell>
        </row>
        <row r="1484">
          <cell r="C1484" t="str">
            <v>Mỹ Tho MBA T3 (phía 22kV)</v>
          </cell>
          <cell r="D1484">
            <v>433</v>
          </cell>
          <cell r="E1484">
            <v>0.9</v>
          </cell>
          <cell r="F1484">
            <v>1.8</v>
          </cell>
          <cell r="G1484">
            <v>1.7</v>
          </cell>
          <cell r="H1484">
            <v>1.5</v>
          </cell>
          <cell r="I1484">
            <v>1.8</v>
          </cell>
          <cell r="J1484">
            <v>1.7</v>
          </cell>
          <cell r="K1484">
            <v>1.7</v>
          </cell>
          <cell r="L1484">
            <v>1</v>
          </cell>
          <cell r="M1484">
            <v>0.9</v>
          </cell>
        </row>
        <row r="1485">
          <cell r="C1485" t="str">
            <v>Mỹ Tho 2 MBA AT1 (phía 110kV)</v>
          </cell>
          <cell r="D1485">
            <v>131</v>
          </cell>
          <cell r="E1485">
            <v>12</v>
          </cell>
          <cell r="F1485">
            <v>-21.4</v>
          </cell>
          <cell r="G1485">
            <v>-13.5</v>
          </cell>
          <cell r="H1485">
            <v>-12.5</v>
          </cell>
          <cell r="I1485">
            <v>12</v>
          </cell>
          <cell r="J1485">
            <v>15.5</v>
          </cell>
          <cell r="K1485">
            <v>-13.7</v>
          </cell>
          <cell r="L1485">
            <v>-20.5</v>
          </cell>
          <cell r="M1485">
            <v>-21.4</v>
          </cell>
        </row>
        <row r="1486">
          <cell r="C1486" t="str">
            <v>Mỹ Tho 2 MBA AT2 (phía 110kV)</v>
          </cell>
          <cell r="D1486">
            <v>132</v>
          </cell>
          <cell r="E1486">
            <v>12</v>
          </cell>
          <cell r="F1486">
            <v>-36</v>
          </cell>
          <cell r="G1486">
            <v>19.600000000000001</v>
          </cell>
          <cell r="H1486">
            <v>-36</v>
          </cell>
          <cell r="I1486">
            <v>-32.200000000000003</v>
          </cell>
          <cell r="J1486">
            <v>12</v>
          </cell>
          <cell r="K1486">
            <v>-29.6</v>
          </cell>
          <cell r="L1486">
            <v>-19.100000000000001</v>
          </cell>
          <cell r="M1486">
            <v>-31.5</v>
          </cell>
        </row>
        <row r="1487">
          <cell r="C1487" t="str">
            <v>Mỹ Tho 2 MBA T3 (phía 110kV)</v>
          </cell>
          <cell r="D1487">
            <v>133</v>
          </cell>
          <cell r="E1487">
            <v>0.9</v>
          </cell>
          <cell r="F1487">
            <v>2.6</v>
          </cell>
          <cell r="G1487">
            <v>2</v>
          </cell>
          <cell r="H1487">
            <v>2.2999999999999998</v>
          </cell>
          <cell r="I1487">
            <v>2.2999999999999998</v>
          </cell>
          <cell r="J1487">
            <v>0.9</v>
          </cell>
          <cell r="K1487">
            <v>2.6</v>
          </cell>
          <cell r="L1487">
            <v>2</v>
          </cell>
          <cell r="M1487">
            <v>2</v>
          </cell>
        </row>
        <row r="1488">
          <cell r="C1488" t="str">
            <v>Mỹ Tho 2 MBA T4 (phía 110kV)</v>
          </cell>
          <cell r="D1488">
            <v>134</v>
          </cell>
          <cell r="E1488">
            <v>-3</v>
          </cell>
          <cell r="F1488">
            <v>6.5</v>
          </cell>
          <cell r="G1488">
            <v>5</v>
          </cell>
          <cell r="H1488">
            <v>5.6</v>
          </cell>
          <cell r="I1488">
            <v>6.5</v>
          </cell>
          <cell r="J1488">
            <v>-3</v>
          </cell>
          <cell r="K1488">
            <v>5.7</v>
          </cell>
          <cell r="L1488">
            <v>5.7</v>
          </cell>
          <cell r="M1488">
            <v>4.7</v>
          </cell>
        </row>
        <row r="1489">
          <cell r="C1489" t="str">
            <v>110kV 171 Mỹ Tho 2 - 172 Long Giang</v>
          </cell>
          <cell r="D1489">
            <v>171</v>
          </cell>
          <cell r="E1489">
            <v>8.6</v>
          </cell>
          <cell r="F1489">
            <v>16.899999999999999</v>
          </cell>
          <cell r="G1489">
            <v>10.199999999999999</v>
          </cell>
          <cell r="H1489">
            <v>13.9</v>
          </cell>
          <cell r="I1489">
            <v>12.6</v>
          </cell>
          <cell r="J1489">
            <v>8.6</v>
          </cell>
          <cell r="K1489">
            <v>14.7</v>
          </cell>
          <cell r="L1489">
            <v>16.3</v>
          </cell>
          <cell r="M1489">
            <v>16.899999999999999</v>
          </cell>
        </row>
        <row r="1490">
          <cell r="C1490" t="str">
            <v>110kV 172 Mỹ Tho 2 - 171 Tầm Vu</v>
          </cell>
          <cell r="D1490">
            <v>172</v>
          </cell>
          <cell r="E1490">
            <v>4.9000000000000004</v>
          </cell>
          <cell r="F1490">
            <v>8.6</v>
          </cell>
          <cell r="G1490">
            <v>5.0999999999999996</v>
          </cell>
          <cell r="H1490">
            <v>4.9000000000000004</v>
          </cell>
          <cell r="I1490">
            <v>5.4</v>
          </cell>
          <cell r="J1490">
            <v>5.6</v>
          </cell>
          <cell r="K1490">
            <v>5.8</v>
          </cell>
          <cell r="L1490">
            <v>8.6</v>
          </cell>
          <cell r="M1490">
            <v>8.4</v>
          </cell>
        </row>
        <row r="1491">
          <cell r="C1491" t="str">
            <v>110kV 174 Mỹ Tho 2 - 172 Cai Lậy</v>
          </cell>
          <cell r="D1491">
            <v>174</v>
          </cell>
          <cell r="E1491">
            <v>-16.2</v>
          </cell>
          <cell r="F1491">
            <v>-24.6</v>
          </cell>
          <cell r="G1491">
            <v>-24.6</v>
          </cell>
          <cell r="H1491">
            <v>-23.3</v>
          </cell>
          <cell r="I1491">
            <v>-18</v>
          </cell>
          <cell r="J1491">
            <v>-18.399999999999999</v>
          </cell>
          <cell r="K1491">
            <v>17.899999999999999</v>
          </cell>
          <cell r="L1491">
            <v>-16.2</v>
          </cell>
          <cell r="M1491">
            <v>-21.8</v>
          </cell>
        </row>
        <row r="1492">
          <cell r="C1492" t="str">
            <v>110kV 179 Mỹ Tho 2 - 171 Bến Tre</v>
          </cell>
          <cell r="D1492">
            <v>179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</row>
        <row r="1493">
          <cell r="C1493" t="str">
            <v>110kV 180 Mỹ Tho 2 - 171 Bình Đức</v>
          </cell>
          <cell r="D1493">
            <v>180</v>
          </cell>
          <cell r="E1493">
            <v>-4.5999999999999996</v>
          </cell>
          <cell r="F1493">
            <v>-7.5</v>
          </cell>
          <cell r="G1493">
            <v>6.8</v>
          </cell>
          <cell r="H1493">
            <v>4.7</v>
          </cell>
          <cell r="I1493">
            <v>-5.4</v>
          </cell>
          <cell r="J1493">
            <v>-7.5</v>
          </cell>
          <cell r="K1493">
            <v>-6.8</v>
          </cell>
          <cell r="L1493">
            <v>-5.0999999999999996</v>
          </cell>
          <cell r="M1493">
            <v>-4.5999999999999996</v>
          </cell>
        </row>
        <row r="1494">
          <cell r="C1494" t="str">
            <v>110kV 181 Mỹ Tho 2 - 172 Tân Hương</v>
          </cell>
          <cell r="D1494">
            <v>181</v>
          </cell>
          <cell r="E1494">
            <v>5.0999999999999996</v>
          </cell>
          <cell r="F1494">
            <v>-8.1999999999999993</v>
          </cell>
          <cell r="G1494">
            <v>5.0999999999999996</v>
          </cell>
          <cell r="H1494">
            <v>6.9</v>
          </cell>
          <cell r="I1494">
            <v>6.4</v>
          </cell>
          <cell r="J1494">
            <v>-7.1</v>
          </cell>
          <cell r="K1494">
            <v>7.2</v>
          </cell>
          <cell r="L1494">
            <v>7.5</v>
          </cell>
          <cell r="M1494">
            <v>-8.1999999999999993</v>
          </cell>
        </row>
        <row r="1495">
          <cell r="C1495" t="str">
            <v>Mỹ Tho 2 MBA AT1 (phía 220kV)</v>
          </cell>
          <cell r="D1495">
            <v>231</v>
          </cell>
          <cell r="E1495">
            <v>19.399999999999999</v>
          </cell>
          <cell r="F1495">
            <v>37.4</v>
          </cell>
          <cell r="G1495">
            <v>32.299999999999997</v>
          </cell>
          <cell r="H1495">
            <v>31.4</v>
          </cell>
          <cell r="I1495">
            <v>26.1</v>
          </cell>
          <cell r="J1495">
            <v>19.399999999999999</v>
          </cell>
          <cell r="K1495">
            <v>31.8</v>
          </cell>
          <cell r="L1495">
            <v>36.9</v>
          </cell>
          <cell r="M1495">
            <v>37.4</v>
          </cell>
        </row>
        <row r="1496">
          <cell r="C1496" t="str">
            <v>Mỹ Tho 2 MBA AT2 (phía 220kV)</v>
          </cell>
          <cell r="D1496">
            <v>232</v>
          </cell>
          <cell r="E1496">
            <v>15.5</v>
          </cell>
          <cell r="F1496">
            <v>43.1</v>
          </cell>
          <cell r="G1496">
            <v>25.6</v>
          </cell>
          <cell r="H1496">
            <v>43.1</v>
          </cell>
          <cell r="I1496">
            <v>37.6</v>
          </cell>
          <cell r="J1496">
            <v>15.5</v>
          </cell>
          <cell r="K1496">
            <v>34.700000000000003</v>
          </cell>
          <cell r="L1496">
            <v>26</v>
          </cell>
          <cell r="M1496">
            <v>38.200000000000003</v>
          </cell>
        </row>
        <row r="1497">
          <cell r="C1497" t="str">
            <v>220kV 271 Mỹ Tho 2 - 273 Bến Tre 2</v>
          </cell>
          <cell r="D1497">
            <v>271</v>
          </cell>
          <cell r="E1497">
            <v>0</v>
          </cell>
          <cell r="F1497">
            <v>-6.6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-6.6</v>
          </cell>
        </row>
        <row r="1498">
          <cell r="C1498" t="str">
            <v>220kV 272 Mỹ Tho 2 - 272 Bến Tre 2</v>
          </cell>
          <cell r="D1498">
            <v>272</v>
          </cell>
          <cell r="E1498">
            <v>23.5</v>
          </cell>
          <cell r="F1498">
            <v>76.099999999999994</v>
          </cell>
          <cell r="G1498">
            <v>51.8</v>
          </cell>
          <cell r="H1498">
            <v>76.099999999999994</v>
          </cell>
          <cell r="I1498">
            <v>-37.5</v>
          </cell>
          <cell r="J1498">
            <v>23.5</v>
          </cell>
          <cell r="K1498">
            <v>-35.4</v>
          </cell>
          <cell r="L1498">
            <v>-39.200000000000003</v>
          </cell>
          <cell r="M1498">
            <v>-28.2</v>
          </cell>
        </row>
        <row r="1499">
          <cell r="C1499" t="str">
            <v>220kV 274 Mỹ Tho 2 - 275 Mỹ Tho 500kV</v>
          </cell>
          <cell r="D1499">
            <v>274</v>
          </cell>
          <cell r="E1499">
            <v>-44.2</v>
          </cell>
          <cell r="F1499">
            <v>-92.9</v>
          </cell>
          <cell r="G1499">
            <v>-77.900000000000006</v>
          </cell>
          <cell r="H1499">
            <v>-92.9</v>
          </cell>
          <cell r="I1499">
            <v>-56.3</v>
          </cell>
          <cell r="J1499">
            <v>-45.3</v>
          </cell>
          <cell r="K1499">
            <v>-44.2</v>
          </cell>
          <cell r="L1499">
            <v>-69</v>
          </cell>
          <cell r="M1499">
            <v>-57.2</v>
          </cell>
        </row>
        <row r="1500">
          <cell r="C1500" t="str">
            <v>220kV 275 Mỹ Tho 2 - 273 Cần Đước 2</v>
          </cell>
          <cell r="D1500">
            <v>275</v>
          </cell>
          <cell r="E1500">
            <v>11.6</v>
          </cell>
          <cell r="F1500">
            <v>25.1</v>
          </cell>
          <cell r="G1500">
            <v>16.899999999999999</v>
          </cell>
          <cell r="H1500">
            <v>20</v>
          </cell>
          <cell r="I1500">
            <v>21</v>
          </cell>
          <cell r="J1500">
            <v>11.6</v>
          </cell>
          <cell r="K1500">
            <v>16.399999999999999</v>
          </cell>
          <cell r="L1500">
            <v>25.1</v>
          </cell>
          <cell r="M1500">
            <v>20</v>
          </cell>
        </row>
        <row r="1501">
          <cell r="C1501" t="str">
            <v>Mỹ Tho 2 MBA T3 (phía 22kV)</v>
          </cell>
          <cell r="D1501">
            <v>433</v>
          </cell>
          <cell r="E1501">
            <v>0.9</v>
          </cell>
          <cell r="F1501">
            <v>-1.9</v>
          </cell>
          <cell r="G1501">
            <v>-1.5</v>
          </cell>
          <cell r="H1501">
            <v>-1.6</v>
          </cell>
          <cell r="I1501">
            <v>-1.6</v>
          </cell>
          <cell r="J1501">
            <v>0.9</v>
          </cell>
          <cell r="K1501">
            <v>-1.9</v>
          </cell>
          <cell r="L1501">
            <v>-1.5</v>
          </cell>
          <cell r="M1501">
            <v>-1.4</v>
          </cell>
        </row>
        <row r="1502">
          <cell r="C1502" t="str">
            <v>Mỹ Tho 2 MBA T4 (phía 22kV)</v>
          </cell>
          <cell r="D1502">
            <v>434</v>
          </cell>
          <cell r="E1502">
            <v>-3.5</v>
          </cell>
          <cell r="F1502">
            <v>4.3</v>
          </cell>
          <cell r="G1502">
            <v>3.5</v>
          </cell>
          <cell r="H1502">
            <v>3.6</v>
          </cell>
          <cell r="I1502">
            <v>-3.5</v>
          </cell>
          <cell r="J1502">
            <v>4.3</v>
          </cell>
          <cell r="K1502">
            <v>4</v>
          </cell>
          <cell r="L1502">
            <v>3.8</v>
          </cell>
          <cell r="M1502">
            <v>4.2</v>
          </cell>
        </row>
        <row r="1503">
          <cell r="C1503" t="str">
            <v>Mỹ Tho 500 MBA AT1 (phía 220kV)</v>
          </cell>
          <cell r="D1503">
            <v>231</v>
          </cell>
          <cell r="E1503">
            <v>36.1</v>
          </cell>
          <cell r="F1503">
            <v>-80.7</v>
          </cell>
          <cell r="G1503">
            <v>-52.2</v>
          </cell>
          <cell r="H1503">
            <v>-75.099999999999994</v>
          </cell>
          <cell r="I1503">
            <v>-80.7</v>
          </cell>
          <cell r="J1503">
            <v>36.1</v>
          </cell>
          <cell r="K1503">
            <v>47.5</v>
          </cell>
          <cell r="L1503">
            <v>-44.4</v>
          </cell>
          <cell r="M1503">
            <v>-77.5</v>
          </cell>
        </row>
        <row r="1504">
          <cell r="C1504" t="str">
            <v>Mỹ Tho 500 MBA AT2 (phía 220kV)</v>
          </cell>
          <cell r="D1504">
            <v>232</v>
          </cell>
          <cell r="E1504">
            <v>36.4</v>
          </cell>
          <cell r="F1504">
            <v>-77.099999999999994</v>
          </cell>
          <cell r="G1504">
            <v>-46.8</v>
          </cell>
          <cell r="H1504">
            <v>-73.900000000000006</v>
          </cell>
          <cell r="I1504">
            <v>-77.099999999999994</v>
          </cell>
          <cell r="J1504">
            <v>36.4</v>
          </cell>
          <cell r="K1504">
            <v>51.4</v>
          </cell>
          <cell r="L1504">
            <v>-40.4</v>
          </cell>
          <cell r="M1504">
            <v>-74.2</v>
          </cell>
        </row>
        <row r="1505">
          <cell r="C1505" t="str">
            <v>220kV 271 Mỹ Tho 500 - 272 Cai Lậy</v>
          </cell>
          <cell r="D1505">
            <v>271</v>
          </cell>
          <cell r="E1505">
            <v>-24.9</v>
          </cell>
          <cell r="F1505">
            <v>-52.5</v>
          </cell>
          <cell r="G1505">
            <v>-52.5</v>
          </cell>
          <cell r="H1505">
            <v>-29.1</v>
          </cell>
          <cell r="I1505">
            <v>-24.9</v>
          </cell>
          <cell r="J1505">
            <v>-30</v>
          </cell>
          <cell r="K1505">
            <v>-37</v>
          </cell>
          <cell r="L1505">
            <v>-35.6</v>
          </cell>
          <cell r="M1505">
            <v>-35.700000000000003</v>
          </cell>
        </row>
        <row r="1506">
          <cell r="C1506" t="str">
            <v>220kV 272 Mỹ Tho 500 - 273 Cai Lậy</v>
          </cell>
          <cell r="D1506">
            <v>272</v>
          </cell>
          <cell r="E1506">
            <v>-16</v>
          </cell>
          <cell r="F1506">
            <v>-41</v>
          </cell>
          <cell r="G1506">
            <v>-41</v>
          </cell>
          <cell r="H1506">
            <v>-16</v>
          </cell>
          <cell r="I1506">
            <v>-20.8</v>
          </cell>
          <cell r="J1506">
            <v>-21.4</v>
          </cell>
          <cell r="K1506">
            <v>-30.1</v>
          </cell>
          <cell r="L1506">
            <v>-22.8</v>
          </cell>
          <cell r="M1506">
            <v>-22.9</v>
          </cell>
        </row>
        <row r="1507">
          <cell r="C1507" t="str">
            <v>220kV 273 Mỹ Tho 500 - 276 Cai Lậy</v>
          </cell>
          <cell r="D1507">
            <v>273</v>
          </cell>
          <cell r="E1507">
            <v>-18.100000000000001</v>
          </cell>
          <cell r="F1507">
            <v>-41</v>
          </cell>
          <cell r="G1507">
            <v>-41</v>
          </cell>
          <cell r="H1507">
            <v>-22.2</v>
          </cell>
          <cell r="I1507">
            <v>-18.100000000000001</v>
          </cell>
          <cell r="J1507">
            <v>-22.9</v>
          </cell>
          <cell r="K1507">
            <v>-28.7</v>
          </cell>
          <cell r="L1507">
            <v>-27.9</v>
          </cell>
          <cell r="M1507">
            <v>-27.5</v>
          </cell>
        </row>
        <row r="1508">
          <cell r="C1508" t="str">
            <v>220kV 274 Mỹ Tho 500 - 277 Cai Lậy</v>
          </cell>
          <cell r="D1508">
            <v>274</v>
          </cell>
          <cell r="E1508">
            <v>-14</v>
          </cell>
          <cell r="F1508">
            <v>-36.1</v>
          </cell>
          <cell r="G1508">
            <v>-36.1</v>
          </cell>
          <cell r="H1508">
            <v>-14</v>
          </cell>
          <cell r="I1508">
            <v>-17.899999999999999</v>
          </cell>
          <cell r="J1508">
            <v>-19</v>
          </cell>
          <cell r="K1508">
            <v>-26</v>
          </cell>
          <cell r="L1508">
            <v>-19.600000000000001</v>
          </cell>
          <cell r="M1508">
            <v>-19.8</v>
          </cell>
        </row>
        <row r="1509">
          <cell r="C1509" t="str">
            <v>220kV 275 Mỹ Tho 500 - 274 Mỹ Tho 2</v>
          </cell>
          <cell r="D1509">
            <v>275</v>
          </cell>
          <cell r="E1509">
            <v>43.6</v>
          </cell>
          <cell r="F1509">
            <v>91.3</v>
          </cell>
          <cell r="G1509">
            <v>75.599999999999994</v>
          </cell>
          <cell r="H1509">
            <v>91.3</v>
          </cell>
          <cell r="I1509">
            <v>56.1</v>
          </cell>
          <cell r="J1509">
            <v>44.6</v>
          </cell>
          <cell r="K1509">
            <v>43.6</v>
          </cell>
          <cell r="L1509">
            <v>72</v>
          </cell>
          <cell r="M1509">
            <v>58</v>
          </cell>
        </row>
        <row r="1510">
          <cell r="C1510" t="str">
            <v>220kV 276 Mỹ Tho 500 - 278 NMĐ Phú Mỹ 1</v>
          </cell>
          <cell r="D1510">
            <v>276</v>
          </cell>
          <cell r="E1510">
            <v>9.6999999999999993</v>
          </cell>
          <cell r="F1510">
            <v>17</v>
          </cell>
          <cell r="G1510">
            <v>10.199999999999999</v>
          </cell>
          <cell r="H1510">
            <v>12.1</v>
          </cell>
          <cell r="I1510">
            <v>12.2</v>
          </cell>
          <cell r="J1510">
            <v>12</v>
          </cell>
          <cell r="K1510">
            <v>9.6999999999999993</v>
          </cell>
          <cell r="L1510">
            <v>16.7</v>
          </cell>
          <cell r="M1510">
            <v>17</v>
          </cell>
        </row>
        <row r="1511">
          <cell r="C1511" t="str">
            <v>220kV 277 Mỹ Tho 500 - 271 Long An 2</v>
          </cell>
          <cell r="D1511">
            <v>277</v>
          </cell>
          <cell r="E1511">
            <v>32.700000000000003</v>
          </cell>
          <cell r="F1511">
            <v>66.5</v>
          </cell>
          <cell r="G1511">
            <v>44.7</v>
          </cell>
          <cell r="H1511">
            <v>52.4</v>
          </cell>
          <cell r="I1511">
            <v>66.5</v>
          </cell>
          <cell r="J1511">
            <v>32.700000000000003</v>
          </cell>
          <cell r="K1511">
            <v>41.7</v>
          </cell>
          <cell r="L1511">
            <v>37.9</v>
          </cell>
          <cell r="M1511">
            <v>62.4</v>
          </cell>
        </row>
        <row r="1512">
          <cell r="C1512" t="str">
            <v>220kV 278 Mỹ Tho 500 - 272 Long An 2</v>
          </cell>
          <cell r="D1512">
            <v>278</v>
          </cell>
          <cell r="E1512">
            <v>31</v>
          </cell>
          <cell r="F1512">
            <v>65.3</v>
          </cell>
          <cell r="G1512">
            <v>41.7</v>
          </cell>
          <cell r="H1512">
            <v>47.2</v>
          </cell>
          <cell r="I1512">
            <v>65.3</v>
          </cell>
          <cell r="J1512">
            <v>31</v>
          </cell>
          <cell r="K1512">
            <v>35.299999999999997</v>
          </cell>
          <cell r="L1512">
            <v>39.9</v>
          </cell>
          <cell r="M1512">
            <v>58</v>
          </cell>
        </row>
        <row r="1513">
          <cell r="C1513" t="str">
            <v>Mỹ Tho 500 MBA AT1 (phía 500kV)</v>
          </cell>
          <cell r="D1513">
            <v>531</v>
          </cell>
          <cell r="E1513">
            <v>59.7</v>
          </cell>
          <cell r="F1513">
            <v>114.9</v>
          </cell>
          <cell r="G1513">
            <v>87.8</v>
          </cell>
          <cell r="H1513">
            <v>104.3</v>
          </cell>
          <cell r="I1513">
            <v>113.5</v>
          </cell>
          <cell r="J1513">
            <v>59.7</v>
          </cell>
          <cell r="K1513">
            <v>68.3</v>
          </cell>
          <cell r="L1513">
            <v>79.7</v>
          </cell>
          <cell r="M1513">
            <v>114.9</v>
          </cell>
        </row>
        <row r="1514">
          <cell r="C1514" t="str">
            <v>Mỹ Tho 500 MBA AT2 (phía 500kV)</v>
          </cell>
          <cell r="D1514">
            <v>532</v>
          </cell>
          <cell r="E1514">
            <v>54.5</v>
          </cell>
          <cell r="F1514">
            <v>111.3</v>
          </cell>
          <cell r="G1514">
            <v>81.900000000000006</v>
          </cell>
          <cell r="H1514">
            <v>104.5</v>
          </cell>
          <cell r="I1514">
            <v>108.1</v>
          </cell>
          <cell r="J1514">
            <v>54.5</v>
          </cell>
          <cell r="K1514">
            <v>64.400000000000006</v>
          </cell>
          <cell r="L1514">
            <v>74.900000000000006</v>
          </cell>
          <cell r="M1514">
            <v>111.3</v>
          </cell>
        </row>
        <row r="1515">
          <cell r="C1515" t="str">
            <v>Mỹ Thuận MBA T1 (phía 110kV)</v>
          </cell>
          <cell r="D1515">
            <v>131</v>
          </cell>
          <cell r="E1515">
            <v>2.2999999999999998</v>
          </cell>
          <cell r="F1515">
            <v>3.5</v>
          </cell>
          <cell r="G1515">
            <v>2.9</v>
          </cell>
          <cell r="H1515">
            <v>2.2999999999999998</v>
          </cell>
          <cell r="I1515">
            <v>2.4</v>
          </cell>
          <cell r="J1515">
            <v>2.6</v>
          </cell>
          <cell r="K1515">
            <v>3.1</v>
          </cell>
          <cell r="L1515">
            <v>3.4</v>
          </cell>
          <cell r="M1515">
            <v>3.5</v>
          </cell>
        </row>
        <row r="1516">
          <cell r="C1516" t="str">
            <v>Mỹ Thuận MBA T2 (phía 110kV)</v>
          </cell>
          <cell r="D1516">
            <v>132</v>
          </cell>
          <cell r="E1516">
            <v>-1</v>
          </cell>
          <cell r="F1516">
            <v>-1.5</v>
          </cell>
          <cell r="G1516">
            <v>-1.1000000000000001</v>
          </cell>
          <cell r="H1516">
            <v>-1</v>
          </cell>
          <cell r="I1516">
            <v>-1.3</v>
          </cell>
          <cell r="J1516">
            <v>-1.5</v>
          </cell>
          <cell r="K1516">
            <v>-1</v>
          </cell>
          <cell r="L1516">
            <v>-1.3</v>
          </cell>
          <cell r="M1516">
            <v>-1</v>
          </cell>
        </row>
        <row r="1517">
          <cell r="C1517" t="str">
            <v>110kV 172 Mỹ Thuận - 174 Cao Lãnh 2</v>
          </cell>
          <cell r="D1517">
            <v>172</v>
          </cell>
          <cell r="E1517">
            <v>-2.4</v>
          </cell>
          <cell r="F1517">
            <v>-3.7</v>
          </cell>
          <cell r="G1517">
            <v>-3.2</v>
          </cell>
          <cell r="H1517">
            <v>-2.6</v>
          </cell>
          <cell r="I1517">
            <v>-2.7</v>
          </cell>
          <cell r="J1517">
            <v>-2.4</v>
          </cell>
          <cell r="K1517">
            <v>-3.1</v>
          </cell>
          <cell r="L1517">
            <v>-3.4</v>
          </cell>
          <cell r="M1517">
            <v>-3.7</v>
          </cell>
        </row>
        <row r="1518">
          <cell r="C1518" t="str">
            <v>110kV 173 Mỹ Thuận - 171 Cái Bè</v>
          </cell>
          <cell r="D1518">
            <v>173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</row>
        <row r="1519">
          <cell r="C1519" t="str">
            <v>Mỹ Thuận MBA T1 (phía 22kV)</v>
          </cell>
          <cell r="D1519">
            <v>431</v>
          </cell>
          <cell r="E1519">
            <v>-1.6</v>
          </cell>
          <cell r="F1519">
            <v>-2.7</v>
          </cell>
          <cell r="G1519">
            <v>-2.1</v>
          </cell>
          <cell r="H1519">
            <v>-1.6</v>
          </cell>
          <cell r="I1519">
            <v>-1.7</v>
          </cell>
          <cell r="J1519">
            <v>-1.9</v>
          </cell>
          <cell r="K1519">
            <v>-2.2999999999999998</v>
          </cell>
          <cell r="L1519">
            <v>-2.4</v>
          </cell>
          <cell r="M1519">
            <v>-2.7</v>
          </cell>
        </row>
        <row r="1520">
          <cell r="C1520" t="str">
            <v>Mỹ Thuận MBA T2 (phía 22kV)</v>
          </cell>
          <cell r="D1520">
            <v>432</v>
          </cell>
          <cell r="E1520">
            <v>2.1</v>
          </cell>
          <cell r="F1520">
            <v>2.2000000000000002</v>
          </cell>
          <cell r="G1520">
            <v>2.1</v>
          </cell>
          <cell r="H1520">
            <v>2.1</v>
          </cell>
          <cell r="I1520">
            <v>2.2000000000000002</v>
          </cell>
          <cell r="J1520">
            <v>2.1</v>
          </cell>
          <cell r="K1520">
            <v>2.1</v>
          </cell>
          <cell r="L1520">
            <v>2.1</v>
          </cell>
          <cell r="M1520">
            <v>2.1</v>
          </cell>
        </row>
        <row r="1521">
          <cell r="C1521" t="str">
            <v>Mỹ Tú MBA T1 (phía 110kV)</v>
          </cell>
          <cell r="D1521">
            <v>131</v>
          </cell>
          <cell r="E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</row>
        <row r="1522">
          <cell r="C1522" t="str">
            <v>110kV 171 Mỹ Tú - 177 Sóc Trăng</v>
          </cell>
          <cell r="D1522">
            <v>171</v>
          </cell>
          <cell r="E1522">
            <v>-0.7</v>
          </cell>
          <cell r="F1522">
            <v>-2.2000000000000002</v>
          </cell>
          <cell r="G1522">
            <v>-2.2000000000000002</v>
          </cell>
          <cell r="H1522">
            <v>-0.8</v>
          </cell>
          <cell r="I1522">
            <v>-1.8</v>
          </cell>
          <cell r="J1522">
            <v>-1.3</v>
          </cell>
          <cell r="K1522">
            <v>-0.7</v>
          </cell>
          <cell r="L1522">
            <v>-1</v>
          </cell>
          <cell r="M1522">
            <v>-1</v>
          </cell>
        </row>
        <row r="1523">
          <cell r="C1523" t="str">
            <v>Mỹ Tú MBA T1 (phía 22kV)</v>
          </cell>
          <cell r="D1523">
            <v>431</v>
          </cell>
          <cell r="E1523">
            <v>0.9</v>
          </cell>
          <cell r="F1523">
            <v>-1.6</v>
          </cell>
          <cell r="G1523">
            <v>-1.6</v>
          </cell>
          <cell r="H1523">
            <v>1</v>
          </cell>
          <cell r="I1523">
            <v>1</v>
          </cell>
          <cell r="J1523">
            <v>0.9</v>
          </cell>
          <cell r="K1523">
            <v>1.1000000000000001</v>
          </cell>
          <cell r="L1523">
            <v>0.9</v>
          </cell>
          <cell r="M1523">
            <v>0.9</v>
          </cell>
        </row>
        <row r="1524">
          <cell r="C1524" t="str">
            <v>Mỹ Xuân 2 MBA AT1 (phía 110kV)</v>
          </cell>
          <cell r="D1524">
            <v>131</v>
          </cell>
          <cell r="E1524">
            <v>-21.5</v>
          </cell>
          <cell r="F1524">
            <v>-45.1</v>
          </cell>
          <cell r="G1524">
            <v>-45.1</v>
          </cell>
          <cell r="H1524">
            <v>-39</v>
          </cell>
          <cell r="I1524">
            <v>-36.4</v>
          </cell>
          <cell r="J1524">
            <v>-21.5</v>
          </cell>
          <cell r="K1524">
            <v>-36.299999999999997</v>
          </cell>
          <cell r="L1524">
            <v>-37.5</v>
          </cell>
          <cell r="M1524">
            <v>-29.9</v>
          </cell>
        </row>
        <row r="1525">
          <cell r="C1525" t="str">
            <v>Mỹ Xuân 2 MBA AT2 (phía 110kV)</v>
          </cell>
          <cell r="D1525">
            <v>132</v>
          </cell>
          <cell r="E1525">
            <v>-21.8</v>
          </cell>
          <cell r="F1525">
            <v>-45.3</v>
          </cell>
          <cell r="G1525">
            <v>-45.3</v>
          </cell>
          <cell r="H1525">
            <v>-39.1</v>
          </cell>
          <cell r="I1525">
            <v>-36.299999999999997</v>
          </cell>
          <cell r="J1525">
            <v>-21.8</v>
          </cell>
          <cell r="K1525">
            <v>-36.5</v>
          </cell>
          <cell r="L1525">
            <v>-37.799999999999997</v>
          </cell>
          <cell r="M1525">
            <v>-30.2</v>
          </cell>
        </row>
        <row r="1526">
          <cell r="C1526" t="str">
            <v>110kV 175 Mỹ Xuân 2 - 171 China Steel</v>
          </cell>
          <cell r="D1526">
            <v>175</v>
          </cell>
          <cell r="E1526">
            <v>1.4</v>
          </cell>
          <cell r="F1526">
            <v>3.9</v>
          </cell>
          <cell r="G1526">
            <v>3.9</v>
          </cell>
          <cell r="H1526">
            <v>2.8</v>
          </cell>
          <cell r="I1526">
            <v>1.4</v>
          </cell>
          <cell r="J1526">
            <v>2.5</v>
          </cell>
          <cell r="K1526">
            <v>2.5</v>
          </cell>
          <cell r="L1526">
            <v>2.5</v>
          </cell>
          <cell r="M1526">
            <v>2.7</v>
          </cell>
        </row>
        <row r="1527">
          <cell r="C1527" t="str">
            <v>110kV 176 Mỹ Xuân 2 - 172 China Steel</v>
          </cell>
          <cell r="D1527">
            <v>176</v>
          </cell>
          <cell r="E1527">
            <v>1.9</v>
          </cell>
          <cell r="F1527">
            <v>3.6</v>
          </cell>
          <cell r="G1527">
            <v>3.6</v>
          </cell>
          <cell r="H1527">
            <v>2.6</v>
          </cell>
          <cell r="I1527">
            <v>1.9</v>
          </cell>
          <cell r="J1527">
            <v>2.4</v>
          </cell>
          <cell r="K1527">
            <v>2.4</v>
          </cell>
          <cell r="L1527">
            <v>3</v>
          </cell>
          <cell r="M1527">
            <v>2.9</v>
          </cell>
        </row>
        <row r="1528">
          <cell r="C1528" t="str">
            <v>110kV 177 Mỹ Xuân 2 - 172 Gò Dầu</v>
          </cell>
          <cell r="D1528">
            <v>177</v>
          </cell>
          <cell r="E1528">
            <v>17.899999999999999</v>
          </cell>
          <cell r="F1528">
            <v>37.700000000000003</v>
          </cell>
          <cell r="G1528">
            <v>37.700000000000003</v>
          </cell>
          <cell r="H1528">
            <v>32.700000000000003</v>
          </cell>
          <cell r="I1528">
            <v>30.8</v>
          </cell>
          <cell r="J1528">
            <v>17.899999999999999</v>
          </cell>
          <cell r="K1528">
            <v>30.4</v>
          </cell>
          <cell r="L1528">
            <v>31.4</v>
          </cell>
          <cell r="M1528">
            <v>24.9</v>
          </cell>
        </row>
        <row r="1529">
          <cell r="C1529" t="str">
            <v>110kV 178 Mỹ Xuân 2 - 172 Vedan</v>
          </cell>
          <cell r="D1529">
            <v>178</v>
          </cell>
          <cell r="E1529">
            <v>18.600000000000001</v>
          </cell>
          <cell r="F1529">
            <v>38.6</v>
          </cell>
          <cell r="G1529">
            <v>38.6</v>
          </cell>
          <cell r="H1529">
            <v>33</v>
          </cell>
          <cell r="I1529">
            <v>28.7</v>
          </cell>
          <cell r="J1529">
            <v>18.600000000000001</v>
          </cell>
          <cell r="K1529">
            <v>29.9</v>
          </cell>
          <cell r="L1529">
            <v>32</v>
          </cell>
          <cell r="M1529">
            <v>24.6</v>
          </cell>
        </row>
        <row r="1530">
          <cell r="C1530" t="str">
            <v>110kV 179 Mỹ Xuân 2 - 172 Mỹ Xuân A</v>
          </cell>
          <cell r="D1530">
            <v>179</v>
          </cell>
          <cell r="E1530">
            <v>4.0999999999999996</v>
          </cell>
          <cell r="F1530">
            <v>8.8000000000000007</v>
          </cell>
          <cell r="G1530">
            <v>8.1999999999999993</v>
          </cell>
          <cell r="H1530">
            <v>8.6</v>
          </cell>
          <cell r="I1530">
            <v>8.8000000000000007</v>
          </cell>
          <cell r="J1530">
            <v>4.0999999999999996</v>
          </cell>
          <cell r="K1530">
            <v>6.2</v>
          </cell>
          <cell r="L1530">
            <v>6.6</v>
          </cell>
          <cell r="M1530">
            <v>7.3</v>
          </cell>
        </row>
        <row r="1531">
          <cell r="C1531" t="str">
            <v>110kV 180 Mỹ Xuân 2 - 172 Mỹ Xuân B1</v>
          </cell>
          <cell r="D1531">
            <v>180</v>
          </cell>
          <cell r="E1531">
            <v>-2.1</v>
          </cell>
          <cell r="F1531">
            <v>5.7</v>
          </cell>
          <cell r="G1531">
            <v>3.6</v>
          </cell>
          <cell r="H1531">
            <v>4</v>
          </cell>
          <cell r="I1531">
            <v>5.4</v>
          </cell>
          <cell r="J1531">
            <v>-2.1</v>
          </cell>
          <cell r="K1531">
            <v>4.8</v>
          </cell>
          <cell r="L1531">
            <v>5.7</v>
          </cell>
          <cell r="M1531">
            <v>3.9</v>
          </cell>
        </row>
        <row r="1532">
          <cell r="C1532" t="str">
            <v>Mỹ Xuân 2 MBA AT1 (phía 220kV)</v>
          </cell>
          <cell r="D1532">
            <v>231</v>
          </cell>
          <cell r="E1532">
            <v>25.1</v>
          </cell>
          <cell r="F1532">
            <v>49.7</v>
          </cell>
          <cell r="G1532">
            <v>49.7</v>
          </cell>
          <cell r="H1532">
            <v>43.1</v>
          </cell>
          <cell r="I1532">
            <v>40.1</v>
          </cell>
          <cell r="J1532">
            <v>25.1</v>
          </cell>
          <cell r="K1532">
            <v>41</v>
          </cell>
          <cell r="L1532">
            <v>43.1</v>
          </cell>
          <cell r="M1532">
            <v>35.200000000000003</v>
          </cell>
        </row>
        <row r="1533">
          <cell r="C1533" t="str">
            <v>Mỹ Xuân 2 MBA AT2 (phía 220kV)</v>
          </cell>
          <cell r="D1533">
            <v>232</v>
          </cell>
          <cell r="E1533">
            <v>24.8</v>
          </cell>
          <cell r="F1533">
            <v>50</v>
          </cell>
          <cell r="G1533">
            <v>50</v>
          </cell>
          <cell r="H1533">
            <v>43.4</v>
          </cell>
          <cell r="I1533">
            <v>40.5</v>
          </cell>
          <cell r="J1533">
            <v>24.8</v>
          </cell>
          <cell r="K1533">
            <v>41.3</v>
          </cell>
          <cell r="L1533">
            <v>42.5</v>
          </cell>
          <cell r="M1533">
            <v>35.5</v>
          </cell>
        </row>
        <row r="1534">
          <cell r="C1534" t="str">
            <v>220kV 273 Mỹ Xuân 2 - 274  NMĐ Phú Mỹ 1</v>
          </cell>
          <cell r="D1534">
            <v>273</v>
          </cell>
          <cell r="E1534">
            <v>-70.900000000000006</v>
          </cell>
          <cell r="F1534">
            <v>-110.3</v>
          </cell>
          <cell r="G1534">
            <v>-110.3</v>
          </cell>
          <cell r="H1534">
            <v>-102.9</v>
          </cell>
          <cell r="I1534">
            <v>-106.8</v>
          </cell>
          <cell r="J1534">
            <v>-70.900000000000006</v>
          </cell>
          <cell r="K1534">
            <v>-105.1</v>
          </cell>
          <cell r="L1534">
            <v>-90.7</v>
          </cell>
          <cell r="M1534">
            <v>-89.3</v>
          </cell>
        </row>
        <row r="1535">
          <cell r="C1535" t="str">
            <v>220kV 274 Mỹ Xuân 2 - 275 NMĐ Phú Mỹ 1</v>
          </cell>
          <cell r="D1535">
            <v>274</v>
          </cell>
          <cell r="E1535">
            <v>-71.099999999999994</v>
          </cell>
          <cell r="F1535">
            <v>-109.4</v>
          </cell>
          <cell r="G1535">
            <v>-109.4</v>
          </cell>
          <cell r="H1535">
            <v>-103</v>
          </cell>
          <cell r="I1535">
            <v>-106.4</v>
          </cell>
          <cell r="J1535">
            <v>-71.099999999999994</v>
          </cell>
          <cell r="K1535">
            <v>-105.6</v>
          </cell>
          <cell r="L1535">
            <v>-90.7</v>
          </cell>
          <cell r="M1535">
            <v>-88.5</v>
          </cell>
        </row>
        <row r="1536">
          <cell r="C1536" t="str">
            <v>220kV 275 Mỹ Xuân 2 - 272 Cát Lái</v>
          </cell>
          <cell r="D1536">
            <v>275</v>
          </cell>
          <cell r="E1536">
            <v>46.5</v>
          </cell>
          <cell r="F1536">
            <v>66.099999999999994</v>
          </cell>
          <cell r="G1536">
            <v>60.3</v>
          </cell>
          <cell r="H1536">
            <v>59.5</v>
          </cell>
          <cell r="I1536">
            <v>66.099999999999994</v>
          </cell>
          <cell r="J1536">
            <v>46.5</v>
          </cell>
          <cell r="K1536">
            <v>64</v>
          </cell>
          <cell r="L1536">
            <v>47.7</v>
          </cell>
          <cell r="M1536">
            <v>53.9</v>
          </cell>
        </row>
        <row r="1537">
          <cell r="C1537" t="str">
            <v>220kV 276 Mỹ Xuân 2 - 271 Cát Lái</v>
          </cell>
          <cell r="D1537">
            <v>276</v>
          </cell>
          <cell r="E1537">
            <v>45.4</v>
          </cell>
          <cell r="F1537">
            <v>65.7</v>
          </cell>
          <cell r="G1537">
            <v>60.2</v>
          </cell>
          <cell r="H1537">
            <v>59.2</v>
          </cell>
          <cell r="I1537">
            <v>65.7</v>
          </cell>
          <cell r="J1537">
            <v>45.4</v>
          </cell>
          <cell r="K1537">
            <v>63.3</v>
          </cell>
          <cell r="L1537">
            <v>48</v>
          </cell>
          <cell r="M1537">
            <v>53.9</v>
          </cell>
        </row>
        <row r="1538">
          <cell r="C1538" t="str">
            <v>Mỹ Xuân A MBA T1 (phía 110kV)</v>
          </cell>
          <cell r="D1538">
            <v>131</v>
          </cell>
          <cell r="E1538">
            <v>5.4</v>
          </cell>
          <cell r="F1538">
            <v>8.6999999999999993</v>
          </cell>
          <cell r="G1538">
            <v>8</v>
          </cell>
          <cell r="H1538">
            <v>8.6</v>
          </cell>
          <cell r="I1538">
            <v>8.1999999999999993</v>
          </cell>
          <cell r="J1538">
            <v>6.5</v>
          </cell>
          <cell r="K1538">
            <v>8.6999999999999993</v>
          </cell>
          <cell r="L1538">
            <v>5.4</v>
          </cell>
          <cell r="M1538">
            <v>7.5</v>
          </cell>
        </row>
        <row r="1539">
          <cell r="C1539" t="str">
            <v>Mỹ Xuân A MBA T2 (phía 110kV)</v>
          </cell>
          <cell r="D1539">
            <v>132</v>
          </cell>
          <cell r="E1539">
            <v>6.1</v>
          </cell>
          <cell r="F1539">
            <v>10.7</v>
          </cell>
          <cell r="G1539">
            <v>9.1999999999999993</v>
          </cell>
          <cell r="H1539">
            <v>10.7</v>
          </cell>
          <cell r="I1539">
            <v>9.5</v>
          </cell>
          <cell r="J1539">
            <v>6.1</v>
          </cell>
          <cell r="K1539">
            <v>7.2</v>
          </cell>
          <cell r="L1539">
            <v>7.9</v>
          </cell>
          <cell r="M1539">
            <v>9.1</v>
          </cell>
        </row>
        <row r="1540">
          <cell r="C1540" t="str">
            <v>110kV 171 Mỹ Xuân A - 176 NMĐ Phú Mỹ 1</v>
          </cell>
          <cell r="D1540">
            <v>171</v>
          </cell>
          <cell r="E1540">
            <v>-5.5</v>
          </cell>
          <cell r="F1540">
            <v>-8.5</v>
          </cell>
          <cell r="G1540">
            <v>-7.7</v>
          </cell>
          <cell r="H1540">
            <v>-8.5</v>
          </cell>
          <cell r="I1540">
            <v>-7.7</v>
          </cell>
          <cell r="J1540">
            <v>-6.4</v>
          </cell>
          <cell r="K1540">
            <v>-8.1</v>
          </cell>
          <cell r="L1540">
            <v>-5.5</v>
          </cell>
          <cell r="M1540">
            <v>-7.1</v>
          </cell>
        </row>
        <row r="1541">
          <cell r="C1541" t="str">
            <v>110kV 172 Mỹ Xuân A - 179 Mỹ Xuân 2</v>
          </cell>
          <cell r="D1541">
            <v>172</v>
          </cell>
          <cell r="E1541">
            <v>-6.1</v>
          </cell>
          <cell r="F1541">
            <v>-10.5</v>
          </cell>
          <cell r="G1541">
            <v>-9</v>
          </cell>
          <cell r="H1541">
            <v>-10.5</v>
          </cell>
          <cell r="I1541">
            <v>-9.3000000000000007</v>
          </cell>
          <cell r="J1541">
            <v>-6.1</v>
          </cell>
          <cell r="K1541">
            <v>-7.1</v>
          </cell>
          <cell r="L1541">
            <v>-7.8</v>
          </cell>
          <cell r="M1541">
            <v>-9.1</v>
          </cell>
        </row>
        <row r="1542">
          <cell r="C1542" t="str">
            <v>Mỹ Xuân A MBA T1 (phía 22kV)</v>
          </cell>
          <cell r="D1542">
            <v>431</v>
          </cell>
          <cell r="E1542">
            <v>-4.2</v>
          </cell>
          <cell r="F1542">
            <v>-6.1</v>
          </cell>
          <cell r="G1542">
            <v>-5.8</v>
          </cell>
          <cell r="H1542">
            <v>-6.1</v>
          </cell>
          <cell r="I1542">
            <v>-5.8</v>
          </cell>
          <cell r="J1542">
            <v>-4.2</v>
          </cell>
          <cell r="K1542">
            <v>-5.9</v>
          </cell>
          <cell r="L1542">
            <v>-4.2</v>
          </cell>
          <cell r="M1542">
            <v>-5.2</v>
          </cell>
        </row>
        <row r="1543">
          <cell r="C1543" t="str">
            <v>Mỹ Xuân A MBA T2 (phía 22kV)</v>
          </cell>
          <cell r="D1543">
            <v>432</v>
          </cell>
          <cell r="E1543">
            <v>-5</v>
          </cell>
          <cell r="F1543">
            <v>-6.7</v>
          </cell>
          <cell r="G1543">
            <v>-5.5</v>
          </cell>
          <cell r="H1543">
            <v>-6.7</v>
          </cell>
          <cell r="I1543">
            <v>-6.1</v>
          </cell>
          <cell r="J1543">
            <v>5</v>
          </cell>
          <cell r="K1543">
            <v>5.5</v>
          </cell>
          <cell r="L1543">
            <v>-5</v>
          </cell>
          <cell r="M1543">
            <v>-5.6</v>
          </cell>
        </row>
        <row r="1544">
          <cell r="C1544" t="str">
            <v>Mỹ Xuân B1 MBA T2 (phía 110kV)</v>
          </cell>
          <cell r="D1544">
            <v>132</v>
          </cell>
          <cell r="E1544">
            <v>3.8</v>
          </cell>
          <cell r="F1544">
            <v>7.1</v>
          </cell>
          <cell r="G1544">
            <v>4.8</v>
          </cell>
          <cell r="H1544">
            <v>5.5</v>
          </cell>
          <cell r="I1544">
            <v>6.9</v>
          </cell>
          <cell r="J1544">
            <v>3.8</v>
          </cell>
          <cell r="K1544">
            <v>6.3</v>
          </cell>
          <cell r="L1544">
            <v>7.1</v>
          </cell>
          <cell r="M1544">
            <v>6</v>
          </cell>
        </row>
        <row r="1545">
          <cell r="C1545" t="str">
            <v>110kV 171 Mỹ Xuân B1 - 171 Đồng Tiến</v>
          </cell>
          <cell r="D1545">
            <v>171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</row>
        <row r="1546">
          <cell r="C1546" t="str">
            <v>110kV 172 Mỹ Xuân B1 - 180 Mỹ Xuân 2</v>
          </cell>
          <cell r="D1546">
            <v>172</v>
          </cell>
          <cell r="E1546">
            <v>-3.9</v>
          </cell>
          <cell r="F1546">
            <v>-7.1</v>
          </cell>
          <cell r="G1546">
            <v>-4.8</v>
          </cell>
          <cell r="H1546">
            <v>-5.5</v>
          </cell>
          <cell r="I1546">
            <v>-6.9</v>
          </cell>
          <cell r="J1546">
            <v>-3.9</v>
          </cell>
          <cell r="K1546">
            <v>-6.4</v>
          </cell>
          <cell r="L1546">
            <v>-7.1</v>
          </cell>
          <cell r="M1546">
            <v>-5.9</v>
          </cell>
        </row>
        <row r="1547">
          <cell r="C1547" t="str">
            <v>Mỹ Xuân B1 MBA T2 (phía 22kV)</v>
          </cell>
          <cell r="D1547">
            <v>432</v>
          </cell>
          <cell r="E1547">
            <v>-3.8</v>
          </cell>
          <cell r="F1547">
            <v>-5.3</v>
          </cell>
          <cell r="G1547">
            <v>-4.2</v>
          </cell>
          <cell r="H1547">
            <v>4.8</v>
          </cell>
          <cell r="I1547">
            <v>-5.2</v>
          </cell>
          <cell r="J1547">
            <v>-3.8</v>
          </cell>
          <cell r="K1547">
            <v>-4.9000000000000004</v>
          </cell>
          <cell r="L1547">
            <v>-5.3</v>
          </cell>
          <cell r="M1547">
            <v>4.9000000000000004</v>
          </cell>
        </row>
        <row r="1548">
          <cell r="C1548" t="str">
            <v>Mỹ Xuyên MBA T1 (phía 110kV)</v>
          </cell>
          <cell r="D1548">
            <v>131</v>
          </cell>
          <cell r="E1548">
            <v>-3.4</v>
          </cell>
          <cell r="F1548">
            <v>-4.2</v>
          </cell>
          <cell r="G1548">
            <v>-3.4</v>
          </cell>
          <cell r="H1548">
            <v>-3.9</v>
          </cell>
          <cell r="I1548">
            <v>-3.6</v>
          </cell>
          <cell r="J1548">
            <v>-3.5</v>
          </cell>
          <cell r="K1548">
            <v>-3.9</v>
          </cell>
          <cell r="L1548">
            <v>-3.5</v>
          </cell>
          <cell r="M1548">
            <v>-4.2</v>
          </cell>
        </row>
        <row r="1549">
          <cell r="C1549" t="str">
            <v>110kV 171 Mỹ Xuyên - 173 Sóc Trăng 2</v>
          </cell>
          <cell r="D1549">
            <v>171</v>
          </cell>
          <cell r="E1549">
            <v>8.3000000000000007</v>
          </cell>
          <cell r="F1549">
            <v>9.5</v>
          </cell>
          <cell r="G1549">
            <v>8.5</v>
          </cell>
          <cell r="H1549">
            <v>9.1999999999999993</v>
          </cell>
          <cell r="I1549">
            <v>9.4</v>
          </cell>
          <cell r="J1549">
            <v>8.5</v>
          </cell>
          <cell r="K1549">
            <v>9.5</v>
          </cell>
          <cell r="L1549">
            <v>8.3000000000000007</v>
          </cell>
          <cell r="M1549">
            <v>8.6999999999999993</v>
          </cell>
        </row>
        <row r="1550">
          <cell r="C1550" t="str">
            <v>Mỹ Xuyên MBA T1 (phía 22kV)</v>
          </cell>
          <cell r="D1550">
            <v>431</v>
          </cell>
          <cell r="E1550">
            <v>3.6</v>
          </cell>
          <cell r="F1550">
            <v>4.4000000000000004</v>
          </cell>
          <cell r="G1550">
            <v>3.6</v>
          </cell>
          <cell r="H1550">
            <v>4.0999999999999996</v>
          </cell>
          <cell r="I1550">
            <v>3.8</v>
          </cell>
          <cell r="J1550">
            <v>3.7</v>
          </cell>
          <cell r="K1550">
            <v>4.0999999999999996</v>
          </cell>
          <cell r="L1550">
            <v>3.7</v>
          </cell>
          <cell r="M1550">
            <v>4.4000000000000004</v>
          </cell>
        </row>
        <row r="1551">
          <cell r="C1551" t="str">
            <v>Nam Sài Gòn 1 MBA T1 (phía 110kV)</v>
          </cell>
          <cell r="D1551">
            <v>131</v>
          </cell>
          <cell r="E1551">
            <v>3.3</v>
          </cell>
          <cell r="F1551">
            <v>6.1</v>
          </cell>
          <cell r="G1551">
            <v>6</v>
          </cell>
          <cell r="H1551">
            <v>6.1</v>
          </cell>
          <cell r="I1551">
            <v>4.7</v>
          </cell>
          <cell r="J1551">
            <v>3.3</v>
          </cell>
          <cell r="K1551">
            <v>4.9000000000000004</v>
          </cell>
          <cell r="L1551">
            <v>4.8</v>
          </cell>
          <cell r="M1551">
            <v>4.7</v>
          </cell>
        </row>
        <row r="1552">
          <cell r="C1552" t="str">
            <v>Nam Sài Gòn 1 MBA T2 (phía 110kV)</v>
          </cell>
          <cell r="D1552">
            <v>132</v>
          </cell>
          <cell r="E1552">
            <v>-2.6</v>
          </cell>
          <cell r="F1552">
            <v>-3.1</v>
          </cell>
          <cell r="G1552">
            <v>-2.7</v>
          </cell>
          <cell r="H1552">
            <v>-2.6</v>
          </cell>
          <cell r="I1552">
            <v>-2.8</v>
          </cell>
          <cell r="J1552">
            <v>-2.8</v>
          </cell>
          <cell r="K1552">
            <v>-2.8</v>
          </cell>
          <cell r="L1552">
            <v>-3.1</v>
          </cell>
          <cell r="M1552">
            <v>-2.7</v>
          </cell>
        </row>
        <row r="1553">
          <cell r="C1553" t="str">
            <v>110kV 171 Nam Sài Gòn 1 - 178 Nhà Bè</v>
          </cell>
          <cell r="D1553">
            <v>171</v>
          </cell>
          <cell r="E1553">
            <v>-6.3</v>
          </cell>
          <cell r="F1553">
            <v>-7.5</v>
          </cell>
          <cell r="G1553">
            <v>-6.6</v>
          </cell>
          <cell r="H1553">
            <v>-6.3</v>
          </cell>
          <cell r="I1553">
            <v>-6.6</v>
          </cell>
          <cell r="J1553">
            <v>-7.3</v>
          </cell>
          <cell r="K1553">
            <v>-7</v>
          </cell>
          <cell r="L1553">
            <v>-7.5</v>
          </cell>
          <cell r="M1553">
            <v>-6.8</v>
          </cell>
        </row>
        <row r="1554">
          <cell r="C1554" t="str">
            <v>110kV 172 Nam Sài Gòn 1 - 175 Việt Thành</v>
          </cell>
          <cell r="D1554">
            <v>172</v>
          </cell>
          <cell r="E1554">
            <v>-3.2</v>
          </cell>
          <cell r="F1554">
            <v>-4</v>
          </cell>
          <cell r="G1554">
            <v>-3.3</v>
          </cell>
          <cell r="H1554">
            <v>-3.2</v>
          </cell>
          <cell r="I1554">
            <v>-3.4</v>
          </cell>
          <cell r="J1554">
            <v>-4</v>
          </cell>
          <cell r="K1554">
            <v>-3.5</v>
          </cell>
          <cell r="L1554">
            <v>-3.8</v>
          </cell>
          <cell r="M1554">
            <v>-3.5</v>
          </cell>
        </row>
        <row r="1555">
          <cell r="C1555" t="str">
            <v>Nam Sài Gòn 1 MBA T1 (phía 22kV)</v>
          </cell>
          <cell r="D1555">
            <v>431</v>
          </cell>
          <cell r="E1555">
            <v>-1.5</v>
          </cell>
          <cell r="F1555">
            <v>-3.3</v>
          </cell>
          <cell r="G1555">
            <v>-3.2</v>
          </cell>
          <cell r="H1555">
            <v>-3.3</v>
          </cell>
          <cell r="I1555">
            <v>-2.5</v>
          </cell>
          <cell r="J1555">
            <v>-1.5</v>
          </cell>
          <cell r="K1555">
            <v>-2.8</v>
          </cell>
          <cell r="L1555">
            <v>-2.9</v>
          </cell>
          <cell r="M1555">
            <v>-2.8</v>
          </cell>
        </row>
        <row r="1556">
          <cell r="C1556" t="str">
            <v>Nam Sài Gòn 1 MBA T2 (phía 22kV)</v>
          </cell>
          <cell r="D1556">
            <v>432</v>
          </cell>
          <cell r="E1556">
            <v>3.3</v>
          </cell>
          <cell r="F1556">
            <v>3.6</v>
          </cell>
          <cell r="G1556">
            <v>3.4</v>
          </cell>
          <cell r="H1556">
            <v>3.3</v>
          </cell>
          <cell r="I1556">
            <v>3.4</v>
          </cell>
          <cell r="J1556">
            <v>3.4</v>
          </cell>
          <cell r="K1556">
            <v>3.4</v>
          </cell>
          <cell r="L1556">
            <v>3.6</v>
          </cell>
          <cell r="M1556">
            <v>3.3</v>
          </cell>
        </row>
        <row r="1557">
          <cell r="C1557" t="str">
            <v>Nam Sài Gòn 2 MBA T1 (phía 110kV)</v>
          </cell>
          <cell r="D1557">
            <v>131</v>
          </cell>
          <cell r="E1557">
            <v>-0.7</v>
          </cell>
          <cell r="F1557">
            <v>-9.3000000000000007</v>
          </cell>
          <cell r="G1557">
            <v>-0.7</v>
          </cell>
          <cell r="H1557">
            <v>-9.3000000000000007</v>
          </cell>
          <cell r="I1557">
            <v>1.3</v>
          </cell>
          <cell r="J1557">
            <v>1.3</v>
          </cell>
          <cell r="K1557">
            <v>1.4</v>
          </cell>
          <cell r="L1557">
            <v>1.4</v>
          </cell>
          <cell r="M1557">
            <v>1.4</v>
          </cell>
        </row>
        <row r="1558">
          <cell r="C1558" t="str">
            <v>Nam Sài Gòn 2 MBA T2 (phía 110kV)</v>
          </cell>
          <cell r="D1558">
            <v>132</v>
          </cell>
          <cell r="E1558">
            <v>-7.1</v>
          </cell>
          <cell r="F1558">
            <v>-10.4</v>
          </cell>
          <cell r="G1558">
            <v>-7.5</v>
          </cell>
          <cell r="H1558">
            <v>-7.1</v>
          </cell>
          <cell r="I1558">
            <v>-7.7</v>
          </cell>
          <cell r="J1558">
            <v>-9.6999999999999993</v>
          </cell>
          <cell r="K1558">
            <v>-10.4</v>
          </cell>
          <cell r="L1558">
            <v>-8.6999999999999993</v>
          </cell>
          <cell r="M1558">
            <v>-8.3000000000000007</v>
          </cell>
        </row>
        <row r="1559">
          <cell r="C1559" t="str">
            <v xml:space="preserve">110kV 171 Nam Sài Gòn 2 - 177 Bình Chánh </v>
          </cell>
          <cell r="D1559">
            <v>171</v>
          </cell>
          <cell r="E1559">
            <v>3.9</v>
          </cell>
          <cell r="F1559">
            <v>6.7</v>
          </cell>
          <cell r="G1559">
            <v>4.3</v>
          </cell>
          <cell r="H1559">
            <v>6.7</v>
          </cell>
          <cell r="I1559">
            <v>4.3</v>
          </cell>
          <cell r="J1559">
            <v>4.9000000000000004</v>
          </cell>
          <cell r="K1559">
            <v>5.0999999999999996</v>
          </cell>
          <cell r="L1559">
            <v>4.2</v>
          </cell>
          <cell r="M1559">
            <v>3.9</v>
          </cell>
        </row>
        <row r="1560">
          <cell r="C1560" t="str">
            <v>110kV 172 Nam Sài Gòn 2 - 178 Bình Chánh</v>
          </cell>
          <cell r="D1560">
            <v>172</v>
          </cell>
          <cell r="E1560">
            <v>3.9</v>
          </cell>
          <cell r="F1560">
            <v>6.6</v>
          </cell>
          <cell r="G1560">
            <v>4.2</v>
          </cell>
          <cell r="H1560">
            <v>6.6</v>
          </cell>
          <cell r="I1560">
            <v>4.0999999999999996</v>
          </cell>
          <cell r="J1560">
            <v>4.9000000000000004</v>
          </cell>
          <cell r="K1560">
            <v>5.0999999999999996</v>
          </cell>
          <cell r="L1560">
            <v>4</v>
          </cell>
          <cell r="M1560">
            <v>3.9</v>
          </cell>
        </row>
        <row r="1561">
          <cell r="C1561" t="str">
            <v>Nam Sài Gòn 2 MBA T1 (phía 22kV)</v>
          </cell>
          <cell r="D1561">
            <v>431</v>
          </cell>
          <cell r="E1561">
            <v>0.7</v>
          </cell>
          <cell r="F1561">
            <v>9.6999999999999993</v>
          </cell>
          <cell r="G1561">
            <v>0.7</v>
          </cell>
          <cell r="H1561">
            <v>9.6999999999999993</v>
          </cell>
          <cell r="I1561">
            <v>-0.8</v>
          </cell>
          <cell r="J1561">
            <v>-0.8</v>
          </cell>
          <cell r="K1561">
            <v>-1.1000000000000001</v>
          </cell>
          <cell r="L1561">
            <v>-1.1000000000000001</v>
          </cell>
          <cell r="M1561">
            <v>-1</v>
          </cell>
        </row>
        <row r="1562">
          <cell r="C1562" t="str">
            <v>Nam Sài Gòn 2 MBA T2 (phía 22kV)</v>
          </cell>
          <cell r="D1562">
            <v>432</v>
          </cell>
          <cell r="E1562">
            <v>8.5</v>
          </cell>
          <cell r="F1562">
            <v>11.1</v>
          </cell>
          <cell r="G1562">
            <v>8.8000000000000007</v>
          </cell>
          <cell r="H1562">
            <v>8.5</v>
          </cell>
          <cell r="I1562">
            <v>8.8000000000000007</v>
          </cell>
          <cell r="J1562">
            <v>10.4</v>
          </cell>
          <cell r="K1562">
            <v>11.1</v>
          </cell>
          <cell r="L1562">
            <v>9.6</v>
          </cell>
          <cell r="M1562">
            <v>9.4</v>
          </cell>
        </row>
        <row r="1563">
          <cell r="C1563" t="str">
            <v>Nam Sài Gòn 3 MBA T1 (phía 110kV)</v>
          </cell>
          <cell r="D1563">
            <v>131</v>
          </cell>
          <cell r="E1563">
            <v>3</v>
          </cell>
          <cell r="F1563">
            <v>6.1</v>
          </cell>
          <cell r="G1563">
            <v>5.6</v>
          </cell>
          <cell r="H1563">
            <v>5.7</v>
          </cell>
          <cell r="I1563">
            <v>4.5999999999999996</v>
          </cell>
          <cell r="J1563">
            <v>3</v>
          </cell>
          <cell r="K1563">
            <v>6.1</v>
          </cell>
          <cell r="L1563">
            <v>5.4</v>
          </cell>
          <cell r="M1563">
            <v>5.2</v>
          </cell>
        </row>
        <row r="1564">
          <cell r="C1564" t="str">
            <v>Nam Sài Gòn 3 MBA T2 (phía 110kV)</v>
          </cell>
          <cell r="D1564">
            <v>132</v>
          </cell>
          <cell r="E1564">
            <v>-1.8</v>
          </cell>
          <cell r="F1564">
            <v>2.8</v>
          </cell>
          <cell r="G1564">
            <v>2.8</v>
          </cell>
          <cell r="H1564">
            <v>2.7</v>
          </cell>
          <cell r="I1564">
            <v>-2.5</v>
          </cell>
          <cell r="J1564">
            <v>-1.8</v>
          </cell>
          <cell r="K1564">
            <v>-2.4</v>
          </cell>
          <cell r="L1564">
            <v>-2.7</v>
          </cell>
          <cell r="M1564">
            <v>2.5</v>
          </cell>
        </row>
        <row r="1565">
          <cell r="C1565" t="str">
            <v>110kV 171 Nam Sài Gòn 3 - 174 Phú Mỹ Hưng</v>
          </cell>
          <cell r="D1565">
            <v>171</v>
          </cell>
          <cell r="E1565">
            <v>-2.1</v>
          </cell>
          <cell r="F1565">
            <v>-5.0999999999999996</v>
          </cell>
          <cell r="G1565">
            <v>-4.8</v>
          </cell>
          <cell r="H1565">
            <v>-5.0999999999999996</v>
          </cell>
          <cell r="I1565">
            <v>-3.3</v>
          </cell>
          <cell r="J1565">
            <v>-2.1</v>
          </cell>
          <cell r="K1565">
            <v>-4.5999999999999996</v>
          </cell>
          <cell r="L1565">
            <v>-4.0999999999999996</v>
          </cell>
          <cell r="M1565">
            <v>-4.2</v>
          </cell>
        </row>
        <row r="1566">
          <cell r="C1566" t="str">
            <v>110kV 172 Nam Sài Gòn 3 - 173 Phú Mỹ Hưng</v>
          </cell>
          <cell r="D1566">
            <v>172</v>
          </cell>
          <cell r="E1566">
            <v>-1.9</v>
          </cell>
          <cell r="F1566">
            <v>-4.2</v>
          </cell>
          <cell r="G1566">
            <v>-3.6</v>
          </cell>
          <cell r="H1566">
            <v>-4.2</v>
          </cell>
          <cell r="I1566">
            <v>-2.6</v>
          </cell>
          <cell r="J1566">
            <v>-1.9</v>
          </cell>
          <cell r="K1566">
            <v>-4</v>
          </cell>
          <cell r="L1566">
            <v>-3.7</v>
          </cell>
          <cell r="M1566">
            <v>-3.2</v>
          </cell>
        </row>
        <row r="1567">
          <cell r="C1567" t="str">
            <v>Nam Sài Gòn 3 MBA T1 (phía 22kV)</v>
          </cell>
          <cell r="D1567">
            <v>431</v>
          </cell>
          <cell r="E1567">
            <v>1.7</v>
          </cell>
          <cell r="F1567">
            <v>-2.8</v>
          </cell>
          <cell r="G1567">
            <v>-2.7</v>
          </cell>
          <cell r="H1567">
            <v>-2.8</v>
          </cell>
          <cell r="I1567">
            <v>-2</v>
          </cell>
          <cell r="J1567">
            <v>1.7</v>
          </cell>
          <cell r="K1567">
            <v>-2.7</v>
          </cell>
          <cell r="L1567">
            <v>-2.7</v>
          </cell>
          <cell r="M1567">
            <v>-2.4</v>
          </cell>
        </row>
        <row r="1568">
          <cell r="C1568" t="str">
            <v>Nam Sài Gòn 3 MBA T2 (phía 22kV)</v>
          </cell>
          <cell r="D1568">
            <v>432</v>
          </cell>
          <cell r="E1568">
            <v>4.3</v>
          </cell>
          <cell r="F1568">
            <v>4.4000000000000004</v>
          </cell>
          <cell r="G1568">
            <v>4.4000000000000004</v>
          </cell>
          <cell r="H1568">
            <v>4.3</v>
          </cell>
          <cell r="I1568">
            <v>4.4000000000000004</v>
          </cell>
          <cell r="J1568">
            <v>4.4000000000000004</v>
          </cell>
          <cell r="K1568">
            <v>4.3</v>
          </cell>
          <cell r="L1568">
            <v>4.4000000000000004</v>
          </cell>
          <cell r="M1568">
            <v>4.4000000000000004</v>
          </cell>
        </row>
        <row r="1569">
          <cell r="C1569" t="str">
            <v>Ngãi Giao MBA T1 (phía 110kV)</v>
          </cell>
          <cell r="D1569">
            <v>131</v>
          </cell>
          <cell r="E1569">
            <v>-4.3</v>
          </cell>
          <cell r="F1569">
            <v>-4.9000000000000004</v>
          </cell>
          <cell r="G1569">
            <v>4.9000000000000004</v>
          </cell>
          <cell r="H1569">
            <v>-4.3</v>
          </cell>
          <cell r="I1569">
            <v>-4.4000000000000004</v>
          </cell>
          <cell r="J1569">
            <v>-4.9000000000000004</v>
          </cell>
          <cell r="K1569">
            <v>-4.9000000000000004</v>
          </cell>
          <cell r="L1569">
            <v>-4.9000000000000004</v>
          </cell>
          <cell r="M1569">
            <v>-4.5999999999999996</v>
          </cell>
        </row>
        <row r="1570">
          <cell r="C1570" t="str">
            <v>110kV 171 Ngãi Giao - 172 Cẩm Mỹ</v>
          </cell>
          <cell r="D1570">
            <v>171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</row>
        <row r="1571">
          <cell r="C1571" t="str">
            <v>Ngãi Giao MBA T1 (phía 22kV)</v>
          </cell>
          <cell r="D1571">
            <v>431</v>
          </cell>
          <cell r="E1571">
            <v>5.7</v>
          </cell>
          <cell r="F1571">
            <v>6.8</v>
          </cell>
          <cell r="G1571">
            <v>5.7</v>
          </cell>
          <cell r="H1571">
            <v>6.2</v>
          </cell>
          <cell r="I1571">
            <v>6.3</v>
          </cell>
          <cell r="J1571">
            <v>6.8</v>
          </cell>
          <cell r="K1571">
            <v>6.7</v>
          </cell>
          <cell r="L1571">
            <v>6.6</v>
          </cell>
          <cell r="M1571">
            <v>6.7</v>
          </cell>
        </row>
        <row r="1572">
          <cell r="C1572" t="str">
            <v>Ngọc Hiển MBA T1 (phía 110kV)</v>
          </cell>
          <cell r="D1572">
            <v>131</v>
          </cell>
          <cell r="E1572">
            <v>0.8</v>
          </cell>
          <cell r="F1572">
            <v>2</v>
          </cell>
          <cell r="G1572">
            <v>2</v>
          </cell>
          <cell r="H1572">
            <v>-1.1000000000000001</v>
          </cell>
          <cell r="I1572">
            <v>1.9</v>
          </cell>
          <cell r="J1572">
            <v>0.8</v>
          </cell>
          <cell r="K1572">
            <v>-1.3</v>
          </cell>
          <cell r="L1572">
            <v>-1.2</v>
          </cell>
          <cell r="M1572">
            <v>-1.5</v>
          </cell>
        </row>
        <row r="1573">
          <cell r="C1573" t="str">
            <v>Ngọc Hiển MBA T2 (phía 110kV)</v>
          </cell>
          <cell r="D1573">
            <v>132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</row>
        <row r="1574">
          <cell r="C1574" t="str">
            <v>Ngọc Hiển MBA T1 (phía 22kV)</v>
          </cell>
          <cell r="D1574">
            <v>431</v>
          </cell>
          <cell r="E1574">
            <v>2.1</v>
          </cell>
          <cell r="F1574">
            <v>2.7</v>
          </cell>
          <cell r="G1574">
            <v>2.1</v>
          </cell>
          <cell r="H1574">
            <v>2.2999999999999998</v>
          </cell>
          <cell r="I1574">
            <v>2.5</v>
          </cell>
          <cell r="J1574">
            <v>2.2999999999999998</v>
          </cell>
          <cell r="K1574">
            <v>2.4</v>
          </cell>
          <cell r="L1574">
            <v>2.5</v>
          </cell>
          <cell r="M1574">
            <v>2.7</v>
          </cell>
        </row>
        <row r="1575">
          <cell r="C1575" t="str">
            <v>Ngọc Hiển MBA T2 (phía 22kV)</v>
          </cell>
          <cell r="D1575">
            <v>432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</row>
        <row r="1576">
          <cell r="C1576" t="str">
            <v>Nhà Bè MBA AT1 (phía 110kV)</v>
          </cell>
          <cell r="D1576">
            <v>131</v>
          </cell>
          <cell r="E1576">
            <v>15.9</v>
          </cell>
          <cell r="F1576">
            <v>-33.6</v>
          </cell>
          <cell r="G1576">
            <v>-33.6</v>
          </cell>
          <cell r="H1576">
            <v>-30.7</v>
          </cell>
          <cell r="I1576">
            <v>-22.9</v>
          </cell>
          <cell r="J1576">
            <v>15.9</v>
          </cell>
          <cell r="K1576">
            <v>-28.9</v>
          </cell>
          <cell r="L1576">
            <v>-27.9</v>
          </cell>
          <cell r="M1576">
            <v>-30.2</v>
          </cell>
        </row>
        <row r="1577">
          <cell r="C1577" t="str">
            <v>Nhà Bè MBA AT2 (phía 110kV)</v>
          </cell>
          <cell r="D1577">
            <v>132</v>
          </cell>
          <cell r="E1577">
            <v>18.2</v>
          </cell>
          <cell r="F1577">
            <v>-36.6</v>
          </cell>
          <cell r="G1577">
            <v>-36.6</v>
          </cell>
          <cell r="H1577">
            <v>-33.700000000000003</v>
          </cell>
          <cell r="I1577">
            <v>-23.7</v>
          </cell>
          <cell r="J1577">
            <v>18.2</v>
          </cell>
          <cell r="K1577">
            <v>-30.5</v>
          </cell>
          <cell r="L1577">
            <v>-27.7</v>
          </cell>
          <cell r="M1577">
            <v>-28.9</v>
          </cell>
        </row>
        <row r="1578">
          <cell r="C1578" t="str">
            <v>Nhà Bè MBA T4 (phía 110kV)</v>
          </cell>
          <cell r="D1578">
            <v>134</v>
          </cell>
          <cell r="E1578">
            <v>-3.8</v>
          </cell>
          <cell r="F1578">
            <v>-4.4000000000000004</v>
          </cell>
          <cell r="G1578">
            <v>-3.8</v>
          </cell>
          <cell r="H1578">
            <v>-3.8</v>
          </cell>
          <cell r="I1578">
            <v>-3.8</v>
          </cell>
          <cell r="J1578">
            <v>-4.4000000000000004</v>
          </cell>
          <cell r="K1578">
            <v>-4.0999999999999996</v>
          </cell>
          <cell r="L1578">
            <v>-4.3</v>
          </cell>
          <cell r="M1578">
            <v>-3.9</v>
          </cell>
        </row>
        <row r="1579">
          <cell r="C1579" t="str">
            <v>Nhà Bè MBA T5 (phía 110kV)</v>
          </cell>
          <cell r="D1579">
            <v>135</v>
          </cell>
          <cell r="E1579">
            <v>-2.9</v>
          </cell>
          <cell r="F1579">
            <v>-3.5</v>
          </cell>
          <cell r="G1579">
            <v>-2.9</v>
          </cell>
          <cell r="H1579">
            <v>-2.9</v>
          </cell>
          <cell r="I1579">
            <v>-3.2</v>
          </cell>
          <cell r="J1579">
            <v>-3.3</v>
          </cell>
          <cell r="K1579">
            <v>-3.2</v>
          </cell>
          <cell r="L1579">
            <v>-3.5</v>
          </cell>
          <cell r="M1579">
            <v>-3.2</v>
          </cell>
        </row>
        <row r="1580">
          <cell r="C1580" t="str">
            <v>110kV 171 Nhà Bè - 171 Long Hậu</v>
          </cell>
          <cell r="D1580">
            <v>171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</row>
        <row r="1581">
          <cell r="C1581" t="str">
            <v>110kV 172 Nhà Bè - 171 Long Thới</v>
          </cell>
          <cell r="D1581">
            <v>172</v>
          </cell>
          <cell r="E1581">
            <v>10.8</v>
          </cell>
          <cell r="F1581">
            <v>29.8</v>
          </cell>
          <cell r="G1581">
            <v>29.8</v>
          </cell>
          <cell r="H1581">
            <v>26.5</v>
          </cell>
          <cell r="I1581">
            <v>21.1</v>
          </cell>
          <cell r="J1581">
            <v>10.8</v>
          </cell>
          <cell r="K1581">
            <v>27.6</v>
          </cell>
          <cell r="L1581">
            <v>27.2</v>
          </cell>
          <cell r="M1581">
            <v>28.3</v>
          </cell>
        </row>
        <row r="1582">
          <cell r="C1582" t="str">
            <v>110kV 173 Nhà Bè - 173 NMĐ Hiệp Phước</v>
          </cell>
          <cell r="D1582">
            <v>173</v>
          </cell>
          <cell r="E1582">
            <v>11.5</v>
          </cell>
          <cell r="F1582">
            <v>36.299999999999997</v>
          </cell>
          <cell r="G1582">
            <v>36.299999999999997</v>
          </cell>
          <cell r="H1582">
            <v>32.799999999999997</v>
          </cell>
          <cell r="I1582">
            <v>25.7</v>
          </cell>
          <cell r="J1582">
            <v>11.5</v>
          </cell>
          <cell r="K1582">
            <v>33.1</v>
          </cell>
          <cell r="L1582">
            <v>32.6</v>
          </cell>
          <cell r="M1582">
            <v>34</v>
          </cell>
        </row>
        <row r="1583">
          <cell r="C1583" t="str">
            <v>110kV 176 Nhà Bè - 171 Cần Giờ</v>
          </cell>
          <cell r="D1583">
            <v>176</v>
          </cell>
          <cell r="E1583">
            <v>0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</row>
        <row r="1584">
          <cell r="C1584" t="str">
            <v>110kV 177 Nhà Bè - 172 An Nghĩa</v>
          </cell>
          <cell r="D1584">
            <v>177</v>
          </cell>
          <cell r="E1584">
            <v>-5.0999999999999996</v>
          </cell>
          <cell r="F1584">
            <v>-9.1999999999999993</v>
          </cell>
          <cell r="G1584">
            <v>-5.0999999999999996</v>
          </cell>
          <cell r="H1584">
            <v>-5.2</v>
          </cell>
          <cell r="I1584">
            <v>-5.2</v>
          </cell>
          <cell r="J1584">
            <v>-5.5</v>
          </cell>
          <cell r="K1584">
            <v>-9.1999999999999993</v>
          </cell>
          <cell r="L1584">
            <v>-5.2</v>
          </cell>
          <cell r="M1584">
            <v>-5.5</v>
          </cell>
        </row>
        <row r="1585">
          <cell r="C1585" t="str">
            <v>110kV 178 Nhà Bè - 171 Nam Sài Gòn 1</v>
          </cell>
          <cell r="D1585">
            <v>178</v>
          </cell>
          <cell r="E1585">
            <v>-8</v>
          </cell>
          <cell r="F1585">
            <v>-9.1</v>
          </cell>
          <cell r="G1585">
            <v>-8.1999999999999993</v>
          </cell>
          <cell r="H1585">
            <v>-8</v>
          </cell>
          <cell r="I1585">
            <v>-8</v>
          </cell>
          <cell r="J1585">
            <v>-8.8000000000000007</v>
          </cell>
          <cell r="K1585">
            <v>-8.4</v>
          </cell>
          <cell r="L1585">
            <v>-9.1</v>
          </cell>
          <cell r="M1585">
            <v>-8.3000000000000007</v>
          </cell>
        </row>
        <row r="1586">
          <cell r="C1586" t="str">
            <v>110kV 179 Nhà Bè - 176 Việt Thành</v>
          </cell>
          <cell r="D1586">
            <v>179</v>
          </cell>
          <cell r="E1586">
            <v>-6.8</v>
          </cell>
          <cell r="F1586">
            <v>-7.7</v>
          </cell>
          <cell r="G1586">
            <v>-6.9</v>
          </cell>
          <cell r="H1586">
            <v>-6.8</v>
          </cell>
          <cell r="I1586">
            <v>-6.8</v>
          </cell>
          <cell r="J1586">
            <v>-7.5</v>
          </cell>
          <cell r="K1586">
            <v>-7.1</v>
          </cell>
          <cell r="L1586">
            <v>-7.7</v>
          </cell>
          <cell r="M1586">
            <v>-7</v>
          </cell>
        </row>
        <row r="1587">
          <cell r="C1587" t="str">
            <v>110kV 181 Nhà Bè - 172 Bình Chánh</v>
          </cell>
          <cell r="D1587">
            <v>181</v>
          </cell>
          <cell r="E1587">
            <v>0</v>
          </cell>
          <cell r="F1587">
            <v>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</row>
        <row r="1588">
          <cell r="C1588" t="str">
            <v>110kV 182 Nhà Bè - 171 Bình Chánh</v>
          </cell>
          <cell r="D1588">
            <v>182</v>
          </cell>
          <cell r="E1588">
            <v>0</v>
          </cell>
          <cell r="F1588">
            <v>0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</row>
        <row r="1589">
          <cell r="C1589" t="str">
            <v>Nhà Bè MBA AT1 (phía 220kV)</v>
          </cell>
          <cell r="D1589">
            <v>231</v>
          </cell>
          <cell r="E1589">
            <v>20.7</v>
          </cell>
          <cell r="F1589">
            <v>51</v>
          </cell>
          <cell r="G1589">
            <v>51</v>
          </cell>
          <cell r="H1589">
            <v>47.5</v>
          </cell>
          <cell r="I1589">
            <v>37.700000000000003</v>
          </cell>
          <cell r="J1589">
            <v>20.7</v>
          </cell>
          <cell r="K1589">
            <v>44.3</v>
          </cell>
          <cell r="L1589">
            <v>42.1</v>
          </cell>
          <cell r="M1589">
            <v>45.7</v>
          </cell>
        </row>
        <row r="1590">
          <cell r="C1590" t="str">
            <v>Nhà Bè MBA AT2 (phía 220kV)</v>
          </cell>
          <cell r="D1590">
            <v>232</v>
          </cell>
          <cell r="E1590">
            <v>20.9</v>
          </cell>
          <cell r="F1590">
            <v>54.3</v>
          </cell>
          <cell r="G1590">
            <v>54.3</v>
          </cell>
          <cell r="H1590">
            <v>50.8</v>
          </cell>
          <cell r="I1590">
            <v>38.9</v>
          </cell>
          <cell r="J1590">
            <v>20.9</v>
          </cell>
          <cell r="K1590">
            <v>46</v>
          </cell>
          <cell r="L1590">
            <v>42.8</v>
          </cell>
          <cell r="M1590">
            <v>44.8</v>
          </cell>
        </row>
        <row r="1591">
          <cell r="C1591" t="str">
            <v>Nhà Bè MBA AT6 (phía 220kV)</v>
          </cell>
          <cell r="D1591">
            <v>236</v>
          </cell>
          <cell r="E1591">
            <v>-49.9</v>
          </cell>
          <cell r="F1591">
            <v>-115.4</v>
          </cell>
          <cell r="G1591">
            <v>-67.099999999999994</v>
          </cell>
          <cell r="H1591">
            <v>-96</v>
          </cell>
          <cell r="I1591">
            <v>-56.7</v>
          </cell>
          <cell r="J1591">
            <v>-58.1</v>
          </cell>
          <cell r="K1591">
            <v>-115.4</v>
          </cell>
          <cell r="L1591">
            <v>-63.2</v>
          </cell>
          <cell r="M1591">
            <v>-49.9</v>
          </cell>
        </row>
        <row r="1592">
          <cell r="C1592" t="str">
            <v>Nhà Bè MBA AT7 (phía 220kV)</v>
          </cell>
          <cell r="D1592">
            <v>237</v>
          </cell>
          <cell r="E1592">
            <v>-44.4</v>
          </cell>
          <cell r="F1592">
            <v>-115.6</v>
          </cell>
          <cell r="G1592">
            <v>-62.4</v>
          </cell>
          <cell r="H1592">
            <v>-94.6</v>
          </cell>
          <cell r="I1592">
            <v>-55.8</v>
          </cell>
          <cell r="J1592">
            <v>-59.8</v>
          </cell>
          <cell r="K1592">
            <v>-115.6</v>
          </cell>
          <cell r="L1592">
            <v>-58.6</v>
          </cell>
          <cell r="M1592">
            <v>-44.4</v>
          </cell>
        </row>
        <row r="1593">
          <cell r="C1593" t="str">
            <v>220kV 271 Nhà Bè - 276 NMĐ Phú Mỹ 1</v>
          </cell>
          <cell r="D1593">
            <v>271</v>
          </cell>
          <cell r="E1593">
            <v>-37.4</v>
          </cell>
          <cell r="F1593">
            <v>-55.8</v>
          </cell>
          <cell r="G1593">
            <v>-55.8</v>
          </cell>
          <cell r="H1593">
            <v>-47.6</v>
          </cell>
          <cell r="I1593">
            <v>-49.3</v>
          </cell>
          <cell r="J1593">
            <v>-37.4</v>
          </cell>
          <cell r="K1593">
            <v>-45.9</v>
          </cell>
          <cell r="L1593">
            <v>-37.5</v>
          </cell>
          <cell r="M1593">
            <v>-44.9</v>
          </cell>
        </row>
        <row r="1594">
          <cell r="C1594" t="str">
            <v>220kV 272 Nhà Bè - 277 NMĐ Phú Mỹ 1</v>
          </cell>
          <cell r="D1594">
            <v>272</v>
          </cell>
          <cell r="E1594">
            <v>-38.1</v>
          </cell>
          <cell r="F1594">
            <v>-52.1</v>
          </cell>
          <cell r="G1594">
            <v>-52.1</v>
          </cell>
          <cell r="H1594">
            <v>-45.5</v>
          </cell>
          <cell r="I1594">
            <v>-51.3</v>
          </cell>
          <cell r="J1594">
            <v>-38.1</v>
          </cell>
          <cell r="K1594">
            <v>-45.6</v>
          </cell>
          <cell r="L1594">
            <v>-40.6</v>
          </cell>
          <cell r="M1594">
            <v>-49.8</v>
          </cell>
        </row>
        <row r="1595">
          <cell r="C1595" t="str">
            <v>220kV 273 Nhà Bè - 271 NMĐ Nhơn Trạch 1 &amp; 2</v>
          </cell>
          <cell r="D1595">
            <v>273</v>
          </cell>
          <cell r="E1595">
            <v>41.9</v>
          </cell>
          <cell r="F1595">
            <v>58.9</v>
          </cell>
          <cell r="G1595">
            <v>58.2</v>
          </cell>
          <cell r="H1595">
            <v>41.9</v>
          </cell>
          <cell r="I1595">
            <v>58.9</v>
          </cell>
          <cell r="J1595">
            <v>50.2</v>
          </cell>
          <cell r="K1595">
            <v>53.8</v>
          </cell>
          <cell r="L1595">
            <v>58.2</v>
          </cell>
          <cell r="M1595">
            <v>45.7</v>
          </cell>
        </row>
        <row r="1596">
          <cell r="C1596" t="str">
            <v>220kV 274 Nhà Bè - 272 NMĐ Nhơn Trạch 1 &amp; 2</v>
          </cell>
          <cell r="D1596">
            <v>274</v>
          </cell>
          <cell r="E1596">
            <v>36.700000000000003</v>
          </cell>
          <cell r="F1596">
            <v>55.8</v>
          </cell>
          <cell r="G1596">
            <v>49.2</v>
          </cell>
          <cell r="H1596">
            <v>36.700000000000003</v>
          </cell>
          <cell r="I1596">
            <v>49.6</v>
          </cell>
          <cell r="J1596">
            <v>51.6</v>
          </cell>
          <cell r="K1596">
            <v>54.8</v>
          </cell>
          <cell r="L1596">
            <v>55.8</v>
          </cell>
          <cell r="M1596">
            <v>44.1</v>
          </cell>
        </row>
        <row r="1597">
          <cell r="C1597" t="str">
            <v>220kV 275 Nhà Bè - 272 Bình Chánh</v>
          </cell>
          <cell r="D1597">
            <v>275</v>
          </cell>
          <cell r="E1597">
            <v>-41.9</v>
          </cell>
          <cell r="F1597">
            <v>-72.599999999999994</v>
          </cell>
          <cell r="G1597">
            <v>-58.8</v>
          </cell>
          <cell r="H1597">
            <v>-72.599999999999994</v>
          </cell>
          <cell r="I1597">
            <v>-63.9</v>
          </cell>
          <cell r="J1597">
            <v>-41.9</v>
          </cell>
          <cell r="K1597">
            <v>47.9</v>
          </cell>
          <cell r="L1597">
            <v>-69.2</v>
          </cell>
          <cell r="M1597">
            <v>-44.2</v>
          </cell>
        </row>
        <row r="1598">
          <cell r="C1598" t="str">
            <v>220kV 276 Nhà Bè - 271 Bình Chánh</v>
          </cell>
          <cell r="D1598">
            <v>276</v>
          </cell>
          <cell r="E1598">
            <v>-32.6</v>
          </cell>
          <cell r="F1598">
            <v>80</v>
          </cell>
          <cell r="G1598">
            <v>-45.3</v>
          </cell>
          <cell r="H1598">
            <v>44.7</v>
          </cell>
          <cell r="I1598">
            <v>58.1</v>
          </cell>
          <cell r="J1598">
            <v>-32.6</v>
          </cell>
          <cell r="K1598">
            <v>45</v>
          </cell>
          <cell r="L1598">
            <v>-44.9</v>
          </cell>
          <cell r="M1598">
            <v>80</v>
          </cell>
        </row>
        <row r="1599">
          <cell r="C1599" t="str">
            <v>220kV 277 Nhà Bè - 273 Tao Đàn</v>
          </cell>
          <cell r="D1599">
            <v>277</v>
          </cell>
          <cell r="E1599">
            <v>-29.4</v>
          </cell>
          <cell r="F1599">
            <v>-39.299999999999997</v>
          </cell>
          <cell r="G1599">
            <v>37.1</v>
          </cell>
          <cell r="H1599">
            <v>31.6</v>
          </cell>
          <cell r="I1599">
            <v>31.8</v>
          </cell>
          <cell r="J1599">
            <v>-37.9</v>
          </cell>
          <cell r="K1599">
            <v>-29.4</v>
          </cell>
          <cell r="L1599">
            <v>-39.299999999999997</v>
          </cell>
          <cell r="M1599">
            <v>-39.299999999999997</v>
          </cell>
        </row>
        <row r="1600">
          <cell r="C1600" t="str">
            <v>220kV 278 Nhà Bè - 272 Tao Đàn</v>
          </cell>
          <cell r="D1600">
            <v>278</v>
          </cell>
          <cell r="E1600">
            <v>-34.4</v>
          </cell>
          <cell r="F1600">
            <v>47.1</v>
          </cell>
          <cell r="G1600">
            <v>47.1</v>
          </cell>
          <cell r="H1600">
            <v>44.5</v>
          </cell>
          <cell r="I1600">
            <v>-46.6</v>
          </cell>
          <cell r="J1600">
            <v>-34.4</v>
          </cell>
          <cell r="K1600">
            <v>-47</v>
          </cell>
          <cell r="L1600">
            <v>-39.9</v>
          </cell>
          <cell r="M1600">
            <v>-38.4</v>
          </cell>
        </row>
        <row r="1601">
          <cell r="C1601" t="str">
            <v>Nhà Bè MBA T4 (phía 22kV)</v>
          </cell>
          <cell r="D1601">
            <v>434</v>
          </cell>
          <cell r="E1601">
            <v>4.2</v>
          </cell>
          <cell r="F1601">
            <v>4.5</v>
          </cell>
          <cell r="G1601">
            <v>4.2</v>
          </cell>
          <cell r="H1601">
            <v>4.2</v>
          </cell>
          <cell r="I1601">
            <v>4.2</v>
          </cell>
          <cell r="J1601">
            <v>4.5</v>
          </cell>
          <cell r="K1601">
            <v>4.3</v>
          </cell>
          <cell r="L1601">
            <v>4.3</v>
          </cell>
          <cell r="M1601">
            <v>4.2</v>
          </cell>
        </row>
        <row r="1602">
          <cell r="C1602" t="str">
            <v>Nhà Bè MBA T5 (phía 22kV)</v>
          </cell>
          <cell r="D1602">
            <v>435</v>
          </cell>
          <cell r="E1602">
            <v>2.8</v>
          </cell>
          <cell r="F1602">
            <v>3.2</v>
          </cell>
          <cell r="G1602">
            <v>3</v>
          </cell>
          <cell r="H1602">
            <v>2.8</v>
          </cell>
          <cell r="I1602">
            <v>3</v>
          </cell>
          <cell r="J1602">
            <v>3.1</v>
          </cell>
          <cell r="K1602">
            <v>2.9</v>
          </cell>
          <cell r="L1602">
            <v>3.2</v>
          </cell>
          <cell r="M1602">
            <v>2.9</v>
          </cell>
        </row>
        <row r="1603">
          <cell r="C1603" t="str">
            <v>Nhà Bè MBA AT6 (phía 500kV)</v>
          </cell>
          <cell r="D1603">
            <v>536</v>
          </cell>
          <cell r="E1603">
            <v>93.5</v>
          </cell>
          <cell r="F1603">
            <v>173.2</v>
          </cell>
          <cell r="G1603">
            <v>121.2</v>
          </cell>
          <cell r="H1603">
            <v>145.5</v>
          </cell>
          <cell r="I1603">
            <v>95.3</v>
          </cell>
          <cell r="J1603">
            <v>93.5</v>
          </cell>
          <cell r="K1603">
            <v>173.2</v>
          </cell>
          <cell r="L1603">
            <v>107.4</v>
          </cell>
          <cell r="M1603">
            <v>100.5</v>
          </cell>
        </row>
        <row r="1604">
          <cell r="C1604" t="str">
            <v>Nhà Bè MBA AT7 (phía 500kV)</v>
          </cell>
          <cell r="D1604">
            <v>537</v>
          </cell>
          <cell r="E1604">
            <v>90.1</v>
          </cell>
          <cell r="F1604">
            <v>173.2</v>
          </cell>
          <cell r="G1604">
            <v>123</v>
          </cell>
          <cell r="H1604">
            <v>143.80000000000001</v>
          </cell>
          <cell r="I1604">
            <v>90.1</v>
          </cell>
          <cell r="J1604">
            <v>95.3</v>
          </cell>
          <cell r="K1604">
            <v>173.2</v>
          </cell>
          <cell r="L1604">
            <v>102.2</v>
          </cell>
          <cell r="M1604">
            <v>95.3</v>
          </cell>
        </row>
        <row r="1605">
          <cell r="C1605" t="str">
            <v>Nha Mân MBA T1 (phía 110kV)</v>
          </cell>
          <cell r="D1605">
            <v>131</v>
          </cell>
          <cell r="E1605">
            <v>2.1</v>
          </cell>
          <cell r="F1605">
            <v>3.2</v>
          </cell>
          <cell r="G1605">
            <v>-3.2</v>
          </cell>
          <cell r="H1605">
            <v>3</v>
          </cell>
          <cell r="I1605">
            <v>3.2</v>
          </cell>
          <cell r="J1605">
            <v>2.1</v>
          </cell>
          <cell r="K1605">
            <v>3</v>
          </cell>
          <cell r="L1605">
            <v>2.5</v>
          </cell>
          <cell r="M1605">
            <v>-2.8</v>
          </cell>
        </row>
        <row r="1606">
          <cell r="C1606" t="str">
            <v>110kV 171 Nha Mân - 172 Sa Đéc</v>
          </cell>
          <cell r="D1606">
            <v>171</v>
          </cell>
          <cell r="E1606">
            <v>-0.5</v>
          </cell>
          <cell r="F1606">
            <v>-0.6</v>
          </cell>
          <cell r="G1606">
            <v>-0.6</v>
          </cell>
          <cell r="H1606">
            <v>-0.6</v>
          </cell>
          <cell r="I1606">
            <v>-0.6</v>
          </cell>
          <cell r="J1606">
            <v>-0.5</v>
          </cell>
          <cell r="K1606">
            <v>-0.5</v>
          </cell>
          <cell r="L1606">
            <v>-0.5</v>
          </cell>
          <cell r="M1606">
            <v>-0.5</v>
          </cell>
        </row>
        <row r="1607">
          <cell r="C1607" t="str">
            <v>110kV 172 Nha Mân - 172 Vĩnh Long 2</v>
          </cell>
          <cell r="D1607">
            <v>172</v>
          </cell>
          <cell r="E1607">
            <v>-2.2000000000000002</v>
          </cell>
          <cell r="F1607">
            <v>3.7</v>
          </cell>
          <cell r="G1607">
            <v>3.7</v>
          </cell>
          <cell r="H1607">
            <v>-2.5</v>
          </cell>
          <cell r="I1607">
            <v>-2.8</v>
          </cell>
          <cell r="J1607">
            <v>-2.2000000000000002</v>
          </cell>
          <cell r="K1607">
            <v>-2.5</v>
          </cell>
          <cell r="L1607">
            <v>2.2999999999999998</v>
          </cell>
          <cell r="M1607">
            <v>3.3</v>
          </cell>
        </row>
        <row r="1608">
          <cell r="C1608" t="str">
            <v>Nha Mân MBA T1 (phía 22kV)</v>
          </cell>
          <cell r="D1608">
            <v>431</v>
          </cell>
          <cell r="E1608">
            <v>2.5</v>
          </cell>
          <cell r="F1608">
            <v>4.0999999999999996</v>
          </cell>
          <cell r="G1608">
            <v>4.0999999999999996</v>
          </cell>
          <cell r="H1608">
            <v>2.6</v>
          </cell>
          <cell r="I1608">
            <v>-3</v>
          </cell>
          <cell r="J1608">
            <v>2.5</v>
          </cell>
          <cell r="K1608">
            <v>3</v>
          </cell>
          <cell r="L1608">
            <v>2.9</v>
          </cell>
          <cell r="M1608">
            <v>3.6</v>
          </cell>
        </row>
        <row r="1609">
          <cell r="C1609" t="str">
            <v>Nhơn Trạch 5 MBA T1 (phía 110kV)</v>
          </cell>
          <cell r="D1609">
            <v>131</v>
          </cell>
          <cell r="E1609">
            <v>6.4</v>
          </cell>
          <cell r="F1609">
            <v>13.2</v>
          </cell>
          <cell r="G1609">
            <v>11.3</v>
          </cell>
          <cell r="H1609">
            <v>11.8</v>
          </cell>
          <cell r="I1609">
            <v>11.2</v>
          </cell>
          <cell r="J1609">
            <v>6.4</v>
          </cell>
          <cell r="K1609">
            <v>13.2</v>
          </cell>
          <cell r="L1609">
            <v>11.5</v>
          </cell>
          <cell r="M1609">
            <v>13.1</v>
          </cell>
        </row>
        <row r="1610">
          <cell r="C1610" t="str">
            <v>Nhơn Trạch 5 MBA T2 (phía 110kV)</v>
          </cell>
          <cell r="D1610">
            <v>132</v>
          </cell>
          <cell r="E1610">
            <v>14.1</v>
          </cell>
          <cell r="F1610">
            <v>17.2</v>
          </cell>
          <cell r="G1610">
            <v>17.2</v>
          </cell>
          <cell r="H1610">
            <v>17.100000000000001</v>
          </cell>
          <cell r="I1610">
            <v>16.399999999999999</v>
          </cell>
          <cell r="J1610">
            <v>14.1</v>
          </cell>
          <cell r="K1610">
            <v>17.100000000000001</v>
          </cell>
          <cell r="L1610">
            <v>16.899999999999999</v>
          </cell>
          <cell r="M1610">
            <v>17.2</v>
          </cell>
        </row>
        <row r="1611">
          <cell r="C1611" t="str">
            <v>Nhơn Trạch 5 MBA T3 (phía 110kV)</v>
          </cell>
          <cell r="D1611">
            <v>133</v>
          </cell>
          <cell r="E1611">
            <v>14.5</v>
          </cell>
          <cell r="F1611">
            <v>21.6</v>
          </cell>
          <cell r="G1611">
            <v>21.6</v>
          </cell>
          <cell r="H1611">
            <v>20.7</v>
          </cell>
          <cell r="I1611">
            <v>20</v>
          </cell>
          <cell r="J1611">
            <v>14.5</v>
          </cell>
          <cell r="K1611">
            <v>20.5</v>
          </cell>
          <cell r="L1611">
            <v>21.1</v>
          </cell>
          <cell r="M1611">
            <v>21.6</v>
          </cell>
        </row>
        <row r="1612">
          <cell r="C1612" t="str">
            <v>110kV 171 Nhơn Trạch 5 - 171 Nhơn Trạch 6</v>
          </cell>
          <cell r="D1612">
            <v>171</v>
          </cell>
          <cell r="E1612">
            <v>-9.6</v>
          </cell>
          <cell r="F1612">
            <v>-11.3</v>
          </cell>
          <cell r="G1612">
            <v>-11.2</v>
          </cell>
          <cell r="H1612">
            <v>-11.3</v>
          </cell>
          <cell r="I1612">
            <v>-10.7</v>
          </cell>
          <cell r="J1612">
            <v>-9.6</v>
          </cell>
          <cell r="K1612">
            <v>-10.6</v>
          </cell>
          <cell r="L1612">
            <v>-10.8</v>
          </cell>
          <cell r="M1612">
            <v>-11.3</v>
          </cell>
        </row>
        <row r="1613">
          <cell r="C1613" t="str">
            <v>110kV 172 Nhơn Trạch 5 - 172 Long Thành</v>
          </cell>
          <cell r="D1613">
            <v>172</v>
          </cell>
          <cell r="E1613">
            <v>-24.6</v>
          </cell>
          <cell r="F1613">
            <v>-39.6</v>
          </cell>
          <cell r="G1613">
            <v>-38</v>
          </cell>
          <cell r="H1613">
            <v>-38.200000000000003</v>
          </cell>
          <cell r="I1613">
            <v>-35.299999999999997</v>
          </cell>
          <cell r="J1613">
            <v>-24.6</v>
          </cell>
          <cell r="K1613">
            <v>-39.1</v>
          </cell>
          <cell r="L1613">
            <v>-38.1</v>
          </cell>
          <cell r="M1613">
            <v>-39.6</v>
          </cell>
        </row>
        <row r="1614">
          <cell r="C1614" t="str">
            <v>Nhơn Trạch 5 MBA T1 (phía 22kV)</v>
          </cell>
          <cell r="D1614">
            <v>431</v>
          </cell>
          <cell r="E1614">
            <v>-5.3</v>
          </cell>
          <cell r="F1614">
            <v>-11</v>
          </cell>
          <cell r="G1614">
            <v>-9.1999999999999993</v>
          </cell>
          <cell r="H1614">
            <v>-9.6999999999999993</v>
          </cell>
          <cell r="I1614">
            <v>-9.1999999999999993</v>
          </cell>
          <cell r="J1614">
            <v>-5.3</v>
          </cell>
          <cell r="K1614">
            <v>-11</v>
          </cell>
          <cell r="L1614">
            <v>-9.1999999999999993</v>
          </cell>
          <cell r="M1614">
            <v>-10.8</v>
          </cell>
        </row>
        <row r="1615">
          <cell r="C1615" t="str">
            <v>Nhơn Trạch 5 MBA T2 (phía 22kV)</v>
          </cell>
          <cell r="D1615">
            <v>432</v>
          </cell>
          <cell r="E1615">
            <v>-10.6</v>
          </cell>
          <cell r="F1615">
            <v>-13.2</v>
          </cell>
          <cell r="G1615">
            <v>-13</v>
          </cell>
          <cell r="H1615">
            <v>-13</v>
          </cell>
          <cell r="I1615">
            <v>-12.4</v>
          </cell>
          <cell r="J1615">
            <v>-10.6</v>
          </cell>
          <cell r="K1615">
            <v>-13.2</v>
          </cell>
          <cell r="L1615">
            <v>-12.9</v>
          </cell>
          <cell r="M1615">
            <v>-13.1</v>
          </cell>
        </row>
        <row r="1616">
          <cell r="C1616" t="str">
            <v>Nhơn Trạch 5 MBA T3 (phía 22kV)</v>
          </cell>
          <cell r="D1616">
            <v>433</v>
          </cell>
          <cell r="E1616">
            <v>-11.9</v>
          </cell>
          <cell r="F1616">
            <v>-17.600000000000001</v>
          </cell>
          <cell r="G1616">
            <v>-17.399999999999999</v>
          </cell>
          <cell r="H1616">
            <v>-16.7</v>
          </cell>
          <cell r="I1616">
            <v>-16</v>
          </cell>
          <cell r="J1616">
            <v>-11.9</v>
          </cell>
          <cell r="K1616">
            <v>-16.5</v>
          </cell>
          <cell r="L1616">
            <v>-16.899999999999999</v>
          </cell>
          <cell r="M1616">
            <v>-17.600000000000001</v>
          </cell>
        </row>
        <row r="1617">
          <cell r="C1617" t="str">
            <v>Nhơn Trạch 6 MBA T1 (phía 110kV)</v>
          </cell>
          <cell r="D1617">
            <v>131</v>
          </cell>
          <cell r="E1617">
            <v>0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</row>
        <row r="1618">
          <cell r="C1618" t="str">
            <v>Nhơn Trạch 6 MBA T2 (phía 110kV)</v>
          </cell>
          <cell r="D1618">
            <v>132</v>
          </cell>
          <cell r="E1618">
            <v>9</v>
          </cell>
          <cell r="F1618">
            <v>21.3</v>
          </cell>
          <cell r="G1618">
            <v>19.600000000000001</v>
          </cell>
          <cell r="H1618">
            <v>21.3</v>
          </cell>
          <cell r="I1618">
            <v>19.2</v>
          </cell>
          <cell r="J1618">
            <v>9</v>
          </cell>
          <cell r="K1618">
            <v>20.3</v>
          </cell>
          <cell r="L1618">
            <v>20.2</v>
          </cell>
          <cell r="M1618">
            <v>20.6</v>
          </cell>
        </row>
        <row r="1619">
          <cell r="C1619" t="str">
            <v>110kV 171 Nhơn Trạch 6 - 171 Nhơn Trạch 5</v>
          </cell>
          <cell r="D1619">
            <v>171</v>
          </cell>
          <cell r="E1619">
            <v>8.4</v>
          </cell>
          <cell r="F1619">
            <v>10.8</v>
          </cell>
          <cell r="G1619">
            <v>10.8</v>
          </cell>
          <cell r="H1619">
            <v>10.8</v>
          </cell>
          <cell r="I1619">
            <v>9.6</v>
          </cell>
          <cell r="J1619">
            <v>8.4</v>
          </cell>
          <cell r="K1619">
            <v>9.6</v>
          </cell>
          <cell r="L1619">
            <v>9.6</v>
          </cell>
          <cell r="M1619">
            <v>10.8</v>
          </cell>
        </row>
        <row r="1620">
          <cell r="C1620" t="str">
            <v>110kV 172 Nhơn Trạch 6 - 177 Long Thành</v>
          </cell>
          <cell r="D1620">
            <v>172</v>
          </cell>
          <cell r="E1620">
            <v>-18.2</v>
          </cell>
          <cell r="F1620">
            <v>-30.8</v>
          </cell>
          <cell r="G1620">
            <v>-29.7</v>
          </cell>
          <cell r="H1620">
            <v>-30.8</v>
          </cell>
          <cell r="I1620">
            <v>-27.9</v>
          </cell>
          <cell r="J1620">
            <v>-18.2</v>
          </cell>
          <cell r="K1620">
            <v>-29.9</v>
          </cell>
          <cell r="L1620">
            <v>-29.5</v>
          </cell>
          <cell r="M1620">
            <v>-30.3</v>
          </cell>
        </row>
        <row r="1621">
          <cell r="C1621" t="str">
            <v>Nhơn Trạch 6 MBA T1 (phía 22kV)</v>
          </cell>
          <cell r="D1621">
            <v>431</v>
          </cell>
          <cell r="E1621">
            <v>0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</row>
        <row r="1622">
          <cell r="C1622" t="str">
            <v>Nhơn Trạch 6 MBA T2 (phía 22kV)</v>
          </cell>
          <cell r="D1622">
            <v>432</v>
          </cell>
          <cell r="E1622">
            <v>-6.9</v>
          </cell>
          <cell r="F1622">
            <v>-15.9</v>
          </cell>
          <cell r="G1622">
            <v>-14.8</v>
          </cell>
          <cell r="H1622">
            <v>-15.9</v>
          </cell>
          <cell r="I1622">
            <v>-14.6</v>
          </cell>
          <cell r="J1622">
            <v>-6.9</v>
          </cell>
          <cell r="K1622">
            <v>-15.4</v>
          </cell>
          <cell r="L1622">
            <v>-15.1</v>
          </cell>
          <cell r="M1622">
            <v>-15.3</v>
          </cell>
        </row>
        <row r="1623">
          <cell r="C1623" t="str">
            <v>Ninh Hải MBA T1(phía 110kV)</v>
          </cell>
          <cell r="D1623">
            <v>131</v>
          </cell>
          <cell r="E1623">
            <v>1</v>
          </cell>
          <cell r="F1623">
            <v>-2.5</v>
          </cell>
          <cell r="G1623">
            <v>-1.7</v>
          </cell>
          <cell r="H1623">
            <v>-1.5</v>
          </cell>
          <cell r="I1623">
            <v>1</v>
          </cell>
          <cell r="J1623">
            <v>-1.5</v>
          </cell>
          <cell r="K1623">
            <v>-1.5</v>
          </cell>
          <cell r="L1623">
            <v>-2</v>
          </cell>
          <cell r="M1623">
            <v>-2.5</v>
          </cell>
        </row>
        <row r="1624">
          <cell r="C1624" t="str">
            <v>Ninh Hải MBA T2 (phía 110kV)</v>
          </cell>
          <cell r="D1624">
            <v>132</v>
          </cell>
          <cell r="E1624">
            <v>-1.1000000000000001</v>
          </cell>
          <cell r="F1624">
            <v>-2</v>
          </cell>
          <cell r="G1624">
            <v>-1.3</v>
          </cell>
          <cell r="H1624">
            <v>-1.1000000000000001</v>
          </cell>
          <cell r="I1624">
            <v>1.1000000000000001</v>
          </cell>
          <cell r="J1624">
            <v>-1.1000000000000001</v>
          </cell>
          <cell r="K1624">
            <v>-1.1000000000000001</v>
          </cell>
          <cell r="L1624">
            <v>-1.5</v>
          </cell>
          <cell r="M1624">
            <v>-2</v>
          </cell>
        </row>
        <row r="1625">
          <cell r="C1625" t="str">
            <v>110kV 171 Ninh Hải - 171 NMĐ Gió Đầm Nại</v>
          </cell>
          <cell r="D1625">
            <v>171</v>
          </cell>
          <cell r="E1625">
            <v>-4.2</v>
          </cell>
          <cell r="F1625">
            <v>7.2</v>
          </cell>
          <cell r="G1625">
            <v>-4.5999999999999996</v>
          </cell>
          <cell r="H1625">
            <v>-6.4</v>
          </cell>
          <cell r="I1625">
            <v>-7.2</v>
          </cell>
          <cell r="J1625">
            <v>-4.2</v>
          </cell>
          <cell r="K1625">
            <v>5.5</v>
          </cell>
          <cell r="L1625">
            <v>5.5</v>
          </cell>
          <cell r="M1625">
            <v>7.2</v>
          </cell>
        </row>
        <row r="1626">
          <cell r="C1626" t="str">
            <v>110kV 172 Ninh Hải - 172 NMĐ MT Solar Farm Nhơn Hải</v>
          </cell>
          <cell r="D1626">
            <v>172</v>
          </cell>
          <cell r="E1626">
            <v>-2.7</v>
          </cell>
          <cell r="F1626">
            <v>6.2</v>
          </cell>
          <cell r="G1626">
            <v>4.0999999999999996</v>
          </cell>
          <cell r="H1626">
            <v>5.7</v>
          </cell>
          <cell r="I1626">
            <v>6.2</v>
          </cell>
          <cell r="J1626">
            <v>6</v>
          </cell>
          <cell r="K1626">
            <v>-2.9</v>
          </cell>
          <cell r="L1626">
            <v>-2.7</v>
          </cell>
          <cell r="M1626">
            <v>4.4000000000000004</v>
          </cell>
        </row>
        <row r="1627">
          <cell r="C1627" t="str">
            <v>Ninh Hải MBA T1 (phía 22kV)</v>
          </cell>
          <cell r="D1627">
            <v>431</v>
          </cell>
          <cell r="E1627">
            <v>1.6</v>
          </cell>
          <cell r="F1627">
            <v>3</v>
          </cell>
          <cell r="G1627">
            <v>2.2999999999999998</v>
          </cell>
          <cell r="H1627">
            <v>2</v>
          </cell>
          <cell r="I1627">
            <v>1.6</v>
          </cell>
          <cell r="J1627">
            <v>2.2000000000000002</v>
          </cell>
          <cell r="K1627">
            <v>2</v>
          </cell>
          <cell r="L1627">
            <v>2.4</v>
          </cell>
          <cell r="M1627">
            <v>3</v>
          </cell>
        </row>
        <row r="1628">
          <cell r="C1628" t="str">
            <v>Ninh Hải MBA T2 (phía 22kV)</v>
          </cell>
          <cell r="D1628">
            <v>432</v>
          </cell>
          <cell r="E1628">
            <v>1.4</v>
          </cell>
          <cell r="F1628">
            <v>2.4</v>
          </cell>
          <cell r="G1628">
            <v>1.7</v>
          </cell>
          <cell r="H1628">
            <v>1.5</v>
          </cell>
          <cell r="I1628">
            <v>1.4</v>
          </cell>
          <cell r="J1628">
            <v>1.7</v>
          </cell>
          <cell r="K1628">
            <v>1.6</v>
          </cell>
          <cell r="L1628">
            <v>1.9</v>
          </cell>
          <cell r="M1628">
            <v>2.4</v>
          </cell>
        </row>
        <row r="1629">
          <cell r="C1629" t="str">
            <v>Ninh Phước MBA T1 (phía 110kV)</v>
          </cell>
          <cell r="D1629">
            <v>131</v>
          </cell>
          <cell r="E1629">
            <v>-0.8</v>
          </cell>
          <cell r="F1629">
            <v>1.4</v>
          </cell>
          <cell r="G1629">
            <v>1.1000000000000001</v>
          </cell>
          <cell r="H1629">
            <v>1.4</v>
          </cell>
          <cell r="I1629">
            <v>1</v>
          </cell>
          <cell r="J1629">
            <v>0.8</v>
          </cell>
          <cell r="K1629">
            <v>1</v>
          </cell>
          <cell r="L1629">
            <v>-0.8</v>
          </cell>
          <cell r="M1629">
            <v>-1</v>
          </cell>
        </row>
        <row r="1630">
          <cell r="C1630" t="str">
            <v>Ninh Phước MBA T2 (phía 110kV)</v>
          </cell>
          <cell r="D1630">
            <v>132</v>
          </cell>
          <cell r="E1630">
            <v>-0.9</v>
          </cell>
          <cell r="F1630">
            <v>-1.5</v>
          </cell>
          <cell r="G1630">
            <v>-0.9</v>
          </cell>
          <cell r="H1630">
            <v>1</v>
          </cell>
          <cell r="I1630">
            <v>-1</v>
          </cell>
          <cell r="J1630">
            <v>-1.2</v>
          </cell>
          <cell r="K1630">
            <v>-1.3</v>
          </cell>
          <cell r="L1630">
            <v>-1.5</v>
          </cell>
          <cell r="M1630">
            <v>-1.5</v>
          </cell>
        </row>
        <row r="1631">
          <cell r="C1631" t="str">
            <v>110kV 171 Ninh Phước - 176 trạm cắt Hậu Sanh</v>
          </cell>
          <cell r="D1631">
            <v>171</v>
          </cell>
          <cell r="E1631">
            <v>1.7</v>
          </cell>
          <cell r="F1631">
            <v>-8.4</v>
          </cell>
          <cell r="G1631">
            <v>-8.4</v>
          </cell>
          <cell r="H1631">
            <v>-2.4</v>
          </cell>
          <cell r="I1631">
            <v>4.8</v>
          </cell>
          <cell r="J1631">
            <v>-2.1</v>
          </cell>
          <cell r="K1631">
            <v>1.7</v>
          </cell>
          <cell r="L1631">
            <v>2.5</v>
          </cell>
          <cell r="M1631">
            <v>2.4</v>
          </cell>
        </row>
        <row r="1632">
          <cell r="C1632" t="str">
            <v>110kV 172 Ninh Phước - 177 trạm cắt Hậu Sanh</v>
          </cell>
          <cell r="D1632">
            <v>172</v>
          </cell>
          <cell r="E1632">
            <v>1.8</v>
          </cell>
          <cell r="F1632">
            <v>-8.4</v>
          </cell>
          <cell r="G1632">
            <v>-8.4</v>
          </cell>
          <cell r="H1632">
            <v>-2.6</v>
          </cell>
          <cell r="I1632">
            <v>3.9</v>
          </cell>
          <cell r="J1632">
            <v>-2.5</v>
          </cell>
          <cell r="K1632">
            <v>1.8</v>
          </cell>
          <cell r="L1632">
            <v>2.6</v>
          </cell>
          <cell r="M1632">
            <v>2.5</v>
          </cell>
        </row>
        <row r="1633">
          <cell r="C1633" t="str">
            <v>110kV 174 Ninh Phước - 171 NMĐ MT Phước Hữu</v>
          </cell>
          <cell r="D1633">
            <v>174</v>
          </cell>
          <cell r="E1633">
            <v>1.5</v>
          </cell>
          <cell r="F1633">
            <v>15.8</v>
          </cell>
          <cell r="G1633">
            <v>15.8</v>
          </cell>
          <cell r="H1633">
            <v>3.9</v>
          </cell>
          <cell r="I1633">
            <v>-8.1999999999999993</v>
          </cell>
          <cell r="J1633">
            <v>6.4</v>
          </cell>
          <cell r="K1633">
            <v>1.9</v>
          </cell>
          <cell r="L1633">
            <v>1.5</v>
          </cell>
          <cell r="M1633">
            <v>3.4</v>
          </cell>
        </row>
        <row r="1634">
          <cell r="C1634" t="str">
            <v>110kV 176 Ninh Phước - 171 NMĐ MT SP Infra 1</v>
          </cell>
          <cell r="D1634">
            <v>176</v>
          </cell>
          <cell r="E1634">
            <v>-1.3</v>
          </cell>
          <cell r="F1634">
            <v>2.2999999999999998</v>
          </cell>
          <cell r="G1634">
            <v>-1.4</v>
          </cell>
          <cell r="H1634">
            <v>-1.4</v>
          </cell>
          <cell r="I1634">
            <v>-1.4</v>
          </cell>
          <cell r="J1634">
            <v>-1.3</v>
          </cell>
          <cell r="K1634">
            <v>-1.4</v>
          </cell>
          <cell r="L1634">
            <v>-1.5</v>
          </cell>
          <cell r="M1634">
            <v>2.2999999999999998</v>
          </cell>
        </row>
        <row r="1635">
          <cell r="C1635" t="str">
            <v>Ninh Phước MBA T1 (phía 22kV)</v>
          </cell>
          <cell r="D1635">
            <v>431</v>
          </cell>
          <cell r="E1635">
            <v>0.9</v>
          </cell>
          <cell r="F1635">
            <v>1.4</v>
          </cell>
          <cell r="G1635">
            <v>-1</v>
          </cell>
          <cell r="H1635">
            <v>-1.4</v>
          </cell>
          <cell r="I1635">
            <v>-1</v>
          </cell>
          <cell r="J1635">
            <v>0.9</v>
          </cell>
          <cell r="K1635">
            <v>0.9</v>
          </cell>
          <cell r="L1635">
            <v>1.4</v>
          </cell>
          <cell r="M1635">
            <v>1.3</v>
          </cell>
        </row>
        <row r="1636">
          <cell r="C1636" t="str">
            <v>Ninh Phước MBA T2 (phía 22kV)</v>
          </cell>
          <cell r="D1636">
            <v>432</v>
          </cell>
          <cell r="E1636">
            <v>1.4</v>
          </cell>
          <cell r="F1636">
            <v>2.1</v>
          </cell>
          <cell r="G1636">
            <v>1.6</v>
          </cell>
          <cell r="H1636">
            <v>1.4</v>
          </cell>
          <cell r="I1636">
            <v>1.6</v>
          </cell>
          <cell r="J1636">
            <v>1.4</v>
          </cell>
          <cell r="K1636">
            <v>1.4</v>
          </cell>
          <cell r="L1636">
            <v>2.1</v>
          </cell>
          <cell r="M1636">
            <v>2</v>
          </cell>
        </row>
        <row r="1637">
          <cell r="C1637" t="str">
            <v>Ninh Phước 2 MBA AT1 (phía 110kV)</v>
          </cell>
          <cell r="D1637">
            <v>131</v>
          </cell>
          <cell r="E1637">
            <v>5.8</v>
          </cell>
          <cell r="F1637">
            <v>-9.9</v>
          </cell>
          <cell r="G1637">
            <v>-9.9</v>
          </cell>
          <cell r="H1637">
            <v>5.8</v>
          </cell>
          <cell r="I1637">
            <v>7</v>
          </cell>
          <cell r="J1637">
            <v>-8.9</v>
          </cell>
          <cell r="K1637">
            <v>6.9</v>
          </cell>
          <cell r="L1637">
            <v>7.7</v>
          </cell>
          <cell r="M1637">
            <v>-8.6999999999999993</v>
          </cell>
        </row>
        <row r="1638">
          <cell r="C1638" t="str">
            <v>Ninh Phước 2 MBA AT2 (phía 110kV)</v>
          </cell>
          <cell r="D1638">
            <v>132</v>
          </cell>
          <cell r="E1638">
            <v>5.8</v>
          </cell>
          <cell r="F1638">
            <v>-9.6999999999999993</v>
          </cell>
          <cell r="G1638">
            <v>-9.6999999999999993</v>
          </cell>
          <cell r="H1638">
            <v>5.8</v>
          </cell>
          <cell r="I1638">
            <v>7.1</v>
          </cell>
          <cell r="J1638">
            <v>-8.6999999999999993</v>
          </cell>
          <cell r="K1638">
            <v>7</v>
          </cell>
          <cell r="L1638">
            <v>7.7</v>
          </cell>
          <cell r="M1638">
            <v>-8.4</v>
          </cell>
        </row>
        <row r="1639">
          <cell r="C1639" t="str">
            <v>Ninh Phước 2 MBA AT1 (phía 220kV)</v>
          </cell>
          <cell r="D1639">
            <v>231</v>
          </cell>
          <cell r="E1639">
            <v>-7.2</v>
          </cell>
          <cell r="F1639">
            <v>30.6</v>
          </cell>
          <cell r="G1639">
            <v>26.6</v>
          </cell>
          <cell r="H1639">
            <v>25</v>
          </cell>
          <cell r="I1639">
            <v>23</v>
          </cell>
          <cell r="J1639">
            <v>19.399999999999999</v>
          </cell>
          <cell r="K1639">
            <v>-7.2</v>
          </cell>
          <cell r="L1639">
            <v>-7.5</v>
          </cell>
          <cell r="M1639">
            <v>30.6</v>
          </cell>
        </row>
        <row r="1640">
          <cell r="C1640" t="str">
            <v>Ninh Phước 2 MBA AT2 (phía 220kV)</v>
          </cell>
          <cell r="D1640">
            <v>232</v>
          </cell>
          <cell r="E1640">
            <v>-6.9</v>
          </cell>
          <cell r="F1640">
            <v>33</v>
          </cell>
          <cell r="G1640">
            <v>26.5</v>
          </cell>
          <cell r="H1640">
            <v>25.3</v>
          </cell>
          <cell r="I1640">
            <v>23.1</v>
          </cell>
          <cell r="J1640">
            <v>19.2</v>
          </cell>
          <cell r="K1640">
            <v>-6.9</v>
          </cell>
          <cell r="L1640">
            <v>-7.7</v>
          </cell>
          <cell r="M1640">
            <v>33</v>
          </cell>
        </row>
        <row r="1641">
          <cell r="C1641" t="str">
            <v>220kV 273 Ninh Phước 2 - 272 NMĐ MT Phước Thái 1</v>
          </cell>
          <cell r="D1641">
            <v>273</v>
          </cell>
          <cell r="E1641">
            <v>-13.2</v>
          </cell>
          <cell r="F1641">
            <v>-30.4</v>
          </cell>
          <cell r="G1641">
            <v>-30.4</v>
          </cell>
          <cell r="H1641">
            <v>-23.2</v>
          </cell>
          <cell r="I1641">
            <v>-17.899999999999999</v>
          </cell>
          <cell r="J1641">
            <v>-23.7</v>
          </cell>
          <cell r="K1641">
            <v>-22.6</v>
          </cell>
          <cell r="L1641">
            <v>-13.2</v>
          </cell>
          <cell r="M1641">
            <v>-22</v>
          </cell>
        </row>
        <row r="1642">
          <cell r="C1642" t="str">
            <v>220kV 276 Ninh Phước 2 - 276 Thuận Nam 500</v>
          </cell>
          <cell r="D1642">
            <v>276</v>
          </cell>
          <cell r="E1642">
            <v>27.9</v>
          </cell>
          <cell r="F1642">
            <v>-46</v>
          </cell>
          <cell r="G1642">
            <v>41.6</v>
          </cell>
          <cell r="H1642">
            <v>-35.200000000000003</v>
          </cell>
          <cell r="I1642">
            <v>-34.700000000000003</v>
          </cell>
          <cell r="J1642">
            <v>27.9</v>
          </cell>
          <cell r="K1642">
            <v>32.9</v>
          </cell>
          <cell r="L1642">
            <v>28</v>
          </cell>
          <cell r="M1642">
            <v>-46</v>
          </cell>
        </row>
        <row r="1643">
          <cell r="C1643" t="str">
            <v>Ninh Sơn MBA T1 (phía 110kV)</v>
          </cell>
          <cell r="D1643">
            <v>131</v>
          </cell>
          <cell r="E1643">
            <v>-1.4</v>
          </cell>
          <cell r="F1643">
            <v>-2.4</v>
          </cell>
          <cell r="G1643">
            <v>-1.9</v>
          </cell>
          <cell r="H1643">
            <v>-1.9</v>
          </cell>
          <cell r="I1643">
            <v>-2.2999999999999998</v>
          </cell>
          <cell r="J1643">
            <v>-2</v>
          </cell>
          <cell r="K1643">
            <v>-1.4</v>
          </cell>
          <cell r="L1643">
            <v>1.5</v>
          </cell>
          <cell r="M1643">
            <v>-2.4</v>
          </cell>
        </row>
        <row r="1644">
          <cell r="C1644" t="str">
            <v>Ninh Sơn MBA T2 (phía 110kV)</v>
          </cell>
          <cell r="D1644">
            <v>132</v>
          </cell>
          <cell r="E1644">
            <v>-0.8</v>
          </cell>
          <cell r="F1644">
            <v>1.5</v>
          </cell>
          <cell r="G1644">
            <v>1.5</v>
          </cell>
          <cell r="H1644">
            <v>1.4</v>
          </cell>
          <cell r="I1644">
            <v>1.4</v>
          </cell>
          <cell r="J1644">
            <v>1.5</v>
          </cell>
          <cell r="K1644">
            <v>-0.8</v>
          </cell>
          <cell r="L1644">
            <v>-0.9</v>
          </cell>
          <cell r="M1644">
            <v>-0.9</v>
          </cell>
        </row>
        <row r="1645">
          <cell r="C1645" t="str">
            <v>110kV 171 Ninh Sơn - 172 NMĐ MT CMX</v>
          </cell>
          <cell r="D1645">
            <v>171</v>
          </cell>
          <cell r="E1645">
            <v>-1</v>
          </cell>
          <cell r="F1645">
            <v>11.8</v>
          </cell>
          <cell r="G1645">
            <v>11.8</v>
          </cell>
          <cell r="H1645">
            <v>4.9000000000000004</v>
          </cell>
          <cell r="I1645">
            <v>11.8</v>
          </cell>
          <cell r="J1645">
            <v>7.5</v>
          </cell>
          <cell r="K1645">
            <v>-1</v>
          </cell>
          <cell r="L1645">
            <v>10.9</v>
          </cell>
          <cell r="M1645">
            <v>6.2</v>
          </cell>
        </row>
        <row r="1646">
          <cell r="C1646" t="str">
            <v>110kV 172 Ninh Sơn - 172 NMĐ Hạ Sông Pha</v>
          </cell>
          <cell r="D1646">
            <v>172</v>
          </cell>
          <cell r="E1646">
            <v>2.4</v>
          </cell>
          <cell r="F1646">
            <v>-12.6</v>
          </cell>
          <cell r="G1646">
            <v>-12.4</v>
          </cell>
          <cell r="H1646">
            <v>-5.7</v>
          </cell>
          <cell r="I1646">
            <v>-11.9</v>
          </cell>
          <cell r="J1646">
            <v>-8.1</v>
          </cell>
          <cell r="K1646">
            <v>2.4</v>
          </cell>
          <cell r="L1646">
            <v>-12.6</v>
          </cell>
          <cell r="M1646">
            <v>-6.5</v>
          </cell>
        </row>
        <row r="1647">
          <cell r="C1647" t="str">
            <v>Ninh Sơn MBA T1 (phía 22kV)</v>
          </cell>
          <cell r="D1647">
            <v>431</v>
          </cell>
          <cell r="E1647">
            <v>2</v>
          </cell>
          <cell r="F1647">
            <v>2.7</v>
          </cell>
          <cell r="G1647">
            <v>2.4</v>
          </cell>
          <cell r="H1647">
            <v>2.5</v>
          </cell>
          <cell r="I1647">
            <v>2.5</v>
          </cell>
          <cell r="J1647">
            <v>2.2000000000000002</v>
          </cell>
          <cell r="K1647">
            <v>2</v>
          </cell>
          <cell r="L1647">
            <v>2</v>
          </cell>
          <cell r="M1647">
            <v>2.7</v>
          </cell>
        </row>
        <row r="1648">
          <cell r="C1648" t="str">
            <v>Ninh Sơn MBA T2 (phía 22kV)</v>
          </cell>
          <cell r="D1648">
            <v>432</v>
          </cell>
          <cell r="E1648">
            <v>1</v>
          </cell>
          <cell r="F1648">
            <v>-1.4</v>
          </cell>
          <cell r="G1648">
            <v>-1.4</v>
          </cell>
          <cell r="H1648">
            <v>-1.3</v>
          </cell>
          <cell r="I1648">
            <v>-1.3</v>
          </cell>
          <cell r="J1648">
            <v>-1.4</v>
          </cell>
          <cell r="K1648">
            <v>1</v>
          </cell>
          <cell r="L1648">
            <v>1.1000000000000001</v>
          </cell>
          <cell r="M1648">
            <v>1.1000000000000001</v>
          </cell>
        </row>
        <row r="1649">
          <cell r="C1649" t="str">
            <v>Ninh Thuận 1 MBA T1 (phía 110kV)</v>
          </cell>
          <cell r="D1649">
            <v>131</v>
          </cell>
          <cell r="E1649">
            <v>1.8</v>
          </cell>
          <cell r="F1649">
            <v>2.2000000000000002</v>
          </cell>
          <cell r="G1649">
            <v>2.2000000000000002</v>
          </cell>
          <cell r="H1649">
            <v>2.1</v>
          </cell>
          <cell r="I1649">
            <v>1.9</v>
          </cell>
          <cell r="J1649">
            <v>2</v>
          </cell>
          <cell r="K1649">
            <v>1.8</v>
          </cell>
          <cell r="L1649">
            <v>1.8</v>
          </cell>
          <cell r="M1649">
            <v>1.8</v>
          </cell>
        </row>
        <row r="1650">
          <cell r="C1650" t="str">
            <v>110kV 171 Ninh Thuận 1 - 171 NMĐ MT Hồ Bàu Ngứ</v>
          </cell>
          <cell r="D1650">
            <v>171</v>
          </cell>
          <cell r="E1650">
            <v>0</v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</row>
        <row r="1651">
          <cell r="C1651" t="str">
            <v>110kV 172 Ninh Thuận 1 - 174 Tháp Chàm</v>
          </cell>
          <cell r="D1651">
            <v>172</v>
          </cell>
          <cell r="E1651">
            <v>-1.6</v>
          </cell>
          <cell r="F1651">
            <v>-4.7</v>
          </cell>
          <cell r="G1651">
            <v>-2.9</v>
          </cell>
          <cell r="H1651">
            <v>-2.8</v>
          </cell>
          <cell r="I1651">
            <v>2.1</v>
          </cell>
          <cell r="J1651">
            <v>-1.9</v>
          </cell>
          <cell r="K1651">
            <v>-1.8</v>
          </cell>
          <cell r="L1651">
            <v>-1.6</v>
          </cell>
          <cell r="M1651">
            <v>-4.7</v>
          </cell>
        </row>
        <row r="1652">
          <cell r="C1652" t="str">
            <v>110kV 173 Ninh Thuận 1 - (171-7) NMĐ MT Gelex</v>
          </cell>
          <cell r="D1652">
            <v>173</v>
          </cell>
          <cell r="E1652">
            <v>-0.2</v>
          </cell>
          <cell r="F1652">
            <v>4.2</v>
          </cell>
          <cell r="G1652">
            <v>-2</v>
          </cell>
          <cell r="H1652">
            <v>1.3</v>
          </cell>
          <cell r="I1652">
            <v>-3</v>
          </cell>
          <cell r="J1652">
            <v>-0.5</v>
          </cell>
          <cell r="K1652">
            <v>-0.2</v>
          </cell>
          <cell r="L1652">
            <v>-0.2</v>
          </cell>
          <cell r="M1652">
            <v>4.2</v>
          </cell>
        </row>
        <row r="1653">
          <cell r="C1653" t="str">
            <v>Ninh Thuận 1 MBA T1 (phía 22kV)</v>
          </cell>
          <cell r="D1653">
            <v>431</v>
          </cell>
          <cell r="E1653">
            <v>-1.3</v>
          </cell>
          <cell r="F1653">
            <v>-1.7</v>
          </cell>
          <cell r="G1653">
            <v>-1.6</v>
          </cell>
          <cell r="H1653">
            <v>-1.7</v>
          </cell>
          <cell r="I1653">
            <v>-1.7</v>
          </cell>
          <cell r="J1653">
            <v>-1.5</v>
          </cell>
          <cell r="K1653">
            <v>-1.4</v>
          </cell>
          <cell r="L1653">
            <v>-1.3</v>
          </cell>
          <cell r="M1653">
            <v>-1.6</v>
          </cell>
        </row>
        <row r="1654">
          <cell r="C1654" t="str">
            <v>NM Nước Thủ Đức MBA T1 (phía 110kV)</v>
          </cell>
          <cell r="D1654">
            <v>131</v>
          </cell>
          <cell r="E1654">
            <v>1.4</v>
          </cell>
          <cell r="F1654">
            <v>2.4</v>
          </cell>
          <cell r="G1654">
            <v>2.4</v>
          </cell>
          <cell r="H1654">
            <v>1.5</v>
          </cell>
          <cell r="I1654">
            <v>1.4</v>
          </cell>
          <cell r="J1654">
            <v>1.7</v>
          </cell>
          <cell r="K1654">
            <v>1.7</v>
          </cell>
          <cell r="L1654">
            <v>1.7</v>
          </cell>
          <cell r="M1654">
            <v>1.8</v>
          </cell>
        </row>
        <row r="1655">
          <cell r="C1655" t="str">
            <v>NM Nước Thủ Đức MBA T2 (phía 110kV)</v>
          </cell>
          <cell r="D1655">
            <v>132</v>
          </cell>
          <cell r="E1655">
            <v>-1.1000000000000001</v>
          </cell>
          <cell r="F1655">
            <v>-2.2999999999999998</v>
          </cell>
          <cell r="G1655">
            <v>-1.7</v>
          </cell>
          <cell r="H1655">
            <v>-1.1000000000000001</v>
          </cell>
          <cell r="I1655">
            <v>-1.4</v>
          </cell>
          <cell r="J1655">
            <v>1.5</v>
          </cell>
          <cell r="K1655">
            <v>-1.8</v>
          </cell>
          <cell r="L1655">
            <v>-1.5</v>
          </cell>
          <cell r="M1655">
            <v>-2.2999999999999998</v>
          </cell>
        </row>
        <row r="1656">
          <cell r="C1656" t="str">
            <v>110kV 171 NM Nước Thủ Đức - 172 Linh Trung 1</v>
          </cell>
          <cell r="D1656">
            <v>171</v>
          </cell>
          <cell r="E1656">
            <v>-10.8</v>
          </cell>
          <cell r="F1656">
            <v>17.2</v>
          </cell>
          <cell r="G1656">
            <v>17.100000000000001</v>
          </cell>
          <cell r="H1656">
            <v>15.2</v>
          </cell>
          <cell r="I1656">
            <v>16.399999999999999</v>
          </cell>
          <cell r="J1656">
            <v>-10.8</v>
          </cell>
          <cell r="K1656">
            <v>-12.4</v>
          </cell>
          <cell r="L1656">
            <v>16.100000000000001</v>
          </cell>
          <cell r="M1656">
            <v>17.2</v>
          </cell>
        </row>
        <row r="1657">
          <cell r="C1657" t="str">
            <v>110kV 172 NM Nước Thủ Đức - 179 Thủ Đức</v>
          </cell>
          <cell r="D1657">
            <v>172</v>
          </cell>
          <cell r="E1657">
            <v>11.1</v>
          </cell>
          <cell r="F1657">
            <v>-19.100000000000001</v>
          </cell>
          <cell r="G1657">
            <v>-18.100000000000001</v>
          </cell>
          <cell r="H1657">
            <v>-17.100000000000001</v>
          </cell>
          <cell r="I1657">
            <v>-18.100000000000001</v>
          </cell>
          <cell r="J1657">
            <v>11.1</v>
          </cell>
          <cell r="K1657">
            <v>14.2</v>
          </cell>
          <cell r="L1657">
            <v>-16.8</v>
          </cell>
          <cell r="M1657">
            <v>-19.100000000000001</v>
          </cell>
        </row>
        <row r="1658">
          <cell r="C1658" t="str">
            <v>NM Nước Thủ Đức MBA T1 (phía 22kV)</v>
          </cell>
          <cell r="D1658">
            <v>431</v>
          </cell>
          <cell r="E1658">
            <v>1.6</v>
          </cell>
          <cell r="F1658">
            <v>1.8</v>
          </cell>
          <cell r="G1658">
            <v>1.6</v>
          </cell>
          <cell r="H1658">
            <v>1.6</v>
          </cell>
          <cell r="I1658">
            <v>-1.7</v>
          </cell>
          <cell r="J1658">
            <v>1.8</v>
          </cell>
          <cell r="K1658">
            <v>1.6</v>
          </cell>
          <cell r="L1658">
            <v>-1.7</v>
          </cell>
          <cell r="M1658">
            <v>1.6</v>
          </cell>
        </row>
        <row r="1659">
          <cell r="C1659" t="str">
            <v>NM Nước Thủ Đức MBA T2 (phía 22kV)</v>
          </cell>
          <cell r="D1659">
            <v>432</v>
          </cell>
          <cell r="E1659">
            <v>1.8</v>
          </cell>
          <cell r="F1659">
            <v>3</v>
          </cell>
          <cell r="G1659">
            <v>2.5</v>
          </cell>
          <cell r="H1659">
            <v>3</v>
          </cell>
          <cell r="I1659">
            <v>2</v>
          </cell>
          <cell r="J1659">
            <v>1.8</v>
          </cell>
          <cell r="K1659">
            <v>2</v>
          </cell>
          <cell r="L1659">
            <v>1.9</v>
          </cell>
          <cell r="M1659">
            <v>2</v>
          </cell>
        </row>
        <row r="1660">
          <cell r="C1660" t="str">
            <v>NMĐ Bà Rịa MBA T10 (phía 110kV)</v>
          </cell>
          <cell r="D1660">
            <v>130</v>
          </cell>
          <cell r="E1660">
            <v>0</v>
          </cell>
          <cell r="F1660">
            <v>-8.4</v>
          </cell>
          <cell r="G1660">
            <v>-8.1999999999999993</v>
          </cell>
          <cell r="H1660">
            <v>-8.4</v>
          </cell>
          <cell r="I1660">
            <v>-8.1999999999999993</v>
          </cell>
          <cell r="J1660">
            <v>0</v>
          </cell>
          <cell r="K1660">
            <v>-4.9000000000000004</v>
          </cell>
          <cell r="L1660">
            <v>-5.2</v>
          </cell>
          <cell r="M1660">
            <v>0</v>
          </cell>
        </row>
        <row r="1661">
          <cell r="C1661" t="str">
            <v>NMĐ Bà Rịa MBA AT1 (phía 110kV)</v>
          </cell>
          <cell r="D1661">
            <v>131</v>
          </cell>
          <cell r="E1661">
            <v>-49.3</v>
          </cell>
          <cell r="F1661">
            <v>-57.4</v>
          </cell>
          <cell r="G1661">
            <v>-57.4</v>
          </cell>
          <cell r="H1661">
            <v>-54</v>
          </cell>
          <cell r="I1661">
            <v>-54.7</v>
          </cell>
          <cell r="J1661">
            <v>-55.5</v>
          </cell>
          <cell r="K1661">
            <v>-56.2</v>
          </cell>
          <cell r="L1661">
            <v>-56.1</v>
          </cell>
          <cell r="M1661">
            <v>-49.3</v>
          </cell>
        </row>
        <row r="1662">
          <cell r="C1662" t="str">
            <v>NMĐ Bà Rịa MBA T2 (phía 110kV)</v>
          </cell>
          <cell r="D1662">
            <v>132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</row>
        <row r="1663">
          <cell r="C1663" t="str">
            <v>NMĐ Bà Rịa MBA T3 (phía 110kV)</v>
          </cell>
          <cell r="D1663">
            <v>133</v>
          </cell>
          <cell r="E1663">
            <v>0</v>
          </cell>
          <cell r="F1663">
            <v>-8.5</v>
          </cell>
          <cell r="G1663">
            <v>-8.3000000000000007</v>
          </cell>
          <cell r="H1663">
            <v>-8.5</v>
          </cell>
          <cell r="I1663">
            <v>-7.6</v>
          </cell>
          <cell r="J1663">
            <v>0.1</v>
          </cell>
          <cell r="K1663">
            <v>-3.5</v>
          </cell>
          <cell r="L1663">
            <v>-7</v>
          </cell>
          <cell r="M1663">
            <v>0</v>
          </cell>
        </row>
        <row r="1664">
          <cell r="C1664" t="str">
            <v>NMĐ Bà Rịa MBA T4 (phía 110kV)</v>
          </cell>
          <cell r="D1664">
            <v>134</v>
          </cell>
          <cell r="E1664">
            <v>0.5</v>
          </cell>
          <cell r="F1664">
            <v>-8.5</v>
          </cell>
          <cell r="G1664">
            <v>-8.5</v>
          </cell>
          <cell r="H1664">
            <v>-8.4</v>
          </cell>
          <cell r="I1664">
            <v>-8.1</v>
          </cell>
          <cell r="J1664">
            <v>0.5</v>
          </cell>
          <cell r="K1664">
            <v>-2.5</v>
          </cell>
          <cell r="L1664">
            <v>-6.6</v>
          </cell>
          <cell r="M1664">
            <v>0.5</v>
          </cell>
        </row>
        <row r="1665">
          <cell r="C1665" t="str">
            <v>NMĐ Bà Rịa MBA T8 (phía 110kV)</v>
          </cell>
          <cell r="D1665">
            <v>138</v>
          </cell>
          <cell r="E1665">
            <v>0.4</v>
          </cell>
          <cell r="F1665">
            <v>-6.3</v>
          </cell>
          <cell r="G1665">
            <v>-6.3</v>
          </cell>
          <cell r="H1665">
            <v>-5.6</v>
          </cell>
          <cell r="I1665">
            <v>-5.7</v>
          </cell>
          <cell r="J1665">
            <v>0.4</v>
          </cell>
          <cell r="K1665">
            <v>2.9</v>
          </cell>
          <cell r="L1665">
            <v>-4.4000000000000004</v>
          </cell>
          <cell r="M1665">
            <v>0.7</v>
          </cell>
        </row>
        <row r="1666">
          <cell r="C1666" t="str">
            <v>110kV 171 NMĐ Bà Rịa - 174 Vũng Tàu 2</v>
          </cell>
          <cell r="D1666">
            <v>171</v>
          </cell>
          <cell r="E1666">
            <v>21.1</v>
          </cell>
          <cell r="F1666">
            <v>35.9</v>
          </cell>
          <cell r="G1666">
            <v>35.9</v>
          </cell>
          <cell r="H1666">
            <v>26.1</v>
          </cell>
          <cell r="I1666">
            <v>31.8</v>
          </cell>
          <cell r="J1666">
            <v>21.1</v>
          </cell>
          <cell r="K1666">
            <v>22.6</v>
          </cell>
          <cell r="L1666">
            <v>34</v>
          </cell>
          <cell r="M1666">
            <v>-26.5</v>
          </cell>
        </row>
        <row r="1667">
          <cell r="C1667" t="str">
            <v>110kV 172 NMĐ Bà Rịa - 172 An ngãi</v>
          </cell>
          <cell r="D1667">
            <v>172</v>
          </cell>
          <cell r="E1667">
            <v>13.3</v>
          </cell>
          <cell r="F1667">
            <v>21.6</v>
          </cell>
          <cell r="G1667">
            <v>21.6</v>
          </cell>
          <cell r="H1667">
            <v>15.6</v>
          </cell>
          <cell r="I1667">
            <v>20.5</v>
          </cell>
          <cell r="J1667">
            <v>13.3</v>
          </cell>
          <cell r="K1667">
            <v>13.3</v>
          </cell>
          <cell r="L1667">
            <v>20.100000000000001</v>
          </cell>
          <cell r="M1667">
            <v>-16.7</v>
          </cell>
        </row>
        <row r="1668">
          <cell r="C1668" t="str">
            <v>110kV 173 NMĐ Bà Rịa - 174 NMĐ Phú Mỹ 1</v>
          </cell>
          <cell r="D1668">
            <v>173</v>
          </cell>
          <cell r="E1668">
            <v>25</v>
          </cell>
          <cell r="F1668">
            <v>31.2</v>
          </cell>
          <cell r="G1668">
            <v>31</v>
          </cell>
          <cell r="H1668">
            <v>29.9</v>
          </cell>
          <cell r="I1668">
            <v>30.1</v>
          </cell>
          <cell r="J1668">
            <v>31.2</v>
          </cell>
          <cell r="K1668">
            <v>28.3</v>
          </cell>
          <cell r="L1668">
            <v>25</v>
          </cell>
          <cell r="M1668">
            <v>30</v>
          </cell>
        </row>
        <row r="1669">
          <cell r="C1669" t="str">
            <v>110kV 174 NMĐ Bà Rịa - 172 Phú Mỹ</v>
          </cell>
          <cell r="D1669">
            <v>174</v>
          </cell>
          <cell r="E1669">
            <v>24.5</v>
          </cell>
          <cell r="F1669">
            <v>33.200000000000003</v>
          </cell>
          <cell r="G1669">
            <v>33.200000000000003</v>
          </cell>
          <cell r="H1669">
            <v>29</v>
          </cell>
          <cell r="I1669">
            <v>31.5</v>
          </cell>
          <cell r="J1669">
            <v>32</v>
          </cell>
          <cell r="K1669">
            <v>29.5</v>
          </cell>
          <cell r="L1669">
            <v>24.5</v>
          </cell>
          <cell r="M1669">
            <v>31.4</v>
          </cell>
        </row>
        <row r="1670">
          <cell r="C1670" t="str">
            <v>110kV 175 NMĐ Bà Rịa - 172 Bà Rịa</v>
          </cell>
          <cell r="D1670">
            <v>175</v>
          </cell>
          <cell r="E1670">
            <v>11.2</v>
          </cell>
          <cell r="F1670">
            <v>-14</v>
          </cell>
          <cell r="G1670">
            <v>11.2</v>
          </cell>
          <cell r="H1670">
            <v>-11.6</v>
          </cell>
          <cell r="I1670">
            <v>-12</v>
          </cell>
          <cell r="J1670">
            <v>-12.9</v>
          </cell>
          <cell r="K1670">
            <v>-14</v>
          </cell>
          <cell r="L1670">
            <v>-13.2</v>
          </cell>
          <cell r="M1670">
            <v>-12.6</v>
          </cell>
        </row>
        <row r="1671">
          <cell r="C1671" t="str">
            <v>NMĐ Bà Rịa MBA AT1 (phía 220kV)</v>
          </cell>
          <cell r="D1671">
            <v>231</v>
          </cell>
          <cell r="E1671">
            <v>54.7</v>
          </cell>
          <cell r="F1671">
            <v>62.7</v>
          </cell>
          <cell r="G1671">
            <v>62.7</v>
          </cell>
          <cell r="H1671">
            <v>58.6</v>
          </cell>
          <cell r="I1671">
            <v>59.5</v>
          </cell>
          <cell r="J1671">
            <v>61.2</v>
          </cell>
          <cell r="K1671">
            <v>61.7</v>
          </cell>
          <cell r="L1671">
            <v>60.9</v>
          </cell>
          <cell r="M1671">
            <v>54.7</v>
          </cell>
        </row>
        <row r="1672">
          <cell r="C1672" t="str">
            <v>220kV 271 NMĐ Bà Rịa - 274 Vũng Tàu 2</v>
          </cell>
          <cell r="D1672">
            <v>271</v>
          </cell>
          <cell r="E1672">
            <v>-29.8</v>
          </cell>
          <cell r="F1672">
            <v>-47.8</v>
          </cell>
          <cell r="G1672">
            <v>-47.8</v>
          </cell>
          <cell r="H1672">
            <v>-37</v>
          </cell>
          <cell r="I1672">
            <v>-38</v>
          </cell>
          <cell r="J1672">
            <v>-32.5</v>
          </cell>
          <cell r="K1672">
            <v>-37.5</v>
          </cell>
          <cell r="L1672">
            <v>-43.2</v>
          </cell>
          <cell r="M1672">
            <v>-29.8</v>
          </cell>
        </row>
        <row r="1673">
          <cell r="C1673" t="str">
            <v>220kV 272 NMĐ Bà Rịa - 274 Tân Thành</v>
          </cell>
          <cell r="D1673">
            <v>272</v>
          </cell>
          <cell r="E1673">
            <v>-24.8</v>
          </cell>
          <cell r="F1673">
            <v>-57.6</v>
          </cell>
          <cell r="G1673">
            <v>-30.9</v>
          </cell>
          <cell r="H1673">
            <v>-29.7</v>
          </cell>
          <cell r="I1673">
            <v>-33.200000000000003</v>
          </cell>
          <cell r="J1673">
            <v>-49</v>
          </cell>
          <cell r="K1673">
            <v>-57.6</v>
          </cell>
          <cell r="L1673">
            <v>-24.8</v>
          </cell>
          <cell r="M1673">
            <v>-51.6</v>
          </cell>
        </row>
        <row r="1674">
          <cell r="C1674" t="str">
            <v>NMĐ Bà Rịa MBA T1 (phía 110kV)</v>
          </cell>
          <cell r="D1674" t="str">
            <v>131B</v>
          </cell>
          <cell r="E1674">
            <v>0.1</v>
          </cell>
          <cell r="F1674">
            <v>0.2</v>
          </cell>
          <cell r="G1674">
            <v>0.2</v>
          </cell>
          <cell r="H1674">
            <v>0.2</v>
          </cell>
          <cell r="I1674">
            <v>0.2</v>
          </cell>
          <cell r="J1674">
            <v>0.1</v>
          </cell>
          <cell r="K1674">
            <v>0.1</v>
          </cell>
          <cell r="L1674">
            <v>0.1</v>
          </cell>
          <cell r="M1674">
            <v>0.1</v>
          </cell>
        </row>
        <row r="1675">
          <cell r="C1675" t="str">
            <v>NMĐ Bắc Bình MBA T1 (phía 110kV)</v>
          </cell>
          <cell r="D1675">
            <v>131</v>
          </cell>
          <cell r="E1675">
            <v>-2.2999999999999998</v>
          </cell>
          <cell r="F1675">
            <v>-4.2</v>
          </cell>
          <cell r="G1675">
            <v>-3.5</v>
          </cell>
          <cell r="H1675">
            <v>-2.9</v>
          </cell>
          <cell r="I1675">
            <v>-3</v>
          </cell>
          <cell r="J1675">
            <v>-2.8</v>
          </cell>
          <cell r="K1675">
            <v>-2.2999999999999998</v>
          </cell>
          <cell r="L1675">
            <v>-2.7</v>
          </cell>
          <cell r="M1675">
            <v>-4.2</v>
          </cell>
        </row>
        <row r="1676">
          <cell r="C1676" t="str">
            <v>NMĐ Bắc Bình MBA T2 (phía 110kV)</v>
          </cell>
          <cell r="D1676">
            <v>132</v>
          </cell>
          <cell r="E1676">
            <v>0</v>
          </cell>
          <cell r="F1676">
            <v>-4.5999999999999996</v>
          </cell>
          <cell r="G1676">
            <v>-2.2999999999999998</v>
          </cell>
          <cell r="H1676">
            <v>-3.2</v>
          </cell>
          <cell r="I1676">
            <v>-3.8</v>
          </cell>
          <cell r="J1676">
            <v>0</v>
          </cell>
          <cell r="K1676">
            <v>-3.2</v>
          </cell>
          <cell r="L1676">
            <v>-3.1</v>
          </cell>
          <cell r="M1676">
            <v>-4.5999999999999996</v>
          </cell>
        </row>
        <row r="1677">
          <cell r="C1677" t="str">
            <v>110kV 171 NMĐ Bắc Bình - 171 NMĐ Đại Ninh</v>
          </cell>
          <cell r="D1677">
            <v>171</v>
          </cell>
          <cell r="E1677">
            <v>3</v>
          </cell>
          <cell r="F1677">
            <v>8.9</v>
          </cell>
          <cell r="G1677">
            <v>5.0999999999999996</v>
          </cell>
          <cell r="H1677">
            <v>6.3</v>
          </cell>
          <cell r="I1677">
            <v>7</v>
          </cell>
          <cell r="J1677">
            <v>3</v>
          </cell>
          <cell r="K1677">
            <v>5</v>
          </cell>
          <cell r="L1677">
            <v>5.9</v>
          </cell>
          <cell r="M1677">
            <v>8.9</v>
          </cell>
        </row>
        <row r="1678">
          <cell r="C1678" t="str">
            <v>NMĐ Bảo Lộc MBA T1 (phía 110kV)</v>
          </cell>
          <cell r="D1678">
            <v>131</v>
          </cell>
          <cell r="E1678">
            <v>1.2</v>
          </cell>
          <cell r="F1678">
            <v>1.9</v>
          </cell>
          <cell r="G1678">
            <v>1.2</v>
          </cell>
          <cell r="H1678">
            <v>1.3</v>
          </cell>
          <cell r="I1678">
            <v>1.3</v>
          </cell>
          <cell r="J1678">
            <v>1.6</v>
          </cell>
          <cell r="K1678">
            <v>1.9</v>
          </cell>
          <cell r="L1678">
            <v>1.7</v>
          </cell>
          <cell r="M1678">
            <v>1.3</v>
          </cell>
        </row>
        <row r="1679">
          <cell r="C1679" t="str">
            <v>NMĐ Bảo Lộc MBA T2 (phía 110kV)</v>
          </cell>
          <cell r="D1679">
            <v>132</v>
          </cell>
          <cell r="E1679">
            <v>1.2</v>
          </cell>
          <cell r="F1679">
            <v>1.8</v>
          </cell>
          <cell r="G1679">
            <v>1.5</v>
          </cell>
          <cell r="H1679">
            <v>1.8</v>
          </cell>
          <cell r="I1679">
            <v>1.2</v>
          </cell>
          <cell r="J1679">
            <v>1.2</v>
          </cell>
          <cell r="K1679">
            <v>1.4</v>
          </cell>
          <cell r="L1679">
            <v>1.5</v>
          </cell>
          <cell r="M1679">
            <v>1.2</v>
          </cell>
        </row>
        <row r="1680">
          <cell r="C1680" t="str">
            <v>110kV 171 NMĐ Bảo Lộc - 173 Bảo Lộc</v>
          </cell>
          <cell r="D1680">
            <v>171</v>
          </cell>
          <cell r="E1680">
            <v>-2.4</v>
          </cell>
          <cell r="F1680">
            <v>-3.2</v>
          </cell>
          <cell r="G1680">
            <v>-2.7</v>
          </cell>
          <cell r="H1680">
            <v>-2.7</v>
          </cell>
          <cell r="I1680">
            <v>-2.4</v>
          </cell>
          <cell r="J1680">
            <v>-2.8</v>
          </cell>
          <cell r="K1680">
            <v>-3</v>
          </cell>
          <cell r="L1680">
            <v>-3.2</v>
          </cell>
          <cell r="M1680">
            <v>-2.4</v>
          </cell>
        </row>
        <row r="1681">
          <cell r="C1681" t="str">
            <v>NMĐ Bauxit Lâm Đồng MBA T1 (phía 110kV)</v>
          </cell>
          <cell r="D1681">
            <v>131</v>
          </cell>
          <cell r="E1681">
            <v>-0.7</v>
          </cell>
          <cell r="F1681">
            <v>-0.7</v>
          </cell>
          <cell r="G1681">
            <v>-0.7</v>
          </cell>
          <cell r="H1681">
            <v>-0.7</v>
          </cell>
          <cell r="I1681">
            <v>-0.7</v>
          </cell>
          <cell r="J1681">
            <v>-0.7</v>
          </cell>
          <cell r="K1681">
            <v>-0.7</v>
          </cell>
          <cell r="L1681">
            <v>-0.7</v>
          </cell>
          <cell r="M1681">
            <v>-0.7</v>
          </cell>
        </row>
        <row r="1682">
          <cell r="C1682" t="str">
            <v>NMĐ Bauxit Lâm Đồng MBA T2 (phía 110kV)</v>
          </cell>
          <cell r="D1682">
            <v>132</v>
          </cell>
          <cell r="E1682">
            <v>1.3</v>
          </cell>
          <cell r="F1682">
            <v>1.3</v>
          </cell>
          <cell r="G1682">
            <v>1.3</v>
          </cell>
          <cell r="H1682">
            <v>1.3</v>
          </cell>
          <cell r="I1682">
            <v>1.3</v>
          </cell>
          <cell r="J1682">
            <v>1.3</v>
          </cell>
          <cell r="K1682">
            <v>1.3</v>
          </cell>
          <cell r="L1682">
            <v>1.3</v>
          </cell>
          <cell r="M1682">
            <v>1.3</v>
          </cell>
        </row>
        <row r="1683">
          <cell r="C1683" t="str">
            <v>110kV 172 NMĐ Bauxit Lâm Đồng - 172 Bảo Lâm</v>
          </cell>
          <cell r="D1683">
            <v>172</v>
          </cell>
          <cell r="E1683">
            <v>1.1000000000000001</v>
          </cell>
          <cell r="F1683">
            <v>1.1000000000000001</v>
          </cell>
          <cell r="G1683">
            <v>1.1000000000000001</v>
          </cell>
          <cell r="H1683">
            <v>1.1000000000000001</v>
          </cell>
          <cell r="I1683">
            <v>1.1000000000000001</v>
          </cell>
          <cell r="J1683">
            <v>1.1000000000000001</v>
          </cell>
          <cell r="K1683">
            <v>1.1000000000000001</v>
          </cell>
          <cell r="L1683">
            <v>1.1000000000000001</v>
          </cell>
          <cell r="M1683">
            <v>1.1000000000000001</v>
          </cell>
        </row>
        <row r="1684">
          <cell r="C1684" t="str">
            <v>NMĐ Bourbon MBA T1 (phía 110kV)</v>
          </cell>
          <cell r="D1684">
            <v>131</v>
          </cell>
          <cell r="E1684">
            <v>0.3</v>
          </cell>
          <cell r="F1684">
            <v>-0.7</v>
          </cell>
          <cell r="G1684">
            <v>-0.5</v>
          </cell>
          <cell r="H1684">
            <v>-0.6</v>
          </cell>
          <cell r="I1684">
            <v>-0.7</v>
          </cell>
          <cell r="J1684">
            <v>-0.6</v>
          </cell>
          <cell r="K1684">
            <v>-0.6</v>
          </cell>
          <cell r="L1684">
            <v>0.3</v>
          </cell>
          <cell r="M1684">
            <v>0.3</v>
          </cell>
        </row>
        <row r="1685">
          <cell r="C1685" t="str">
            <v>110kV 171 NMĐ Bourbon - 174 Tây Ninh 2</v>
          </cell>
          <cell r="D1685">
            <v>171</v>
          </cell>
          <cell r="E1685">
            <v>-0.9</v>
          </cell>
          <cell r="F1685">
            <v>1.6</v>
          </cell>
          <cell r="G1685">
            <v>1.1000000000000001</v>
          </cell>
          <cell r="H1685">
            <v>1.6</v>
          </cell>
          <cell r="I1685">
            <v>1.6</v>
          </cell>
          <cell r="J1685">
            <v>1.5</v>
          </cell>
          <cell r="K1685">
            <v>1.6</v>
          </cell>
          <cell r="L1685">
            <v>-0.9</v>
          </cell>
          <cell r="M1685">
            <v>-1.2</v>
          </cell>
        </row>
        <row r="1686">
          <cell r="C1686" t="str">
            <v>110kV 172 NMĐ Bourbon - 172 trạm cắt Tây Ninh 1</v>
          </cell>
          <cell r="D1686">
            <v>172</v>
          </cell>
          <cell r="E1686">
            <v>0</v>
          </cell>
          <cell r="F1686">
            <v>0</v>
          </cell>
          <cell r="G1686">
            <v>0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</row>
        <row r="1687">
          <cell r="C1687" t="str">
            <v>NMĐ Bourbon MBA T1 (phía 10kV)</v>
          </cell>
          <cell r="D1687">
            <v>931</v>
          </cell>
          <cell r="E1687">
            <v>0.9</v>
          </cell>
          <cell r="F1687">
            <v>-1.7</v>
          </cell>
          <cell r="G1687">
            <v>-1.1000000000000001</v>
          </cell>
          <cell r="H1687">
            <v>-1.6</v>
          </cell>
          <cell r="I1687">
            <v>-1.7</v>
          </cell>
          <cell r="J1687">
            <v>-1.6</v>
          </cell>
          <cell r="K1687">
            <v>-1.7</v>
          </cell>
          <cell r="L1687">
            <v>0.9</v>
          </cell>
          <cell r="M1687">
            <v>1.3</v>
          </cell>
        </row>
        <row r="1688">
          <cell r="C1688" t="str">
            <v>NMĐ BP Solar 1 MBA T1 (phía 110kV)</v>
          </cell>
          <cell r="D1688">
            <v>131</v>
          </cell>
          <cell r="E1688">
            <v>-0.9</v>
          </cell>
          <cell r="F1688">
            <v>-7.7</v>
          </cell>
          <cell r="G1688">
            <v>-6.7</v>
          </cell>
          <cell r="H1688">
            <v>-7.7</v>
          </cell>
          <cell r="I1688">
            <v>-7.3</v>
          </cell>
          <cell r="J1688">
            <v>-1.9</v>
          </cell>
          <cell r="K1688">
            <v>-0.9</v>
          </cell>
          <cell r="L1688">
            <v>-0.9</v>
          </cell>
          <cell r="M1688">
            <v>-5.2</v>
          </cell>
        </row>
        <row r="1689">
          <cell r="C1689" t="str">
            <v>NMĐ BP Solar 1 MBA T1 (phía 22kV)</v>
          </cell>
          <cell r="D1689">
            <v>431</v>
          </cell>
          <cell r="E1689">
            <v>-0.1</v>
          </cell>
          <cell r="F1689">
            <v>-3</v>
          </cell>
          <cell r="G1689">
            <v>-2.2000000000000002</v>
          </cell>
          <cell r="H1689">
            <v>-2.9</v>
          </cell>
          <cell r="I1689">
            <v>-3</v>
          </cell>
          <cell r="J1689">
            <v>-0.2</v>
          </cell>
          <cell r="K1689">
            <v>-0.1</v>
          </cell>
          <cell r="L1689">
            <v>-0.1</v>
          </cell>
          <cell r="M1689">
            <v>-1.4</v>
          </cell>
        </row>
        <row r="1690">
          <cell r="C1690" t="str">
            <v>NMĐ Cà Mau MBA T1 (phía 220kV)</v>
          </cell>
          <cell r="D1690">
            <v>231</v>
          </cell>
          <cell r="E1690">
            <v>35.1</v>
          </cell>
          <cell r="F1690">
            <v>47.8</v>
          </cell>
          <cell r="G1690">
            <v>37.5</v>
          </cell>
          <cell r="H1690">
            <v>35.1</v>
          </cell>
          <cell r="I1690">
            <v>38.200000000000003</v>
          </cell>
          <cell r="J1690">
            <v>37.700000000000003</v>
          </cell>
          <cell r="K1690">
            <v>47.8</v>
          </cell>
          <cell r="L1690">
            <v>41.5</v>
          </cell>
          <cell r="M1690">
            <v>41</v>
          </cell>
        </row>
        <row r="1691">
          <cell r="C1691" t="str">
            <v>NMĐ Cà Mau MBA T2 (phía 220kV)</v>
          </cell>
          <cell r="D1691">
            <v>232</v>
          </cell>
          <cell r="E1691">
            <v>38.9</v>
          </cell>
          <cell r="F1691">
            <v>49.7</v>
          </cell>
          <cell r="G1691">
            <v>40.799999999999997</v>
          </cell>
          <cell r="H1691">
            <v>38.9</v>
          </cell>
          <cell r="I1691">
            <v>41.4</v>
          </cell>
          <cell r="J1691">
            <v>41.3</v>
          </cell>
          <cell r="K1691">
            <v>49.7</v>
          </cell>
          <cell r="L1691">
            <v>44.5</v>
          </cell>
          <cell r="M1691">
            <v>44.5</v>
          </cell>
        </row>
        <row r="1692">
          <cell r="C1692" t="str">
            <v>NMĐ Cà Mau MBA T3 (phía 220kV)</v>
          </cell>
          <cell r="D1692">
            <v>233</v>
          </cell>
          <cell r="E1692">
            <v>2.8</v>
          </cell>
          <cell r="F1692">
            <v>3.2</v>
          </cell>
          <cell r="G1692">
            <v>2.8</v>
          </cell>
          <cell r="H1692">
            <v>2.9</v>
          </cell>
          <cell r="I1692">
            <v>2.8</v>
          </cell>
          <cell r="J1692">
            <v>2.9</v>
          </cell>
          <cell r="K1692">
            <v>3.2</v>
          </cell>
          <cell r="L1692">
            <v>3</v>
          </cell>
          <cell r="M1692">
            <v>2.9</v>
          </cell>
        </row>
        <row r="1693">
          <cell r="C1693" t="str">
            <v>NMĐ Cà Mau MBA T4 (phía 220kV)</v>
          </cell>
          <cell r="D1693">
            <v>234</v>
          </cell>
          <cell r="E1693">
            <v>-39.6</v>
          </cell>
          <cell r="F1693">
            <v>-49.8</v>
          </cell>
          <cell r="G1693">
            <v>-45.5</v>
          </cell>
          <cell r="H1693">
            <v>-43.6</v>
          </cell>
          <cell r="I1693">
            <v>-45.7</v>
          </cell>
          <cell r="J1693">
            <v>-39.6</v>
          </cell>
          <cell r="K1693">
            <v>-49.8</v>
          </cell>
          <cell r="L1693">
            <v>-49.4</v>
          </cell>
          <cell r="M1693">
            <v>-49.1</v>
          </cell>
        </row>
        <row r="1694">
          <cell r="C1694" t="str">
            <v>NMĐ Cà Mau MBA T5 (phía 220kV)</v>
          </cell>
          <cell r="D1694">
            <v>235</v>
          </cell>
          <cell r="E1694">
            <v>-39.200000000000003</v>
          </cell>
          <cell r="F1694">
            <v>-51.9</v>
          </cell>
          <cell r="G1694">
            <v>-40.299999999999997</v>
          </cell>
          <cell r="H1694">
            <v>-39.200000000000003</v>
          </cell>
          <cell r="I1694">
            <v>-41.4</v>
          </cell>
          <cell r="J1694">
            <v>-43.5</v>
          </cell>
          <cell r="K1694">
            <v>-51.9</v>
          </cell>
          <cell r="L1694">
            <v>-44</v>
          </cell>
          <cell r="M1694">
            <v>-45.6</v>
          </cell>
        </row>
        <row r="1695">
          <cell r="C1695" t="str">
            <v>NMĐ Cà Mau MBA T6 (phía 220kV)</v>
          </cell>
          <cell r="D1695">
            <v>236</v>
          </cell>
          <cell r="E1695">
            <v>-22.8</v>
          </cell>
          <cell r="F1695">
            <v>-40.5</v>
          </cell>
          <cell r="G1695">
            <v>-36.200000000000003</v>
          </cell>
          <cell r="H1695">
            <v>-35</v>
          </cell>
          <cell r="I1695">
            <v>-37.299999999999997</v>
          </cell>
          <cell r="J1695">
            <v>-22.8</v>
          </cell>
          <cell r="K1695">
            <v>27.7</v>
          </cell>
          <cell r="L1695">
            <v>-38.700000000000003</v>
          </cell>
          <cell r="M1695">
            <v>-40.5</v>
          </cell>
        </row>
        <row r="1696">
          <cell r="C1696" t="str">
            <v>220kV 271 NMĐ Cà Mau - 272 Sóc Trăng 2</v>
          </cell>
          <cell r="D1696">
            <v>271</v>
          </cell>
          <cell r="E1696">
            <v>-17.2</v>
          </cell>
          <cell r="F1696">
            <v>-19.5</v>
          </cell>
          <cell r="G1696">
            <v>-17.899999999999999</v>
          </cell>
          <cell r="H1696">
            <v>-18.600000000000001</v>
          </cell>
          <cell r="I1696">
            <v>-18.5</v>
          </cell>
          <cell r="J1696">
            <v>-17.2</v>
          </cell>
          <cell r="K1696">
            <v>-19.3</v>
          </cell>
          <cell r="L1696">
            <v>-19.5</v>
          </cell>
          <cell r="M1696">
            <v>-19</v>
          </cell>
        </row>
        <row r="1697">
          <cell r="C1697" t="str">
            <v>220kV 272 NMĐ Cà Mau - 273 Ô Môn 2</v>
          </cell>
          <cell r="D1697">
            <v>272</v>
          </cell>
          <cell r="E1697">
            <v>-20.5</v>
          </cell>
          <cell r="F1697">
            <v>-27.6</v>
          </cell>
          <cell r="G1697">
            <v>-27.6</v>
          </cell>
          <cell r="H1697">
            <v>-24.5</v>
          </cell>
          <cell r="I1697">
            <v>-23.4</v>
          </cell>
          <cell r="J1697">
            <v>-20.5</v>
          </cell>
          <cell r="K1697">
            <v>-22</v>
          </cell>
          <cell r="L1697">
            <v>-24.8</v>
          </cell>
          <cell r="M1697">
            <v>-25.6</v>
          </cell>
        </row>
        <row r="1698">
          <cell r="C1698" t="str">
            <v>220kV 273 NMĐ Cà Mau - 273 Rạch Giá 2</v>
          </cell>
          <cell r="D1698">
            <v>273</v>
          </cell>
          <cell r="E1698">
            <v>-22.8</v>
          </cell>
          <cell r="F1698">
            <v>-27.3</v>
          </cell>
          <cell r="G1698">
            <v>-27.3</v>
          </cell>
          <cell r="H1698">
            <v>-23.2</v>
          </cell>
          <cell r="I1698">
            <v>-24.1</v>
          </cell>
          <cell r="J1698">
            <v>-22.8</v>
          </cell>
          <cell r="K1698">
            <v>-24.7</v>
          </cell>
          <cell r="L1698">
            <v>-26.8</v>
          </cell>
          <cell r="M1698">
            <v>-26</v>
          </cell>
        </row>
        <row r="1699">
          <cell r="C1699" t="str">
            <v>220kV 274 NMĐ Cà Mau - 271 Bạc Liêu 2</v>
          </cell>
          <cell r="D1699">
            <v>274</v>
          </cell>
          <cell r="E1699">
            <v>-15.6</v>
          </cell>
          <cell r="F1699">
            <v>-20.9</v>
          </cell>
          <cell r="G1699">
            <v>-15.6</v>
          </cell>
          <cell r="H1699">
            <v>-18.8</v>
          </cell>
          <cell r="I1699">
            <v>-20.8</v>
          </cell>
          <cell r="J1699">
            <v>-16.899999999999999</v>
          </cell>
          <cell r="K1699">
            <v>-18.7</v>
          </cell>
          <cell r="L1699">
            <v>-20.9</v>
          </cell>
          <cell r="M1699">
            <v>-20.7</v>
          </cell>
        </row>
        <row r="1700">
          <cell r="C1700" t="str">
            <v>220kV 275 NMĐ Cà Mau - 283 Ô Môn 2</v>
          </cell>
          <cell r="D1700">
            <v>275</v>
          </cell>
          <cell r="E1700">
            <v>-20.6</v>
          </cell>
          <cell r="F1700">
            <v>-27.7</v>
          </cell>
          <cell r="G1700">
            <v>-27.7</v>
          </cell>
          <cell r="H1700">
            <v>-24.6</v>
          </cell>
          <cell r="I1700">
            <v>-23.3</v>
          </cell>
          <cell r="J1700">
            <v>-20.6</v>
          </cell>
          <cell r="K1700">
            <v>-22</v>
          </cell>
          <cell r="L1700">
            <v>-24.7</v>
          </cell>
          <cell r="M1700">
            <v>-26.6</v>
          </cell>
        </row>
        <row r="1701">
          <cell r="C1701" t="str">
            <v>220kV 276 NMĐ Cà Mau - 277 Rạch Giá 2</v>
          </cell>
          <cell r="D1701">
            <v>276</v>
          </cell>
          <cell r="E1701">
            <v>-33.200000000000003</v>
          </cell>
          <cell r="F1701">
            <v>-40.4</v>
          </cell>
          <cell r="G1701">
            <v>-40.4</v>
          </cell>
          <cell r="H1701">
            <v>-34.1</v>
          </cell>
          <cell r="I1701">
            <v>-35.700000000000003</v>
          </cell>
          <cell r="J1701">
            <v>-33.200000000000003</v>
          </cell>
          <cell r="K1701">
            <v>-36.700000000000003</v>
          </cell>
          <cell r="L1701">
            <v>-39.200000000000003</v>
          </cell>
          <cell r="M1701">
            <v>-38.9</v>
          </cell>
        </row>
        <row r="1702">
          <cell r="C1702" t="str">
            <v>220kV 277 NMĐ Cà Mau - 272 Cà Mau 2</v>
          </cell>
          <cell r="D1702">
            <v>277</v>
          </cell>
          <cell r="E1702">
            <v>9.3000000000000007</v>
          </cell>
          <cell r="F1702">
            <v>18.399999999999999</v>
          </cell>
          <cell r="G1702">
            <v>18.399999999999999</v>
          </cell>
          <cell r="H1702">
            <v>11.1</v>
          </cell>
          <cell r="I1702">
            <v>16.2</v>
          </cell>
          <cell r="J1702">
            <v>9.3000000000000007</v>
          </cell>
          <cell r="K1702">
            <v>14.3</v>
          </cell>
          <cell r="L1702">
            <v>12.2</v>
          </cell>
          <cell r="M1702">
            <v>12.6</v>
          </cell>
        </row>
        <row r="1703">
          <cell r="C1703" t="str">
            <v>220kV 278 NMĐ Cà Mau - 271 Cà Mau 2</v>
          </cell>
          <cell r="D1703">
            <v>278</v>
          </cell>
          <cell r="E1703">
            <v>9.1</v>
          </cell>
          <cell r="F1703">
            <v>18.399999999999999</v>
          </cell>
          <cell r="G1703">
            <v>18.399999999999999</v>
          </cell>
          <cell r="H1703">
            <v>11</v>
          </cell>
          <cell r="I1703">
            <v>16.5</v>
          </cell>
          <cell r="J1703">
            <v>9.1</v>
          </cell>
          <cell r="K1703">
            <v>14.8</v>
          </cell>
          <cell r="L1703">
            <v>12.2</v>
          </cell>
          <cell r="M1703">
            <v>12.6</v>
          </cell>
        </row>
        <row r="1704">
          <cell r="C1704" t="str">
            <v>220kV 284 NMĐ Cà Mau - 272 Bạc Liêu 2</v>
          </cell>
          <cell r="D1704">
            <v>284</v>
          </cell>
          <cell r="E1704">
            <v>-15.4</v>
          </cell>
          <cell r="F1704">
            <v>-20.9</v>
          </cell>
          <cell r="G1704">
            <v>-15.4</v>
          </cell>
          <cell r="H1704">
            <v>-19</v>
          </cell>
          <cell r="I1704">
            <v>-20.9</v>
          </cell>
          <cell r="J1704">
            <v>-16.899999999999999</v>
          </cell>
          <cell r="K1704">
            <v>-18.899999999999999</v>
          </cell>
          <cell r="L1704">
            <v>-20.8</v>
          </cell>
          <cell r="M1704">
            <v>-20.5</v>
          </cell>
        </row>
        <row r="1705">
          <cell r="C1705" t="str">
            <v>220kV 286 NMĐ Cà Mau - 276 Rạch Giá 2</v>
          </cell>
          <cell r="D1705">
            <v>286</v>
          </cell>
          <cell r="E1705">
            <v>-33.200000000000003</v>
          </cell>
          <cell r="F1705">
            <v>-40.700000000000003</v>
          </cell>
          <cell r="G1705">
            <v>-40.700000000000003</v>
          </cell>
          <cell r="H1705">
            <v>-33.299999999999997</v>
          </cell>
          <cell r="I1705">
            <v>-35.799999999999997</v>
          </cell>
          <cell r="J1705">
            <v>-33.200000000000003</v>
          </cell>
          <cell r="K1705">
            <v>-36.700000000000003</v>
          </cell>
          <cell r="L1705">
            <v>-38.9</v>
          </cell>
          <cell r="M1705">
            <v>-38.700000000000003</v>
          </cell>
        </row>
        <row r="1706">
          <cell r="C1706" t="str">
            <v>NMĐ Cần Đơn MBA T1 (phía 110kV)</v>
          </cell>
          <cell r="D1706">
            <v>131</v>
          </cell>
          <cell r="E1706">
            <v>-0.1</v>
          </cell>
          <cell r="F1706">
            <v>-10.9</v>
          </cell>
          <cell r="G1706">
            <v>-0.2</v>
          </cell>
          <cell r="H1706">
            <v>-0.1</v>
          </cell>
          <cell r="I1706">
            <v>-0.4</v>
          </cell>
          <cell r="J1706">
            <v>-0.1</v>
          </cell>
          <cell r="K1706">
            <v>-0.1</v>
          </cell>
          <cell r="L1706">
            <v>-3.4</v>
          </cell>
          <cell r="M1706">
            <v>-10.9</v>
          </cell>
        </row>
        <row r="1707">
          <cell r="C1707" t="str">
            <v>NMĐ Cần Đơn MBA T2 (phía 110kV)</v>
          </cell>
          <cell r="D1707">
            <v>132</v>
          </cell>
          <cell r="E1707">
            <v>-0.1</v>
          </cell>
          <cell r="F1707">
            <v>-2.1</v>
          </cell>
          <cell r="G1707">
            <v>-0.1</v>
          </cell>
          <cell r="H1707">
            <v>-0.1</v>
          </cell>
          <cell r="I1707">
            <v>-0.1</v>
          </cell>
          <cell r="J1707">
            <v>-0.1</v>
          </cell>
          <cell r="K1707">
            <v>-0.1</v>
          </cell>
          <cell r="L1707">
            <v>-2.1</v>
          </cell>
          <cell r="M1707">
            <v>-0.1</v>
          </cell>
        </row>
        <row r="1708">
          <cell r="C1708" t="str">
            <v>110kV 171 &amp; 173 NMĐ Cần Đơn - 171 Bù Đốp</v>
          </cell>
          <cell r="D1708">
            <v>171</v>
          </cell>
          <cell r="E1708">
            <v>29.3</v>
          </cell>
          <cell r="F1708">
            <v>33.1</v>
          </cell>
          <cell r="G1708">
            <v>30.3</v>
          </cell>
          <cell r="H1708">
            <v>29.7</v>
          </cell>
          <cell r="I1708">
            <v>33.1</v>
          </cell>
          <cell r="J1708">
            <v>29.6</v>
          </cell>
          <cell r="K1708">
            <v>32.5</v>
          </cell>
          <cell r="L1708">
            <v>29.3</v>
          </cell>
          <cell r="M1708">
            <v>30.2</v>
          </cell>
        </row>
        <row r="1709">
          <cell r="C1709" t="str">
            <v>110kV 172 &amp; 174 NMĐ Cần Đơn - 173 Bình Long 2</v>
          </cell>
          <cell r="D1709">
            <v>172</v>
          </cell>
          <cell r="E1709">
            <v>-6.9</v>
          </cell>
          <cell r="F1709">
            <v>-11.7</v>
          </cell>
          <cell r="G1709">
            <v>-11.7</v>
          </cell>
          <cell r="H1709">
            <v>-10.7</v>
          </cell>
          <cell r="I1709">
            <v>-8.8000000000000007</v>
          </cell>
          <cell r="J1709">
            <v>-7.3</v>
          </cell>
          <cell r="K1709">
            <v>-10.4</v>
          </cell>
          <cell r="L1709">
            <v>-6.9</v>
          </cell>
          <cell r="M1709">
            <v>7.5</v>
          </cell>
        </row>
        <row r="1710">
          <cell r="C1710" t="str">
            <v>NMĐ Cần Thơ MBA T1 (phía 110kV)</v>
          </cell>
          <cell r="D1710">
            <v>131</v>
          </cell>
          <cell r="E1710">
            <v>0</v>
          </cell>
          <cell r="F1710">
            <v>0</v>
          </cell>
          <cell r="G1710">
            <v>0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</row>
        <row r="1711">
          <cell r="C1711" t="str">
            <v>NMĐ Đa Dâng 2 MBA T1 (phía 110kV)</v>
          </cell>
          <cell r="D1711">
            <v>131</v>
          </cell>
          <cell r="E1711">
            <v>0</v>
          </cell>
          <cell r="F1711">
            <v>0</v>
          </cell>
          <cell r="G1711">
            <v>0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</row>
        <row r="1712">
          <cell r="C1712" t="str">
            <v>NMĐ Đa Dâng 2 MBA T2 (phía 110kV)</v>
          </cell>
          <cell r="D1712">
            <v>132</v>
          </cell>
          <cell r="E1712">
            <v>0</v>
          </cell>
          <cell r="F1712">
            <v>0</v>
          </cell>
          <cell r="G1712">
            <v>0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</row>
        <row r="1713">
          <cell r="C1713" t="str">
            <v>110kV 171 NMĐ Đa Dâng 2 - 171 Đức Trọng</v>
          </cell>
          <cell r="D1713">
            <v>171</v>
          </cell>
          <cell r="E1713">
            <v>1.2</v>
          </cell>
          <cell r="F1713">
            <v>3</v>
          </cell>
          <cell r="G1713">
            <v>-1.7</v>
          </cell>
          <cell r="H1713">
            <v>1.2</v>
          </cell>
          <cell r="I1713">
            <v>2.2000000000000002</v>
          </cell>
          <cell r="J1713">
            <v>-1.7</v>
          </cell>
          <cell r="K1713">
            <v>3</v>
          </cell>
          <cell r="L1713">
            <v>1.2</v>
          </cell>
          <cell r="M1713">
            <v>-1.6</v>
          </cell>
        </row>
        <row r="1714">
          <cell r="C1714" t="str">
            <v>110kV 172 NMĐ Đa Dâng 2 - 171 NMĐ Đa Dâng 3</v>
          </cell>
          <cell r="D1714">
            <v>172</v>
          </cell>
          <cell r="E1714">
            <v>-1.2</v>
          </cell>
          <cell r="F1714">
            <v>2.5</v>
          </cell>
          <cell r="G1714">
            <v>1.5</v>
          </cell>
          <cell r="H1714">
            <v>-1.3</v>
          </cell>
          <cell r="I1714">
            <v>2.5</v>
          </cell>
          <cell r="J1714">
            <v>-2.1</v>
          </cell>
          <cell r="K1714">
            <v>-1.2</v>
          </cell>
          <cell r="L1714">
            <v>-1.5</v>
          </cell>
          <cell r="M1714">
            <v>-1.7</v>
          </cell>
        </row>
        <row r="1715">
          <cell r="C1715" t="str">
            <v>NMĐ Đa Dâng 3 MBA T1 (phía 110kV)</v>
          </cell>
          <cell r="D1715">
            <v>131</v>
          </cell>
          <cell r="E1715">
            <v>-1.2</v>
          </cell>
          <cell r="F1715">
            <v>-1.3</v>
          </cell>
          <cell r="G1715">
            <v>-1.2</v>
          </cell>
          <cell r="H1715">
            <v>-1.2</v>
          </cell>
          <cell r="I1715">
            <v>-1.2</v>
          </cell>
          <cell r="J1715">
            <v>-1.2</v>
          </cell>
          <cell r="K1715">
            <v>-1.3</v>
          </cell>
          <cell r="L1715">
            <v>-1.3</v>
          </cell>
          <cell r="M1715">
            <v>-1.3</v>
          </cell>
        </row>
        <row r="1716">
          <cell r="C1716" t="str">
            <v>110kV 171 NMĐ Đa Dâng 3 - 172 NMĐ Đa Dâng 2</v>
          </cell>
          <cell r="D1716">
            <v>171</v>
          </cell>
          <cell r="E1716">
            <v>15.1</v>
          </cell>
          <cell r="F1716">
            <v>35.4</v>
          </cell>
          <cell r="G1716">
            <v>35.4</v>
          </cell>
          <cell r="H1716">
            <v>27.2</v>
          </cell>
          <cell r="I1716">
            <v>32.200000000000003</v>
          </cell>
          <cell r="J1716">
            <v>29.8</v>
          </cell>
          <cell r="K1716">
            <v>15.1</v>
          </cell>
          <cell r="L1716">
            <v>35.4</v>
          </cell>
          <cell r="M1716">
            <v>30.2</v>
          </cell>
        </row>
        <row r="1717">
          <cell r="C1717" t="str">
            <v>110kV 172 NMĐ Đa Dâng 3 - 172 Di Linh 1</v>
          </cell>
          <cell r="D1717">
            <v>172</v>
          </cell>
          <cell r="E1717">
            <v>-16</v>
          </cell>
          <cell r="F1717">
            <v>-35</v>
          </cell>
          <cell r="G1717">
            <v>-35</v>
          </cell>
          <cell r="H1717">
            <v>-28.2</v>
          </cell>
          <cell r="I1717">
            <v>-33.700000000000003</v>
          </cell>
          <cell r="J1717">
            <v>-30.5</v>
          </cell>
          <cell r="K1717">
            <v>-16</v>
          </cell>
          <cell r="L1717">
            <v>-34.299999999999997</v>
          </cell>
          <cell r="M1717">
            <v>-30.2</v>
          </cell>
        </row>
        <row r="1718">
          <cell r="C1718" t="str">
            <v>NMĐ Đa Mi MBA T1 (phía 220kV)</v>
          </cell>
          <cell r="D1718">
            <v>231</v>
          </cell>
          <cell r="E1718">
            <v>-0.3</v>
          </cell>
          <cell r="F1718">
            <v>-11.6</v>
          </cell>
          <cell r="G1718">
            <v>-9.9</v>
          </cell>
          <cell r="H1718">
            <v>5.9</v>
          </cell>
          <cell r="I1718">
            <v>-0.3</v>
          </cell>
          <cell r="J1718">
            <v>-7.8</v>
          </cell>
          <cell r="K1718">
            <v>-9.1</v>
          </cell>
          <cell r="L1718">
            <v>-8</v>
          </cell>
          <cell r="M1718">
            <v>-11.6</v>
          </cell>
        </row>
        <row r="1719">
          <cell r="C1719" t="str">
            <v>NMĐ Đa Mi MBA T2 (phía 220kV)</v>
          </cell>
          <cell r="D1719">
            <v>232</v>
          </cell>
          <cell r="E1719">
            <v>0.1</v>
          </cell>
          <cell r="F1719">
            <v>-26.4</v>
          </cell>
          <cell r="G1719">
            <v>-26.4</v>
          </cell>
          <cell r="H1719">
            <v>-23.2</v>
          </cell>
          <cell r="I1719">
            <v>0.1</v>
          </cell>
          <cell r="J1719">
            <v>0.1</v>
          </cell>
          <cell r="K1719">
            <v>-19.600000000000001</v>
          </cell>
          <cell r="L1719">
            <v>10.7</v>
          </cell>
          <cell r="M1719">
            <v>-16.2</v>
          </cell>
        </row>
        <row r="1720">
          <cell r="C1720" t="str">
            <v>220kV 271 NMĐ Đa Mi - 271 NMĐ Hàm Thuận</v>
          </cell>
          <cell r="D1720">
            <v>271</v>
          </cell>
          <cell r="E1720">
            <v>9.8000000000000007</v>
          </cell>
          <cell r="F1720">
            <v>14.4</v>
          </cell>
          <cell r="G1720">
            <v>12.2</v>
          </cell>
          <cell r="H1720">
            <v>9.8000000000000007</v>
          </cell>
          <cell r="I1720">
            <v>10.1</v>
          </cell>
          <cell r="J1720">
            <v>11.8</v>
          </cell>
          <cell r="K1720">
            <v>11.9</v>
          </cell>
          <cell r="L1720">
            <v>-11.5</v>
          </cell>
          <cell r="M1720">
            <v>14.4</v>
          </cell>
        </row>
        <row r="1721">
          <cell r="C1721" t="str">
            <v>220kV 272 NMĐ Đa Mi - 274 Xuân Lộc 2</v>
          </cell>
          <cell r="D1721">
            <v>272</v>
          </cell>
          <cell r="E1721">
            <v>-17.5</v>
          </cell>
          <cell r="F1721">
            <v>-25.3</v>
          </cell>
          <cell r="G1721">
            <v>-20.100000000000001</v>
          </cell>
          <cell r="H1721">
            <v>-18.5</v>
          </cell>
          <cell r="I1721">
            <v>-19.899999999999999</v>
          </cell>
          <cell r="J1721">
            <v>-20.7</v>
          </cell>
          <cell r="K1721">
            <v>-21.2</v>
          </cell>
          <cell r="L1721">
            <v>-17.5</v>
          </cell>
          <cell r="M1721">
            <v>-25.3</v>
          </cell>
        </row>
        <row r="1722">
          <cell r="C1722" t="str">
            <v>NMĐ Đa Nhim MBA 10T (phía 110kV)</v>
          </cell>
          <cell r="D1722">
            <v>130</v>
          </cell>
          <cell r="E1722">
            <v>15.6</v>
          </cell>
          <cell r="F1722">
            <v>18.3</v>
          </cell>
          <cell r="G1722">
            <v>17.7</v>
          </cell>
          <cell r="H1722">
            <v>16.8</v>
          </cell>
          <cell r="I1722">
            <v>18.3</v>
          </cell>
          <cell r="J1722">
            <v>17.899999999999999</v>
          </cell>
          <cell r="K1722">
            <v>15.6</v>
          </cell>
          <cell r="L1722">
            <v>17.3</v>
          </cell>
          <cell r="M1722">
            <v>18</v>
          </cell>
        </row>
        <row r="1723">
          <cell r="C1723" t="str">
            <v>NMĐ Đa Nhim MBA 9T (phía 110kV)</v>
          </cell>
          <cell r="D1723">
            <v>139</v>
          </cell>
          <cell r="E1723">
            <v>4.2</v>
          </cell>
          <cell r="F1723">
            <v>-6.8</v>
          </cell>
          <cell r="G1723">
            <v>-6.8</v>
          </cell>
          <cell r="H1723">
            <v>5.0999999999999996</v>
          </cell>
          <cell r="I1723">
            <v>5.8</v>
          </cell>
          <cell r="J1723">
            <v>6.3</v>
          </cell>
          <cell r="K1723">
            <v>4.2</v>
          </cell>
          <cell r="L1723">
            <v>5.3</v>
          </cell>
          <cell r="M1723">
            <v>6</v>
          </cell>
        </row>
        <row r="1724">
          <cell r="C1724" t="str">
            <v>110kV 171 NMĐ Đa Nhim - 171 Suối Vàng</v>
          </cell>
          <cell r="D1724">
            <v>171</v>
          </cell>
          <cell r="E1724">
            <v>-7.6</v>
          </cell>
          <cell r="F1724">
            <v>-17.899999999999999</v>
          </cell>
          <cell r="G1724">
            <v>-7.6</v>
          </cell>
          <cell r="H1724">
            <v>-8.6</v>
          </cell>
          <cell r="I1724">
            <v>-17.899999999999999</v>
          </cell>
          <cell r="J1724">
            <v>-14.2</v>
          </cell>
          <cell r="K1724">
            <v>-13.4</v>
          </cell>
          <cell r="L1724">
            <v>-8.6</v>
          </cell>
          <cell r="M1724">
            <v>-11.6</v>
          </cell>
        </row>
        <row r="1725">
          <cell r="C1725" t="str">
            <v>110kV 172 NMĐ Đa Nhim - 172 Đơn Dương</v>
          </cell>
          <cell r="D1725">
            <v>172</v>
          </cell>
          <cell r="E1725">
            <v>-12.7</v>
          </cell>
          <cell r="F1725">
            <v>-24.8</v>
          </cell>
          <cell r="G1725">
            <v>-20.8</v>
          </cell>
          <cell r="H1725">
            <v>-18.600000000000001</v>
          </cell>
          <cell r="I1725">
            <v>-24.8</v>
          </cell>
          <cell r="J1725">
            <v>-22.5</v>
          </cell>
          <cell r="K1725">
            <v>-12.7</v>
          </cell>
          <cell r="L1725">
            <v>-23.1</v>
          </cell>
          <cell r="M1725">
            <v>-21.5</v>
          </cell>
        </row>
        <row r="1726">
          <cell r="C1726" t="str">
            <v>110kV 173 NMĐ Đa Nhim - 171 NMĐ Hạ Sông Pha</v>
          </cell>
          <cell r="D1726">
            <v>173</v>
          </cell>
          <cell r="E1726">
            <v>-3</v>
          </cell>
          <cell r="F1726">
            <v>15</v>
          </cell>
          <cell r="G1726">
            <v>15</v>
          </cell>
          <cell r="H1726">
            <v>7.1</v>
          </cell>
          <cell r="I1726">
            <v>14.4</v>
          </cell>
          <cell r="J1726">
            <v>11.2</v>
          </cell>
          <cell r="K1726">
            <v>-3</v>
          </cell>
          <cell r="L1726">
            <v>13.8</v>
          </cell>
          <cell r="M1726">
            <v>8.4</v>
          </cell>
        </row>
        <row r="1727">
          <cell r="C1727" t="str">
            <v>110kV 174 NMĐ Đa Nhim - 131-7 NMĐ Sông Pha</v>
          </cell>
          <cell r="D1727">
            <v>174</v>
          </cell>
          <cell r="E1727">
            <v>1</v>
          </cell>
          <cell r="F1727">
            <v>1.7</v>
          </cell>
          <cell r="G1727">
            <v>1.1000000000000001</v>
          </cell>
          <cell r="H1727">
            <v>1</v>
          </cell>
          <cell r="I1727">
            <v>1.7</v>
          </cell>
          <cell r="J1727">
            <v>1.4</v>
          </cell>
          <cell r="K1727">
            <v>1.2</v>
          </cell>
          <cell r="L1727">
            <v>1.1000000000000001</v>
          </cell>
          <cell r="M1727">
            <v>1</v>
          </cell>
        </row>
        <row r="1728">
          <cell r="C1728" t="str">
            <v>110kV 175 NMĐ Đa Nhim - 174 NMĐ MT CMX</v>
          </cell>
          <cell r="D1728">
            <v>175</v>
          </cell>
          <cell r="E1728">
            <v>-2.2999999999999998</v>
          </cell>
          <cell r="F1728">
            <v>19.7</v>
          </cell>
          <cell r="G1728">
            <v>19.100000000000001</v>
          </cell>
          <cell r="H1728">
            <v>9.4</v>
          </cell>
          <cell r="I1728">
            <v>19.7</v>
          </cell>
          <cell r="J1728">
            <v>13.9</v>
          </cell>
          <cell r="K1728">
            <v>-2.2999999999999998</v>
          </cell>
          <cell r="L1728">
            <v>17.7</v>
          </cell>
          <cell r="M1728">
            <v>11.4</v>
          </cell>
        </row>
        <row r="1729">
          <cell r="C1729" t="str">
            <v>NMĐ Đa Nhim MBA 10T (phía 220kV)</v>
          </cell>
          <cell r="D1729">
            <v>230</v>
          </cell>
          <cell r="E1729">
            <v>-14.5</v>
          </cell>
          <cell r="F1729">
            <v>-16.5</v>
          </cell>
          <cell r="G1729">
            <v>-16</v>
          </cell>
          <cell r="H1729">
            <v>-14.5</v>
          </cell>
          <cell r="I1729">
            <v>-16.399999999999999</v>
          </cell>
          <cell r="J1729">
            <v>-16.100000000000001</v>
          </cell>
          <cell r="K1729">
            <v>-14.5</v>
          </cell>
          <cell r="L1729">
            <v>-15.5</v>
          </cell>
          <cell r="M1729">
            <v>-16.5</v>
          </cell>
        </row>
        <row r="1730">
          <cell r="C1730" t="str">
            <v>NMĐ Đa Nhim MBA 9T (phía 220kV)</v>
          </cell>
          <cell r="D1730">
            <v>239</v>
          </cell>
          <cell r="E1730">
            <v>-4.0999999999999996</v>
          </cell>
          <cell r="F1730">
            <v>10.9</v>
          </cell>
          <cell r="G1730">
            <v>10.9</v>
          </cell>
          <cell r="H1730">
            <v>-4.2</v>
          </cell>
          <cell r="I1730">
            <v>7.3</v>
          </cell>
          <cell r="J1730">
            <v>-5.4</v>
          </cell>
          <cell r="K1730">
            <v>-4.0999999999999996</v>
          </cell>
          <cell r="L1730">
            <v>8.1999999999999993</v>
          </cell>
          <cell r="M1730">
            <v>-5.9</v>
          </cell>
        </row>
        <row r="1731">
          <cell r="C1731" t="str">
            <v>220kV 271 NMĐ Đa Nhim - 271 Đức Trọng 2</v>
          </cell>
          <cell r="D1731">
            <v>271</v>
          </cell>
          <cell r="E1731">
            <v>1.3</v>
          </cell>
          <cell r="F1731">
            <v>2.4</v>
          </cell>
          <cell r="G1731">
            <v>1.8</v>
          </cell>
          <cell r="H1731">
            <v>2.4</v>
          </cell>
          <cell r="I1731">
            <v>-1.8</v>
          </cell>
          <cell r="J1731">
            <v>-1.3</v>
          </cell>
          <cell r="K1731">
            <v>1.3</v>
          </cell>
          <cell r="L1731">
            <v>1.8</v>
          </cell>
          <cell r="M1731">
            <v>1.4</v>
          </cell>
        </row>
        <row r="1732">
          <cell r="C1732" t="str">
            <v>220kV 272 NMĐ Đa Nhim - 275 Tháp Chàm 2</v>
          </cell>
          <cell r="D1732">
            <v>272</v>
          </cell>
          <cell r="E1732">
            <v>-19.399999999999999</v>
          </cell>
          <cell r="F1732">
            <v>-31.8</v>
          </cell>
          <cell r="G1732">
            <v>-26.3</v>
          </cell>
          <cell r="H1732">
            <v>-19.399999999999999</v>
          </cell>
          <cell r="I1732">
            <v>-28.8</v>
          </cell>
          <cell r="J1732">
            <v>-31.8</v>
          </cell>
          <cell r="K1732">
            <v>-29.8</v>
          </cell>
          <cell r="L1732">
            <v>-20.100000000000001</v>
          </cell>
          <cell r="M1732">
            <v>-22.8</v>
          </cell>
        </row>
        <row r="1733">
          <cell r="C1733" t="str">
            <v>NMĐ Đại Ninh MBA AT3 (phía 110kV)</v>
          </cell>
          <cell r="D1733">
            <v>133</v>
          </cell>
          <cell r="E1733">
            <v>1.6</v>
          </cell>
          <cell r="F1733">
            <v>3.3</v>
          </cell>
          <cell r="G1733">
            <v>1.8</v>
          </cell>
          <cell r="H1733">
            <v>1.7</v>
          </cell>
          <cell r="I1733">
            <v>2.2000000000000002</v>
          </cell>
          <cell r="J1733">
            <v>1.6</v>
          </cell>
          <cell r="K1733">
            <v>2.7</v>
          </cell>
          <cell r="L1733">
            <v>2.8</v>
          </cell>
          <cell r="M1733">
            <v>3.3</v>
          </cell>
        </row>
        <row r="1734">
          <cell r="C1734" t="str">
            <v>NMĐ Đại Ninh MBA AT4 (phía 110kV)</v>
          </cell>
          <cell r="D1734">
            <v>134</v>
          </cell>
          <cell r="E1734">
            <v>6.3</v>
          </cell>
          <cell r="F1734">
            <v>8.6</v>
          </cell>
          <cell r="G1734">
            <v>6.4</v>
          </cell>
          <cell r="H1734">
            <v>6.3</v>
          </cell>
          <cell r="I1734">
            <v>7.4</v>
          </cell>
          <cell r="J1734">
            <v>6.4</v>
          </cell>
          <cell r="K1734">
            <v>7.8</v>
          </cell>
          <cell r="L1734">
            <v>7.8</v>
          </cell>
          <cell r="M1734">
            <v>8.6</v>
          </cell>
        </row>
        <row r="1735">
          <cell r="C1735" t="str">
            <v>110kV 171 NMĐ Đại Ninh - 171 NMĐ Bắc Bình</v>
          </cell>
          <cell r="D1735">
            <v>171</v>
          </cell>
          <cell r="E1735">
            <v>-3.3</v>
          </cell>
          <cell r="F1735">
            <v>-9.3000000000000007</v>
          </cell>
          <cell r="G1735">
            <v>-5.8</v>
          </cell>
          <cell r="H1735">
            <v>-6.7</v>
          </cell>
          <cell r="I1735">
            <v>-7.3</v>
          </cell>
          <cell r="J1735">
            <v>-3.3</v>
          </cell>
          <cell r="K1735">
            <v>-5.3</v>
          </cell>
          <cell r="L1735">
            <v>-6.3</v>
          </cell>
          <cell r="M1735">
            <v>-9.3000000000000007</v>
          </cell>
        </row>
        <row r="1736">
          <cell r="C1736" t="str">
            <v>110kV 173 NMĐ Đại Ninh - 171 NMĐ MT Phan Lâm</v>
          </cell>
          <cell r="D1736">
            <v>173</v>
          </cell>
          <cell r="E1736">
            <v>-2</v>
          </cell>
          <cell r="F1736">
            <v>-2.1</v>
          </cell>
          <cell r="G1736">
            <v>-2.1</v>
          </cell>
          <cell r="H1736">
            <v>-2</v>
          </cell>
          <cell r="I1736">
            <v>-2.1</v>
          </cell>
          <cell r="J1736">
            <v>-2.1</v>
          </cell>
          <cell r="K1736">
            <v>-2</v>
          </cell>
          <cell r="L1736">
            <v>-2.1</v>
          </cell>
          <cell r="M1736">
            <v>-2.1</v>
          </cell>
        </row>
        <row r="1737">
          <cell r="C1737" t="str">
            <v>NMĐ Đại Ninh MBA AT3 (phía 220kV)</v>
          </cell>
          <cell r="D1737">
            <v>233</v>
          </cell>
          <cell r="E1737">
            <v>1.3</v>
          </cell>
          <cell r="F1737">
            <v>-2.7</v>
          </cell>
          <cell r="G1737">
            <v>1.4</v>
          </cell>
          <cell r="H1737">
            <v>1.7</v>
          </cell>
          <cell r="I1737">
            <v>1.8</v>
          </cell>
          <cell r="J1737">
            <v>1.3</v>
          </cell>
          <cell r="K1737">
            <v>-2</v>
          </cell>
          <cell r="L1737">
            <v>-2</v>
          </cell>
          <cell r="M1737">
            <v>-2.7</v>
          </cell>
        </row>
        <row r="1738">
          <cell r="C1738" t="str">
            <v>NMĐ Đại Ninh MBA AT4 (phía 220kV)</v>
          </cell>
          <cell r="D1738">
            <v>234</v>
          </cell>
          <cell r="E1738">
            <v>-5.5</v>
          </cell>
          <cell r="F1738">
            <v>-8.6</v>
          </cell>
          <cell r="G1738">
            <v>-6.3</v>
          </cell>
          <cell r="H1738">
            <v>-6</v>
          </cell>
          <cell r="I1738">
            <v>-7.8</v>
          </cell>
          <cell r="J1738">
            <v>-5.5</v>
          </cell>
          <cell r="K1738">
            <v>-7.1</v>
          </cell>
          <cell r="L1738">
            <v>-7.4</v>
          </cell>
          <cell r="M1738">
            <v>-8.6</v>
          </cell>
        </row>
        <row r="1739">
          <cell r="C1739" t="str">
            <v>220kV 271 NMĐ Đại Ninh - 273 Di Linh</v>
          </cell>
          <cell r="D1739">
            <v>271</v>
          </cell>
          <cell r="E1739">
            <v>10.5</v>
          </cell>
          <cell r="F1739">
            <v>-20</v>
          </cell>
          <cell r="G1739">
            <v>-12.9</v>
          </cell>
          <cell r="H1739">
            <v>-20</v>
          </cell>
          <cell r="I1739">
            <v>-18.7</v>
          </cell>
          <cell r="J1739">
            <v>10.5</v>
          </cell>
          <cell r="K1739">
            <v>18.3</v>
          </cell>
          <cell r="L1739">
            <v>-16.8</v>
          </cell>
          <cell r="M1739">
            <v>-15.8</v>
          </cell>
        </row>
        <row r="1740">
          <cell r="C1740" t="str">
            <v>220kV 272 NMĐ Đại Ninh - 274 Di Linh</v>
          </cell>
          <cell r="D1740">
            <v>272</v>
          </cell>
          <cell r="E1740">
            <v>5</v>
          </cell>
          <cell r="F1740">
            <v>22.7</v>
          </cell>
          <cell r="G1740">
            <v>13.6</v>
          </cell>
          <cell r="H1740">
            <v>-10</v>
          </cell>
          <cell r="I1740">
            <v>16.8</v>
          </cell>
          <cell r="J1740">
            <v>11.9</v>
          </cell>
          <cell r="K1740">
            <v>22.7</v>
          </cell>
          <cell r="L1740">
            <v>5</v>
          </cell>
          <cell r="M1740">
            <v>16.600000000000001</v>
          </cell>
        </row>
        <row r="1741">
          <cell r="C1741" t="str">
            <v>NMĐ Đam B'ri MBA T1 (phía 110kV)</v>
          </cell>
          <cell r="D1741">
            <v>131</v>
          </cell>
          <cell r="E1741">
            <v>-3</v>
          </cell>
          <cell r="F1741">
            <v>5</v>
          </cell>
          <cell r="G1741">
            <v>-3</v>
          </cell>
          <cell r="H1741">
            <v>-3.8</v>
          </cell>
          <cell r="I1741">
            <v>4.5999999999999996</v>
          </cell>
          <cell r="J1741">
            <v>5</v>
          </cell>
          <cell r="K1741">
            <v>4</v>
          </cell>
          <cell r="L1741">
            <v>3.3</v>
          </cell>
          <cell r="M1741">
            <v>3.8</v>
          </cell>
        </row>
        <row r="1742">
          <cell r="C1742" t="str">
            <v>NMĐ Đam B'ri MBA T2 (phía 110kV)</v>
          </cell>
          <cell r="D1742">
            <v>132</v>
          </cell>
          <cell r="E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</row>
        <row r="1743">
          <cell r="C1743" t="str">
            <v>110kV 171 NMĐ Đa M'bri - 171 Bảo Lộc</v>
          </cell>
          <cell r="D1743">
            <v>171</v>
          </cell>
          <cell r="E1743">
            <v>-3</v>
          </cell>
          <cell r="F1743">
            <v>5</v>
          </cell>
          <cell r="G1743">
            <v>-3</v>
          </cell>
          <cell r="H1743">
            <v>-3.8</v>
          </cell>
          <cell r="I1743">
            <v>4.5999999999999996</v>
          </cell>
          <cell r="J1743">
            <v>5</v>
          </cell>
          <cell r="K1743">
            <v>4</v>
          </cell>
          <cell r="L1743">
            <v>3.3</v>
          </cell>
          <cell r="M1743">
            <v>3.8</v>
          </cell>
        </row>
        <row r="1744">
          <cell r="C1744" t="str">
            <v>110kV 174 NMĐ Đa M'bri - 171 Đạ Tẻh</v>
          </cell>
          <cell r="D1744">
            <v>174</v>
          </cell>
          <cell r="E1744">
            <v>-5.0999999999999996</v>
          </cell>
          <cell r="F1744">
            <v>-5.8</v>
          </cell>
          <cell r="G1744">
            <v>-5.0999999999999996</v>
          </cell>
          <cell r="H1744">
            <v>-5.3</v>
          </cell>
          <cell r="I1744">
            <v>-5.2</v>
          </cell>
          <cell r="J1744">
            <v>-5.3</v>
          </cell>
          <cell r="K1744">
            <v>-5.8</v>
          </cell>
          <cell r="L1744">
            <v>-5.5</v>
          </cell>
          <cell r="M1744">
            <v>-5.3</v>
          </cell>
        </row>
        <row r="1745">
          <cell r="C1745" t="str">
            <v>220kV 272 NMĐ Đồng Nai 2 - 273 NMĐ Đồng Nai 2 - 275 Di Linh</v>
          </cell>
          <cell r="D1745">
            <v>272</v>
          </cell>
          <cell r="E1745">
            <v>-5</v>
          </cell>
          <cell r="F1745">
            <v>-11.7</v>
          </cell>
          <cell r="G1745">
            <v>-8.8000000000000007</v>
          </cell>
          <cell r="H1745">
            <v>-9.1</v>
          </cell>
          <cell r="I1745">
            <v>-6.1</v>
          </cell>
          <cell r="J1745">
            <v>-6.2</v>
          </cell>
          <cell r="K1745">
            <v>-5</v>
          </cell>
          <cell r="L1745">
            <v>-11.7</v>
          </cell>
          <cell r="M1745">
            <v>-6.5</v>
          </cell>
        </row>
        <row r="1746">
          <cell r="C1746" t="str">
            <v>220kV 273 NMĐ Đồng Nai 2 - 272 NMĐ Đồng Nai 2 - 275 Di Linh</v>
          </cell>
          <cell r="D1746">
            <v>273</v>
          </cell>
          <cell r="E1746">
            <v>-4.5</v>
          </cell>
          <cell r="F1746">
            <v>-8.5</v>
          </cell>
          <cell r="G1746">
            <v>-8.5</v>
          </cell>
          <cell r="H1746">
            <v>-8</v>
          </cell>
          <cell r="I1746">
            <v>-5.9</v>
          </cell>
          <cell r="J1746">
            <v>-4.5</v>
          </cell>
          <cell r="K1746">
            <v>-7.7</v>
          </cell>
          <cell r="L1746">
            <v>-4.7</v>
          </cell>
          <cell r="M1746">
            <v>-5.3</v>
          </cell>
        </row>
        <row r="1747">
          <cell r="C1747" t="str">
            <v>NMĐ Duyên Hải 1 MBA T1 (phía 220kV)</v>
          </cell>
          <cell r="D1747">
            <v>231</v>
          </cell>
          <cell r="E1747">
            <v>-36.200000000000003</v>
          </cell>
          <cell r="F1747">
            <v>-36.200000000000003</v>
          </cell>
          <cell r="G1747">
            <v>-36.200000000000003</v>
          </cell>
          <cell r="H1747">
            <v>-36.200000000000003</v>
          </cell>
          <cell r="I1747">
            <v>-36.200000000000003</v>
          </cell>
          <cell r="J1747">
            <v>-36.200000000000003</v>
          </cell>
          <cell r="K1747">
            <v>-36.200000000000003</v>
          </cell>
          <cell r="L1747">
            <v>-36.200000000000003</v>
          </cell>
          <cell r="M1747">
            <v>-36.200000000000003</v>
          </cell>
        </row>
        <row r="1748">
          <cell r="C1748" t="str">
            <v>NMĐ Duyên Hải 1 MBA T2 (phía 220kV)</v>
          </cell>
          <cell r="D1748">
            <v>232</v>
          </cell>
          <cell r="E1748">
            <v>-58</v>
          </cell>
          <cell r="F1748">
            <v>-58</v>
          </cell>
          <cell r="G1748">
            <v>-58</v>
          </cell>
          <cell r="H1748">
            <v>-58</v>
          </cell>
          <cell r="I1748">
            <v>-58</v>
          </cell>
          <cell r="J1748">
            <v>-58</v>
          </cell>
          <cell r="K1748">
            <v>-58</v>
          </cell>
          <cell r="L1748">
            <v>-58</v>
          </cell>
          <cell r="M1748">
            <v>-58</v>
          </cell>
        </row>
        <row r="1749">
          <cell r="C1749" t="str">
            <v>NMĐ Formosa MBA T1 (phía 110kV)</v>
          </cell>
          <cell r="D1749">
            <v>131</v>
          </cell>
          <cell r="E1749">
            <v>-17.100000000000001</v>
          </cell>
          <cell r="F1749">
            <v>-21.6</v>
          </cell>
          <cell r="G1749">
            <v>-20.6</v>
          </cell>
          <cell r="H1749">
            <v>-20.100000000000001</v>
          </cell>
          <cell r="I1749">
            <v>-20.6</v>
          </cell>
          <cell r="J1749">
            <v>-17.100000000000001</v>
          </cell>
          <cell r="K1749">
            <v>-19.3</v>
          </cell>
          <cell r="L1749">
            <v>-21</v>
          </cell>
          <cell r="M1749">
            <v>-21.6</v>
          </cell>
        </row>
        <row r="1750">
          <cell r="C1750" t="str">
            <v>NMĐ Formosa MBA T2 (phía 110kV)</v>
          </cell>
          <cell r="D1750">
            <v>132</v>
          </cell>
          <cell r="E1750">
            <v>-17.3</v>
          </cell>
          <cell r="F1750">
            <v>-21.6</v>
          </cell>
          <cell r="G1750">
            <v>-20.7</v>
          </cell>
          <cell r="H1750">
            <v>-20.3</v>
          </cell>
          <cell r="I1750">
            <v>-20.7</v>
          </cell>
          <cell r="J1750">
            <v>-17.3</v>
          </cell>
          <cell r="K1750">
            <v>-19.399999999999999</v>
          </cell>
          <cell r="L1750">
            <v>-21.2</v>
          </cell>
          <cell r="M1750">
            <v>-21.6</v>
          </cell>
        </row>
        <row r="1751">
          <cell r="C1751" t="str">
            <v>NMĐ Formosa MBA T3 (phía 110kV)</v>
          </cell>
          <cell r="D1751">
            <v>133</v>
          </cell>
          <cell r="E1751">
            <v>9.6999999999999993</v>
          </cell>
          <cell r="F1751">
            <v>11.9</v>
          </cell>
          <cell r="G1751">
            <v>11</v>
          </cell>
          <cell r="H1751">
            <v>10.4</v>
          </cell>
          <cell r="I1751">
            <v>10.1</v>
          </cell>
          <cell r="J1751">
            <v>9.9</v>
          </cell>
          <cell r="K1751">
            <v>9.6999999999999993</v>
          </cell>
          <cell r="L1751">
            <v>11.9</v>
          </cell>
          <cell r="M1751">
            <v>11.7</v>
          </cell>
        </row>
        <row r="1752">
          <cell r="C1752" t="str">
            <v>NMĐ Formosa MBA T4 (phía 110kV)</v>
          </cell>
          <cell r="D1752">
            <v>134</v>
          </cell>
          <cell r="E1752">
            <v>16.3</v>
          </cell>
          <cell r="F1752">
            <v>17.3</v>
          </cell>
          <cell r="G1752">
            <v>16.899999999999999</v>
          </cell>
          <cell r="H1752">
            <v>17.100000000000001</v>
          </cell>
          <cell r="I1752">
            <v>16.5</v>
          </cell>
          <cell r="J1752">
            <v>16.3</v>
          </cell>
          <cell r="K1752">
            <v>16.5</v>
          </cell>
          <cell r="L1752">
            <v>17.3</v>
          </cell>
          <cell r="M1752">
            <v>16.899999999999999</v>
          </cell>
        </row>
        <row r="1753">
          <cell r="C1753" t="str">
            <v>NMĐ Formosa MBA T5 (phía 110kV)</v>
          </cell>
          <cell r="D1753">
            <v>135</v>
          </cell>
          <cell r="E1753">
            <v>0</v>
          </cell>
          <cell r="F1753">
            <v>0</v>
          </cell>
          <cell r="G1753">
            <v>0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</row>
        <row r="1754">
          <cell r="C1754" t="str">
            <v>NMĐ Formosa MBA T6 (phía 110kV)</v>
          </cell>
          <cell r="D1754">
            <v>136</v>
          </cell>
          <cell r="E1754">
            <v>-20.399999999999999</v>
          </cell>
          <cell r="F1754">
            <v>-21.3</v>
          </cell>
          <cell r="G1754">
            <v>-21.3</v>
          </cell>
          <cell r="H1754">
            <v>-21.3</v>
          </cell>
          <cell r="I1754">
            <v>-20.6</v>
          </cell>
          <cell r="J1754">
            <v>-20.5</v>
          </cell>
          <cell r="K1754">
            <v>-20.8</v>
          </cell>
          <cell r="L1754">
            <v>-20.399999999999999</v>
          </cell>
          <cell r="M1754">
            <v>-21.1</v>
          </cell>
        </row>
        <row r="1755">
          <cell r="C1755" t="str">
            <v>NMĐ Formosa MBA T7 (phía 110kV)</v>
          </cell>
          <cell r="D1755">
            <v>137</v>
          </cell>
          <cell r="E1755">
            <v>13.6</v>
          </cell>
          <cell r="F1755">
            <v>17.600000000000001</v>
          </cell>
          <cell r="G1755">
            <v>17.399999999999999</v>
          </cell>
          <cell r="H1755">
            <v>17.600000000000001</v>
          </cell>
          <cell r="I1755">
            <v>14.3</v>
          </cell>
          <cell r="J1755">
            <v>13.6</v>
          </cell>
          <cell r="K1755">
            <v>15.6</v>
          </cell>
          <cell r="L1755">
            <v>16.899999999999999</v>
          </cell>
          <cell r="M1755">
            <v>17.100000000000001</v>
          </cell>
        </row>
        <row r="1756">
          <cell r="C1756" t="str">
            <v>NMĐ Formosa MBA T8 (phía 110kV)</v>
          </cell>
          <cell r="D1756">
            <v>138</v>
          </cell>
          <cell r="E1756">
            <v>16.5</v>
          </cell>
          <cell r="F1756">
            <v>20.5</v>
          </cell>
          <cell r="G1756">
            <v>18.5</v>
          </cell>
          <cell r="H1756">
            <v>19.600000000000001</v>
          </cell>
          <cell r="I1756">
            <v>20.5</v>
          </cell>
          <cell r="J1756">
            <v>16.5</v>
          </cell>
          <cell r="K1756">
            <v>19.3</v>
          </cell>
          <cell r="L1756">
            <v>17.5</v>
          </cell>
          <cell r="M1756">
            <v>18.899999999999999</v>
          </cell>
        </row>
        <row r="1757">
          <cell r="C1757" t="str">
            <v>NMĐ Formosa MBA T1 (phía 220kV)</v>
          </cell>
          <cell r="D1757">
            <v>231</v>
          </cell>
          <cell r="E1757">
            <v>18.5</v>
          </cell>
          <cell r="F1757">
            <v>22.8</v>
          </cell>
          <cell r="G1757">
            <v>21.9</v>
          </cell>
          <cell r="H1757">
            <v>21.6</v>
          </cell>
          <cell r="I1757">
            <v>21.9</v>
          </cell>
          <cell r="J1757">
            <v>18.5</v>
          </cell>
          <cell r="K1757">
            <v>20.6</v>
          </cell>
          <cell r="L1757">
            <v>22.4</v>
          </cell>
          <cell r="M1757">
            <v>22.8</v>
          </cell>
        </row>
        <row r="1758">
          <cell r="C1758" t="str">
            <v>NMĐ Formosa MBA T2 (phía 220kV)</v>
          </cell>
          <cell r="D1758">
            <v>232</v>
          </cell>
          <cell r="E1758">
            <v>18.8</v>
          </cell>
          <cell r="F1758">
            <v>23.1</v>
          </cell>
          <cell r="G1758">
            <v>21.9</v>
          </cell>
          <cell r="H1758">
            <v>21.6</v>
          </cell>
          <cell r="I1758">
            <v>22.3</v>
          </cell>
          <cell r="J1758">
            <v>18.8</v>
          </cell>
          <cell r="K1758">
            <v>21</v>
          </cell>
          <cell r="L1758">
            <v>22.6</v>
          </cell>
          <cell r="M1758">
            <v>23.1</v>
          </cell>
        </row>
        <row r="1759">
          <cell r="C1759" t="str">
            <v>NMĐ Formosa MBA AT9 (phía 220kV)</v>
          </cell>
          <cell r="D1759">
            <v>239</v>
          </cell>
          <cell r="E1759">
            <v>31.8</v>
          </cell>
          <cell r="F1759">
            <v>34</v>
          </cell>
          <cell r="G1759">
            <v>34</v>
          </cell>
          <cell r="H1759">
            <v>33.4</v>
          </cell>
          <cell r="I1759">
            <v>32.4</v>
          </cell>
          <cell r="J1759">
            <v>33.6</v>
          </cell>
          <cell r="K1759">
            <v>32.6</v>
          </cell>
          <cell r="L1759">
            <v>31.8</v>
          </cell>
          <cell r="M1759">
            <v>32.5</v>
          </cell>
        </row>
        <row r="1760">
          <cell r="C1760" t="str">
            <v>220kV 271 NMĐ Formosa - 271 Long Thành</v>
          </cell>
          <cell r="D1760">
            <v>271</v>
          </cell>
          <cell r="E1760">
            <v>4.5</v>
          </cell>
          <cell r="F1760">
            <v>7.8</v>
          </cell>
          <cell r="G1760">
            <v>6.4</v>
          </cell>
          <cell r="H1760">
            <v>7.2</v>
          </cell>
          <cell r="I1760">
            <v>7.7</v>
          </cell>
          <cell r="J1760">
            <v>4.5</v>
          </cell>
          <cell r="K1760">
            <v>6</v>
          </cell>
          <cell r="L1760">
            <v>7.7</v>
          </cell>
          <cell r="M1760">
            <v>7.8</v>
          </cell>
        </row>
        <row r="1761">
          <cell r="C1761" t="str">
            <v>220kV 272 NMĐ Formosa - 272 Long Thành</v>
          </cell>
          <cell r="D1761">
            <v>272</v>
          </cell>
          <cell r="E1761">
            <v>3.4</v>
          </cell>
          <cell r="F1761">
            <v>8.1999999999999993</v>
          </cell>
          <cell r="G1761">
            <v>6.3</v>
          </cell>
          <cell r="H1761">
            <v>7.1</v>
          </cell>
          <cell r="I1761">
            <v>7.5</v>
          </cell>
          <cell r="J1761">
            <v>3.4</v>
          </cell>
          <cell r="K1761">
            <v>6.5</v>
          </cell>
          <cell r="L1761">
            <v>7.6</v>
          </cell>
          <cell r="M1761">
            <v>8.1999999999999993</v>
          </cell>
        </row>
        <row r="1762">
          <cell r="C1762" t="str">
            <v>NMĐ Formosa MBA T3 (phía 22kV)</v>
          </cell>
          <cell r="D1762">
            <v>433</v>
          </cell>
          <cell r="E1762">
            <v>8.4</v>
          </cell>
          <cell r="F1762">
            <v>10.5</v>
          </cell>
          <cell r="G1762">
            <v>9.6999999999999993</v>
          </cell>
          <cell r="H1762">
            <v>9</v>
          </cell>
          <cell r="I1762">
            <v>8.6999999999999993</v>
          </cell>
          <cell r="J1762">
            <v>8.5</v>
          </cell>
          <cell r="K1762">
            <v>8.4</v>
          </cell>
          <cell r="L1762">
            <v>10.5</v>
          </cell>
          <cell r="M1762">
            <v>10.3</v>
          </cell>
        </row>
        <row r="1763">
          <cell r="C1763" t="str">
            <v>NMĐ Formosa MBA T4 (phía 22kV)</v>
          </cell>
          <cell r="D1763">
            <v>434</v>
          </cell>
          <cell r="E1763">
            <v>14.5</v>
          </cell>
          <cell r="F1763">
            <v>15.4</v>
          </cell>
          <cell r="G1763">
            <v>15</v>
          </cell>
          <cell r="H1763">
            <v>15.1</v>
          </cell>
          <cell r="I1763">
            <v>14.6</v>
          </cell>
          <cell r="J1763">
            <v>14.5</v>
          </cell>
          <cell r="K1763">
            <v>14.7</v>
          </cell>
          <cell r="L1763">
            <v>15.4</v>
          </cell>
          <cell r="M1763">
            <v>15</v>
          </cell>
        </row>
        <row r="1764">
          <cell r="C1764" t="str">
            <v>NMĐ Formosa MBA T7 (phía 22kV)</v>
          </cell>
          <cell r="D1764">
            <v>437</v>
          </cell>
          <cell r="E1764">
            <v>12.5</v>
          </cell>
          <cell r="F1764">
            <v>15.7</v>
          </cell>
          <cell r="G1764">
            <v>15.5</v>
          </cell>
          <cell r="H1764">
            <v>15.7</v>
          </cell>
          <cell r="I1764">
            <v>13</v>
          </cell>
          <cell r="J1764">
            <v>12.5</v>
          </cell>
          <cell r="K1764">
            <v>14.1</v>
          </cell>
          <cell r="L1764">
            <v>15.1</v>
          </cell>
          <cell r="M1764">
            <v>15.4</v>
          </cell>
        </row>
        <row r="1765">
          <cell r="C1765" t="str">
            <v>NMĐ Formosa MBA T8 (phía 22kV)</v>
          </cell>
          <cell r="D1765">
            <v>438</v>
          </cell>
          <cell r="E1765">
            <v>14.3</v>
          </cell>
          <cell r="F1765">
            <v>17.8</v>
          </cell>
          <cell r="G1765">
            <v>16.2</v>
          </cell>
          <cell r="H1765">
            <v>17.2</v>
          </cell>
          <cell r="I1765">
            <v>17.8</v>
          </cell>
          <cell r="J1765">
            <v>14.3</v>
          </cell>
          <cell r="K1765">
            <v>16.899999999999999</v>
          </cell>
          <cell r="L1765">
            <v>15.7</v>
          </cell>
          <cell r="M1765">
            <v>16.600000000000001</v>
          </cell>
        </row>
        <row r="1766">
          <cell r="C1766" t="str">
            <v>NMĐ Gió Đại Phong MBA T1 (phía 110kV)</v>
          </cell>
          <cell r="D1766">
            <v>131</v>
          </cell>
          <cell r="E1766">
            <v>0.3</v>
          </cell>
          <cell r="F1766">
            <v>4.3</v>
          </cell>
          <cell r="G1766">
            <v>-0.5</v>
          </cell>
          <cell r="H1766">
            <v>0.3</v>
          </cell>
          <cell r="I1766">
            <v>4.2</v>
          </cell>
          <cell r="J1766">
            <v>2</v>
          </cell>
          <cell r="K1766">
            <v>2.1</v>
          </cell>
          <cell r="L1766">
            <v>0.3</v>
          </cell>
          <cell r="M1766">
            <v>4.3</v>
          </cell>
        </row>
        <row r="1767">
          <cell r="C1767" t="str">
            <v>NMĐ Gió Đại Phong MBA T1 (phía 35kV)</v>
          </cell>
          <cell r="D1767">
            <v>331</v>
          </cell>
          <cell r="E1767">
            <v>0</v>
          </cell>
          <cell r="F1767">
            <v>-0.5</v>
          </cell>
          <cell r="G1767">
            <v>-0.5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</row>
        <row r="1768">
          <cell r="C1768" t="str">
            <v>NMĐ Gió Đầm Nại MBA T1 (phía 110kV)</v>
          </cell>
          <cell r="D1768">
            <v>131</v>
          </cell>
          <cell r="E1768">
            <v>-0.3</v>
          </cell>
          <cell r="F1768">
            <v>1.6</v>
          </cell>
          <cell r="G1768">
            <v>-0.3</v>
          </cell>
          <cell r="H1768">
            <v>-0.4</v>
          </cell>
          <cell r="I1768">
            <v>0.6</v>
          </cell>
          <cell r="J1768">
            <v>1.6</v>
          </cell>
          <cell r="K1768">
            <v>-0.4</v>
          </cell>
          <cell r="L1768">
            <v>-0.4</v>
          </cell>
          <cell r="M1768">
            <v>-0.4</v>
          </cell>
        </row>
        <row r="1769">
          <cell r="C1769" t="str">
            <v>110kV 171 NMĐ Gió Đầm Nại - 171 Ninh Hải</v>
          </cell>
          <cell r="D1769">
            <v>171</v>
          </cell>
          <cell r="E1769">
            <v>-3.8</v>
          </cell>
          <cell r="F1769">
            <v>6.6</v>
          </cell>
          <cell r="G1769">
            <v>-4.8</v>
          </cell>
          <cell r="H1769">
            <v>5.3</v>
          </cell>
          <cell r="I1769">
            <v>6.6</v>
          </cell>
          <cell r="J1769">
            <v>-3.8</v>
          </cell>
          <cell r="K1769">
            <v>-3.9</v>
          </cell>
          <cell r="L1769">
            <v>-5.2</v>
          </cell>
          <cell r="M1769">
            <v>-5</v>
          </cell>
        </row>
        <row r="1770">
          <cell r="C1770" t="str">
            <v>110kV 172 NMĐ Gió Đầm Nại - 175 Tháp Chàm 2</v>
          </cell>
          <cell r="D1770">
            <v>172</v>
          </cell>
          <cell r="E1770">
            <v>2.2999999999999998</v>
          </cell>
          <cell r="F1770">
            <v>7.3</v>
          </cell>
          <cell r="G1770">
            <v>4.4000000000000004</v>
          </cell>
          <cell r="H1770">
            <v>-5.3</v>
          </cell>
          <cell r="I1770">
            <v>-4.8</v>
          </cell>
          <cell r="J1770">
            <v>3.7</v>
          </cell>
          <cell r="K1770">
            <v>5.3</v>
          </cell>
          <cell r="L1770">
            <v>2.2999999999999998</v>
          </cell>
          <cell r="M1770">
            <v>7.3</v>
          </cell>
        </row>
        <row r="1771">
          <cell r="C1771" t="str">
            <v>NMĐ Gió Đầm Nại MBA T1 (phía 22kV)</v>
          </cell>
          <cell r="D1771">
            <v>431</v>
          </cell>
          <cell r="E1771">
            <v>-0.3</v>
          </cell>
          <cell r="F1771">
            <v>0.5</v>
          </cell>
          <cell r="G1771">
            <v>-0.3</v>
          </cell>
          <cell r="H1771">
            <v>-0.4</v>
          </cell>
          <cell r="I1771">
            <v>-0.3</v>
          </cell>
          <cell r="J1771">
            <v>0.5</v>
          </cell>
          <cell r="K1771">
            <v>-0.3</v>
          </cell>
          <cell r="L1771">
            <v>-0.4</v>
          </cell>
          <cell r="M1771">
            <v>-0.4</v>
          </cell>
        </row>
        <row r="1772">
          <cell r="C1772" t="str">
            <v>NMĐ Gió Mũi Dinh MBA T2 (phía 110kV)</v>
          </cell>
          <cell r="D1772">
            <v>132</v>
          </cell>
          <cell r="E1772">
            <v>0.1</v>
          </cell>
          <cell r="F1772">
            <v>0.2</v>
          </cell>
          <cell r="G1772">
            <v>0.1</v>
          </cell>
          <cell r="H1772">
            <v>0.1</v>
          </cell>
          <cell r="I1772">
            <v>0.2</v>
          </cell>
          <cell r="J1772">
            <v>0.2</v>
          </cell>
          <cell r="K1772">
            <v>0.1</v>
          </cell>
          <cell r="L1772">
            <v>0.1</v>
          </cell>
          <cell r="M1772">
            <v>0.1</v>
          </cell>
        </row>
        <row r="1773">
          <cell r="C1773" t="str">
            <v>NMĐ Gió  Mũi Dinh MBA T2 (phía 22kV)</v>
          </cell>
          <cell r="D1773">
            <v>432</v>
          </cell>
          <cell r="E1773">
            <v>0.4</v>
          </cell>
          <cell r="F1773">
            <v>0.7</v>
          </cell>
          <cell r="G1773">
            <v>0.7</v>
          </cell>
          <cell r="H1773">
            <v>0.7</v>
          </cell>
          <cell r="I1773">
            <v>0.7</v>
          </cell>
          <cell r="J1773">
            <v>0.4</v>
          </cell>
          <cell r="K1773">
            <v>0.6</v>
          </cell>
          <cell r="L1773">
            <v>0.6</v>
          </cell>
          <cell r="M1773">
            <v>0.6</v>
          </cell>
        </row>
        <row r="1774">
          <cell r="C1774" t="str">
            <v>NMĐ Gió Phú Lạc MBA T1 (phía 110kV)</v>
          </cell>
          <cell r="D1774">
            <v>131</v>
          </cell>
          <cell r="E1774">
            <v>0.3</v>
          </cell>
          <cell r="F1774">
            <v>2.6</v>
          </cell>
          <cell r="G1774">
            <v>0.3</v>
          </cell>
          <cell r="H1774">
            <v>0.7</v>
          </cell>
          <cell r="I1774">
            <v>2</v>
          </cell>
          <cell r="J1774">
            <v>0.3</v>
          </cell>
          <cell r="K1774">
            <v>1.6</v>
          </cell>
          <cell r="L1774">
            <v>0.8</v>
          </cell>
          <cell r="M1774">
            <v>2.6</v>
          </cell>
        </row>
        <row r="1775">
          <cell r="C1775" t="str">
            <v>110kV 171 NMĐ Gió Phú Lạc - 171 NMĐ MT Tuy Phong</v>
          </cell>
          <cell r="D1775">
            <v>171</v>
          </cell>
          <cell r="E1775">
            <v>-3.7</v>
          </cell>
          <cell r="F1775">
            <v>6.5</v>
          </cell>
          <cell r="G1775">
            <v>5.3</v>
          </cell>
          <cell r="H1775">
            <v>6.5</v>
          </cell>
          <cell r="I1775">
            <v>-3.7</v>
          </cell>
          <cell r="J1775">
            <v>-3.9</v>
          </cell>
          <cell r="K1775">
            <v>-3.9</v>
          </cell>
          <cell r="L1775">
            <v>-3.9</v>
          </cell>
          <cell r="M1775">
            <v>-4</v>
          </cell>
        </row>
        <row r="1776">
          <cell r="C1776" t="str">
            <v>110kV 172 NMĐ Gió Phú Lạc - 172 NMĐ Gió Tuy Phong</v>
          </cell>
          <cell r="D1776">
            <v>172</v>
          </cell>
          <cell r="E1776">
            <v>3.7</v>
          </cell>
          <cell r="F1776">
            <v>-6.3</v>
          </cell>
          <cell r="G1776">
            <v>-5.7</v>
          </cell>
          <cell r="H1776">
            <v>-6.3</v>
          </cell>
          <cell r="I1776">
            <v>4</v>
          </cell>
          <cell r="J1776">
            <v>3.7</v>
          </cell>
          <cell r="K1776">
            <v>4.0999999999999996</v>
          </cell>
          <cell r="L1776">
            <v>4.0999999999999996</v>
          </cell>
          <cell r="M1776">
            <v>4.3</v>
          </cell>
        </row>
        <row r="1777">
          <cell r="C1777" t="str">
            <v>NMĐ Gió Phú Lạc MBA T1 (phía 22kV)</v>
          </cell>
          <cell r="D1777">
            <v>431</v>
          </cell>
          <cell r="E1777">
            <v>-0.2</v>
          </cell>
          <cell r="F1777">
            <v>-1.8</v>
          </cell>
          <cell r="G1777">
            <v>-0.2</v>
          </cell>
          <cell r="H1777">
            <v>-0.6</v>
          </cell>
          <cell r="I1777">
            <v>-1.8</v>
          </cell>
          <cell r="J1777">
            <v>0.4</v>
          </cell>
          <cell r="K1777">
            <v>-1.5</v>
          </cell>
          <cell r="L1777">
            <v>-0.8</v>
          </cell>
          <cell r="M1777">
            <v>-1.5</v>
          </cell>
        </row>
        <row r="1778">
          <cell r="C1778" t="str">
            <v>NMĐ Gió Trung Nam MBA T1 (phía 110kV)</v>
          </cell>
          <cell r="D1778">
            <v>131</v>
          </cell>
          <cell r="E1778">
            <v>0</v>
          </cell>
          <cell r="F1778">
            <v>0.3</v>
          </cell>
          <cell r="G1778">
            <v>0</v>
          </cell>
          <cell r="H1778">
            <v>0.2</v>
          </cell>
          <cell r="I1778">
            <v>0.3</v>
          </cell>
          <cell r="J1778">
            <v>-0.1</v>
          </cell>
          <cell r="K1778">
            <v>0.1</v>
          </cell>
          <cell r="L1778">
            <v>0.2</v>
          </cell>
          <cell r="M1778">
            <v>0.3</v>
          </cell>
        </row>
        <row r="1779">
          <cell r="C1779" t="str">
            <v>NMĐ Gió Trung Nam MBA T2 (phía 110kV)</v>
          </cell>
          <cell r="D1779">
            <v>132</v>
          </cell>
          <cell r="E1779">
            <v>0</v>
          </cell>
          <cell r="F1779">
            <v>0.4</v>
          </cell>
          <cell r="G1779">
            <v>0.4</v>
          </cell>
          <cell r="H1779">
            <v>0.4</v>
          </cell>
          <cell r="I1779">
            <v>-0.1</v>
          </cell>
          <cell r="J1779">
            <v>0.2</v>
          </cell>
          <cell r="K1779">
            <v>0</v>
          </cell>
          <cell r="L1779">
            <v>-0.1</v>
          </cell>
          <cell r="M1779">
            <v>0.1</v>
          </cell>
        </row>
        <row r="1780">
          <cell r="C1780" t="str">
            <v>110kV 171 NMĐ Gió Trung Nam - 177 Tháp Chàm 2</v>
          </cell>
          <cell r="D1780">
            <v>171</v>
          </cell>
          <cell r="E1780">
            <v>0</v>
          </cell>
          <cell r="F1780">
            <v>-0.5</v>
          </cell>
          <cell r="G1780">
            <v>-0.2</v>
          </cell>
          <cell r="H1780">
            <v>-0.4</v>
          </cell>
          <cell r="I1780">
            <v>-0.4</v>
          </cell>
          <cell r="J1780">
            <v>-0.5</v>
          </cell>
          <cell r="K1780">
            <v>0</v>
          </cell>
          <cell r="L1780">
            <v>-0.3</v>
          </cell>
          <cell r="M1780">
            <v>-0.3</v>
          </cell>
        </row>
        <row r="1781">
          <cell r="C1781" t="str">
            <v>110kV 172 NMĐ Gió Trung Nam - 178 Tháp Chàm 2</v>
          </cell>
          <cell r="D1781">
            <v>172</v>
          </cell>
          <cell r="E1781">
            <v>0</v>
          </cell>
          <cell r="F1781">
            <v>0.3</v>
          </cell>
          <cell r="G1781">
            <v>-0.1</v>
          </cell>
          <cell r="H1781">
            <v>-0.1</v>
          </cell>
          <cell r="I1781">
            <v>-0.1</v>
          </cell>
          <cell r="J1781">
            <v>0.3</v>
          </cell>
          <cell r="K1781">
            <v>0</v>
          </cell>
          <cell r="L1781">
            <v>0</v>
          </cell>
          <cell r="M1781">
            <v>-0.1</v>
          </cell>
        </row>
        <row r="1782">
          <cell r="C1782" t="str">
            <v>NMĐ Gió Trung Nam MBA T1 (phía 22kV)</v>
          </cell>
          <cell r="D1782">
            <v>431</v>
          </cell>
          <cell r="E1782">
            <v>-0.1</v>
          </cell>
          <cell r="F1782">
            <v>-0.4</v>
          </cell>
          <cell r="G1782">
            <v>0.2</v>
          </cell>
          <cell r="H1782">
            <v>-0.1</v>
          </cell>
          <cell r="I1782">
            <v>-0.1</v>
          </cell>
          <cell r="J1782">
            <v>0.4</v>
          </cell>
          <cell r="K1782">
            <v>-0.2</v>
          </cell>
          <cell r="L1782">
            <v>-0.4</v>
          </cell>
          <cell r="M1782">
            <v>-0.1</v>
          </cell>
        </row>
        <row r="1783">
          <cell r="C1783" t="str">
            <v>NMĐ Gió Trung Nam MBA T2 (phía 22kV)</v>
          </cell>
          <cell r="D1783">
            <v>432</v>
          </cell>
          <cell r="E1783">
            <v>0.6</v>
          </cell>
          <cell r="F1783">
            <v>0.7</v>
          </cell>
          <cell r="G1783">
            <v>0.6</v>
          </cell>
          <cell r="H1783">
            <v>0.6</v>
          </cell>
          <cell r="I1783">
            <v>0.6</v>
          </cell>
          <cell r="J1783">
            <v>0.6</v>
          </cell>
          <cell r="K1783">
            <v>0.6</v>
          </cell>
          <cell r="L1783">
            <v>0.6</v>
          </cell>
          <cell r="M1783">
            <v>0.7</v>
          </cell>
        </row>
        <row r="1784">
          <cell r="C1784" t="str">
            <v>NMĐ Gió Tuy Phong MBA T1 (phía 110kV)</v>
          </cell>
          <cell r="D1784">
            <v>131</v>
          </cell>
          <cell r="E1784">
            <v>0</v>
          </cell>
          <cell r="F1784">
            <v>-1</v>
          </cell>
          <cell r="G1784">
            <v>0</v>
          </cell>
          <cell r="H1784">
            <v>0</v>
          </cell>
          <cell r="I1784">
            <v>-1</v>
          </cell>
          <cell r="J1784">
            <v>-1</v>
          </cell>
          <cell r="K1784">
            <v>0</v>
          </cell>
          <cell r="L1784">
            <v>-1</v>
          </cell>
          <cell r="M1784">
            <v>-1</v>
          </cell>
        </row>
        <row r="1785">
          <cell r="C1785" t="str">
            <v xml:space="preserve">110kV 171 NMĐ Gió Tuy Phong - 172 NMĐ MT Eco Seido Tuy Phong </v>
          </cell>
          <cell r="D1785">
            <v>171</v>
          </cell>
          <cell r="E1785">
            <v>0</v>
          </cell>
          <cell r="F1785">
            <v>0</v>
          </cell>
          <cell r="G1785">
            <v>0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</row>
        <row r="1786">
          <cell r="C1786" t="str">
            <v>110kV 172 NMĐ Gió Tuy Phong - 172 NMĐ Gió Phú Lạc</v>
          </cell>
          <cell r="D1786">
            <v>172</v>
          </cell>
          <cell r="E1786">
            <v>4.0999999999999996</v>
          </cell>
          <cell r="F1786">
            <v>-7</v>
          </cell>
          <cell r="G1786">
            <v>-7</v>
          </cell>
          <cell r="H1786">
            <v>-7</v>
          </cell>
          <cell r="I1786">
            <v>5</v>
          </cell>
          <cell r="J1786">
            <v>4.0999999999999996</v>
          </cell>
          <cell r="K1786">
            <v>5</v>
          </cell>
          <cell r="L1786">
            <v>5</v>
          </cell>
          <cell r="M1786">
            <v>5</v>
          </cell>
        </row>
        <row r="1787">
          <cell r="C1787" t="str">
            <v>NMĐ Gió Tuy Phong MBA T1 (phía 22kV)</v>
          </cell>
          <cell r="D1787">
            <v>431</v>
          </cell>
          <cell r="E1787">
            <v>0</v>
          </cell>
          <cell r="F1787">
            <v>0.9</v>
          </cell>
          <cell r="G1787">
            <v>0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0.9</v>
          </cell>
          <cell r="M1787">
            <v>0.9</v>
          </cell>
        </row>
        <row r="1788">
          <cell r="C1788" t="str">
            <v>NMĐ Hạ Sông Pha 1 MBT T1 (phía 110kV)</v>
          </cell>
          <cell r="D1788">
            <v>131</v>
          </cell>
          <cell r="E1788">
            <v>-0.6</v>
          </cell>
          <cell r="F1788">
            <v>1.4</v>
          </cell>
          <cell r="G1788">
            <v>-1</v>
          </cell>
          <cell r="H1788">
            <v>-1.2</v>
          </cell>
          <cell r="I1788">
            <v>0.8</v>
          </cell>
          <cell r="J1788">
            <v>-1</v>
          </cell>
          <cell r="K1788">
            <v>-0.6</v>
          </cell>
          <cell r="L1788">
            <v>1.4</v>
          </cell>
          <cell r="M1788">
            <v>-1.1000000000000001</v>
          </cell>
        </row>
        <row r="1789">
          <cell r="C1789" t="str">
            <v>110kV 171 NMĐ Hạ Sông Pha 1 - 173 NMĐ Đa Nhim</v>
          </cell>
          <cell r="D1789">
            <v>171</v>
          </cell>
          <cell r="E1789">
            <v>2.9</v>
          </cell>
          <cell r="F1789">
            <v>-14.8</v>
          </cell>
          <cell r="G1789">
            <v>-14.8</v>
          </cell>
          <cell r="H1789">
            <v>-7.4</v>
          </cell>
          <cell r="I1789">
            <v>-13.9</v>
          </cell>
          <cell r="J1789">
            <v>-10.4</v>
          </cell>
          <cell r="K1789">
            <v>2.9</v>
          </cell>
          <cell r="L1789">
            <v>-13.4</v>
          </cell>
          <cell r="M1789">
            <v>-7.5</v>
          </cell>
        </row>
        <row r="1790">
          <cell r="C1790" t="str">
            <v>110kV 172 NMĐ Hạ Sông Pha 2 - 172 Ninh Sơn</v>
          </cell>
          <cell r="D1790">
            <v>172</v>
          </cell>
          <cell r="E1790">
            <v>-2.8</v>
          </cell>
          <cell r="F1790">
            <v>15.1</v>
          </cell>
          <cell r="G1790">
            <v>15.1</v>
          </cell>
          <cell r="H1790">
            <v>7.3</v>
          </cell>
          <cell r="I1790">
            <v>14.4</v>
          </cell>
          <cell r="J1790">
            <v>9.8000000000000007</v>
          </cell>
          <cell r="K1790">
            <v>-2.8</v>
          </cell>
          <cell r="L1790">
            <v>14.9</v>
          </cell>
          <cell r="M1790">
            <v>7.8</v>
          </cell>
        </row>
        <row r="1791">
          <cell r="C1791" t="str">
            <v>NMĐ Hạ Sông Pha 1 MBA T1 (phía 22kV)</v>
          </cell>
          <cell r="D1791">
            <v>431</v>
          </cell>
          <cell r="E1791">
            <v>0.4</v>
          </cell>
          <cell r="F1791">
            <v>1.2</v>
          </cell>
          <cell r="G1791">
            <v>0.6</v>
          </cell>
          <cell r="H1791">
            <v>0.5</v>
          </cell>
          <cell r="I1791">
            <v>0.8</v>
          </cell>
          <cell r="J1791">
            <v>0.6</v>
          </cell>
          <cell r="K1791">
            <v>0.6</v>
          </cell>
          <cell r="L1791">
            <v>1.2</v>
          </cell>
          <cell r="M1791">
            <v>0.4</v>
          </cell>
        </row>
        <row r="1792">
          <cell r="C1792" t="str">
            <v>NMĐ Hàm Thuận MBA AT3 (phía 110kV)</v>
          </cell>
          <cell r="D1792">
            <v>133</v>
          </cell>
          <cell r="E1792">
            <v>38.700000000000003</v>
          </cell>
          <cell r="F1792">
            <v>41.4</v>
          </cell>
          <cell r="G1792">
            <v>40.9</v>
          </cell>
          <cell r="H1792">
            <v>40.9</v>
          </cell>
          <cell r="I1792">
            <v>39.1</v>
          </cell>
          <cell r="J1792">
            <v>38.700000000000003</v>
          </cell>
          <cell r="K1792">
            <v>41.4</v>
          </cell>
          <cell r="L1792">
            <v>38.799999999999997</v>
          </cell>
          <cell r="M1792">
            <v>39.1</v>
          </cell>
        </row>
        <row r="1793">
          <cell r="C1793" t="str">
            <v>110kV 171 NMĐ Hàm Thuận - 172 NMĐ MT Hàm Phú 2</v>
          </cell>
          <cell r="D1793">
            <v>171</v>
          </cell>
          <cell r="E1793">
            <v>-0.8</v>
          </cell>
          <cell r="F1793">
            <v>-0.8</v>
          </cell>
          <cell r="G1793">
            <v>-0.8</v>
          </cell>
          <cell r="H1793">
            <v>-0.8</v>
          </cell>
          <cell r="I1793">
            <v>-0.8</v>
          </cell>
          <cell r="J1793">
            <v>-0.8</v>
          </cell>
          <cell r="K1793">
            <v>-0.8</v>
          </cell>
          <cell r="L1793">
            <v>-0.8</v>
          </cell>
          <cell r="M1793">
            <v>-0.8</v>
          </cell>
        </row>
        <row r="1794">
          <cell r="C1794" t="str">
            <v>110kV 172 NMĐ Hàm Thuận - 176 Phan Thiết 2</v>
          </cell>
          <cell r="D1794">
            <v>172</v>
          </cell>
          <cell r="E1794">
            <v>-2.9</v>
          </cell>
          <cell r="F1794">
            <v>-2.9</v>
          </cell>
          <cell r="G1794">
            <v>-2.9</v>
          </cell>
          <cell r="H1794">
            <v>-2.9</v>
          </cell>
          <cell r="I1794">
            <v>-2.9</v>
          </cell>
          <cell r="J1794">
            <v>-2.9</v>
          </cell>
          <cell r="K1794">
            <v>-2.9</v>
          </cell>
          <cell r="L1794">
            <v>-2.9</v>
          </cell>
          <cell r="M1794">
            <v>-2.9</v>
          </cell>
        </row>
        <row r="1795">
          <cell r="C1795" t="str">
            <v>110kV 173 NMĐ Hàm Thuận - 171 NMĐ MT Đa Mi</v>
          </cell>
          <cell r="D1795">
            <v>173</v>
          </cell>
          <cell r="E1795">
            <v>-5.4</v>
          </cell>
          <cell r="F1795">
            <v>9.6999999999999993</v>
          </cell>
          <cell r="G1795">
            <v>-5.4</v>
          </cell>
          <cell r="H1795">
            <v>9.6999999999999993</v>
          </cell>
          <cell r="I1795">
            <v>-5.9</v>
          </cell>
          <cell r="J1795">
            <v>-5.9</v>
          </cell>
          <cell r="K1795">
            <v>-6.1</v>
          </cell>
          <cell r="L1795">
            <v>-6.1</v>
          </cell>
          <cell r="M1795">
            <v>-6.4</v>
          </cell>
        </row>
        <row r="1796">
          <cell r="C1796" t="str">
            <v>NMĐ Hàm Thuận MBA AT3 (phía 220kV)</v>
          </cell>
          <cell r="D1796">
            <v>233</v>
          </cell>
          <cell r="E1796">
            <v>33.1</v>
          </cell>
          <cell r="F1796">
            <v>36.299999999999997</v>
          </cell>
          <cell r="G1796">
            <v>36.299999999999997</v>
          </cell>
          <cell r="H1796">
            <v>36.1</v>
          </cell>
          <cell r="I1796">
            <v>35</v>
          </cell>
          <cell r="J1796">
            <v>33.6</v>
          </cell>
          <cell r="K1796">
            <v>36.1</v>
          </cell>
          <cell r="L1796">
            <v>33.1</v>
          </cell>
          <cell r="M1796">
            <v>35</v>
          </cell>
        </row>
        <row r="1797">
          <cell r="C1797" t="str">
            <v>220kV 271 NMĐ Hàm Thuận - 271 NMĐ Đa Mi</v>
          </cell>
          <cell r="D1797">
            <v>271</v>
          </cell>
          <cell r="E1797">
            <v>-16.100000000000001</v>
          </cell>
          <cell r="F1797">
            <v>-21.6</v>
          </cell>
          <cell r="G1797">
            <v>-20</v>
          </cell>
          <cell r="H1797">
            <v>-17.100000000000001</v>
          </cell>
          <cell r="I1797">
            <v>-17.5</v>
          </cell>
          <cell r="J1797">
            <v>-19.100000000000001</v>
          </cell>
          <cell r="K1797">
            <v>-18.399999999999999</v>
          </cell>
          <cell r="L1797">
            <v>-16.100000000000001</v>
          </cell>
          <cell r="M1797">
            <v>-21.6</v>
          </cell>
        </row>
        <row r="1798">
          <cell r="C1798" t="str">
            <v>220kV 272 NMĐ Hàm Thuận - 273 Xuân Lộc 2</v>
          </cell>
          <cell r="D1798">
            <v>272</v>
          </cell>
          <cell r="E1798">
            <v>-14.5</v>
          </cell>
          <cell r="F1798">
            <v>-21.1</v>
          </cell>
          <cell r="G1798">
            <v>-18.899999999999999</v>
          </cell>
          <cell r="H1798">
            <v>-16.399999999999999</v>
          </cell>
          <cell r="I1798">
            <v>-17.5</v>
          </cell>
          <cell r="J1798">
            <v>-19.600000000000001</v>
          </cell>
          <cell r="K1798">
            <v>-19.2</v>
          </cell>
          <cell r="L1798">
            <v>-14.5</v>
          </cell>
          <cell r="M1798">
            <v>-21.1</v>
          </cell>
        </row>
        <row r="1799">
          <cell r="C1799" t="str">
            <v>220kV 273 NMĐ Hàm Thuận - 272 Phan Thiết 2</v>
          </cell>
          <cell r="D1799">
            <v>273</v>
          </cell>
          <cell r="E1799">
            <v>-11</v>
          </cell>
          <cell r="F1799">
            <v>49.5</v>
          </cell>
          <cell r="G1799">
            <v>49.5</v>
          </cell>
          <cell r="H1799">
            <v>28.6</v>
          </cell>
          <cell r="I1799">
            <v>33.4</v>
          </cell>
          <cell r="J1799">
            <v>20.399999999999999</v>
          </cell>
          <cell r="K1799">
            <v>20.7</v>
          </cell>
          <cell r="L1799">
            <v>-11</v>
          </cell>
          <cell r="M1799">
            <v>32.799999999999997</v>
          </cell>
        </row>
        <row r="1800">
          <cell r="C1800" t="str">
            <v>220kV 274 NMĐ Hàm Thuận - 272 Bảo Lộc</v>
          </cell>
          <cell r="D1800">
            <v>274</v>
          </cell>
          <cell r="E1800">
            <v>34.700000000000003</v>
          </cell>
          <cell r="F1800">
            <v>64.400000000000006</v>
          </cell>
          <cell r="G1800">
            <v>60.7</v>
          </cell>
          <cell r="H1800">
            <v>34.700000000000003</v>
          </cell>
          <cell r="I1800">
            <v>48.3</v>
          </cell>
          <cell r="J1800">
            <v>42.1</v>
          </cell>
          <cell r="K1800">
            <v>46.4</v>
          </cell>
          <cell r="L1800">
            <v>64.400000000000006</v>
          </cell>
          <cell r="M1800">
            <v>49.9</v>
          </cell>
        </row>
        <row r="1801">
          <cell r="C1801" t="str">
            <v>110kV 171 NMĐ Hiệp Phước</v>
          </cell>
          <cell r="D1801">
            <v>171</v>
          </cell>
          <cell r="E1801">
            <v>-150</v>
          </cell>
          <cell r="F1801">
            <v>-150</v>
          </cell>
          <cell r="G1801">
            <v>-150</v>
          </cell>
          <cell r="H1801">
            <v>-150</v>
          </cell>
          <cell r="I1801">
            <v>-150</v>
          </cell>
          <cell r="J1801">
            <v>-150</v>
          </cell>
          <cell r="K1801">
            <v>-150</v>
          </cell>
          <cell r="L1801">
            <v>-150</v>
          </cell>
          <cell r="M1801">
            <v>-150</v>
          </cell>
        </row>
        <row r="1802">
          <cell r="C1802" t="str">
            <v>NMĐ Krông Nô 2 MBA T1 (phía 110kV)</v>
          </cell>
          <cell r="D1802">
            <v>131</v>
          </cell>
          <cell r="E1802">
            <v>0</v>
          </cell>
          <cell r="F1802">
            <v>-3.8</v>
          </cell>
          <cell r="G1802">
            <v>-3.2</v>
          </cell>
          <cell r="H1802">
            <v>-3.8</v>
          </cell>
          <cell r="I1802">
            <v>-3.2</v>
          </cell>
          <cell r="J1802">
            <v>-3.2</v>
          </cell>
          <cell r="K1802">
            <v>0</v>
          </cell>
          <cell r="L1802">
            <v>0</v>
          </cell>
          <cell r="M1802">
            <v>-3.2</v>
          </cell>
        </row>
        <row r="1803">
          <cell r="C1803" t="str">
            <v>NMĐ Krông Nô 2 MBA T2 (phía 110kV)</v>
          </cell>
          <cell r="D1803">
            <v>132</v>
          </cell>
          <cell r="E1803">
            <v>0</v>
          </cell>
          <cell r="F1803">
            <v>-3.8</v>
          </cell>
          <cell r="G1803">
            <v>0</v>
          </cell>
          <cell r="H1803">
            <v>0</v>
          </cell>
          <cell r="I1803">
            <v>-3.2</v>
          </cell>
          <cell r="J1803">
            <v>-3.8</v>
          </cell>
          <cell r="K1803">
            <v>-3.6</v>
          </cell>
          <cell r="L1803">
            <v>-3.2</v>
          </cell>
          <cell r="M1803">
            <v>-3.2</v>
          </cell>
        </row>
        <row r="1804">
          <cell r="C1804" t="str">
            <v>110kV 171 NMĐ Krông Nô 2 - 176 Suối Vàng</v>
          </cell>
          <cell r="D1804">
            <v>171</v>
          </cell>
          <cell r="E1804">
            <v>-3.2</v>
          </cell>
          <cell r="F1804">
            <v>-6</v>
          </cell>
          <cell r="G1804">
            <v>-3.2</v>
          </cell>
          <cell r="H1804">
            <v>-3.2</v>
          </cell>
          <cell r="I1804">
            <v>-5.2</v>
          </cell>
          <cell r="J1804">
            <v>-6</v>
          </cell>
          <cell r="K1804">
            <v>-3.6</v>
          </cell>
          <cell r="L1804">
            <v>-3.2</v>
          </cell>
          <cell r="M1804">
            <v>-5.2</v>
          </cell>
        </row>
        <row r="1805">
          <cell r="C1805" t="str">
            <v>110kV 172 NMĐ Krông Nô 2 - 171 NMĐ Krông Nô 3</v>
          </cell>
          <cell r="D1805">
            <v>172</v>
          </cell>
          <cell r="E1805">
            <v>-0.8</v>
          </cell>
          <cell r="F1805">
            <v>1.4</v>
          </cell>
          <cell r="G1805">
            <v>-0.8</v>
          </cell>
          <cell r="H1805">
            <v>0.8</v>
          </cell>
          <cell r="I1805">
            <v>-0.8</v>
          </cell>
          <cell r="J1805">
            <v>1.4</v>
          </cell>
          <cell r="K1805">
            <v>-0.8</v>
          </cell>
          <cell r="L1805">
            <v>-0.8</v>
          </cell>
          <cell r="M1805">
            <v>-0.8</v>
          </cell>
        </row>
        <row r="1806">
          <cell r="C1806" t="str">
            <v>NMĐ Krông Nô 3 MBA T1 (phía 110kV)</v>
          </cell>
          <cell r="D1806">
            <v>131</v>
          </cell>
          <cell r="E1806">
            <v>-0.9</v>
          </cell>
          <cell r="F1806">
            <v>-1</v>
          </cell>
          <cell r="G1806">
            <v>-0.9</v>
          </cell>
          <cell r="H1806">
            <v>-1</v>
          </cell>
          <cell r="I1806">
            <v>-1</v>
          </cell>
          <cell r="J1806">
            <v>-0.9</v>
          </cell>
          <cell r="K1806">
            <v>-1</v>
          </cell>
          <cell r="L1806">
            <v>-1</v>
          </cell>
          <cell r="M1806">
            <v>-1</v>
          </cell>
        </row>
        <row r="1807">
          <cell r="C1807" t="str">
            <v>NMĐ Krông Nô 3 MBA T2 (phía 110kV)</v>
          </cell>
          <cell r="D1807">
            <v>132</v>
          </cell>
          <cell r="E1807">
            <v>-0.9</v>
          </cell>
          <cell r="F1807">
            <v>-2.2999999999999998</v>
          </cell>
          <cell r="G1807">
            <v>-1</v>
          </cell>
          <cell r="H1807">
            <v>-1</v>
          </cell>
          <cell r="I1807">
            <v>-0.9</v>
          </cell>
          <cell r="J1807">
            <v>-2.2999999999999998</v>
          </cell>
          <cell r="K1807">
            <v>-1</v>
          </cell>
          <cell r="L1807">
            <v>-0.9</v>
          </cell>
          <cell r="M1807">
            <v>-1</v>
          </cell>
        </row>
        <row r="1808">
          <cell r="C1808" t="str">
            <v>110kV 171 NMĐ Krông Nô 3 - 172 NMĐ Krông Nô 2</v>
          </cell>
          <cell r="D1808">
            <v>171</v>
          </cell>
          <cell r="E1808">
            <v>-0.9</v>
          </cell>
          <cell r="F1808">
            <v>-1.9</v>
          </cell>
          <cell r="G1808">
            <v>1</v>
          </cell>
          <cell r="H1808">
            <v>-1</v>
          </cell>
          <cell r="I1808">
            <v>-1</v>
          </cell>
          <cell r="J1808">
            <v>-1.9</v>
          </cell>
          <cell r="K1808">
            <v>-0.9</v>
          </cell>
          <cell r="L1808">
            <v>1</v>
          </cell>
          <cell r="M1808">
            <v>1</v>
          </cell>
        </row>
        <row r="1809">
          <cell r="C1809" t="str">
            <v>NMĐ MT Adani Phước Minh MBA T2 (phía 110kV)</v>
          </cell>
          <cell r="D1809">
            <v>132</v>
          </cell>
          <cell r="E1809">
            <v>-0.1</v>
          </cell>
          <cell r="F1809">
            <v>-10.3</v>
          </cell>
          <cell r="G1809">
            <v>-2.2999999999999998</v>
          </cell>
          <cell r="H1809">
            <v>-1.3</v>
          </cell>
          <cell r="I1809">
            <v>-10.3</v>
          </cell>
          <cell r="J1809">
            <v>-8.3000000000000007</v>
          </cell>
          <cell r="K1809">
            <v>-5.3</v>
          </cell>
          <cell r="L1809">
            <v>-5.2</v>
          </cell>
          <cell r="M1809">
            <v>-0.1</v>
          </cell>
        </row>
        <row r="1810">
          <cell r="C1810" t="str">
            <v>110kV 171 NMĐ MT Adani Phước Minh - 171 NMĐ MT Phước Ninh</v>
          </cell>
          <cell r="D1810">
            <v>171</v>
          </cell>
          <cell r="E1810">
            <v>-6.6</v>
          </cell>
          <cell r="F1810">
            <v>-10.8</v>
          </cell>
          <cell r="G1810">
            <v>6.6</v>
          </cell>
          <cell r="H1810">
            <v>-6.6</v>
          </cell>
          <cell r="I1810">
            <v>10.199999999999999</v>
          </cell>
          <cell r="J1810">
            <v>-10.8</v>
          </cell>
          <cell r="K1810">
            <v>8.1</v>
          </cell>
          <cell r="L1810">
            <v>8.1</v>
          </cell>
          <cell r="M1810">
            <v>-7.5</v>
          </cell>
        </row>
        <row r="1811">
          <cell r="C1811" t="str">
            <v>110kV 172 NMĐ MT Adani Phước Minh - 171 NMĐ MT Thuận Nam 19</v>
          </cell>
          <cell r="D1811">
            <v>172</v>
          </cell>
          <cell r="E1811">
            <v>-2.7</v>
          </cell>
          <cell r="F1811">
            <v>6.8</v>
          </cell>
          <cell r="G1811">
            <v>-6.5</v>
          </cell>
          <cell r="H1811">
            <v>5.0999999999999996</v>
          </cell>
          <cell r="I1811">
            <v>6.2</v>
          </cell>
          <cell r="J1811">
            <v>6.8</v>
          </cell>
          <cell r="K1811">
            <v>-2.7</v>
          </cell>
          <cell r="L1811">
            <v>-3.1</v>
          </cell>
          <cell r="M1811">
            <v>6.6</v>
          </cell>
        </row>
        <row r="1812">
          <cell r="C1812" t="str">
            <v>NMĐ MT Adani Phước Minh MBA T2 (phía 22kV)</v>
          </cell>
          <cell r="D1812">
            <v>432</v>
          </cell>
          <cell r="E1812">
            <v>4</v>
          </cell>
          <cell r="F1812">
            <v>11.6</v>
          </cell>
          <cell r="G1812">
            <v>4.0999999999999996</v>
          </cell>
          <cell r="H1812">
            <v>4</v>
          </cell>
          <cell r="I1812">
            <v>11.6</v>
          </cell>
          <cell r="J1812">
            <v>10.199999999999999</v>
          </cell>
          <cell r="K1812">
            <v>6</v>
          </cell>
          <cell r="L1812">
            <v>5.6</v>
          </cell>
          <cell r="M1812">
            <v>5</v>
          </cell>
        </row>
        <row r="1813">
          <cell r="C1813" t="str">
            <v>NMĐ MT Bách Khoa Á Châu MBA T1 (phía 110kV)</v>
          </cell>
          <cell r="D1813">
            <v>131</v>
          </cell>
          <cell r="E1813">
            <v>0.9</v>
          </cell>
          <cell r="F1813">
            <v>4.2</v>
          </cell>
          <cell r="G1813">
            <v>2.9</v>
          </cell>
          <cell r="H1813">
            <v>2</v>
          </cell>
          <cell r="I1813">
            <v>2.6</v>
          </cell>
          <cell r="J1813">
            <v>3.5</v>
          </cell>
          <cell r="K1813">
            <v>4.2</v>
          </cell>
          <cell r="L1813">
            <v>1.3</v>
          </cell>
          <cell r="M1813">
            <v>0.9</v>
          </cell>
        </row>
        <row r="1814">
          <cell r="C1814" t="str">
            <v>NMĐ MT Bách Khoa Á Châu MBA T1 (phía 22kV)</v>
          </cell>
          <cell r="D1814">
            <v>431</v>
          </cell>
          <cell r="E1814">
            <v>-0.6</v>
          </cell>
          <cell r="F1814">
            <v>-2.1</v>
          </cell>
          <cell r="G1814">
            <v>-1.4</v>
          </cell>
          <cell r="H1814">
            <v>-1.5</v>
          </cell>
          <cell r="I1814">
            <v>-2</v>
          </cell>
          <cell r="J1814">
            <v>-2.1</v>
          </cell>
          <cell r="K1814">
            <v>-2.1</v>
          </cell>
          <cell r="L1814">
            <v>-1.1000000000000001</v>
          </cell>
          <cell r="M1814">
            <v>-0.6</v>
          </cell>
        </row>
        <row r="1815">
          <cell r="C1815" t="str">
            <v>NMĐ MT Bầu Zôn MBA T1 (phía 110kV)</v>
          </cell>
          <cell r="D1815">
            <v>131</v>
          </cell>
          <cell r="E1815">
            <v>-0.1</v>
          </cell>
          <cell r="F1815">
            <v>-0.2</v>
          </cell>
          <cell r="G1815">
            <v>-0.2</v>
          </cell>
          <cell r="H1815">
            <v>0.1</v>
          </cell>
          <cell r="I1815">
            <v>-0.2</v>
          </cell>
          <cell r="J1815">
            <v>-0.1</v>
          </cell>
          <cell r="K1815">
            <v>-0.1</v>
          </cell>
          <cell r="L1815">
            <v>0.1</v>
          </cell>
          <cell r="M1815">
            <v>-0.1</v>
          </cell>
        </row>
        <row r="1816">
          <cell r="C1816" t="str">
            <v>110kV 171 NMĐ MT Bầu Zôn - 173 trạm cắt Hậu Sanh</v>
          </cell>
          <cell r="D1816">
            <v>171</v>
          </cell>
          <cell r="E1816">
            <v>0.1</v>
          </cell>
          <cell r="F1816">
            <v>0.2</v>
          </cell>
          <cell r="G1816">
            <v>0.2</v>
          </cell>
          <cell r="H1816">
            <v>0.1</v>
          </cell>
          <cell r="I1816">
            <v>0.2</v>
          </cell>
          <cell r="J1816">
            <v>0.1</v>
          </cell>
          <cell r="K1816">
            <v>0.1</v>
          </cell>
          <cell r="L1816">
            <v>0.1</v>
          </cell>
          <cell r="M1816">
            <v>0.1</v>
          </cell>
        </row>
        <row r="1817">
          <cell r="C1817" t="str">
            <v>NMĐ MT Bầu Zôn MBA T1 (phía 22kV)</v>
          </cell>
          <cell r="D1817">
            <v>431</v>
          </cell>
          <cell r="E1817">
            <v>0.2</v>
          </cell>
          <cell r="F1817">
            <v>1.7</v>
          </cell>
          <cell r="G1817">
            <v>1.5</v>
          </cell>
          <cell r="H1817">
            <v>1.7</v>
          </cell>
          <cell r="I1817">
            <v>1.6</v>
          </cell>
          <cell r="J1817">
            <v>0.6</v>
          </cell>
          <cell r="K1817">
            <v>0.3</v>
          </cell>
          <cell r="L1817">
            <v>0.2</v>
          </cell>
          <cell r="M1817">
            <v>1.7</v>
          </cell>
        </row>
        <row r="1818">
          <cell r="C1818" t="str">
            <v>NMĐ MT BCG Băng Dương MBA T1 (phía 110kV)</v>
          </cell>
          <cell r="D1818">
            <v>131</v>
          </cell>
          <cell r="E1818">
            <v>0.8</v>
          </cell>
          <cell r="F1818">
            <v>3.8</v>
          </cell>
          <cell r="G1818">
            <v>3.8</v>
          </cell>
          <cell r="H1818">
            <v>3.7</v>
          </cell>
          <cell r="I1818">
            <v>3.8</v>
          </cell>
          <cell r="J1818">
            <v>3.8</v>
          </cell>
          <cell r="K1818">
            <v>1.8</v>
          </cell>
          <cell r="L1818">
            <v>3.8</v>
          </cell>
          <cell r="M1818">
            <v>0.8</v>
          </cell>
        </row>
        <row r="1819">
          <cell r="C1819" t="str">
            <v>NMĐ MT BCG Băng Dương MBA T1 (phía 22kV)</v>
          </cell>
          <cell r="D1819">
            <v>431</v>
          </cell>
          <cell r="E1819">
            <v>-0.4</v>
          </cell>
          <cell r="F1819">
            <v>-1.9</v>
          </cell>
          <cell r="G1819">
            <v>-1.9</v>
          </cell>
          <cell r="H1819">
            <v>-1.7</v>
          </cell>
          <cell r="I1819">
            <v>-1.8</v>
          </cell>
          <cell r="J1819">
            <v>-1.8</v>
          </cell>
          <cell r="K1819">
            <v>-0.7</v>
          </cell>
          <cell r="L1819">
            <v>-1.8</v>
          </cell>
          <cell r="M1819">
            <v>-0.4</v>
          </cell>
        </row>
        <row r="1820">
          <cell r="C1820" t="str">
            <v>NMĐ MT Bim MBA T1 (phía 110kV)</v>
          </cell>
          <cell r="D1820">
            <v>131</v>
          </cell>
          <cell r="E1820">
            <v>0.3</v>
          </cell>
          <cell r="F1820">
            <v>2.4</v>
          </cell>
          <cell r="G1820">
            <v>1.9</v>
          </cell>
          <cell r="H1820">
            <v>2</v>
          </cell>
          <cell r="I1820">
            <v>2.4</v>
          </cell>
          <cell r="J1820">
            <v>1.6</v>
          </cell>
          <cell r="K1820">
            <v>0.5</v>
          </cell>
          <cell r="L1820">
            <v>0.3</v>
          </cell>
          <cell r="M1820">
            <v>2.2000000000000002</v>
          </cell>
        </row>
        <row r="1821">
          <cell r="C1821" t="str">
            <v>110kV 171 NMĐ MT Bim - 172 NMĐ MT Thuận Nam 19</v>
          </cell>
          <cell r="D1821">
            <v>171</v>
          </cell>
          <cell r="E1821">
            <v>2</v>
          </cell>
          <cell r="F1821">
            <v>5.5</v>
          </cell>
          <cell r="G1821">
            <v>5.5</v>
          </cell>
          <cell r="H1821">
            <v>-2.4</v>
          </cell>
          <cell r="I1821">
            <v>-3.6</v>
          </cell>
          <cell r="J1821">
            <v>-4.0999999999999996</v>
          </cell>
          <cell r="K1821">
            <v>2</v>
          </cell>
          <cell r="L1821">
            <v>2.2999999999999998</v>
          </cell>
          <cell r="M1821">
            <v>-4</v>
          </cell>
        </row>
        <row r="1822">
          <cell r="C1822" t="str">
            <v>110kV 172 NMĐ MT Bim - 172 NMĐ MT Vĩnh Tân 2</v>
          </cell>
          <cell r="D1822">
            <v>172</v>
          </cell>
          <cell r="E1822">
            <v>-1.9</v>
          </cell>
          <cell r="F1822">
            <v>-5.4</v>
          </cell>
          <cell r="G1822">
            <v>-5.4</v>
          </cell>
          <cell r="H1822">
            <v>-2</v>
          </cell>
          <cell r="I1822">
            <v>2.9</v>
          </cell>
          <cell r="J1822">
            <v>3.4</v>
          </cell>
          <cell r="K1822">
            <v>-1.9</v>
          </cell>
          <cell r="L1822">
            <v>-2</v>
          </cell>
          <cell r="M1822">
            <v>3.3</v>
          </cell>
        </row>
        <row r="1823">
          <cell r="C1823" t="str">
            <v>NMĐ MT Bim MBA T1 (phía 22kV)</v>
          </cell>
          <cell r="D1823">
            <v>431</v>
          </cell>
          <cell r="E1823">
            <v>0.1</v>
          </cell>
          <cell r="F1823">
            <v>-0.7</v>
          </cell>
          <cell r="G1823">
            <v>-0.6</v>
          </cell>
          <cell r="H1823">
            <v>-0.6</v>
          </cell>
          <cell r="I1823">
            <v>-0.7</v>
          </cell>
          <cell r="J1823">
            <v>-0.5</v>
          </cell>
          <cell r="K1823">
            <v>0.1</v>
          </cell>
          <cell r="L1823">
            <v>0.1</v>
          </cell>
          <cell r="M1823">
            <v>-0.7</v>
          </cell>
        </row>
        <row r="1824">
          <cell r="C1824" t="str">
            <v>NMĐ MT Bim 2 MBA T1 (phía 220kV)</v>
          </cell>
          <cell r="D1824">
            <v>231</v>
          </cell>
          <cell r="E1824">
            <v>0.9</v>
          </cell>
          <cell r="F1824">
            <v>20</v>
          </cell>
          <cell r="G1824">
            <v>20</v>
          </cell>
          <cell r="H1824">
            <v>17.899999999999999</v>
          </cell>
          <cell r="I1824">
            <v>14.2</v>
          </cell>
          <cell r="J1824">
            <v>5.0999999999999996</v>
          </cell>
          <cell r="K1824">
            <v>2.4</v>
          </cell>
          <cell r="L1824">
            <v>0.9</v>
          </cell>
          <cell r="M1824">
            <v>8.6999999999999993</v>
          </cell>
        </row>
        <row r="1825">
          <cell r="C1825" t="str">
            <v>NMĐ MT Bim 2 MBA T2 (phía 220kV)</v>
          </cell>
          <cell r="D1825">
            <v>232</v>
          </cell>
          <cell r="E1825">
            <v>1.2</v>
          </cell>
          <cell r="F1825">
            <v>20.399999999999999</v>
          </cell>
          <cell r="G1825">
            <v>20.399999999999999</v>
          </cell>
          <cell r="H1825">
            <v>18.5</v>
          </cell>
          <cell r="I1825">
            <v>18.2</v>
          </cell>
          <cell r="J1825">
            <v>5.0999999999999996</v>
          </cell>
          <cell r="K1825">
            <v>2.8</v>
          </cell>
          <cell r="L1825">
            <v>1.2</v>
          </cell>
          <cell r="M1825">
            <v>7.4</v>
          </cell>
        </row>
        <row r="1826">
          <cell r="C1826" t="str">
            <v>220kV 271 NMĐ MT Bim 2 - 275 Quán Thẻ</v>
          </cell>
          <cell r="D1826">
            <v>271</v>
          </cell>
          <cell r="E1826">
            <v>-2.2999999999999998</v>
          </cell>
          <cell r="F1826">
            <v>-41</v>
          </cell>
          <cell r="G1826">
            <v>-41</v>
          </cell>
          <cell r="H1826">
            <v>-37</v>
          </cell>
          <cell r="I1826">
            <v>-29.2</v>
          </cell>
          <cell r="J1826">
            <v>-10.7</v>
          </cell>
          <cell r="K1826">
            <v>-5.6</v>
          </cell>
          <cell r="L1826">
            <v>-2.2999999999999998</v>
          </cell>
          <cell r="M1826">
            <v>-16.7</v>
          </cell>
        </row>
        <row r="1827">
          <cell r="C1827" t="str">
            <v>NMĐ MT Bim 2 MBA T1 (phía 35kV)</v>
          </cell>
          <cell r="D1827">
            <v>331</v>
          </cell>
          <cell r="E1827">
            <v>0</v>
          </cell>
          <cell r="F1827">
            <v>0</v>
          </cell>
          <cell r="G1827">
            <v>0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</row>
        <row r="1828">
          <cell r="C1828" t="str">
            <v>NMĐ MT Bim 2 MBA T2 (phía 35kV)</v>
          </cell>
          <cell r="D1828">
            <v>332</v>
          </cell>
          <cell r="E1828">
            <v>0</v>
          </cell>
          <cell r="F1828">
            <v>0</v>
          </cell>
          <cell r="G1828">
            <v>0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</row>
        <row r="1829">
          <cell r="C1829" t="str">
            <v>NMĐ MT Bim 3 MBA T1 (phía 220kV)</v>
          </cell>
          <cell r="D1829">
            <v>231</v>
          </cell>
          <cell r="E1829">
            <v>-0.4</v>
          </cell>
          <cell r="F1829">
            <v>7.5</v>
          </cell>
          <cell r="G1829">
            <v>6.1</v>
          </cell>
          <cell r="H1829">
            <v>6.7</v>
          </cell>
          <cell r="I1829">
            <v>2.6</v>
          </cell>
          <cell r="J1829">
            <v>5.9</v>
          </cell>
          <cell r="K1829">
            <v>1.1000000000000001</v>
          </cell>
          <cell r="L1829">
            <v>-0.4</v>
          </cell>
          <cell r="M1829">
            <v>7.5</v>
          </cell>
        </row>
        <row r="1830">
          <cell r="C1830" t="str">
            <v>NMĐ MT Bim 3 MBA T1 (phía 35kV)</v>
          </cell>
          <cell r="D1830">
            <v>331</v>
          </cell>
          <cell r="E1830">
            <v>0.3</v>
          </cell>
          <cell r="F1830">
            <v>3.9</v>
          </cell>
          <cell r="G1830">
            <v>3.4</v>
          </cell>
          <cell r="H1830">
            <v>-2.2999999999999998</v>
          </cell>
          <cell r="I1830">
            <v>3.9</v>
          </cell>
          <cell r="J1830">
            <v>-2</v>
          </cell>
          <cell r="K1830">
            <v>0.3</v>
          </cell>
          <cell r="L1830">
            <v>0.4</v>
          </cell>
          <cell r="M1830">
            <v>-2.6</v>
          </cell>
        </row>
        <row r="1831">
          <cell r="C1831" t="str">
            <v>NMĐ MT Bình An MBA T1 (phía 110kV)</v>
          </cell>
          <cell r="D1831">
            <v>131</v>
          </cell>
          <cell r="E1831">
            <v>-0.2</v>
          </cell>
          <cell r="F1831">
            <v>1.2</v>
          </cell>
          <cell r="G1831">
            <v>-1.1000000000000001</v>
          </cell>
          <cell r="H1831">
            <v>1</v>
          </cell>
          <cell r="I1831">
            <v>-0.5</v>
          </cell>
          <cell r="J1831">
            <v>1.2</v>
          </cell>
          <cell r="K1831">
            <v>-0.4</v>
          </cell>
          <cell r="L1831">
            <v>-0.2</v>
          </cell>
          <cell r="M1831">
            <v>1.2</v>
          </cell>
        </row>
        <row r="1832">
          <cell r="C1832" t="str">
            <v>110kV 171 NMĐ MT Bình An - 176 Phan Rí 2</v>
          </cell>
          <cell r="D1832">
            <v>171</v>
          </cell>
          <cell r="E1832">
            <v>-1.3</v>
          </cell>
          <cell r="F1832">
            <v>-1.3</v>
          </cell>
          <cell r="G1832">
            <v>-1.3</v>
          </cell>
          <cell r="H1832">
            <v>-1.3</v>
          </cell>
          <cell r="I1832">
            <v>-1.3</v>
          </cell>
          <cell r="J1832">
            <v>-1.3</v>
          </cell>
          <cell r="K1832">
            <v>-1.3</v>
          </cell>
          <cell r="L1832">
            <v>-1.3</v>
          </cell>
          <cell r="M1832">
            <v>-1.3</v>
          </cell>
        </row>
        <row r="1833">
          <cell r="C1833" t="str">
            <v>110kV 172 NMĐ MT Bình An - 172 Sông Bình</v>
          </cell>
          <cell r="D1833">
            <v>172</v>
          </cell>
          <cell r="E1833">
            <v>1.6</v>
          </cell>
          <cell r="F1833">
            <v>2.5</v>
          </cell>
          <cell r="G1833">
            <v>2.5</v>
          </cell>
          <cell r="H1833">
            <v>1.7</v>
          </cell>
          <cell r="I1833">
            <v>2</v>
          </cell>
          <cell r="J1833">
            <v>1.8</v>
          </cell>
          <cell r="K1833">
            <v>1.9</v>
          </cell>
          <cell r="L1833">
            <v>1.6</v>
          </cell>
          <cell r="M1833">
            <v>1.8</v>
          </cell>
        </row>
        <row r="1834">
          <cell r="C1834" t="str">
            <v>NMĐ MT Bình An MBA T1 (phía 22kV)</v>
          </cell>
          <cell r="D1834">
            <v>431</v>
          </cell>
          <cell r="E1834">
            <v>0.3</v>
          </cell>
          <cell r="F1834">
            <v>3.2</v>
          </cell>
          <cell r="G1834">
            <v>3.2</v>
          </cell>
          <cell r="H1834">
            <v>2.8</v>
          </cell>
          <cell r="I1834">
            <v>2.7</v>
          </cell>
          <cell r="J1834">
            <v>2</v>
          </cell>
          <cell r="K1834">
            <v>1.9</v>
          </cell>
          <cell r="L1834">
            <v>0.3</v>
          </cell>
          <cell r="M1834">
            <v>2.8</v>
          </cell>
        </row>
        <row r="1835">
          <cell r="C1835" t="str">
            <v>NMĐ MT Châu Đức MBA T1 (phía 110kV)</v>
          </cell>
          <cell r="D1835">
            <v>131</v>
          </cell>
          <cell r="E1835">
            <v>-0.3</v>
          </cell>
          <cell r="F1835">
            <v>2</v>
          </cell>
          <cell r="G1835">
            <v>1.3</v>
          </cell>
          <cell r="H1835">
            <v>1.9</v>
          </cell>
          <cell r="I1835">
            <v>2</v>
          </cell>
          <cell r="J1835">
            <v>1.5</v>
          </cell>
          <cell r="K1835">
            <v>-0.4</v>
          </cell>
          <cell r="L1835">
            <v>-0.3</v>
          </cell>
          <cell r="M1835">
            <v>-0.4</v>
          </cell>
        </row>
        <row r="1836">
          <cell r="C1836" t="str">
            <v>NMĐ MT Châu Đức MBA T2 (phía 110kV)</v>
          </cell>
          <cell r="D1836">
            <v>132</v>
          </cell>
          <cell r="E1836">
            <v>-0.4</v>
          </cell>
          <cell r="F1836">
            <v>3.4</v>
          </cell>
          <cell r="G1836">
            <v>2.6</v>
          </cell>
          <cell r="H1836">
            <v>3.4</v>
          </cell>
          <cell r="I1836">
            <v>3.2</v>
          </cell>
          <cell r="J1836">
            <v>2.6</v>
          </cell>
          <cell r="K1836">
            <v>-0.4</v>
          </cell>
          <cell r="L1836">
            <v>-0.5</v>
          </cell>
          <cell r="M1836">
            <v>0.8</v>
          </cell>
        </row>
        <row r="1837">
          <cell r="C1837" t="str">
            <v>110kV 171 NMĐ MT Châu Đức - 173 Châu Đức</v>
          </cell>
          <cell r="D1837">
            <v>171</v>
          </cell>
          <cell r="E1837">
            <v>0.8</v>
          </cell>
          <cell r="F1837">
            <v>-5.2</v>
          </cell>
          <cell r="G1837">
            <v>-3.8</v>
          </cell>
          <cell r="H1837">
            <v>-5.2</v>
          </cell>
          <cell r="I1837">
            <v>-5</v>
          </cell>
          <cell r="J1837">
            <v>-4</v>
          </cell>
          <cell r="K1837">
            <v>0.8</v>
          </cell>
          <cell r="L1837">
            <v>0.9</v>
          </cell>
          <cell r="M1837">
            <v>-1</v>
          </cell>
        </row>
        <row r="1838">
          <cell r="C1838" t="str">
            <v>NMĐ MT Châu Đức MBA T1 (phía 22kV)</v>
          </cell>
          <cell r="D1838">
            <v>431</v>
          </cell>
          <cell r="E1838">
            <v>0.4</v>
          </cell>
          <cell r="F1838">
            <v>-0.9</v>
          </cell>
          <cell r="G1838">
            <v>-0.5</v>
          </cell>
          <cell r="H1838">
            <v>-0.9</v>
          </cell>
          <cell r="I1838">
            <v>-0.9</v>
          </cell>
          <cell r="J1838">
            <v>-0.6</v>
          </cell>
          <cell r="K1838">
            <v>0.4</v>
          </cell>
          <cell r="L1838">
            <v>0.4</v>
          </cell>
          <cell r="M1838">
            <v>0.4</v>
          </cell>
        </row>
        <row r="1839">
          <cell r="C1839" t="str">
            <v>NMĐ MT Châu Đức MBA T2 (phía 22kV)</v>
          </cell>
          <cell r="D1839">
            <v>432</v>
          </cell>
          <cell r="E1839">
            <v>0.4</v>
          </cell>
          <cell r="F1839">
            <v>-1.4</v>
          </cell>
          <cell r="G1839">
            <v>-0.9</v>
          </cell>
          <cell r="H1839">
            <v>-1.4</v>
          </cell>
          <cell r="I1839">
            <v>-1.2</v>
          </cell>
          <cell r="J1839">
            <v>-0.9</v>
          </cell>
          <cell r="K1839">
            <v>0.5</v>
          </cell>
          <cell r="L1839">
            <v>0.5</v>
          </cell>
          <cell r="M1839">
            <v>0.4</v>
          </cell>
        </row>
        <row r="1840">
          <cell r="C1840" t="str">
            <v>NMĐ MT CMX MBA T1 (phía 110kV)</v>
          </cell>
          <cell r="D1840">
            <v>131</v>
          </cell>
          <cell r="E1840">
            <v>1.3</v>
          </cell>
          <cell r="F1840">
            <v>11.7</v>
          </cell>
          <cell r="G1840">
            <v>11.2</v>
          </cell>
          <cell r="H1840">
            <v>5.6</v>
          </cell>
          <cell r="I1840">
            <v>11.7</v>
          </cell>
          <cell r="J1840">
            <v>7.6</v>
          </cell>
          <cell r="K1840">
            <v>1.3</v>
          </cell>
          <cell r="L1840">
            <v>10.8</v>
          </cell>
          <cell r="M1840">
            <v>6.4</v>
          </cell>
        </row>
        <row r="1841">
          <cell r="C1841" t="str">
            <v>NMĐ MT CMX MBA T2 (phía 110kV)</v>
          </cell>
          <cell r="D1841">
            <v>132</v>
          </cell>
          <cell r="E1841">
            <v>1</v>
          </cell>
          <cell r="F1841">
            <v>7.9</v>
          </cell>
          <cell r="G1841">
            <v>7.8</v>
          </cell>
          <cell r="H1841">
            <v>3.9</v>
          </cell>
          <cell r="I1841">
            <v>7.9</v>
          </cell>
          <cell r="J1841">
            <v>5.2</v>
          </cell>
          <cell r="K1841">
            <v>1</v>
          </cell>
          <cell r="L1841">
            <v>7.4</v>
          </cell>
          <cell r="M1841">
            <v>4.5</v>
          </cell>
        </row>
        <row r="1842">
          <cell r="C1842" t="str">
            <v>NMĐ MT CMX MBA T3 (phía 110kV)</v>
          </cell>
          <cell r="D1842">
            <v>133</v>
          </cell>
          <cell r="E1842">
            <v>1.1000000000000001</v>
          </cell>
          <cell r="F1842">
            <v>8</v>
          </cell>
          <cell r="G1842">
            <v>8</v>
          </cell>
          <cell r="H1842">
            <v>3.8</v>
          </cell>
          <cell r="I1842">
            <v>7</v>
          </cell>
          <cell r="J1842">
            <v>5.0999999999999996</v>
          </cell>
          <cell r="K1842">
            <v>1.1000000000000001</v>
          </cell>
          <cell r="L1842">
            <v>7.6</v>
          </cell>
          <cell r="M1842">
            <v>4.9000000000000004</v>
          </cell>
        </row>
        <row r="1843">
          <cell r="C1843" t="str">
            <v>110kV 171 NMĐ MT CMX - 171 NMĐ MT Mỹ Sơn</v>
          </cell>
          <cell r="D1843">
            <v>171</v>
          </cell>
          <cell r="E1843">
            <v>-2.8</v>
          </cell>
          <cell r="F1843">
            <v>8.6</v>
          </cell>
          <cell r="G1843">
            <v>8.6</v>
          </cell>
          <cell r="H1843">
            <v>6.1</v>
          </cell>
          <cell r="I1843">
            <v>4</v>
          </cell>
          <cell r="J1843">
            <v>3.7</v>
          </cell>
          <cell r="K1843">
            <v>-2.8</v>
          </cell>
          <cell r="L1843">
            <v>4.2</v>
          </cell>
          <cell r="M1843">
            <v>4</v>
          </cell>
        </row>
        <row r="1844">
          <cell r="C1844" t="str">
            <v>110kV 172 NMĐ MT CMX - 171 Ninh Sơn</v>
          </cell>
          <cell r="D1844">
            <v>172</v>
          </cell>
          <cell r="E1844">
            <v>-1.5</v>
          </cell>
          <cell r="F1844">
            <v>-11.1</v>
          </cell>
          <cell r="G1844">
            <v>-11</v>
          </cell>
          <cell r="H1844">
            <v>-4.9000000000000004</v>
          </cell>
          <cell r="I1844">
            <v>-11.1</v>
          </cell>
          <cell r="J1844">
            <v>-7.2</v>
          </cell>
          <cell r="K1844">
            <v>-1.5</v>
          </cell>
          <cell r="L1844">
            <v>-10.4</v>
          </cell>
          <cell r="M1844">
            <v>-6.1</v>
          </cell>
        </row>
        <row r="1845">
          <cell r="C1845" t="str">
            <v>110kV 173 NMĐ MT CMX - 173 Tháp Chàm 2</v>
          </cell>
          <cell r="D1845">
            <v>173</v>
          </cell>
          <cell r="E1845">
            <v>2.8</v>
          </cell>
          <cell r="F1845">
            <v>-8.6</v>
          </cell>
          <cell r="G1845">
            <v>-8.6</v>
          </cell>
          <cell r="H1845">
            <v>-6</v>
          </cell>
          <cell r="I1845">
            <v>-4</v>
          </cell>
          <cell r="J1845">
            <v>-3.5</v>
          </cell>
          <cell r="K1845">
            <v>2.8</v>
          </cell>
          <cell r="L1845">
            <v>-4.0999999999999996</v>
          </cell>
          <cell r="M1845">
            <v>-4</v>
          </cell>
        </row>
        <row r="1846">
          <cell r="C1846" t="str">
            <v>110kV 174 NMĐ MT CMX - 175 NMĐ Đa Nhim</v>
          </cell>
          <cell r="D1846">
            <v>174</v>
          </cell>
          <cell r="E1846">
            <v>-1.9</v>
          </cell>
          <cell r="F1846">
            <v>-15.8</v>
          </cell>
          <cell r="G1846">
            <v>-15.8</v>
          </cell>
          <cell r="H1846">
            <v>-8.1999999999999993</v>
          </cell>
          <cell r="I1846">
            <v>-15.2</v>
          </cell>
          <cell r="J1846">
            <v>-10.7</v>
          </cell>
          <cell r="K1846">
            <v>-1.9</v>
          </cell>
          <cell r="L1846">
            <v>-15.1</v>
          </cell>
          <cell r="M1846">
            <v>-9.1999999999999993</v>
          </cell>
        </row>
        <row r="1847">
          <cell r="C1847" t="str">
            <v>NMĐ MT CMX MBA T1 (phía 22kV)</v>
          </cell>
          <cell r="D1847">
            <v>431</v>
          </cell>
          <cell r="E1847">
            <v>0.4</v>
          </cell>
          <cell r="F1847">
            <v>-4.4000000000000004</v>
          </cell>
          <cell r="G1847">
            <v>-4.2</v>
          </cell>
          <cell r="H1847">
            <v>-1.9</v>
          </cell>
          <cell r="I1847">
            <v>-4.4000000000000004</v>
          </cell>
          <cell r="J1847">
            <v>-2.8</v>
          </cell>
          <cell r="K1847">
            <v>0.4</v>
          </cell>
          <cell r="L1847">
            <v>-4</v>
          </cell>
          <cell r="M1847">
            <v>-2.2000000000000002</v>
          </cell>
        </row>
        <row r="1848">
          <cell r="C1848" t="str">
            <v>NMĐ MT CMX MBA T2 (phía 22kV)</v>
          </cell>
          <cell r="D1848">
            <v>432</v>
          </cell>
          <cell r="E1848">
            <v>0.2</v>
          </cell>
          <cell r="F1848">
            <v>-3</v>
          </cell>
          <cell r="G1848">
            <v>-2.9</v>
          </cell>
          <cell r="H1848">
            <v>-1.3</v>
          </cell>
          <cell r="I1848">
            <v>-3</v>
          </cell>
          <cell r="J1848">
            <v>-1.9</v>
          </cell>
          <cell r="K1848">
            <v>0.2</v>
          </cell>
          <cell r="L1848">
            <v>-2.8</v>
          </cell>
          <cell r="M1848">
            <v>-1.6</v>
          </cell>
        </row>
        <row r="1849">
          <cell r="C1849" t="str">
            <v>NMĐ MT CMX MBA T3 (phía 22kV)</v>
          </cell>
          <cell r="D1849">
            <v>433</v>
          </cell>
          <cell r="E1849">
            <v>-0.3</v>
          </cell>
          <cell r="F1849">
            <v>-3</v>
          </cell>
          <cell r="G1849">
            <v>-3</v>
          </cell>
          <cell r="H1849">
            <v>-1.3</v>
          </cell>
          <cell r="I1849">
            <v>-2.7</v>
          </cell>
          <cell r="J1849">
            <v>-1.9</v>
          </cell>
          <cell r="K1849">
            <v>-0.3</v>
          </cell>
          <cell r="L1849">
            <v>-2.7</v>
          </cell>
          <cell r="M1849">
            <v>-1.7</v>
          </cell>
        </row>
        <row r="1850">
          <cell r="C1850" t="str">
            <v>NMĐ MT Đá Bạc MBA T1 (phía 220kV)</v>
          </cell>
          <cell r="D1850">
            <v>231</v>
          </cell>
          <cell r="E1850">
            <v>0.2</v>
          </cell>
          <cell r="F1850">
            <v>0.7</v>
          </cell>
          <cell r="G1850">
            <v>0.4</v>
          </cell>
          <cell r="H1850">
            <v>0.7</v>
          </cell>
          <cell r="I1850">
            <v>0.7</v>
          </cell>
          <cell r="J1850">
            <v>0.2</v>
          </cell>
          <cell r="K1850">
            <v>0.6</v>
          </cell>
          <cell r="L1850">
            <v>0.2</v>
          </cell>
          <cell r="M1850">
            <v>0.2</v>
          </cell>
        </row>
        <row r="1851">
          <cell r="C1851" t="str">
            <v>220kV 271 NMĐ MT Đá Bạc - 274 CHÂU ĐỨC 2</v>
          </cell>
          <cell r="D1851">
            <v>271</v>
          </cell>
          <cell r="E1851">
            <v>-10.199999999999999</v>
          </cell>
          <cell r="F1851">
            <v>25.5</v>
          </cell>
          <cell r="G1851">
            <v>-10.199999999999999</v>
          </cell>
          <cell r="H1851">
            <v>22.6</v>
          </cell>
          <cell r="I1851">
            <v>-12.9</v>
          </cell>
          <cell r="J1851">
            <v>14.9</v>
          </cell>
          <cell r="K1851">
            <v>25.5</v>
          </cell>
          <cell r="L1851">
            <v>18</v>
          </cell>
          <cell r="M1851">
            <v>19</v>
          </cell>
        </row>
        <row r="1852">
          <cell r="C1852" t="str">
            <v>220kV 272 NMĐ MT Đá Bạc - 273 Phan Thiết 2</v>
          </cell>
          <cell r="D1852">
            <v>272</v>
          </cell>
          <cell r="E1852">
            <v>11.3</v>
          </cell>
          <cell r="F1852">
            <v>-21.9</v>
          </cell>
          <cell r="G1852">
            <v>11.3</v>
          </cell>
          <cell r="H1852">
            <v>-14</v>
          </cell>
          <cell r="I1852">
            <v>13.6</v>
          </cell>
          <cell r="J1852">
            <v>-15.2</v>
          </cell>
          <cell r="K1852">
            <v>-21.9</v>
          </cell>
          <cell r="L1852">
            <v>-17.899999999999999</v>
          </cell>
          <cell r="M1852">
            <v>-19.399999999999999</v>
          </cell>
        </row>
        <row r="1853">
          <cell r="C1853" t="str">
            <v>NMĐ MT Đá Bạc MBA T1 (phía 22kV)</v>
          </cell>
          <cell r="D1853">
            <v>431</v>
          </cell>
          <cell r="E1853">
            <v>0.5</v>
          </cell>
          <cell r="F1853">
            <v>3.6</v>
          </cell>
          <cell r="G1853">
            <v>3.3</v>
          </cell>
          <cell r="H1853">
            <v>3.6</v>
          </cell>
          <cell r="I1853">
            <v>2.5</v>
          </cell>
          <cell r="J1853">
            <v>2.6</v>
          </cell>
          <cell r="K1853">
            <v>1.5</v>
          </cell>
          <cell r="L1853">
            <v>0.5</v>
          </cell>
          <cell r="M1853">
            <v>3.6</v>
          </cell>
        </row>
        <row r="1854">
          <cell r="C1854" t="str">
            <v>NMĐ MT Đá Bạc 2 MBA T2 (phía 220kV)</v>
          </cell>
          <cell r="D1854">
            <v>232</v>
          </cell>
          <cell r="E1854">
            <v>-0.1</v>
          </cell>
          <cell r="F1854">
            <v>-0.3</v>
          </cell>
          <cell r="G1854">
            <v>0.2</v>
          </cell>
          <cell r="H1854">
            <v>-0.3</v>
          </cell>
          <cell r="I1854">
            <v>0.1</v>
          </cell>
          <cell r="J1854">
            <v>-0.2</v>
          </cell>
          <cell r="K1854">
            <v>0.2</v>
          </cell>
          <cell r="L1854">
            <v>0.2</v>
          </cell>
          <cell r="M1854">
            <v>-0.1</v>
          </cell>
        </row>
        <row r="1855">
          <cell r="C1855" t="str">
            <v>NMĐ MT Đá Bạc 2 MBA T2 (phía 22kV)</v>
          </cell>
          <cell r="D1855">
            <v>432</v>
          </cell>
          <cell r="E1855">
            <v>0.5</v>
          </cell>
          <cell r="F1855">
            <v>3.7</v>
          </cell>
          <cell r="G1855">
            <v>3.3</v>
          </cell>
          <cell r="H1855">
            <v>3.7</v>
          </cell>
          <cell r="I1855">
            <v>2.4</v>
          </cell>
          <cell r="J1855">
            <v>2.7</v>
          </cell>
          <cell r="K1855">
            <v>1.6</v>
          </cell>
          <cell r="L1855">
            <v>0.5</v>
          </cell>
          <cell r="M1855">
            <v>3.5</v>
          </cell>
        </row>
        <row r="1856">
          <cell r="C1856" t="str">
            <v>NMĐ MT Đá Bạc 3 MBA T3 (phía 220kV)</v>
          </cell>
          <cell r="D1856">
            <v>233</v>
          </cell>
          <cell r="E1856">
            <v>0.1</v>
          </cell>
          <cell r="F1856">
            <v>-0.3</v>
          </cell>
          <cell r="G1856">
            <v>-0.2</v>
          </cell>
          <cell r="H1856">
            <v>-0.3</v>
          </cell>
          <cell r="I1856">
            <v>0.2</v>
          </cell>
          <cell r="J1856">
            <v>0.2</v>
          </cell>
          <cell r="K1856">
            <v>0.1</v>
          </cell>
          <cell r="L1856">
            <v>0.1</v>
          </cell>
          <cell r="M1856">
            <v>0.2</v>
          </cell>
        </row>
        <row r="1857">
          <cell r="C1857" t="str">
            <v>NMĐ MT Đá Bạc 3 MBA T3 (phía 22kV)</v>
          </cell>
          <cell r="D1857">
            <v>433</v>
          </cell>
          <cell r="E1857">
            <v>0.7</v>
          </cell>
          <cell r="F1857">
            <v>2.7</v>
          </cell>
          <cell r="G1857">
            <v>2.7</v>
          </cell>
          <cell r="H1857">
            <v>2.5</v>
          </cell>
          <cell r="I1857">
            <v>1.9</v>
          </cell>
          <cell r="J1857">
            <v>1.9</v>
          </cell>
          <cell r="K1857">
            <v>1.1000000000000001</v>
          </cell>
          <cell r="L1857">
            <v>0.7</v>
          </cell>
          <cell r="M1857">
            <v>2.5</v>
          </cell>
        </row>
        <row r="1858">
          <cell r="C1858" t="str">
            <v>NMĐ MT Đá Bạc 4 MBA T4 (phía 220kV)</v>
          </cell>
          <cell r="D1858">
            <v>234</v>
          </cell>
          <cell r="E1858">
            <v>0.1</v>
          </cell>
          <cell r="F1858">
            <v>-4.9000000000000004</v>
          </cell>
          <cell r="G1858">
            <v>-4.9000000000000004</v>
          </cell>
          <cell r="H1858">
            <v>0.1</v>
          </cell>
          <cell r="I1858">
            <v>0.4</v>
          </cell>
          <cell r="J1858">
            <v>0.2</v>
          </cell>
          <cell r="K1858">
            <v>0.2</v>
          </cell>
          <cell r="L1858">
            <v>0.2</v>
          </cell>
          <cell r="M1858">
            <v>0.1</v>
          </cell>
        </row>
        <row r="1859">
          <cell r="C1859" t="str">
            <v>NMĐ MT Đá Bạc 4 MBA T4 (phía 22kV)</v>
          </cell>
          <cell r="D1859">
            <v>434</v>
          </cell>
          <cell r="E1859">
            <v>0.2</v>
          </cell>
          <cell r="F1859">
            <v>2.6</v>
          </cell>
          <cell r="G1859">
            <v>2.6</v>
          </cell>
          <cell r="H1859">
            <v>2.4</v>
          </cell>
          <cell r="I1859">
            <v>1.1000000000000001</v>
          </cell>
          <cell r="J1859">
            <v>2.2000000000000002</v>
          </cell>
          <cell r="K1859">
            <v>1.1000000000000001</v>
          </cell>
          <cell r="L1859">
            <v>0.2</v>
          </cell>
          <cell r="M1859">
            <v>1.6</v>
          </cell>
        </row>
        <row r="1860">
          <cell r="C1860" t="str">
            <v>NMĐ MT Đa Mi MBA T1 (phía 110kV)</v>
          </cell>
          <cell r="D1860">
            <v>131</v>
          </cell>
          <cell r="E1860">
            <v>1.8</v>
          </cell>
          <cell r="F1860">
            <v>6.6</v>
          </cell>
          <cell r="G1860">
            <v>5.4</v>
          </cell>
          <cell r="H1860">
            <v>5.2</v>
          </cell>
          <cell r="I1860">
            <v>5.9</v>
          </cell>
          <cell r="J1860">
            <v>5.9</v>
          </cell>
          <cell r="K1860">
            <v>5.0999999999999996</v>
          </cell>
          <cell r="L1860">
            <v>1.8</v>
          </cell>
          <cell r="M1860">
            <v>6.6</v>
          </cell>
        </row>
        <row r="1861">
          <cell r="C1861" t="str">
            <v>110kV 171 NMĐ MT Đa Mi - 173 NMĐ Hàm Thuận</v>
          </cell>
          <cell r="D1861">
            <v>171</v>
          </cell>
          <cell r="E1861">
            <v>4.2</v>
          </cell>
          <cell r="F1861">
            <v>-8.1999999999999993</v>
          </cell>
          <cell r="G1861">
            <v>4.2</v>
          </cell>
          <cell r="H1861">
            <v>-8.1999999999999993</v>
          </cell>
          <cell r="I1861">
            <v>5.3</v>
          </cell>
          <cell r="J1861">
            <v>-5.0999999999999996</v>
          </cell>
          <cell r="K1861">
            <v>4.9000000000000004</v>
          </cell>
          <cell r="L1861">
            <v>5.0999999999999996</v>
          </cell>
          <cell r="M1861">
            <v>5.9</v>
          </cell>
        </row>
        <row r="1862">
          <cell r="C1862" t="str">
            <v>110kV 172 NMĐ MT Đa Mi - 171 Đức Linh</v>
          </cell>
          <cell r="D1862">
            <v>172</v>
          </cell>
          <cell r="E1862">
            <v>3.9</v>
          </cell>
          <cell r="F1862">
            <v>-6</v>
          </cell>
          <cell r="G1862">
            <v>-4.2</v>
          </cell>
          <cell r="H1862">
            <v>3.9</v>
          </cell>
          <cell r="I1862">
            <v>-5.3</v>
          </cell>
          <cell r="J1862">
            <v>-4.8</v>
          </cell>
          <cell r="K1862">
            <v>-6</v>
          </cell>
          <cell r="L1862">
            <v>-5</v>
          </cell>
          <cell r="M1862">
            <v>-6</v>
          </cell>
        </row>
        <row r="1863">
          <cell r="C1863" t="str">
            <v>NMĐ MT Đa Mi MBA T1 (phía 22kV)</v>
          </cell>
          <cell r="D1863" t="str">
            <v>431A</v>
          </cell>
          <cell r="E1863">
            <v>-0.8</v>
          </cell>
          <cell r="F1863">
            <v>-2.8</v>
          </cell>
          <cell r="G1863">
            <v>-2.2000000000000002</v>
          </cell>
          <cell r="H1863">
            <v>-2.2000000000000002</v>
          </cell>
          <cell r="I1863">
            <v>-2.5</v>
          </cell>
          <cell r="J1863">
            <v>-2.6</v>
          </cell>
          <cell r="K1863">
            <v>-2.1</v>
          </cell>
          <cell r="L1863">
            <v>-0.8</v>
          </cell>
          <cell r="M1863">
            <v>-2.8</v>
          </cell>
        </row>
        <row r="1864">
          <cell r="C1864" t="str">
            <v>NMĐ MT Dầu Tiếng 1 MBA AT1 (phía 220kV)</v>
          </cell>
          <cell r="D1864">
            <v>231</v>
          </cell>
          <cell r="E1864">
            <v>-18.399999999999999</v>
          </cell>
          <cell r="F1864">
            <v>-34.9</v>
          </cell>
          <cell r="G1864">
            <v>-34.6</v>
          </cell>
          <cell r="H1864">
            <v>29.8</v>
          </cell>
          <cell r="I1864">
            <v>-34.9</v>
          </cell>
          <cell r="J1864">
            <v>-18.399999999999999</v>
          </cell>
          <cell r="K1864">
            <v>-34</v>
          </cell>
          <cell r="L1864">
            <v>27.7</v>
          </cell>
          <cell r="M1864">
            <v>-28.4</v>
          </cell>
        </row>
        <row r="1865">
          <cell r="C1865" t="str">
            <v>220kV 271 NMĐ MT Dầu Tiếng 1 - 274 Tây Ninh 2</v>
          </cell>
          <cell r="D1865">
            <v>271</v>
          </cell>
          <cell r="E1865">
            <v>-28.1</v>
          </cell>
          <cell r="F1865">
            <v>-42.5</v>
          </cell>
          <cell r="G1865">
            <v>-34.200000000000003</v>
          </cell>
          <cell r="H1865">
            <v>-39.299999999999997</v>
          </cell>
          <cell r="I1865">
            <v>-34.6</v>
          </cell>
          <cell r="J1865">
            <v>-28.1</v>
          </cell>
          <cell r="K1865">
            <v>-38.6</v>
          </cell>
          <cell r="L1865">
            <v>-38.5</v>
          </cell>
          <cell r="M1865">
            <v>-42.5</v>
          </cell>
        </row>
        <row r="1866">
          <cell r="C1866" t="str">
            <v>220kV 272 NMĐ MT Dầu Tiếng 1 - 272 Bình Long 2</v>
          </cell>
          <cell r="D1866">
            <v>272</v>
          </cell>
          <cell r="E1866">
            <v>27.8</v>
          </cell>
          <cell r="F1866">
            <v>57.1</v>
          </cell>
          <cell r="G1866">
            <v>43.4</v>
          </cell>
          <cell r="H1866">
            <v>49.4</v>
          </cell>
          <cell r="I1866">
            <v>41.7</v>
          </cell>
          <cell r="J1866">
            <v>27.8</v>
          </cell>
          <cell r="K1866">
            <v>57.1</v>
          </cell>
          <cell r="L1866">
            <v>48.3</v>
          </cell>
          <cell r="M1866">
            <v>48.9</v>
          </cell>
        </row>
        <row r="1867">
          <cell r="C1867" t="str">
            <v>220kV 273 NMĐ MT Dầu Tiếng 1 - 273 Tây Ninh 2</v>
          </cell>
          <cell r="D1867">
            <v>273</v>
          </cell>
          <cell r="E1867">
            <v>-27.7</v>
          </cell>
          <cell r="F1867">
            <v>-42.1</v>
          </cell>
          <cell r="G1867">
            <v>-34.799999999999997</v>
          </cell>
          <cell r="H1867">
            <v>-38.799999999999997</v>
          </cell>
          <cell r="I1867">
            <v>-33.700000000000003</v>
          </cell>
          <cell r="J1867">
            <v>-27.7</v>
          </cell>
          <cell r="K1867">
            <v>-38.200000000000003</v>
          </cell>
          <cell r="L1867">
            <v>-38.299999999999997</v>
          </cell>
          <cell r="M1867">
            <v>-42.1</v>
          </cell>
        </row>
        <row r="1868">
          <cell r="C1868" t="str">
            <v>220kV 274 NMĐ MT Dầu Tiếng 1 - 271 Bình Long 2</v>
          </cell>
          <cell r="D1868">
            <v>274</v>
          </cell>
          <cell r="E1868">
            <v>28.3</v>
          </cell>
          <cell r="F1868">
            <v>56.8</v>
          </cell>
          <cell r="G1868">
            <v>43.2</v>
          </cell>
          <cell r="H1868">
            <v>49.6</v>
          </cell>
          <cell r="I1868">
            <v>41.9</v>
          </cell>
          <cell r="J1868">
            <v>28.3</v>
          </cell>
          <cell r="K1868">
            <v>56.8</v>
          </cell>
          <cell r="L1868">
            <v>48.2</v>
          </cell>
          <cell r="M1868">
            <v>49.1</v>
          </cell>
        </row>
        <row r="1869">
          <cell r="C1869" t="str">
            <v>NMĐ MT Dầu Tiếng 1 MBA T1 (phía 22kV)</v>
          </cell>
          <cell r="D1869" t="str">
            <v>431A</v>
          </cell>
          <cell r="E1869">
            <v>14.4</v>
          </cell>
          <cell r="F1869">
            <v>22.4</v>
          </cell>
          <cell r="G1869">
            <v>21.6</v>
          </cell>
          <cell r="H1869">
            <v>16.7</v>
          </cell>
          <cell r="I1869">
            <v>22.4</v>
          </cell>
          <cell r="J1869">
            <v>14.4</v>
          </cell>
          <cell r="K1869">
            <v>19.2</v>
          </cell>
          <cell r="L1869">
            <v>15.8</v>
          </cell>
          <cell r="M1869">
            <v>16</v>
          </cell>
        </row>
        <row r="1870">
          <cell r="C1870" t="str">
            <v>NMĐ MT Dầu Tiếng 2 MBA AT2 (phía 220kV)</v>
          </cell>
          <cell r="D1870">
            <v>232</v>
          </cell>
          <cell r="E1870">
            <v>-18.899999999999999</v>
          </cell>
          <cell r="F1870">
            <v>-30.7</v>
          </cell>
          <cell r="G1870">
            <v>-23.2</v>
          </cell>
          <cell r="H1870">
            <v>-23.3</v>
          </cell>
          <cell r="I1870">
            <v>-30.7</v>
          </cell>
          <cell r="J1870">
            <v>-18.899999999999999</v>
          </cell>
          <cell r="K1870">
            <v>-28.8</v>
          </cell>
          <cell r="L1870">
            <v>-25.9</v>
          </cell>
          <cell r="M1870">
            <v>-24.4</v>
          </cell>
        </row>
        <row r="1871">
          <cell r="C1871" t="str">
            <v>NMĐ MT Dầu Tiếng 2 MBA T2 (phía 22kV)</v>
          </cell>
          <cell r="D1871" t="str">
            <v>432A</v>
          </cell>
          <cell r="E1871">
            <v>11.9</v>
          </cell>
          <cell r="F1871">
            <v>19.899999999999999</v>
          </cell>
          <cell r="G1871">
            <v>12.2</v>
          </cell>
          <cell r="H1871">
            <v>14.3</v>
          </cell>
          <cell r="I1871">
            <v>19.899999999999999</v>
          </cell>
          <cell r="J1871">
            <v>11.9</v>
          </cell>
          <cell r="K1871">
            <v>14.6</v>
          </cell>
          <cell r="L1871">
            <v>14.7</v>
          </cell>
          <cell r="M1871">
            <v>12.2</v>
          </cell>
        </row>
        <row r="1872">
          <cell r="C1872" t="str">
            <v>NMĐ MT Eco Seido Tuy Phong MBA T1 (phía 110kV)</v>
          </cell>
          <cell r="D1872">
            <v>131</v>
          </cell>
          <cell r="E1872">
            <v>0</v>
          </cell>
          <cell r="F1872">
            <v>5.3</v>
          </cell>
          <cell r="G1872">
            <v>4.8</v>
          </cell>
          <cell r="H1872">
            <v>5.3</v>
          </cell>
          <cell r="I1872">
            <v>4.2</v>
          </cell>
          <cell r="J1872">
            <v>3.5</v>
          </cell>
          <cell r="K1872">
            <v>0.9</v>
          </cell>
          <cell r="L1872">
            <v>0</v>
          </cell>
          <cell r="M1872">
            <v>4.0999999999999996</v>
          </cell>
        </row>
        <row r="1873">
          <cell r="C1873" t="str">
            <v>110kV 171 NMĐ MT Eco Seido Tuy Phong - 174 Phan Rí</v>
          </cell>
          <cell r="D1873">
            <v>171</v>
          </cell>
          <cell r="E1873">
            <v>4.5</v>
          </cell>
          <cell r="F1873">
            <v>-7.6</v>
          </cell>
          <cell r="G1873">
            <v>-7.6</v>
          </cell>
          <cell r="H1873">
            <v>-7.5</v>
          </cell>
          <cell r="I1873">
            <v>-5.2</v>
          </cell>
          <cell r="J1873">
            <v>4.5</v>
          </cell>
          <cell r="K1873">
            <v>4.9000000000000004</v>
          </cell>
          <cell r="L1873">
            <v>4.9000000000000004</v>
          </cell>
          <cell r="M1873">
            <v>-5.3</v>
          </cell>
        </row>
        <row r="1874">
          <cell r="C1874" t="str">
            <v>110kV 172 NMĐ MT Eco Seido Tuy Phong - 171 NMĐ Gió Tuy Phong</v>
          </cell>
          <cell r="D1874">
            <v>172</v>
          </cell>
          <cell r="E1874">
            <v>-4.3</v>
          </cell>
          <cell r="F1874">
            <v>7.2</v>
          </cell>
          <cell r="G1874">
            <v>7.2</v>
          </cell>
          <cell r="H1874">
            <v>7.2</v>
          </cell>
          <cell r="I1874">
            <v>-4.5999999999999996</v>
          </cell>
          <cell r="J1874">
            <v>-4.3</v>
          </cell>
          <cell r="K1874">
            <v>-4.7</v>
          </cell>
          <cell r="L1874">
            <v>-4.7</v>
          </cell>
          <cell r="M1874">
            <v>-5</v>
          </cell>
        </row>
        <row r="1875">
          <cell r="C1875" t="str">
            <v>NMĐ MT Eco Seido Tuy Phong MBA T1 (phía 22kV)</v>
          </cell>
          <cell r="D1875">
            <v>431</v>
          </cell>
          <cell r="E1875">
            <v>0</v>
          </cell>
          <cell r="F1875">
            <v>-2.4</v>
          </cell>
          <cell r="G1875">
            <v>-2.2000000000000002</v>
          </cell>
          <cell r="H1875">
            <v>-2.4</v>
          </cell>
          <cell r="I1875">
            <v>-1.9</v>
          </cell>
          <cell r="J1875">
            <v>-1.5</v>
          </cell>
          <cell r="K1875">
            <v>-0.3</v>
          </cell>
          <cell r="L1875">
            <v>0</v>
          </cell>
          <cell r="M1875">
            <v>-1.8</v>
          </cell>
        </row>
        <row r="1876">
          <cell r="C1876" t="str">
            <v>NMĐ MT Europlast Long An MBA T1 (phía 110kV)</v>
          </cell>
          <cell r="D1876">
            <v>131</v>
          </cell>
          <cell r="E1876">
            <v>1.3</v>
          </cell>
          <cell r="F1876">
            <v>6.2</v>
          </cell>
          <cell r="G1876">
            <v>3.3</v>
          </cell>
          <cell r="H1876">
            <v>3.7</v>
          </cell>
          <cell r="I1876">
            <v>6.2</v>
          </cell>
          <cell r="J1876">
            <v>6.1</v>
          </cell>
          <cell r="K1876">
            <v>6</v>
          </cell>
          <cell r="L1876">
            <v>4</v>
          </cell>
          <cell r="M1876">
            <v>1.3</v>
          </cell>
        </row>
        <row r="1877">
          <cell r="C1877" t="str">
            <v>NMĐ MT Europlast Long An MBA T1 (phía 22kV)</v>
          </cell>
          <cell r="D1877">
            <v>431</v>
          </cell>
          <cell r="E1877">
            <v>-0.6</v>
          </cell>
          <cell r="F1877">
            <v>-2.8</v>
          </cell>
          <cell r="G1877">
            <v>-1.4</v>
          </cell>
          <cell r="H1877">
            <v>-1.7</v>
          </cell>
          <cell r="I1877">
            <v>-2.8</v>
          </cell>
          <cell r="J1877">
            <v>-2.7</v>
          </cell>
          <cell r="K1877">
            <v>-2.7</v>
          </cell>
          <cell r="L1877">
            <v>-1.8</v>
          </cell>
          <cell r="M1877">
            <v>-0.6</v>
          </cell>
        </row>
        <row r="1878">
          <cell r="C1878" t="str">
            <v>NMĐ MT GAIA MBA T1 (phía 110kV)</v>
          </cell>
          <cell r="D1878">
            <v>131</v>
          </cell>
          <cell r="E1878">
            <v>7.7</v>
          </cell>
          <cell r="F1878">
            <v>18.600000000000001</v>
          </cell>
          <cell r="G1878">
            <v>13.6</v>
          </cell>
          <cell r="H1878">
            <v>7.7</v>
          </cell>
          <cell r="I1878">
            <v>12.7</v>
          </cell>
          <cell r="J1878">
            <v>9.8000000000000007</v>
          </cell>
          <cell r="K1878">
            <v>10.6</v>
          </cell>
          <cell r="L1878">
            <v>18.600000000000001</v>
          </cell>
          <cell r="M1878">
            <v>7.8</v>
          </cell>
        </row>
        <row r="1879">
          <cell r="C1879" t="str">
            <v>110kV 171 NMĐ MT GAIA - (171-7) NMĐ MT BCG Băng Dương</v>
          </cell>
          <cell r="D1879">
            <v>171</v>
          </cell>
          <cell r="E1879">
            <v>-0.4</v>
          </cell>
          <cell r="F1879">
            <v>3.6</v>
          </cell>
          <cell r="G1879">
            <v>3.6</v>
          </cell>
          <cell r="H1879">
            <v>3.1</v>
          </cell>
          <cell r="I1879">
            <v>3.4</v>
          </cell>
          <cell r="J1879">
            <v>3.3</v>
          </cell>
          <cell r="K1879">
            <v>1.5</v>
          </cell>
          <cell r="L1879">
            <v>3.5</v>
          </cell>
          <cell r="M1879">
            <v>-0.4</v>
          </cell>
        </row>
        <row r="1880">
          <cell r="C1880" t="str">
            <v>110kV 172 NMĐ MT GAIA - 173 Thạnh Hóa</v>
          </cell>
          <cell r="D1880">
            <v>172</v>
          </cell>
          <cell r="E1880">
            <v>-7.3</v>
          </cell>
          <cell r="F1880">
            <v>-21.8</v>
          </cell>
          <cell r="G1880">
            <v>-14.3</v>
          </cell>
          <cell r="H1880">
            <v>-7.7</v>
          </cell>
          <cell r="I1880">
            <v>-15.7</v>
          </cell>
          <cell r="J1880">
            <v>-12.5</v>
          </cell>
          <cell r="K1880">
            <v>-10.9</v>
          </cell>
          <cell r="L1880">
            <v>-21.8</v>
          </cell>
          <cell r="M1880">
            <v>-7.3</v>
          </cell>
        </row>
        <row r="1881">
          <cell r="C1881" t="str">
            <v>NMĐ MT GAIA MBA T1 (phía 22kV)</v>
          </cell>
          <cell r="D1881">
            <v>431</v>
          </cell>
          <cell r="E1881">
            <v>-6.5</v>
          </cell>
          <cell r="F1881">
            <v>-14.4</v>
          </cell>
          <cell r="G1881">
            <v>-8.1</v>
          </cell>
          <cell r="H1881">
            <v>-6.5</v>
          </cell>
          <cell r="I1881">
            <v>-9.9</v>
          </cell>
          <cell r="J1881">
            <v>-7.8</v>
          </cell>
          <cell r="K1881">
            <v>-8.6</v>
          </cell>
          <cell r="L1881">
            <v>-14.4</v>
          </cell>
          <cell r="M1881">
            <v>-7</v>
          </cell>
        </row>
        <row r="1882">
          <cell r="C1882" t="str">
            <v>NMĐ MT Gelex MBA T1 (phía 110kV)</v>
          </cell>
          <cell r="D1882">
            <v>131</v>
          </cell>
          <cell r="E1882">
            <v>-0.1</v>
          </cell>
          <cell r="F1882">
            <v>4.2</v>
          </cell>
          <cell r="G1882">
            <v>2.1</v>
          </cell>
          <cell r="H1882">
            <v>1.4</v>
          </cell>
          <cell r="I1882">
            <v>-2.9</v>
          </cell>
          <cell r="J1882">
            <v>-0.4</v>
          </cell>
          <cell r="K1882">
            <v>-0.1</v>
          </cell>
          <cell r="L1882">
            <v>-0.1</v>
          </cell>
          <cell r="M1882">
            <v>4.2</v>
          </cell>
        </row>
        <row r="1883">
          <cell r="C1883" t="str">
            <v>NMĐ MT Gelex MBA T1 (phía 22kV)</v>
          </cell>
          <cell r="D1883">
            <v>431</v>
          </cell>
          <cell r="E1883">
            <v>0.4</v>
          </cell>
          <cell r="F1883">
            <v>4.9000000000000004</v>
          </cell>
          <cell r="G1883">
            <v>4.8</v>
          </cell>
          <cell r="H1883">
            <v>3.6</v>
          </cell>
          <cell r="I1883">
            <v>4.8</v>
          </cell>
          <cell r="J1883">
            <v>3.1</v>
          </cell>
          <cell r="K1883">
            <v>0.4</v>
          </cell>
          <cell r="L1883">
            <v>0.6</v>
          </cell>
          <cell r="M1883">
            <v>4.9000000000000004</v>
          </cell>
        </row>
        <row r="1884">
          <cell r="C1884" t="str">
            <v>NMĐ MT Hacom Solar MBA T2 (phía 220kV)</v>
          </cell>
          <cell r="D1884">
            <v>232</v>
          </cell>
          <cell r="E1884">
            <v>0</v>
          </cell>
          <cell r="F1884">
            <v>-5.5</v>
          </cell>
          <cell r="G1884">
            <v>-0.1</v>
          </cell>
          <cell r="H1884">
            <v>-0.1</v>
          </cell>
          <cell r="I1884">
            <v>-0.1</v>
          </cell>
          <cell r="J1884">
            <v>0.2</v>
          </cell>
          <cell r="K1884">
            <v>0</v>
          </cell>
          <cell r="L1884">
            <v>0</v>
          </cell>
          <cell r="M1884">
            <v>-5.5</v>
          </cell>
        </row>
        <row r="1885">
          <cell r="C1885" t="str">
            <v>220kV 272 NMĐ MT Hacom Solar - 276 NMĐ MT Nhị Hà</v>
          </cell>
          <cell r="D1885">
            <v>272</v>
          </cell>
          <cell r="E1885">
            <v>0.1</v>
          </cell>
          <cell r="F1885">
            <v>5.5</v>
          </cell>
          <cell r="G1885">
            <v>0.1</v>
          </cell>
          <cell r="H1885">
            <v>0.1</v>
          </cell>
          <cell r="I1885">
            <v>0.2</v>
          </cell>
          <cell r="J1885">
            <v>-0.2</v>
          </cell>
          <cell r="K1885">
            <v>0.1</v>
          </cell>
          <cell r="L1885">
            <v>0.1</v>
          </cell>
          <cell r="M1885">
            <v>5.5</v>
          </cell>
        </row>
        <row r="1886">
          <cell r="C1886" t="str">
            <v>NMĐ MT Hacom Solar MBA T2 (phía 22kV)</v>
          </cell>
          <cell r="D1886">
            <v>432</v>
          </cell>
          <cell r="E1886">
            <v>0.2</v>
          </cell>
          <cell r="F1886">
            <v>8.5</v>
          </cell>
          <cell r="G1886">
            <v>3.1</v>
          </cell>
          <cell r="H1886">
            <v>2.2999999999999998</v>
          </cell>
          <cell r="I1886">
            <v>3</v>
          </cell>
          <cell r="J1886">
            <v>2.5</v>
          </cell>
          <cell r="K1886">
            <v>0.4</v>
          </cell>
          <cell r="L1886">
            <v>0.2</v>
          </cell>
          <cell r="M1886">
            <v>8.5</v>
          </cell>
        </row>
        <row r="1887">
          <cell r="C1887" t="str">
            <v>NMĐ MT Hàm Kiệm MBA T1 (phía 110kV)</v>
          </cell>
          <cell r="D1887">
            <v>131</v>
          </cell>
          <cell r="E1887">
            <v>0.5</v>
          </cell>
          <cell r="F1887">
            <v>5.0999999999999996</v>
          </cell>
          <cell r="G1887">
            <v>4.4000000000000004</v>
          </cell>
          <cell r="H1887">
            <v>2.6</v>
          </cell>
          <cell r="I1887">
            <v>4.5</v>
          </cell>
          <cell r="J1887">
            <v>4.4000000000000004</v>
          </cell>
          <cell r="K1887">
            <v>3.1</v>
          </cell>
          <cell r="L1887">
            <v>0.5</v>
          </cell>
          <cell r="M1887">
            <v>5.0999999999999996</v>
          </cell>
        </row>
        <row r="1888">
          <cell r="C1888" t="str">
            <v>110kV 171 NMĐ MT Hàm Kiệm - 172 trạm cắt Dân Bình</v>
          </cell>
          <cell r="D1888">
            <v>171</v>
          </cell>
          <cell r="E1888">
            <v>-0.3</v>
          </cell>
          <cell r="F1888">
            <v>-4.9000000000000004</v>
          </cell>
          <cell r="G1888">
            <v>-4.4000000000000004</v>
          </cell>
          <cell r="H1888">
            <v>-2.4</v>
          </cell>
          <cell r="I1888">
            <v>-4.4000000000000004</v>
          </cell>
          <cell r="J1888">
            <v>-4.4000000000000004</v>
          </cell>
          <cell r="K1888">
            <v>-3</v>
          </cell>
          <cell r="L1888">
            <v>-0.3</v>
          </cell>
          <cell r="M1888">
            <v>-4.9000000000000004</v>
          </cell>
        </row>
        <row r="1889">
          <cell r="C1889" t="str">
            <v>NMĐ MT Hàm Kiệm MBA T1 (phía 22kV)</v>
          </cell>
          <cell r="D1889">
            <v>431</v>
          </cell>
          <cell r="E1889">
            <v>0.2</v>
          </cell>
          <cell r="F1889">
            <v>-1.1000000000000001</v>
          </cell>
          <cell r="G1889">
            <v>-1</v>
          </cell>
          <cell r="H1889">
            <v>-0.5</v>
          </cell>
          <cell r="I1889">
            <v>-1</v>
          </cell>
          <cell r="J1889">
            <v>-0.9</v>
          </cell>
          <cell r="K1889">
            <v>-0.6</v>
          </cell>
          <cell r="L1889">
            <v>0.2</v>
          </cell>
          <cell r="M1889">
            <v>-1.1000000000000001</v>
          </cell>
        </row>
        <row r="1890">
          <cell r="C1890" t="str">
            <v>NMĐ MT Hàm Phú 2 MBA T2 (phía 110kV)</v>
          </cell>
          <cell r="D1890">
            <v>132</v>
          </cell>
          <cell r="E1890">
            <v>1.2</v>
          </cell>
          <cell r="F1890">
            <v>5.2</v>
          </cell>
          <cell r="G1890">
            <v>3.1</v>
          </cell>
          <cell r="H1890">
            <v>3.4</v>
          </cell>
          <cell r="I1890">
            <v>3.7</v>
          </cell>
          <cell r="J1890">
            <v>3.7</v>
          </cell>
          <cell r="K1890">
            <v>5.2</v>
          </cell>
          <cell r="L1890">
            <v>1.2</v>
          </cell>
          <cell r="M1890">
            <v>4.5999999999999996</v>
          </cell>
        </row>
        <row r="1891">
          <cell r="C1891" t="str">
            <v>110kV 171 NMĐ MT Hàm Phú 2 - 172 Ma Lâm</v>
          </cell>
          <cell r="D1891">
            <v>171</v>
          </cell>
          <cell r="E1891">
            <v>1.6</v>
          </cell>
          <cell r="F1891">
            <v>-3.5</v>
          </cell>
          <cell r="G1891">
            <v>-1.9</v>
          </cell>
          <cell r="H1891">
            <v>-2</v>
          </cell>
          <cell r="I1891">
            <v>-2.1</v>
          </cell>
          <cell r="J1891">
            <v>-2</v>
          </cell>
          <cell r="K1891">
            <v>-3.5</v>
          </cell>
          <cell r="L1891">
            <v>1.6</v>
          </cell>
          <cell r="M1891">
            <v>-2.6</v>
          </cell>
        </row>
        <row r="1892">
          <cell r="C1892" t="str">
            <v>110kV 172 NMĐ MT Hàm Phú 2 - 171 NMĐ Hàm Thuận</v>
          </cell>
          <cell r="D1892">
            <v>172</v>
          </cell>
          <cell r="E1892">
            <v>-1.6</v>
          </cell>
          <cell r="F1892">
            <v>-1.6</v>
          </cell>
          <cell r="G1892">
            <v>-1.6</v>
          </cell>
          <cell r="H1892">
            <v>-1.6</v>
          </cell>
          <cell r="I1892">
            <v>-1.6</v>
          </cell>
          <cell r="J1892">
            <v>-1.6</v>
          </cell>
          <cell r="K1892">
            <v>-1.6</v>
          </cell>
          <cell r="L1892">
            <v>-1.6</v>
          </cell>
          <cell r="M1892">
            <v>-1.6</v>
          </cell>
        </row>
        <row r="1893">
          <cell r="C1893" t="str">
            <v>NMĐ MT Hàm Phú 2 MBA T2 (phía 22kV)</v>
          </cell>
          <cell r="D1893">
            <v>432</v>
          </cell>
          <cell r="E1893">
            <v>-0.3</v>
          </cell>
          <cell r="F1893">
            <v>-1.8</v>
          </cell>
          <cell r="G1893">
            <v>-1.1000000000000001</v>
          </cell>
          <cell r="H1893">
            <v>-1</v>
          </cell>
          <cell r="I1893">
            <v>-1.3</v>
          </cell>
          <cell r="J1893">
            <v>-1.3</v>
          </cell>
          <cell r="K1893">
            <v>-1.8</v>
          </cell>
          <cell r="L1893">
            <v>-0.3</v>
          </cell>
          <cell r="M1893">
            <v>-1.6</v>
          </cell>
        </row>
        <row r="1894">
          <cell r="C1894" t="str">
            <v>NMĐ MT HCG MBA T2 (phía 110kV)</v>
          </cell>
          <cell r="D1894">
            <v>132</v>
          </cell>
          <cell r="E1894">
            <v>-0.6</v>
          </cell>
          <cell r="F1894">
            <v>-6.8</v>
          </cell>
          <cell r="G1894">
            <v>-6.5</v>
          </cell>
          <cell r="H1894">
            <v>-4.7</v>
          </cell>
          <cell r="I1894">
            <v>-6.2</v>
          </cell>
          <cell r="J1894">
            <v>-6.4</v>
          </cell>
          <cell r="K1894">
            <v>-6.8</v>
          </cell>
          <cell r="L1894">
            <v>-4.9000000000000004</v>
          </cell>
          <cell r="M1894">
            <v>-0.6</v>
          </cell>
        </row>
        <row r="1895">
          <cell r="C1895" t="str">
            <v>NMĐ MT HCG MBA T2 (phía 22kV)</v>
          </cell>
          <cell r="D1895">
            <v>432</v>
          </cell>
          <cell r="E1895">
            <v>-0.3</v>
          </cell>
          <cell r="F1895">
            <v>-3.9</v>
          </cell>
          <cell r="G1895">
            <v>-3.5</v>
          </cell>
          <cell r="H1895">
            <v>-2.8</v>
          </cell>
          <cell r="I1895">
            <v>-3.4</v>
          </cell>
          <cell r="J1895">
            <v>-3.6</v>
          </cell>
          <cell r="K1895">
            <v>-3.9</v>
          </cell>
          <cell r="L1895">
            <v>-2.7</v>
          </cell>
          <cell r="M1895">
            <v>-0.3</v>
          </cell>
        </row>
        <row r="1896">
          <cell r="C1896" t="str">
            <v>NMĐ MT Hồ Bàu Ngứ MBA T1 (phía 110kV)</v>
          </cell>
          <cell r="D1896">
            <v>131</v>
          </cell>
          <cell r="E1896">
            <v>0.6</v>
          </cell>
          <cell r="F1896">
            <v>-4.5999999999999996</v>
          </cell>
          <cell r="G1896">
            <v>-4.5999999999999996</v>
          </cell>
          <cell r="H1896">
            <v>-2.7</v>
          </cell>
          <cell r="I1896">
            <v>-2.6</v>
          </cell>
          <cell r="J1896">
            <v>0.6</v>
          </cell>
          <cell r="K1896">
            <v>1</v>
          </cell>
          <cell r="L1896">
            <v>1.4</v>
          </cell>
          <cell r="M1896">
            <v>-2.2999999999999998</v>
          </cell>
        </row>
        <row r="1897">
          <cell r="C1897" t="str">
            <v>110kV 171 NMĐ MT Hồ Bàu Ngứ - 171 Ninh Thuận 1</v>
          </cell>
          <cell r="D1897">
            <v>171</v>
          </cell>
          <cell r="E1897">
            <v>-0.3</v>
          </cell>
          <cell r="F1897">
            <v>-0.4</v>
          </cell>
          <cell r="G1897">
            <v>-0.4</v>
          </cell>
          <cell r="H1897">
            <v>-0.3</v>
          </cell>
          <cell r="I1897">
            <v>-0.3</v>
          </cell>
          <cell r="J1897">
            <v>-0.3</v>
          </cell>
          <cell r="K1897">
            <v>-0.3</v>
          </cell>
          <cell r="L1897">
            <v>-0.3</v>
          </cell>
          <cell r="M1897">
            <v>-0.3</v>
          </cell>
        </row>
        <row r="1898">
          <cell r="C1898" t="str">
            <v>110kV 172 NMĐ MT Hồ Bàu Ngứ - trạm cắt 175 Hậu Sanh</v>
          </cell>
          <cell r="D1898">
            <v>172</v>
          </cell>
          <cell r="E1898">
            <v>1</v>
          </cell>
          <cell r="F1898">
            <v>4.9000000000000004</v>
          </cell>
          <cell r="G1898">
            <v>4.9000000000000004</v>
          </cell>
          <cell r="H1898">
            <v>2.8</v>
          </cell>
          <cell r="I1898">
            <v>2.9</v>
          </cell>
          <cell r="J1898">
            <v>1</v>
          </cell>
          <cell r="K1898">
            <v>1.1000000000000001</v>
          </cell>
          <cell r="L1898">
            <v>-1.2</v>
          </cell>
          <cell r="M1898">
            <v>2.8</v>
          </cell>
        </row>
        <row r="1899">
          <cell r="C1899" t="str">
            <v>NMĐ MT Hồ Bàu Ngứ MBA T1 (phía 22kV)</v>
          </cell>
          <cell r="D1899">
            <v>431</v>
          </cell>
          <cell r="E1899">
            <v>0.7</v>
          </cell>
          <cell r="F1899">
            <v>6.8</v>
          </cell>
          <cell r="G1899">
            <v>5.4</v>
          </cell>
          <cell r="H1899">
            <v>6</v>
          </cell>
          <cell r="I1899">
            <v>5.7</v>
          </cell>
          <cell r="J1899">
            <v>2.9</v>
          </cell>
          <cell r="K1899">
            <v>0.7</v>
          </cell>
          <cell r="L1899">
            <v>-1</v>
          </cell>
          <cell r="M1899">
            <v>6.8</v>
          </cell>
        </row>
        <row r="1900">
          <cell r="C1900" t="str">
            <v>NMĐ MT Hồng Phong 1A MBA T1 (phía 220kV)</v>
          </cell>
          <cell r="D1900">
            <v>231</v>
          </cell>
          <cell r="E1900">
            <v>-0.5</v>
          </cell>
          <cell r="F1900">
            <v>-2.9</v>
          </cell>
          <cell r="G1900">
            <v>-1.3</v>
          </cell>
          <cell r="H1900">
            <v>-1.7</v>
          </cell>
          <cell r="I1900">
            <v>-1.8</v>
          </cell>
          <cell r="J1900">
            <v>-1.7</v>
          </cell>
          <cell r="K1900">
            <v>-2.9</v>
          </cell>
          <cell r="L1900">
            <v>-0.5</v>
          </cell>
          <cell r="M1900">
            <v>-1.8</v>
          </cell>
        </row>
        <row r="1901">
          <cell r="C1901" t="str">
            <v>NMĐ MT Hồng Phong 1A MBA T2 (phía 220kV)</v>
          </cell>
          <cell r="D1901">
            <v>232</v>
          </cell>
          <cell r="E1901">
            <v>-0.5</v>
          </cell>
          <cell r="F1901">
            <v>2.9</v>
          </cell>
          <cell r="G1901">
            <v>1.2</v>
          </cell>
          <cell r="H1901">
            <v>1.8</v>
          </cell>
          <cell r="I1901">
            <v>1.8</v>
          </cell>
          <cell r="J1901">
            <v>1.7</v>
          </cell>
          <cell r="K1901">
            <v>2.9</v>
          </cell>
          <cell r="L1901">
            <v>-0.5</v>
          </cell>
          <cell r="M1901">
            <v>1.6</v>
          </cell>
        </row>
        <row r="1902">
          <cell r="C1902" t="str">
            <v>220kV 272 NMĐ MT Hồng Phong 1A - 276 Phan Thiết 2</v>
          </cell>
          <cell r="D1902">
            <v>272</v>
          </cell>
          <cell r="E1902">
            <v>-13.3</v>
          </cell>
          <cell r="F1902">
            <v>21.6</v>
          </cell>
          <cell r="G1902">
            <v>-20.8</v>
          </cell>
          <cell r="H1902">
            <v>-21.2</v>
          </cell>
          <cell r="I1902">
            <v>-13.3</v>
          </cell>
          <cell r="J1902">
            <v>-14.7</v>
          </cell>
          <cell r="K1902">
            <v>21.6</v>
          </cell>
          <cell r="L1902">
            <v>-13.8</v>
          </cell>
          <cell r="M1902">
            <v>14.7</v>
          </cell>
        </row>
        <row r="1903">
          <cell r="C1903" t="str">
            <v>220kV 273 NMĐ MT Hồng Phong 1A - 271 Phan Rí 2</v>
          </cell>
          <cell r="D1903">
            <v>273</v>
          </cell>
          <cell r="E1903">
            <v>12.1</v>
          </cell>
          <cell r="F1903">
            <v>22.2</v>
          </cell>
          <cell r="G1903">
            <v>19.600000000000001</v>
          </cell>
          <cell r="H1903">
            <v>22.2</v>
          </cell>
          <cell r="I1903">
            <v>12.1</v>
          </cell>
          <cell r="J1903">
            <v>15.3</v>
          </cell>
          <cell r="K1903">
            <v>-21.3</v>
          </cell>
          <cell r="L1903">
            <v>13.6</v>
          </cell>
          <cell r="M1903">
            <v>-15.9</v>
          </cell>
        </row>
        <row r="1904">
          <cell r="C1904" t="str">
            <v>NMĐ MT Hồng Phong 1A MBA T1 (phía 22kV)</v>
          </cell>
          <cell r="D1904">
            <v>431</v>
          </cell>
          <cell r="E1904">
            <v>1.2</v>
          </cell>
          <cell r="F1904">
            <v>6.4</v>
          </cell>
          <cell r="G1904">
            <v>4.5</v>
          </cell>
          <cell r="H1904">
            <v>6.1</v>
          </cell>
          <cell r="I1904">
            <v>5.2</v>
          </cell>
          <cell r="J1904">
            <v>4.5999999999999996</v>
          </cell>
          <cell r="K1904">
            <v>4.8</v>
          </cell>
          <cell r="L1904">
            <v>1.2</v>
          </cell>
          <cell r="M1904">
            <v>6.4</v>
          </cell>
        </row>
        <row r="1905">
          <cell r="C1905" t="str">
            <v>NMĐ MT Hồng Phong 1A MBA T2 (phía 22kV)</v>
          </cell>
          <cell r="D1905">
            <v>432</v>
          </cell>
          <cell r="E1905">
            <v>1.7</v>
          </cell>
          <cell r="F1905">
            <v>9.1999999999999993</v>
          </cell>
          <cell r="G1905">
            <v>7.5</v>
          </cell>
          <cell r="H1905">
            <v>8</v>
          </cell>
          <cell r="I1905">
            <v>8.8000000000000007</v>
          </cell>
          <cell r="J1905">
            <v>6.9</v>
          </cell>
          <cell r="K1905">
            <v>7.1</v>
          </cell>
          <cell r="L1905">
            <v>1.7</v>
          </cell>
          <cell r="M1905">
            <v>9.1999999999999993</v>
          </cell>
        </row>
        <row r="1906">
          <cell r="C1906" t="str">
            <v>NMĐ MT Hồng Phong 1B MBA T3 (phía 220kV)</v>
          </cell>
          <cell r="D1906">
            <v>233</v>
          </cell>
          <cell r="E1906">
            <v>-0.6</v>
          </cell>
          <cell r="F1906">
            <v>-0.7</v>
          </cell>
          <cell r="G1906">
            <v>-0.6</v>
          </cell>
          <cell r="H1906">
            <v>-0.6</v>
          </cell>
          <cell r="I1906">
            <v>-0.6</v>
          </cell>
          <cell r="J1906">
            <v>-0.6</v>
          </cell>
          <cell r="K1906">
            <v>-0.6</v>
          </cell>
          <cell r="L1906">
            <v>-0.6</v>
          </cell>
          <cell r="M1906">
            <v>-0.7</v>
          </cell>
        </row>
        <row r="1907">
          <cell r="C1907" t="str">
            <v>NMĐ MT Hồng Phong 1B MBA T3 (phía 22kV)</v>
          </cell>
          <cell r="D1907">
            <v>433</v>
          </cell>
          <cell r="E1907">
            <v>1.7</v>
          </cell>
          <cell r="F1907">
            <v>9.8000000000000007</v>
          </cell>
          <cell r="G1907">
            <v>6.6</v>
          </cell>
          <cell r="H1907">
            <v>9.8000000000000007</v>
          </cell>
          <cell r="I1907">
            <v>8.4</v>
          </cell>
          <cell r="J1907">
            <v>7.8</v>
          </cell>
          <cell r="K1907">
            <v>7.3</v>
          </cell>
          <cell r="L1907">
            <v>1.7</v>
          </cell>
          <cell r="M1907">
            <v>9.5</v>
          </cell>
        </row>
        <row r="1908">
          <cell r="C1908" t="str">
            <v>NMĐ MT Hồng Phong 4 MBA T1 (phía 110kV)</v>
          </cell>
          <cell r="D1908">
            <v>131</v>
          </cell>
          <cell r="E1908">
            <v>-0.1</v>
          </cell>
          <cell r="F1908">
            <v>-0.3</v>
          </cell>
          <cell r="G1908">
            <v>-0.3</v>
          </cell>
          <cell r="H1908">
            <v>0.1</v>
          </cell>
          <cell r="I1908">
            <v>0.2</v>
          </cell>
          <cell r="J1908">
            <v>0.2</v>
          </cell>
          <cell r="K1908">
            <v>0.1</v>
          </cell>
          <cell r="L1908">
            <v>0.2</v>
          </cell>
          <cell r="M1908">
            <v>-0.1</v>
          </cell>
        </row>
        <row r="1909">
          <cell r="C1909" t="str">
            <v>NMĐ MT Hồng Phong 4 MBA T2 (phía 110kV)</v>
          </cell>
          <cell r="D1909">
            <v>132</v>
          </cell>
          <cell r="E1909">
            <v>-0.1</v>
          </cell>
          <cell r="F1909">
            <v>-0.5</v>
          </cell>
          <cell r="G1909">
            <v>0.1</v>
          </cell>
          <cell r="H1909">
            <v>-0.2</v>
          </cell>
          <cell r="I1909">
            <v>0.4</v>
          </cell>
          <cell r="J1909">
            <v>0.1</v>
          </cell>
          <cell r="K1909">
            <v>0.1</v>
          </cell>
          <cell r="L1909">
            <v>-0.1</v>
          </cell>
          <cell r="M1909">
            <v>-0.5</v>
          </cell>
        </row>
        <row r="1910">
          <cell r="C1910" t="str">
            <v>110kV 171 NMĐ MT Hồng Phong 4 - 173 Lương Sơn</v>
          </cell>
          <cell r="D1910">
            <v>171</v>
          </cell>
          <cell r="E1910">
            <v>1.6</v>
          </cell>
          <cell r="F1910">
            <v>-3.2</v>
          </cell>
          <cell r="G1910">
            <v>2.5</v>
          </cell>
          <cell r="H1910">
            <v>2.7</v>
          </cell>
          <cell r="I1910">
            <v>-3.2</v>
          </cell>
          <cell r="J1910">
            <v>-1.6</v>
          </cell>
          <cell r="K1910">
            <v>2.2000000000000002</v>
          </cell>
          <cell r="L1910">
            <v>-1.9</v>
          </cell>
          <cell r="M1910">
            <v>1.6</v>
          </cell>
        </row>
        <row r="1911">
          <cell r="C1911" t="str">
            <v>110kV 172 NMĐ MT Hồng Phong 4 - 172 NMĐ MT Mũi Né</v>
          </cell>
          <cell r="D1911">
            <v>172</v>
          </cell>
          <cell r="E1911">
            <v>1.8</v>
          </cell>
          <cell r="F1911">
            <v>3.3</v>
          </cell>
          <cell r="G1911">
            <v>-2.8</v>
          </cell>
          <cell r="H1911">
            <v>2.9</v>
          </cell>
          <cell r="I1911">
            <v>3.3</v>
          </cell>
          <cell r="J1911">
            <v>-2.1</v>
          </cell>
          <cell r="K1911">
            <v>-2.6</v>
          </cell>
          <cell r="L1911">
            <v>1.8</v>
          </cell>
          <cell r="M1911">
            <v>-2.2000000000000002</v>
          </cell>
        </row>
        <row r="1912">
          <cell r="C1912" t="str">
            <v>NMĐ MT Hồng Phong 4 MBA T1 (phía 22kV)</v>
          </cell>
          <cell r="D1912">
            <v>431</v>
          </cell>
          <cell r="E1912">
            <v>0.7</v>
          </cell>
          <cell r="F1912">
            <v>1.9</v>
          </cell>
          <cell r="G1912">
            <v>1.8</v>
          </cell>
          <cell r="H1912">
            <v>1.8</v>
          </cell>
          <cell r="I1912">
            <v>1.8</v>
          </cell>
          <cell r="J1912">
            <v>1.7</v>
          </cell>
          <cell r="K1912">
            <v>1.9</v>
          </cell>
          <cell r="L1912">
            <v>0.7</v>
          </cell>
          <cell r="M1912">
            <v>1.7</v>
          </cell>
        </row>
        <row r="1913">
          <cell r="C1913" t="str">
            <v>NMĐ MT Hồng Phong 4 MBA T2 (phía 22kV)</v>
          </cell>
          <cell r="D1913">
            <v>432</v>
          </cell>
          <cell r="E1913">
            <v>0.9</v>
          </cell>
          <cell r="F1913">
            <v>1.9</v>
          </cell>
          <cell r="G1913">
            <v>1.8</v>
          </cell>
          <cell r="H1913">
            <v>1.8</v>
          </cell>
          <cell r="I1913">
            <v>1.9</v>
          </cell>
          <cell r="J1913">
            <v>1.8</v>
          </cell>
          <cell r="K1913">
            <v>1.9</v>
          </cell>
          <cell r="L1913">
            <v>0.9</v>
          </cell>
          <cell r="M1913">
            <v>1.8</v>
          </cell>
        </row>
        <row r="1914">
          <cell r="C1914" t="str">
            <v>NMĐ MT HTG MBA T1 (phía 110kV)</v>
          </cell>
          <cell r="D1914">
            <v>131</v>
          </cell>
          <cell r="E1914">
            <v>-0.5</v>
          </cell>
          <cell r="F1914">
            <v>-6.7</v>
          </cell>
          <cell r="G1914">
            <v>-6.6</v>
          </cell>
          <cell r="H1914">
            <v>-4.4000000000000004</v>
          </cell>
          <cell r="I1914">
            <v>-6.2</v>
          </cell>
          <cell r="J1914">
            <v>-6.2</v>
          </cell>
          <cell r="K1914">
            <v>-6.7</v>
          </cell>
          <cell r="L1914">
            <v>-5.0999999999999996</v>
          </cell>
          <cell r="M1914">
            <v>-0.5</v>
          </cell>
        </row>
        <row r="1915">
          <cell r="C1915" t="str">
            <v>110kV 171 NMĐ MT HTG - 172 Bến Cầu</v>
          </cell>
          <cell r="D1915">
            <v>171</v>
          </cell>
          <cell r="E1915">
            <v>-5.4</v>
          </cell>
          <cell r="F1915">
            <v>-11.8</v>
          </cell>
          <cell r="G1915">
            <v>-11.8</v>
          </cell>
          <cell r="H1915">
            <v>-5.4</v>
          </cell>
          <cell r="I1915">
            <v>-6.5</v>
          </cell>
          <cell r="J1915">
            <v>-7.5</v>
          </cell>
          <cell r="K1915">
            <v>-8.9</v>
          </cell>
          <cell r="L1915">
            <v>-8</v>
          </cell>
          <cell r="M1915">
            <v>-7.1</v>
          </cell>
        </row>
        <row r="1916">
          <cell r="C1916" t="str">
            <v>110kV 172 NMĐ MT HTG - 178 Trảng Bàng 2</v>
          </cell>
          <cell r="D1916">
            <v>172</v>
          </cell>
          <cell r="E1916">
            <v>7.3</v>
          </cell>
          <cell r="F1916">
            <v>-13</v>
          </cell>
          <cell r="G1916">
            <v>12</v>
          </cell>
          <cell r="H1916">
            <v>-11.5</v>
          </cell>
          <cell r="I1916">
            <v>-8</v>
          </cell>
          <cell r="J1916">
            <v>-7.9</v>
          </cell>
          <cell r="K1916">
            <v>-13</v>
          </cell>
          <cell r="L1916">
            <v>8</v>
          </cell>
          <cell r="M1916">
            <v>7.3</v>
          </cell>
        </row>
        <row r="1917">
          <cell r="C1917" t="str">
            <v>NMĐ MT HTG MBA T1 (phía 22kV)</v>
          </cell>
          <cell r="D1917">
            <v>431</v>
          </cell>
          <cell r="E1917">
            <v>-0.3</v>
          </cell>
          <cell r="F1917">
            <v>-3.6</v>
          </cell>
          <cell r="G1917">
            <v>-3.4</v>
          </cell>
          <cell r="H1917">
            <v>-2.4</v>
          </cell>
          <cell r="I1917">
            <v>-3.4</v>
          </cell>
          <cell r="J1917">
            <v>-3.4</v>
          </cell>
          <cell r="K1917">
            <v>-3.6</v>
          </cell>
          <cell r="L1917">
            <v>-2.8</v>
          </cell>
          <cell r="M1917">
            <v>-0.3</v>
          </cell>
        </row>
        <row r="1918">
          <cell r="C1918" t="str">
            <v>NMĐ MT Mũi Né MBA T1 (phía 110kV)</v>
          </cell>
          <cell r="D1918">
            <v>131</v>
          </cell>
          <cell r="E1918">
            <v>0.1</v>
          </cell>
          <cell r="F1918">
            <v>-1.6</v>
          </cell>
          <cell r="G1918">
            <v>-1.4</v>
          </cell>
          <cell r="H1918">
            <v>-1.6</v>
          </cell>
          <cell r="I1918">
            <v>-1.6</v>
          </cell>
          <cell r="J1918">
            <v>-1.1000000000000001</v>
          </cell>
          <cell r="K1918">
            <v>-1.3</v>
          </cell>
          <cell r="L1918">
            <v>0.1</v>
          </cell>
          <cell r="M1918">
            <v>-1.6</v>
          </cell>
        </row>
        <row r="1919">
          <cell r="C1919" t="str">
            <v>NMĐ MT Mũi Né MBA T2 (phía 110kV)</v>
          </cell>
          <cell r="D1919">
            <v>132</v>
          </cell>
          <cell r="E1919">
            <v>-0.2</v>
          </cell>
          <cell r="F1919">
            <v>-1.7</v>
          </cell>
          <cell r="G1919">
            <v>-1.6</v>
          </cell>
          <cell r="H1919">
            <v>-1.6</v>
          </cell>
          <cell r="I1919">
            <v>-1.7</v>
          </cell>
          <cell r="J1919">
            <v>-1.1000000000000001</v>
          </cell>
          <cell r="K1919">
            <v>-1.4</v>
          </cell>
          <cell r="L1919">
            <v>-0.2</v>
          </cell>
          <cell r="M1919">
            <v>-1.6</v>
          </cell>
        </row>
        <row r="1920">
          <cell r="C1920" t="str">
            <v>110kV 171 NMĐ MT Mũi Né - 172 Mũi Né</v>
          </cell>
          <cell r="D1920">
            <v>171</v>
          </cell>
          <cell r="E1920">
            <v>2</v>
          </cell>
          <cell r="F1920">
            <v>-12.1</v>
          </cell>
          <cell r="G1920">
            <v>-4.0999999999999996</v>
          </cell>
          <cell r="H1920">
            <v>3.4</v>
          </cell>
          <cell r="I1920">
            <v>-12.1</v>
          </cell>
          <cell r="J1920">
            <v>-2.8</v>
          </cell>
          <cell r="K1920">
            <v>-3</v>
          </cell>
          <cell r="L1920">
            <v>2</v>
          </cell>
          <cell r="M1920">
            <v>-3.8</v>
          </cell>
        </row>
        <row r="1921">
          <cell r="C1921" t="str">
            <v>110kV 172 NMĐ MT Mũi Né - 172 NMĐ MT Hồng Phong 4</v>
          </cell>
          <cell r="D1921">
            <v>172</v>
          </cell>
          <cell r="E1921">
            <v>-1.4</v>
          </cell>
          <cell r="F1921">
            <v>8.6999999999999993</v>
          </cell>
          <cell r="G1921">
            <v>2.2000000000000002</v>
          </cell>
          <cell r="H1921">
            <v>-2.9</v>
          </cell>
          <cell r="I1921">
            <v>8.6999999999999993</v>
          </cell>
          <cell r="J1921">
            <v>-1.9</v>
          </cell>
          <cell r="K1921">
            <v>-2.5</v>
          </cell>
          <cell r="L1921">
            <v>-1.9</v>
          </cell>
          <cell r="M1921">
            <v>-1.4</v>
          </cell>
        </row>
        <row r="1922">
          <cell r="C1922" t="str">
            <v>NMĐ MT Mũi Né MBA T1 (phía 22kV)</v>
          </cell>
          <cell r="D1922">
            <v>431</v>
          </cell>
          <cell r="E1922">
            <v>0</v>
          </cell>
          <cell r="F1922">
            <v>-0.8</v>
          </cell>
          <cell r="G1922">
            <v>-0.6</v>
          </cell>
          <cell r="H1922">
            <v>-0.7</v>
          </cell>
          <cell r="I1922">
            <v>-0.8</v>
          </cell>
          <cell r="J1922">
            <v>-0.5</v>
          </cell>
          <cell r="K1922">
            <v>-0.6</v>
          </cell>
          <cell r="L1922">
            <v>0</v>
          </cell>
          <cell r="M1922">
            <v>-0.7</v>
          </cell>
        </row>
        <row r="1923">
          <cell r="C1923" t="str">
            <v>NMĐ MT Mũi Né MBA T2 (phía 22kV)</v>
          </cell>
          <cell r="D1923">
            <v>432</v>
          </cell>
          <cell r="E1923">
            <v>0.1</v>
          </cell>
          <cell r="F1923">
            <v>-0.5</v>
          </cell>
          <cell r="G1923">
            <v>-0.4</v>
          </cell>
          <cell r="H1923">
            <v>-0.5</v>
          </cell>
          <cell r="I1923">
            <v>-0.5</v>
          </cell>
          <cell r="J1923">
            <v>-0.3</v>
          </cell>
          <cell r="K1923">
            <v>-0.4</v>
          </cell>
          <cell r="L1923">
            <v>0.1</v>
          </cell>
          <cell r="M1923">
            <v>-0.5</v>
          </cell>
        </row>
        <row r="1924">
          <cell r="C1924" t="str">
            <v>NMĐ MT Mỹ Sơn MBA T1 (phía 110kV)</v>
          </cell>
          <cell r="D1924">
            <v>131</v>
          </cell>
          <cell r="E1924">
            <v>1.6</v>
          </cell>
          <cell r="F1924">
            <v>-6</v>
          </cell>
          <cell r="G1924">
            <v>-6</v>
          </cell>
          <cell r="H1924">
            <v>1.8</v>
          </cell>
          <cell r="I1924">
            <v>-2.8</v>
          </cell>
          <cell r="J1924">
            <v>3</v>
          </cell>
          <cell r="K1924">
            <v>1.6</v>
          </cell>
          <cell r="L1924">
            <v>-2.2000000000000002</v>
          </cell>
          <cell r="M1924">
            <v>-4.8</v>
          </cell>
        </row>
        <row r="1925">
          <cell r="C1925" t="str">
            <v>110kV 171 NMĐ MT Mỹ Sơn - 171 NMĐ MT CMX</v>
          </cell>
          <cell r="D1925">
            <v>171</v>
          </cell>
          <cell r="E1925">
            <v>1.8</v>
          </cell>
          <cell r="F1925">
            <v>-8.5</v>
          </cell>
          <cell r="G1925">
            <v>-8.5</v>
          </cell>
          <cell r="H1925">
            <v>-5.8</v>
          </cell>
          <cell r="I1925">
            <v>-3.4</v>
          </cell>
          <cell r="J1925">
            <v>-3.4</v>
          </cell>
          <cell r="K1925">
            <v>1.8</v>
          </cell>
          <cell r="L1925">
            <v>-3.9</v>
          </cell>
          <cell r="M1925">
            <v>-3.4</v>
          </cell>
        </row>
        <row r="1926">
          <cell r="C1926" t="str">
            <v>110kV 172 NMĐ MT Mỹ Sơn - 172 Tháp Chàm</v>
          </cell>
          <cell r="D1926">
            <v>172</v>
          </cell>
          <cell r="E1926">
            <v>-1.4</v>
          </cell>
          <cell r="F1926">
            <v>7.4</v>
          </cell>
          <cell r="G1926">
            <v>7.4</v>
          </cell>
          <cell r="H1926">
            <v>4.5</v>
          </cell>
          <cell r="I1926">
            <v>4.5999999999999996</v>
          </cell>
          <cell r="J1926">
            <v>1.8</v>
          </cell>
          <cell r="K1926">
            <v>-1.4</v>
          </cell>
          <cell r="L1926">
            <v>-2</v>
          </cell>
          <cell r="M1926">
            <v>5.7</v>
          </cell>
        </row>
        <row r="1927">
          <cell r="C1927" t="str">
            <v>110kV 174 NMĐ MT Mỹ Sơn - 171 NMĐ MT Mỹ Sơn 2</v>
          </cell>
          <cell r="D1927">
            <v>174</v>
          </cell>
          <cell r="E1927">
            <v>1</v>
          </cell>
          <cell r="F1927">
            <v>-5.9</v>
          </cell>
          <cell r="G1927">
            <v>-5.9</v>
          </cell>
          <cell r="H1927">
            <v>5.4</v>
          </cell>
          <cell r="I1927">
            <v>-3</v>
          </cell>
          <cell r="J1927">
            <v>2.1</v>
          </cell>
          <cell r="K1927">
            <v>1</v>
          </cell>
          <cell r="L1927">
            <v>3.8</v>
          </cell>
          <cell r="M1927">
            <v>2</v>
          </cell>
        </row>
        <row r="1928">
          <cell r="C1928" t="str">
            <v>NMĐ MT Mỹ Sơn MBA T1 (phía 22kV)</v>
          </cell>
          <cell r="D1928">
            <v>431</v>
          </cell>
          <cell r="E1928">
            <v>-0.6</v>
          </cell>
          <cell r="F1928">
            <v>8.1999999999999993</v>
          </cell>
          <cell r="G1928">
            <v>7.7</v>
          </cell>
          <cell r="H1928">
            <v>6.4</v>
          </cell>
          <cell r="I1928">
            <v>6.8</v>
          </cell>
          <cell r="J1928">
            <v>4.5999999999999996</v>
          </cell>
          <cell r="K1928">
            <v>-0.6</v>
          </cell>
          <cell r="L1928">
            <v>3.2</v>
          </cell>
          <cell r="M1928">
            <v>8.1999999999999993</v>
          </cell>
        </row>
        <row r="1929">
          <cell r="C1929" t="str">
            <v>NMĐ MT Mỹ Sơn 2 MBA T1 (phía 110kV)</v>
          </cell>
          <cell r="D1929">
            <v>131</v>
          </cell>
          <cell r="E1929">
            <v>1.1000000000000001</v>
          </cell>
          <cell r="F1929">
            <v>-5.9</v>
          </cell>
          <cell r="G1929">
            <v>-5.9</v>
          </cell>
          <cell r="H1929">
            <v>5.4</v>
          </cell>
          <cell r="I1929">
            <v>-3</v>
          </cell>
          <cell r="J1929">
            <v>2.1</v>
          </cell>
          <cell r="K1929">
            <v>1.1000000000000001</v>
          </cell>
          <cell r="L1929">
            <v>3.8</v>
          </cell>
          <cell r="M1929">
            <v>2.1</v>
          </cell>
        </row>
        <row r="1930">
          <cell r="C1930" t="str">
            <v>110kV 171 NMĐ MT Mỹ Sơn 2 - 174 NMĐ MT Mỹ Sơn</v>
          </cell>
          <cell r="D1930">
            <v>171</v>
          </cell>
          <cell r="E1930">
            <v>-1.1000000000000001</v>
          </cell>
          <cell r="F1930">
            <v>5.9</v>
          </cell>
          <cell r="G1930">
            <v>5.9</v>
          </cell>
          <cell r="H1930">
            <v>-5.5</v>
          </cell>
          <cell r="I1930">
            <v>2.9</v>
          </cell>
          <cell r="J1930">
            <v>-2.1</v>
          </cell>
          <cell r="K1930">
            <v>-1.1000000000000001</v>
          </cell>
          <cell r="L1930">
            <v>-3.8</v>
          </cell>
          <cell r="M1930">
            <v>-2.1</v>
          </cell>
        </row>
        <row r="1931">
          <cell r="C1931" t="str">
            <v>NMĐ MT Mỹ Sơn 2 MBA T1 (phía 22kV)</v>
          </cell>
          <cell r="D1931">
            <v>431</v>
          </cell>
          <cell r="E1931">
            <v>-0.4</v>
          </cell>
          <cell r="F1931">
            <v>7.1</v>
          </cell>
          <cell r="G1931">
            <v>7.1</v>
          </cell>
          <cell r="H1931">
            <v>3.6</v>
          </cell>
          <cell r="I1931">
            <v>5.9</v>
          </cell>
          <cell r="J1931">
            <v>1.3</v>
          </cell>
          <cell r="K1931">
            <v>-0.4</v>
          </cell>
          <cell r="L1931">
            <v>-1.7</v>
          </cell>
          <cell r="M1931">
            <v>3.3</v>
          </cell>
        </row>
        <row r="1932">
          <cell r="C1932" t="str">
            <v>NMĐ MT Mỹ Sơn HLV MBA T1 (phía 220kV)</v>
          </cell>
          <cell r="D1932">
            <v>231</v>
          </cell>
          <cell r="E1932">
            <v>0.1</v>
          </cell>
          <cell r="F1932">
            <v>5.2</v>
          </cell>
          <cell r="G1932">
            <v>0.1</v>
          </cell>
          <cell r="H1932">
            <v>5.2</v>
          </cell>
          <cell r="I1932">
            <v>1.2</v>
          </cell>
          <cell r="J1932">
            <v>0.1</v>
          </cell>
          <cell r="K1932">
            <v>-0.6</v>
          </cell>
          <cell r="L1932">
            <v>-0.6</v>
          </cell>
          <cell r="M1932">
            <v>-0.6</v>
          </cell>
        </row>
        <row r="1933">
          <cell r="C1933" t="str">
            <v>220kV 271 NMĐ MT Mỹ Sơn HLV - 274 Tháp Chàm 2</v>
          </cell>
          <cell r="D1933">
            <v>271</v>
          </cell>
          <cell r="E1933">
            <v>-18.5</v>
          </cell>
          <cell r="F1933">
            <v>-35.4</v>
          </cell>
          <cell r="G1933">
            <v>-35.4</v>
          </cell>
          <cell r="H1933">
            <v>-24.6</v>
          </cell>
          <cell r="I1933">
            <v>19.5</v>
          </cell>
          <cell r="J1933">
            <v>-19</v>
          </cell>
          <cell r="K1933">
            <v>-25.3</v>
          </cell>
          <cell r="L1933">
            <v>-18.5</v>
          </cell>
          <cell r="M1933">
            <v>22.4</v>
          </cell>
        </row>
        <row r="1934">
          <cell r="C1934" t="str">
            <v>220kV 272 NMĐ MT Mỹ Sơn HLV - 274 NMĐ MT Nhị Hà</v>
          </cell>
          <cell r="D1934">
            <v>272</v>
          </cell>
          <cell r="E1934">
            <v>18.899999999999999</v>
          </cell>
          <cell r="F1934">
            <v>36.1</v>
          </cell>
          <cell r="G1934">
            <v>36.1</v>
          </cell>
          <cell r="H1934">
            <v>-25.5</v>
          </cell>
          <cell r="I1934">
            <v>-20.3</v>
          </cell>
          <cell r="J1934">
            <v>20.3</v>
          </cell>
          <cell r="K1934">
            <v>25.7</v>
          </cell>
          <cell r="L1934">
            <v>18.899999999999999</v>
          </cell>
          <cell r="M1934">
            <v>-22.1</v>
          </cell>
        </row>
        <row r="1935">
          <cell r="C1935" t="str">
            <v>NMĐ MT Mỹ Sơn HLV MBA T1 (phía 22kV)</v>
          </cell>
          <cell r="D1935">
            <v>431</v>
          </cell>
          <cell r="E1935">
            <v>0.5</v>
          </cell>
          <cell r="F1935">
            <v>3.5</v>
          </cell>
          <cell r="G1935">
            <v>3.3</v>
          </cell>
          <cell r="H1935">
            <v>-2.6</v>
          </cell>
          <cell r="I1935">
            <v>3.5</v>
          </cell>
          <cell r="J1935">
            <v>3.3</v>
          </cell>
          <cell r="K1935">
            <v>0.5</v>
          </cell>
          <cell r="L1935">
            <v>1.2</v>
          </cell>
          <cell r="M1935">
            <v>3.3</v>
          </cell>
        </row>
        <row r="1936">
          <cell r="C1936" t="str">
            <v>NMĐ MT Nhị Hà MBA T1 (phía 220kV)</v>
          </cell>
          <cell r="D1936">
            <v>231</v>
          </cell>
          <cell r="E1936">
            <v>0</v>
          </cell>
          <cell r="F1936">
            <v>5.4</v>
          </cell>
          <cell r="G1936">
            <v>-0.2</v>
          </cell>
          <cell r="H1936">
            <v>5.4</v>
          </cell>
          <cell r="I1936">
            <v>-0.1</v>
          </cell>
          <cell r="J1936">
            <v>-0.1</v>
          </cell>
          <cell r="K1936">
            <v>0</v>
          </cell>
          <cell r="L1936">
            <v>1</v>
          </cell>
          <cell r="M1936">
            <v>-0.1</v>
          </cell>
        </row>
        <row r="1937">
          <cell r="C1937" t="str">
            <v>220kV 272 NMĐ MT Nhị Hà - 271 NMĐ MT Thuận Nam 12</v>
          </cell>
          <cell r="D1937">
            <v>272</v>
          </cell>
          <cell r="E1937">
            <v>-1</v>
          </cell>
          <cell r="F1937">
            <v>-1.9</v>
          </cell>
          <cell r="G1937">
            <v>-1.2</v>
          </cell>
          <cell r="H1937">
            <v>-1.9</v>
          </cell>
          <cell r="I1937">
            <v>-1</v>
          </cell>
          <cell r="J1937">
            <v>-1.1000000000000001</v>
          </cell>
          <cell r="K1937">
            <v>-1.1000000000000001</v>
          </cell>
          <cell r="L1937">
            <v>-1</v>
          </cell>
          <cell r="M1937">
            <v>-1</v>
          </cell>
        </row>
        <row r="1938">
          <cell r="C1938" t="str">
            <v>220kV 274 NMĐ MT Nhị Hà - 272 NMĐ MT Mỹ Sơn HLV</v>
          </cell>
          <cell r="D1938">
            <v>274</v>
          </cell>
          <cell r="E1938">
            <v>-26</v>
          </cell>
          <cell r="F1938">
            <v>-43.3</v>
          </cell>
          <cell r="G1938">
            <v>-43.3</v>
          </cell>
          <cell r="H1938">
            <v>37.4</v>
          </cell>
          <cell r="I1938">
            <v>36.700000000000003</v>
          </cell>
          <cell r="J1938">
            <v>-28</v>
          </cell>
          <cell r="K1938">
            <v>-33.9</v>
          </cell>
          <cell r="L1938">
            <v>-26</v>
          </cell>
          <cell r="M1938">
            <v>41.6</v>
          </cell>
        </row>
        <row r="1939">
          <cell r="C1939" t="str">
            <v>220kV 275 NMĐ MT Nhị Hà - 275 Thuận Nam 500</v>
          </cell>
          <cell r="D1939">
            <v>275</v>
          </cell>
          <cell r="E1939">
            <v>28.7</v>
          </cell>
          <cell r="F1939">
            <v>46.7</v>
          </cell>
          <cell r="G1939">
            <v>46.7</v>
          </cell>
          <cell r="H1939">
            <v>36.9</v>
          </cell>
          <cell r="I1939">
            <v>28.7</v>
          </cell>
          <cell r="J1939">
            <v>32.1</v>
          </cell>
          <cell r="K1939">
            <v>38.700000000000003</v>
          </cell>
          <cell r="L1939">
            <v>30.8</v>
          </cell>
          <cell r="M1939">
            <v>-35.6</v>
          </cell>
        </row>
        <row r="1940">
          <cell r="C1940" t="str">
            <v>220kV 276 NMĐ MT Nhị Hà - 272 NMĐ MT Hacom Solar</v>
          </cell>
          <cell r="D1940">
            <v>276</v>
          </cell>
          <cell r="E1940">
            <v>-1.1000000000000001</v>
          </cell>
          <cell r="F1940">
            <v>-6.2</v>
          </cell>
          <cell r="G1940">
            <v>-1.2</v>
          </cell>
          <cell r="H1940">
            <v>-1.1000000000000001</v>
          </cell>
          <cell r="I1940">
            <v>-1.1000000000000001</v>
          </cell>
          <cell r="J1940">
            <v>-1.1000000000000001</v>
          </cell>
          <cell r="K1940">
            <v>-1.2</v>
          </cell>
          <cell r="L1940">
            <v>-1.2</v>
          </cell>
          <cell r="M1940">
            <v>-6.2</v>
          </cell>
        </row>
        <row r="1941">
          <cell r="C1941" t="str">
            <v>220kV 277 NMĐ MT Nhị Hà - 271 NMĐ MT Thuận Nam Đức Long</v>
          </cell>
          <cell r="D1941">
            <v>277</v>
          </cell>
          <cell r="E1941">
            <v>-1.3</v>
          </cell>
          <cell r="F1941">
            <v>6.1</v>
          </cell>
          <cell r="G1941">
            <v>4.0999999999999996</v>
          </cell>
          <cell r="H1941">
            <v>5.6</v>
          </cell>
          <cell r="I1941">
            <v>3.4</v>
          </cell>
          <cell r="J1941">
            <v>5</v>
          </cell>
          <cell r="K1941">
            <v>-1.3</v>
          </cell>
          <cell r="L1941">
            <v>-1.3</v>
          </cell>
          <cell r="M1941">
            <v>6.1</v>
          </cell>
        </row>
        <row r="1942">
          <cell r="C1942" t="str">
            <v>NMĐ MT Nhị Hà MBA T1 (phía 22kV)</v>
          </cell>
          <cell r="D1942">
            <v>431</v>
          </cell>
          <cell r="E1942">
            <v>-0.4</v>
          </cell>
          <cell r="F1942">
            <v>7.7</v>
          </cell>
          <cell r="G1942">
            <v>2.6</v>
          </cell>
          <cell r="H1942">
            <v>7.7</v>
          </cell>
          <cell r="I1942">
            <v>1.4</v>
          </cell>
          <cell r="J1942">
            <v>2.8</v>
          </cell>
          <cell r="K1942">
            <v>-0.4</v>
          </cell>
          <cell r="L1942">
            <v>1</v>
          </cell>
          <cell r="M1942">
            <v>2.9</v>
          </cell>
        </row>
        <row r="1943">
          <cell r="C1943" t="str">
            <v>NMĐ MT Ninh Phước 6.2 MBA T1 (phía 110kV)</v>
          </cell>
          <cell r="D1943">
            <v>131</v>
          </cell>
          <cell r="E1943">
            <v>0.7</v>
          </cell>
          <cell r="F1943">
            <v>7</v>
          </cell>
          <cell r="G1943">
            <v>7</v>
          </cell>
          <cell r="H1943">
            <v>-3</v>
          </cell>
          <cell r="I1943">
            <v>-5.2</v>
          </cell>
          <cell r="J1943">
            <v>0.7</v>
          </cell>
          <cell r="K1943">
            <v>0.9</v>
          </cell>
          <cell r="L1943">
            <v>1.3</v>
          </cell>
          <cell r="M1943">
            <v>1.5</v>
          </cell>
        </row>
        <row r="1944">
          <cell r="C1944" t="str">
            <v>NMĐ MT Ninh Phước 6.2 MBA T1 (phía 22kV)</v>
          </cell>
          <cell r="D1944">
            <v>431</v>
          </cell>
          <cell r="E1944">
            <v>-0.6</v>
          </cell>
          <cell r="F1944">
            <v>8.1999999999999993</v>
          </cell>
          <cell r="G1944">
            <v>6</v>
          </cell>
          <cell r="H1944">
            <v>4.5999999999999996</v>
          </cell>
          <cell r="I1944">
            <v>8.1999999999999993</v>
          </cell>
          <cell r="J1944">
            <v>1</v>
          </cell>
          <cell r="K1944">
            <v>-0.6</v>
          </cell>
          <cell r="L1944">
            <v>-0.7</v>
          </cell>
          <cell r="M1944">
            <v>3.1</v>
          </cell>
        </row>
        <row r="1945">
          <cell r="C1945" t="str">
            <v>NMĐ MT Phan Lâm MBA T1 (phía 110kV)</v>
          </cell>
          <cell r="D1945">
            <v>131</v>
          </cell>
          <cell r="E1945">
            <v>-0.2</v>
          </cell>
          <cell r="F1945">
            <v>1</v>
          </cell>
          <cell r="G1945">
            <v>-0.5</v>
          </cell>
          <cell r="H1945">
            <v>-0.9</v>
          </cell>
          <cell r="I1945">
            <v>-0.4</v>
          </cell>
          <cell r="J1945">
            <v>0.3</v>
          </cell>
          <cell r="K1945">
            <v>0.4</v>
          </cell>
          <cell r="L1945">
            <v>-0.2</v>
          </cell>
          <cell r="M1945">
            <v>1</v>
          </cell>
        </row>
        <row r="1946">
          <cell r="C1946" t="str">
            <v>110kV 171 NMĐ MT Phan Lâm - 173 NMĐ Đại Ninh</v>
          </cell>
          <cell r="D1946">
            <v>171</v>
          </cell>
          <cell r="E1946">
            <v>3</v>
          </cell>
          <cell r="F1946">
            <v>3.7</v>
          </cell>
          <cell r="G1946">
            <v>3.7</v>
          </cell>
          <cell r="H1946">
            <v>3</v>
          </cell>
          <cell r="I1946">
            <v>3.2</v>
          </cell>
          <cell r="J1946">
            <v>3.2</v>
          </cell>
          <cell r="K1946">
            <v>3</v>
          </cell>
          <cell r="L1946">
            <v>3.1</v>
          </cell>
          <cell r="M1946">
            <v>3.1</v>
          </cell>
        </row>
        <row r="1947">
          <cell r="C1947" t="str">
            <v>110kV 172 NMĐ MT Phan Lâm - 171 Sông Bình</v>
          </cell>
          <cell r="D1947">
            <v>172</v>
          </cell>
          <cell r="E1947">
            <v>-2.8</v>
          </cell>
          <cell r="F1947">
            <v>-3.3</v>
          </cell>
          <cell r="G1947">
            <v>-3.3</v>
          </cell>
          <cell r="H1947">
            <v>-2.8</v>
          </cell>
          <cell r="I1947">
            <v>-3</v>
          </cell>
          <cell r="J1947">
            <v>-3</v>
          </cell>
          <cell r="K1947">
            <v>-2.9</v>
          </cell>
          <cell r="L1947">
            <v>-3</v>
          </cell>
          <cell r="M1947">
            <v>-2.9</v>
          </cell>
        </row>
        <row r="1948">
          <cell r="C1948" t="str">
            <v>NMĐ MT Phan Lâm MBA T1 (phía 22kV)</v>
          </cell>
          <cell r="D1948">
            <v>431</v>
          </cell>
          <cell r="E1948">
            <v>0.3</v>
          </cell>
          <cell r="F1948">
            <v>2.2000000000000002</v>
          </cell>
          <cell r="G1948">
            <v>2</v>
          </cell>
          <cell r="H1948">
            <v>1.2</v>
          </cell>
          <cell r="I1948">
            <v>1.7</v>
          </cell>
          <cell r="J1948">
            <v>1.6</v>
          </cell>
          <cell r="K1948">
            <v>1.7</v>
          </cell>
          <cell r="L1948">
            <v>0.3</v>
          </cell>
          <cell r="M1948">
            <v>2.2000000000000002</v>
          </cell>
        </row>
        <row r="1949">
          <cell r="C1949" t="str">
            <v>NMĐ MT Phong Phú MBA T1 (phía 110kV)</v>
          </cell>
          <cell r="D1949">
            <v>131</v>
          </cell>
          <cell r="E1949">
            <v>0</v>
          </cell>
          <cell r="F1949">
            <v>1.1000000000000001</v>
          </cell>
          <cell r="G1949">
            <v>0.2</v>
          </cell>
          <cell r="H1949">
            <v>0.6</v>
          </cell>
          <cell r="I1949">
            <v>0.2</v>
          </cell>
          <cell r="J1949">
            <v>0.2</v>
          </cell>
          <cell r="K1949">
            <v>0.1</v>
          </cell>
          <cell r="L1949">
            <v>0</v>
          </cell>
          <cell r="M1949">
            <v>1.1000000000000001</v>
          </cell>
        </row>
        <row r="1950">
          <cell r="C1950" t="str">
            <v>NMĐ MT Phong Phú MBA T2 (phía 110kV)</v>
          </cell>
          <cell r="D1950">
            <v>132</v>
          </cell>
          <cell r="E1950">
            <v>0</v>
          </cell>
          <cell r="F1950">
            <v>-1.2</v>
          </cell>
          <cell r="G1950">
            <v>-0.2</v>
          </cell>
          <cell r="H1950">
            <v>-0.6</v>
          </cell>
          <cell r="I1950">
            <v>-0.2</v>
          </cell>
          <cell r="J1950">
            <v>-0.2</v>
          </cell>
          <cell r="K1950">
            <v>0</v>
          </cell>
          <cell r="L1950">
            <v>0</v>
          </cell>
          <cell r="M1950">
            <v>-1.2</v>
          </cell>
        </row>
        <row r="1951">
          <cell r="C1951" t="str">
            <v>110kV 172 NMĐ MT Phong Phú - 173 Phan Rí</v>
          </cell>
          <cell r="D1951">
            <v>172</v>
          </cell>
          <cell r="E1951">
            <v>0.1</v>
          </cell>
          <cell r="F1951">
            <v>0.2</v>
          </cell>
          <cell r="G1951">
            <v>0.1</v>
          </cell>
          <cell r="H1951">
            <v>0.2</v>
          </cell>
          <cell r="I1951">
            <v>0.2</v>
          </cell>
          <cell r="J1951">
            <v>0.1</v>
          </cell>
          <cell r="K1951">
            <v>0.1</v>
          </cell>
          <cell r="L1951">
            <v>0.1</v>
          </cell>
          <cell r="M1951">
            <v>0.2</v>
          </cell>
        </row>
        <row r="1952">
          <cell r="C1952" t="str">
            <v>NMĐ MT Phong Phú MBA T1 (phía 22kV)</v>
          </cell>
          <cell r="D1952">
            <v>431</v>
          </cell>
          <cell r="E1952">
            <v>0</v>
          </cell>
          <cell r="F1952">
            <v>1.5</v>
          </cell>
          <cell r="G1952">
            <v>1.4</v>
          </cell>
          <cell r="H1952">
            <v>1.3</v>
          </cell>
          <cell r="I1952">
            <v>1.2</v>
          </cell>
          <cell r="J1952">
            <v>0.8</v>
          </cell>
          <cell r="K1952">
            <v>0.3</v>
          </cell>
          <cell r="L1952">
            <v>0</v>
          </cell>
          <cell r="M1952">
            <v>1.5</v>
          </cell>
        </row>
        <row r="1953">
          <cell r="C1953" t="str">
            <v>NMĐ MT Phong Phú MBA T2 (phía 22kV)</v>
          </cell>
          <cell r="D1953">
            <v>432</v>
          </cell>
          <cell r="E1953">
            <v>0</v>
          </cell>
          <cell r="F1953">
            <v>1.9</v>
          </cell>
          <cell r="G1953">
            <v>1.9</v>
          </cell>
          <cell r="H1953">
            <v>1.6</v>
          </cell>
          <cell r="I1953">
            <v>1.6</v>
          </cell>
          <cell r="J1953">
            <v>0.8</v>
          </cell>
          <cell r="K1953">
            <v>0.3</v>
          </cell>
          <cell r="L1953">
            <v>0</v>
          </cell>
          <cell r="M1953">
            <v>1.9</v>
          </cell>
        </row>
        <row r="1954">
          <cell r="C1954" t="str">
            <v>NMĐ MT Phước Hữu MBA T1 (phía 110kV)</v>
          </cell>
          <cell r="D1954">
            <v>131</v>
          </cell>
          <cell r="E1954">
            <v>1</v>
          </cell>
          <cell r="F1954">
            <v>8.1999999999999993</v>
          </cell>
          <cell r="G1954">
            <v>8.1999999999999993</v>
          </cell>
          <cell r="H1954">
            <v>1.6</v>
          </cell>
          <cell r="I1954">
            <v>-4.3</v>
          </cell>
          <cell r="J1954">
            <v>4.4000000000000004</v>
          </cell>
          <cell r="K1954">
            <v>1.3</v>
          </cell>
          <cell r="L1954">
            <v>1</v>
          </cell>
          <cell r="M1954">
            <v>2</v>
          </cell>
        </row>
        <row r="1955">
          <cell r="C1955" t="str">
            <v>110kV 171 NMĐ MT Phước Hữu - 174 Ninh Phước</v>
          </cell>
          <cell r="D1955">
            <v>171</v>
          </cell>
          <cell r="E1955">
            <v>-1.5</v>
          </cell>
          <cell r="F1955">
            <v>-14.8</v>
          </cell>
          <cell r="G1955">
            <v>-14.8</v>
          </cell>
          <cell r="H1955">
            <v>-4</v>
          </cell>
          <cell r="I1955">
            <v>8.3000000000000007</v>
          </cell>
          <cell r="J1955">
            <v>-5.7</v>
          </cell>
          <cell r="K1955">
            <v>-2</v>
          </cell>
          <cell r="L1955">
            <v>-1.5</v>
          </cell>
          <cell r="M1955">
            <v>-3.2</v>
          </cell>
        </row>
        <row r="1956">
          <cell r="C1956" t="str">
            <v>110kV 172 NMĐ MT Phước Hữu - 131 NMĐ MT Ninh Phước 6.2</v>
          </cell>
          <cell r="D1956">
            <v>172</v>
          </cell>
          <cell r="E1956">
            <v>0.7</v>
          </cell>
          <cell r="F1956">
            <v>6.8</v>
          </cell>
          <cell r="G1956">
            <v>6.8</v>
          </cell>
          <cell r="H1956">
            <v>-2.9</v>
          </cell>
          <cell r="I1956">
            <v>-5</v>
          </cell>
          <cell r="J1956">
            <v>2.6</v>
          </cell>
          <cell r="K1956">
            <v>0.8</v>
          </cell>
          <cell r="L1956">
            <v>0.7</v>
          </cell>
          <cell r="M1956">
            <v>1.6</v>
          </cell>
        </row>
        <row r="1957">
          <cell r="C1957" t="str">
            <v>NMĐ MT Phước Hữu MBA T1 (phía 22kV)</v>
          </cell>
          <cell r="D1957">
            <v>431</v>
          </cell>
          <cell r="E1957">
            <v>-0.4</v>
          </cell>
          <cell r="F1957">
            <v>8</v>
          </cell>
          <cell r="G1957">
            <v>3.7</v>
          </cell>
          <cell r="H1957">
            <v>5.4</v>
          </cell>
          <cell r="I1957">
            <v>8</v>
          </cell>
          <cell r="J1957">
            <v>-1.8</v>
          </cell>
          <cell r="K1957">
            <v>-0.5</v>
          </cell>
          <cell r="L1957">
            <v>-0.4</v>
          </cell>
          <cell r="M1957">
            <v>4.5</v>
          </cell>
        </row>
        <row r="1958">
          <cell r="C1958" t="str">
            <v>NMĐ MT Phước Hữu - Điện Lực 1 MBA T1 (phía 110kV)</v>
          </cell>
          <cell r="D1958">
            <v>131</v>
          </cell>
          <cell r="E1958">
            <v>0.4</v>
          </cell>
          <cell r="F1958">
            <v>4.5999999999999996</v>
          </cell>
          <cell r="G1958">
            <v>3.7</v>
          </cell>
          <cell r="H1958">
            <v>4.5999999999999996</v>
          </cell>
          <cell r="I1958">
            <v>3.8</v>
          </cell>
          <cell r="J1958">
            <v>2.2999999999999998</v>
          </cell>
          <cell r="K1958">
            <v>0.7</v>
          </cell>
          <cell r="L1958">
            <v>0.4</v>
          </cell>
          <cell r="M1958">
            <v>4.5999999999999996</v>
          </cell>
        </row>
        <row r="1959">
          <cell r="C1959" t="str">
            <v>110kV 171 NMĐ MT Phước Hữu - Điện Lực 1 - 171 trạm cắt Hậu Sanh</v>
          </cell>
          <cell r="D1959">
            <v>171</v>
          </cell>
          <cell r="E1959">
            <v>-0.4</v>
          </cell>
          <cell r="F1959">
            <v>-4.7</v>
          </cell>
          <cell r="G1959">
            <v>-3.7</v>
          </cell>
          <cell r="H1959">
            <v>-4.5999999999999996</v>
          </cell>
          <cell r="I1959">
            <v>-3.9</v>
          </cell>
          <cell r="J1959">
            <v>-2.2999999999999998</v>
          </cell>
          <cell r="K1959">
            <v>-0.8</v>
          </cell>
          <cell r="L1959">
            <v>-0.4</v>
          </cell>
          <cell r="M1959">
            <v>-4.7</v>
          </cell>
        </row>
        <row r="1960">
          <cell r="C1960" t="str">
            <v>NMĐ MT Phước Hữu - Điện Lực 1 MBA T1 (phía 22kV)</v>
          </cell>
          <cell r="D1960">
            <v>431</v>
          </cell>
          <cell r="E1960">
            <v>-0.3</v>
          </cell>
          <cell r="F1960">
            <v>-2.1</v>
          </cell>
          <cell r="G1960">
            <v>-1.8</v>
          </cell>
          <cell r="H1960">
            <v>-2.1</v>
          </cell>
          <cell r="I1960">
            <v>-1.8</v>
          </cell>
          <cell r="J1960">
            <v>-1.1000000000000001</v>
          </cell>
          <cell r="K1960">
            <v>-0.4</v>
          </cell>
          <cell r="L1960">
            <v>-0.3</v>
          </cell>
          <cell r="M1960">
            <v>-2.1</v>
          </cell>
        </row>
        <row r="1961">
          <cell r="C1961" t="str">
            <v>NMĐ MT Phước Ninh MBA T1 (phía 110kV)</v>
          </cell>
          <cell r="D1961">
            <v>131</v>
          </cell>
          <cell r="E1961">
            <v>0.6</v>
          </cell>
          <cell r="F1961">
            <v>-6</v>
          </cell>
          <cell r="G1961">
            <v>-4</v>
          </cell>
          <cell r="H1961">
            <v>-2</v>
          </cell>
          <cell r="I1961">
            <v>-3</v>
          </cell>
          <cell r="J1961">
            <v>2.1</v>
          </cell>
          <cell r="K1961">
            <v>1</v>
          </cell>
          <cell r="L1961">
            <v>0.6</v>
          </cell>
          <cell r="M1961">
            <v>-6</v>
          </cell>
        </row>
        <row r="1962">
          <cell r="C1962" t="str">
            <v>110kV 171 NMĐ MT Phước Ninh - 171 NMĐ MT Adani Phước Minh</v>
          </cell>
          <cell r="D1962">
            <v>171</v>
          </cell>
          <cell r="E1962">
            <v>-7</v>
          </cell>
          <cell r="F1962">
            <v>-12.3</v>
          </cell>
          <cell r="G1962">
            <v>-7</v>
          </cell>
          <cell r="H1962">
            <v>9</v>
          </cell>
          <cell r="I1962">
            <v>-12.3</v>
          </cell>
          <cell r="J1962">
            <v>-11.3</v>
          </cell>
          <cell r="K1962">
            <v>-8.5</v>
          </cell>
          <cell r="L1962">
            <v>-8.8000000000000007</v>
          </cell>
          <cell r="M1962">
            <v>7.4</v>
          </cell>
        </row>
        <row r="1963">
          <cell r="C1963" t="str">
            <v>110kV 172 NMĐ MT Phước Ninh - 178 Trạm  cắt 110 kV Hậu Sanh</v>
          </cell>
          <cell r="D1963">
            <v>172</v>
          </cell>
          <cell r="E1963">
            <v>8.1</v>
          </cell>
          <cell r="F1963">
            <v>11.6</v>
          </cell>
          <cell r="G1963">
            <v>8.1</v>
          </cell>
          <cell r="H1963">
            <v>-9.5</v>
          </cell>
          <cell r="I1963">
            <v>11.6</v>
          </cell>
          <cell r="J1963">
            <v>11.3</v>
          </cell>
          <cell r="K1963">
            <v>8.6</v>
          </cell>
          <cell r="L1963">
            <v>8.8000000000000007</v>
          </cell>
          <cell r="M1963">
            <v>-8.1999999999999993</v>
          </cell>
        </row>
        <row r="1964">
          <cell r="C1964" t="str">
            <v>NMĐ MT Phước Ninh MBA T1 (phía 22kV)</v>
          </cell>
          <cell r="D1964">
            <v>431</v>
          </cell>
          <cell r="E1964">
            <v>-0.2</v>
          </cell>
          <cell r="F1964">
            <v>10.1</v>
          </cell>
          <cell r="G1964">
            <v>6.2</v>
          </cell>
          <cell r="H1964">
            <v>4.7</v>
          </cell>
          <cell r="I1964">
            <v>5.6</v>
          </cell>
          <cell r="J1964">
            <v>2.1</v>
          </cell>
          <cell r="K1964">
            <v>-0.7</v>
          </cell>
          <cell r="L1964">
            <v>-0.2</v>
          </cell>
          <cell r="M1964">
            <v>10.1</v>
          </cell>
        </row>
        <row r="1965">
          <cell r="C1965" t="str">
            <v>NMĐ MT Phước Thái 1 MBA T1 (phía 220kV)</v>
          </cell>
          <cell r="D1965">
            <v>231</v>
          </cell>
          <cell r="E1965">
            <v>-0.2</v>
          </cell>
          <cell r="F1965">
            <v>-10.3</v>
          </cell>
          <cell r="G1965">
            <v>-0.3</v>
          </cell>
          <cell r="H1965">
            <v>-0.4</v>
          </cell>
          <cell r="I1965">
            <v>-2.2000000000000002</v>
          </cell>
          <cell r="J1965">
            <v>-0.3</v>
          </cell>
          <cell r="K1965">
            <v>-0.3</v>
          </cell>
          <cell r="L1965">
            <v>-0.2</v>
          </cell>
          <cell r="M1965">
            <v>-10.3</v>
          </cell>
        </row>
        <row r="1966">
          <cell r="C1966" t="str">
            <v>220kV 271 NMĐ MT Phước Thái 1 - 273 Tháp Chàm 2</v>
          </cell>
          <cell r="D1966">
            <v>271</v>
          </cell>
          <cell r="E1966">
            <v>-11.4</v>
          </cell>
          <cell r="F1966">
            <v>-24.3</v>
          </cell>
          <cell r="G1966">
            <v>-24.3</v>
          </cell>
          <cell r="H1966">
            <v>-18.3</v>
          </cell>
          <cell r="I1966">
            <v>-14.1</v>
          </cell>
          <cell r="J1966">
            <v>-19.3</v>
          </cell>
          <cell r="K1966">
            <v>-17.8</v>
          </cell>
          <cell r="L1966">
            <v>-11.4</v>
          </cell>
          <cell r="M1966">
            <v>-17.899999999999999</v>
          </cell>
        </row>
        <row r="1967">
          <cell r="C1967" t="str">
            <v>220kV 272 NMĐ MT Phước Thái 1 - 273 Ninh Phước 2</v>
          </cell>
          <cell r="D1967">
            <v>272</v>
          </cell>
          <cell r="E1967">
            <v>11.7</v>
          </cell>
          <cell r="F1967">
            <v>24.9</v>
          </cell>
          <cell r="G1967">
            <v>24.9</v>
          </cell>
          <cell r="H1967">
            <v>19</v>
          </cell>
          <cell r="I1967">
            <v>14.4</v>
          </cell>
          <cell r="J1967">
            <v>19.7</v>
          </cell>
          <cell r="K1967">
            <v>18</v>
          </cell>
          <cell r="L1967">
            <v>11.7</v>
          </cell>
          <cell r="M1967">
            <v>18.5</v>
          </cell>
        </row>
        <row r="1968">
          <cell r="C1968" t="str">
            <v>NMĐ MT Phước Thái 1 MBA T1 (phía 22kV)</v>
          </cell>
          <cell r="D1968">
            <v>431</v>
          </cell>
          <cell r="E1968">
            <v>-0.2</v>
          </cell>
          <cell r="F1968">
            <v>12.8</v>
          </cell>
          <cell r="G1968">
            <v>1.8</v>
          </cell>
          <cell r="H1968">
            <v>3.4</v>
          </cell>
          <cell r="I1968">
            <v>4.2</v>
          </cell>
          <cell r="J1968">
            <v>1.1000000000000001</v>
          </cell>
          <cell r="K1968">
            <v>-0.2</v>
          </cell>
          <cell r="L1968">
            <v>0.3</v>
          </cell>
          <cell r="M1968">
            <v>12.8</v>
          </cell>
        </row>
        <row r="1969">
          <cell r="C1969" t="str">
            <v>NMĐ MT Sao Mai MBA T1 (phía 110kV)</v>
          </cell>
          <cell r="D1969">
            <v>131</v>
          </cell>
          <cell r="E1969">
            <v>6.1</v>
          </cell>
          <cell r="F1969">
            <v>9.6999999999999993</v>
          </cell>
          <cell r="G1969">
            <v>6.1</v>
          </cell>
          <cell r="H1969">
            <v>9.6999999999999993</v>
          </cell>
          <cell r="I1969">
            <v>7.5</v>
          </cell>
          <cell r="J1969">
            <v>8.4</v>
          </cell>
          <cell r="K1969">
            <v>6.2</v>
          </cell>
          <cell r="L1969">
            <v>8.6999999999999993</v>
          </cell>
          <cell r="M1969">
            <v>9.5</v>
          </cell>
        </row>
        <row r="1970">
          <cell r="C1970" t="str">
            <v>NMĐ MT Sao Mai MBA T2 (phía 110kV)</v>
          </cell>
          <cell r="D1970">
            <v>132</v>
          </cell>
          <cell r="E1970">
            <v>5.4</v>
          </cell>
          <cell r="F1970">
            <v>8.9</v>
          </cell>
          <cell r="G1970">
            <v>5.4</v>
          </cell>
          <cell r="H1970">
            <v>7.7</v>
          </cell>
          <cell r="I1970">
            <v>6.6</v>
          </cell>
          <cell r="J1970">
            <v>5.6</v>
          </cell>
          <cell r="K1970">
            <v>5.5</v>
          </cell>
          <cell r="L1970">
            <v>8.9</v>
          </cell>
          <cell r="M1970">
            <v>8.4</v>
          </cell>
        </row>
        <row r="1971">
          <cell r="C1971" t="str">
            <v>110kV 171 NMĐ MT Sao Mai - (171-7) Tri Tôn</v>
          </cell>
          <cell r="D1971">
            <v>171</v>
          </cell>
          <cell r="E1971">
            <v>-4.9000000000000004</v>
          </cell>
          <cell r="F1971">
            <v>-5.8</v>
          </cell>
          <cell r="G1971">
            <v>-5.6</v>
          </cell>
          <cell r="H1971">
            <v>-5.8</v>
          </cell>
          <cell r="I1971">
            <v>-5.6</v>
          </cell>
          <cell r="J1971">
            <v>-5</v>
          </cell>
          <cell r="K1971">
            <v>-5.7</v>
          </cell>
          <cell r="L1971">
            <v>-5.3</v>
          </cell>
          <cell r="M1971">
            <v>-4.9000000000000004</v>
          </cell>
        </row>
        <row r="1972">
          <cell r="C1972" t="str">
            <v>110kV 172 NMĐ MT Sao Mai - 172 Tịnh Biên</v>
          </cell>
          <cell r="D1972">
            <v>172</v>
          </cell>
          <cell r="E1972">
            <v>8</v>
          </cell>
          <cell r="F1972">
            <v>-13.9</v>
          </cell>
          <cell r="G1972">
            <v>-9.1999999999999993</v>
          </cell>
          <cell r="H1972">
            <v>-12.7</v>
          </cell>
          <cell r="I1972">
            <v>-10.4</v>
          </cell>
          <cell r="J1972">
            <v>-10.9</v>
          </cell>
          <cell r="K1972">
            <v>8</v>
          </cell>
          <cell r="L1972">
            <v>-13.1</v>
          </cell>
          <cell r="M1972">
            <v>-13.9</v>
          </cell>
        </row>
        <row r="1973">
          <cell r="C1973" t="str">
            <v>NMĐ MT Sao Mai MBA T1 (phía 22kV)</v>
          </cell>
          <cell r="D1973">
            <v>431</v>
          </cell>
          <cell r="E1973">
            <v>-4.9000000000000004</v>
          </cell>
          <cell r="F1973">
            <v>-7.9</v>
          </cell>
          <cell r="G1973">
            <v>-5.0999999999999996</v>
          </cell>
          <cell r="H1973">
            <v>-7</v>
          </cell>
          <cell r="I1973">
            <v>-5.6</v>
          </cell>
          <cell r="J1973">
            <v>-4.9000000000000004</v>
          </cell>
          <cell r="K1973">
            <v>-5.6</v>
          </cell>
          <cell r="L1973">
            <v>-6.5</v>
          </cell>
          <cell r="M1973">
            <v>-7.9</v>
          </cell>
        </row>
        <row r="1974">
          <cell r="C1974" t="str">
            <v>NMĐ MT Sao Mai MBA T2 (phía 22kV)</v>
          </cell>
          <cell r="D1974">
            <v>432</v>
          </cell>
          <cell r="E1974">
            <v>-3.8</v>
          </cell>
          <cell r="F1974">
            <v>-7.1</v>
          </cell>
          <cell r="G1974">
            <v>-4.5999999999999996</v>
          </cell>
          <cell r="H1974">
            <v>-5.9</v>
          </cell>
          <cell r="I1974">
            <v>-5</v>
          </cell>
          <cell r="J1974">
            <v>-3.8</v>
          </cell>
          <cell r="K1974">
            <v>-5.0999999999999996</v>
          </cell>
          <cell r="L1974">
            <v>-6.1</v>
          </cell>
          <cell r="M1974">
            <v>-7.1</v>
          </cell>
        </row>
        <row r="1975">
          <cell r="C1975" t="str">
            <v>NMĐ MT Sinenergy Ninh Thuận 1 MBA T1 (phía 110kV)</v>
          </cell>
          <cell r="D1975">
            <v>131</v>
          </cell>
          <cell r="E1975">
            <v>-0.3</v>
          </cell>
          <cell r="F1975">
            <v>-1.3</v>
          </cell>
          <cell r="G1975">
            <v>-0.6</v>
          </cell>
          <cell r="H1975">
            <v>0.4</v>
          </cell>
          <cell r="I1975">
            <v>-1.3</v>
          </cell>
          <cell r="J1975">
            <v>0.5</v>
          </cell>
          <cell r="K1975">
            <v>-0.3</v>
          </cell>
          <cell r="L1975">
            <v>-0.3</v>
          </cell>
          <cell r="M1975">
            <v>0.7</v>
          </cell>
        </row>
        <row r="1976">
          <cell r="C1976" t="str">
            <v>110kV 171 NMĐ MT Sinenergy Ninh Thuận 1 - 174 trạm cắt Hậu Sanh</v>
          </cell>
          <cell r="D1976">
            <v>171</v>
          </cell>
          <cell r="E1976">
            <v>0.4</v>
          </cell>
          <cell r="F1976">
            <v>1.3</v>
          </cell>
          <cell r="G1976">
            <v>0.8</v>
          </cell>
          <cell r="H1976">
            <v>0.4</v>
          </cell>
          <cell r="I1976">
            <v>1.3</v>
          </cell>
          <cell r="J1976">
            <v>-0.4</v>
          </cell>
          <cell r="K1976">
            <v>0.5</v>
          </cell>
          <cell r="L1976">
            <v>0.4</v>
          </cell>
          <cell r="M1976">
            <v>-0.7</v>
          </cell>
        </row>
        <row r="1977">
          <cell r="C1977" t="str">
            <v>NMĐ MT Sinenergy Ninh Thuận 1 MBA T1 (phía 22kV)</v>
          </cell>
          <cell r="D1977">
            <v>431</v>
          </cell>
          <cell r="E1977">
            <v>0.6</v>
          </cell>
          <cell r="F1977">
            <v>2.9</v>
          </cell>
          <cell r="G1977">
            <v>2.9</v>
          </cell>
          <cell r="H1977">
            <v>2.9</v>
          </cell>
          <cell r="I1977">
            <v>2.9</v>
          </cell>
          <cell r="J1977">
            <v>1.3</v>
          </cell>
          <cell r="K1977">
            <v>0.7</v>
          </cell>
          <cell r="L1977">
            <v>0.6</v>
          </cell>
          <cell r="M1977">
            <v>1.2</v>
          </cell>
        </row>
        <row r="1978">
          <cell r="C1978" t="str">
            <v>NMĐ MT Solar Park 1 MBA T1 (phía 110kV)</v>
          </cell>
          <cell r="D1978">
            <v>131</v>
          </cell>
          <cell r="E1978">
            <v>-0.6</v>
          </cell>
          <cell r="F1978">
            <v>-6.8</v>
          </cell>
          <cell r="G1978">
            <v>-5.9</v>
          </cell>
          <cell r="H1978">
            <v>-5.9</v>
          </cell>
          <cell r="I1978">
            <v>-6.1</v>
          </cell>
          <cell r="J1978">
            <v>-5.3</v>
          </cell>
          <cell r="K1978">
            <v>-2.9</v>
          </cell>
          <cell r="L1978">
            <v>-6.8</v>
          </cell>
          <cell r="M1978">
            <v>-0.6</v>
          </cell>
        </row>
        <row r="1979">
          <cell r="C1979" t="str">
            <v>110kV 171 NMĐ MT Solar Park 1 - 174 An Thạnh</v>
          </cell>
          <cell r="D1979">
            <v>171</v>
          </cell>
          <cell r="E1979">
            <v>-1.5</v>
          </cell>
          <cell r="F1979">
            <v>-14.9</v>
          </cell>
          <cell r="G1979">
            <v>-14.9</v>
          </cell>
          <cell r="H1979">
            <v>-10.3</v>
          </cell>
          <cell r="I1979">
            <v>-11.6</v>
          </cell>
          <cell r="J1979">
            <v>-11.6</v>
          </cell>
          <cell r="K1979">
            <v>-8.1</v>
          </cell>
          <cell r="L1979">
            <v>-13.9</v>
          </cell>
          <cell r="M1979">
            <v>-1.5</v>
          </cell>
        </row>
        <row r="1980">
          <cell r="C1980" t="str">
            <v>110kV 172 NMĐ MT Solar Park 1 - 172 An Thạnh</v>
          </cell>
          <cell r="D1980">
            <v>172</v>
          </cell>
          <cell r="E1980">
            <v>-1.5</v>
          </cell>
          <cell r="F1980">
            <v>-14.9</v>
          </cell>
          <cell r="G1980">
            <v>-14.9</v>
          </cell>
          <cell r="H1980">
            <v>-10.3</v>
          </cell>
          <cell r="I1980">
            <v>-11.8</v>
          </cell>
          <cell r="J1980">
            <v>-11.7</v>
          </cell>
          <cell r="K1980">
            <v>-8.1999999999999993</v>
          </cell>
          <cell r="L1980">
            <v>-13.9</v>
          </cell>
          <cell r="M1980">
            <v>-1.5</v>
          </cell>
        </row>
        <row r="1981">
          <cell r="C1981" t="str">
            <v>NMĐ MT Solar Park 1 MBA T1 (phía 22kV)</v>
          </cell>
          <cell r="D1981">
            <v>431</v>
          </cell>
          <cell r="E1981">
            <v>-0.3</v>
          </cell>
          <cell r="F1981">
            <v>-5.0999999999999996</v>
          </cell>
          <cell r="G1981">
            <v>-4.5999999999999996</v>
          </cell>
          <cell r="H1981">
            <v>-5.0999999999999996</v>
          </cell>
          <cell r="I1981">
            <v>-3.3</v>
          </cell>
          <cell r="J1981">
            <v>-4.8</v>
          </cell>
          <cell r="K1981">
            <v>-1.8</v>
          </cell>
          <cell r="L1981">
            <v>-4.7</v>
          </cell>
          <cell r="M1981">
            <v>-0.3</v>
          </cell>
        </row>
        <row r="1982">
          <cell r="C1982" t="str">
            <v>NMĐ MT Solar Park 2 MBA T2 (phía 110kV)</v>
          </cell>
          <cell r="D1982">
            <v>132</v>
          </cell>
          <cell r="E1982">
            <v>-0.8</v>
          </cell>
          <cell r="F1982">
            <v>-6.7</v>
          </cell>
          <cell r="G1982">
            <v>-5.9</v>
          </cell>
          <cell r="H1982">
            <v>-2.5</v>
          </cell>
          <cell r="I1982">
            <v>-5.9</v>
          </cell>
          <cell r="J1982">
            <v>-5</v>
          </cell>
          <cell r="K1982">
            <v>-3</v>
          </cell>
          <cell r="L1982">
            <v>-6.7</v>
          </cell>
          <cell r="M1982">
            <v>-0.8</v>
          </cell>
        </row>
        <row r="1983">
          <cell r="C1983" t="str">
            <v>NMĐ MT Solar Park 2 MBA T2 (phía 22kV)</v>
          </cell>
          <cell r="D1983">
            <v>432</v>
          </cell>
          <cell r="E1983">
            <v>0.1</v>
          </cell>
          <cell r="F1983">
            <v>-5.2</v>
          </cell>
          <cell r="G1983">
            <v>-4.8</v>
          </cell>
          <cell r="H1983">
            <v>-1.6</v>
          </cell>
          <cell r="I1983">
            <v>-3.2</v>
          </cell>
          <cell r="J1983">
            <v>-4.8</v>
          </cell>
          <cell r="K1983">
            <v>-2</v>
          </cell>
          <cell r="L1983">
            <v>-5.2</v>
          </cell>
          <cell r="M1983">
            <v>0.1</v>
          </cell>
        </row>
        <row r="1984">
          <cell r="C1984" t="str">
            <v>NMĐ MT Solar Park 3 MBA T3 (phía 110kV)</v>
          </cell>
          <cell r="D1984">
            <v>133</v>
          </cell>
          <cell r="E1984">
            <v>-0.6</v>
          </cell>
          <cell r="F1984">
            <v>-9</v>
          </cell>
          <cell r="G1984">
            <v>-9</v>
          </cell>
          <cell r="H1984">
            <v>-6</v>
          </cell>
          <cell r="I1984">
            <v>-6</v>
          </cell>
          <cell r="J1984">
            <v>-7</v>
          </cell>
          <cell r="K1984">
            <v>-5</v>
          </cell>
          <cell r="L1984">
            <v>-6.9</v>
          </cell>
          <cell r="M1984">
            <v>-0.6</v>
          </cell>
        </row>
        <row r="1985">
          <cell r="C1985" t="str">
            <v>NMĐ MT Solar Park 3 MBA T3 (phía 22kV)</v>
          </cell>
          <cell r="D1985">
            <v>433</v>
          </cell>
          <cell r="E1985">
            <v>0.2</v>
          </cell>
          <cell r="F1985">
            <v>-7.7</v>
          </cell>
          <cell r="G1985">
            <v>-7.7</v>
          </cell>
          <cell r="H1985">
            <v>-5.4</v>
          </cell>
          <cell r="I1985">
            <v>-3.6</v>
          </cell>
          <cell r="J1985">
            <v>-4.9000000000000004</v>
          </cell>
          <cell r="K1985">
            <v>-2.6</v>
          </cell>
          <cell r="L1985">
            <v>-5.3</v>
          </cell>
          <cell r="M1985">
            <v>0.2</v>
          </cell>
        </row>
        <row r="1986">
          <cell r="C1986" t="str">
            <v>NMĐ MT Solar Park 4 MBA T4 (phía 110kV)</v>
          </cell>
          <cell r="D1986">
            <v>134</v>
          </cell>
          <cell r="E1986">
            <v>-0.6</v>
          </cell>
          <cell r="F1986">
            <v>-9</v>
          </cell>
          <cell r="G1986">
            <v>-9</v>
          </cell>
          <cell r="H1986">
            <v>-6</v>
          </cell>
          <cell r="I1986">
            <v>-5.8</v>
          </cell>
          <cell r="J1986">
            <v>-6.8</v>
          </cell>
          <cell r="K1986">
            <v>-4.9000000000000004</v>
          </cell>
          <cell r="L1986">
            <v>-6.9</v>
          </cell>
          <cell r="M1986">
            <v>-0.6</v>
          </cell>
        </row>
        <row r="1987">
          <cell r="C1987" t="str">
            <v>NMĐ MT Solar Park 4 MBA T4 (phía 22kV)</v>
          </cell>
          <cell r="D1987">
            <v>434</v>
          </cell>
          <cell r="E1987">
            <v>0</v>
          </cell>
          <cell r="F1987">
            <v>-7.6</v>
          </cell>
          <cell r="G1987">
            <v>-7.6</v>
          </cell>
          <cell r="H1987">
            <v>-5.5</v>
          </cell>
          <cell r="I1987">
            <v>0</v>
          </cell>
          <cell r="J1987">
            <v>-5.0999999999999996</v>
          </cell>
          <cell r="K1987">
            <v>-2.9</v>
          </cell>
          <cell r="L1987">
            <v>-5.0999999999999996</v>
          </cell>
          <cell r="M1987">
            <v>0.2</v>
          </cell>
        </row>
        <row r="1988">
          <cell r="C1988" t="str">
            <v>NMĐ MT Sơn Mỹ 3.1 MBA T1 (phía 110kV)</v>
          </cell>
          <cell r="D1988">
            <v>131</v>
          </cell>
          <cell r="E1988">
            <v>-1.4</v>
          </cell>
          <cell r="F1988">
            <v>-7.2</v>
          </cell>
          <cell r="G1988">
            <v>3.8</v>
          </cell>
          <cell r="H1988">
            <v>-5.9</v>
          </cell>
          <cell r="I1988">
            <v>-7.2</v>
          </cell>
          <cell r="J1988">
            <v>-6.9</v>
          </cell>
          <cell r="K1988">
            <v>-5.6</v>
          </cell>
          <cell r="L1988">
            <v>-1.4</v>
          </cell>
          <cell r="M1988">
            <v>3.9</v>
          </cell>
        </row>
        <row r="1989">
          <cell r="C1989" t="str">
            <v>110kV 171 NMĐ MT Sơn Mỹ 3.1 - 175 Hàm Tân 2</v>
          </cell>
          <cell r="D1989">
            <v>171</v>
          </cell>
          <cell r="E1989">
            <v>6.4</v>
          </cell>
          <cell r="F1989">
            <v>-9.6</v>
          </cell>
          <cell r="G1989">
            <v>-7</v>
          </cell>
          <cell r="H1989">
            <v>-8.6</v>
          </cell>
          <cell r="I1989">
            <v>-9.6</v>
          </cell>
          <cell r="J1989">
            <v>-7.5</v>
          </cell>
          <cell r="K1989">
            <v>7.1</v>
          </cell>
          <cell r="L1989">
            <v>7.2</v>
          </cell>
          <cell r="M1989">
            <v>6.4</v>
          </cell>
        </row>
        <row r="1990">
          <cell r="C1990" t="str">
            <v>110kV 172 NMĐ MT Sơn Mỹ 3.1 - 171 Thắng Hải</v>
          </cell>
          <cell r="D1990">
            <v>172</v>
          </cell>
          <cell r="E1990">
            <v>-4.2</v>
          </cell>
          <cell r="F1990">
            <v>-7.1</v>
          </cell>
          <cell r="G1990">
            <v>-5</v>
          </cell>
          <cell r="H1990">
            <v>-5.6</v>
          </cell>
          <cell r="I1990">
            <v>6.7</v>
          </cell>
          <cell r="J1990">
            <v>-4.2</v>
          </cell>
          <cell r="K1990">
            <v>-7.1</v>
          </cell>
          <cell r="L1990">
            <v>-6.8</v>
          </cell>
          <cell r="M1990">
            <v>-6.2</v>
          </cell>
        </row>
        <row r="1991">
          <cell r="C1991" t="str">
            <v>NMĐ MT Sơn Mỹ 3.1 MBA T1 (phía 22kV)</v>
          </cell>
          <cell r="D1991">
            <v>431</v>
          </cell>
          <cell r="E1991">
            <v>-0.9</v>
          </cell>
          <cell r="F1991">
            <v>-3.8</v>
          </cell>
          <cell r="G1991">
            <v>-2.1</v>
          </cell>
          <cell r="H1991">
            <v>-3.1</v>
          </cell>
          <cell r="I1991">
            <v>-3.8</v>
          </cell>
          <cell r="J1991">
            <v>-3.8</v>
          </cell>
          <cell r="K1991">
            <v>-3</v>
          </cell>
          <cell r="L1991">
            <v>-0.9</v>
          </cell>
          <cell r="M1991">
            <v>-2.2999999999999998</v>
          </cell>
        </row>
        <row r="1992">
          <cell r="C1992" t="str">
            <v>NMĐ MT Sông Lũy 1 MBA T1 (phía 110kV)</v>
          </cell>
          <cell r="D1992">
            <v>131</v>
          </cell>
          <cell r="E1992">
            <v>2</v>
          </cell>
          <cell r="F1992">
            <v>7.9</v>
          </cell>
          <cell r="G1992">
            <v>6.7</v>
          </cell>
          <cell r="H1992">
            <v>7.8</v>
          </cell>
          <cell r="I1992">
            <v>7.5</v>
          </cell>
          <cell r="J1992">
            <v>5.9</v>
          </cell>
          <cell r="K1992">
            <v>5.6</v>
          </cell>
          <cell r="L1992">
            <v>2</v>
          </cell>
          <cell r="M1992">
            <v>7.9</v>
          </cell>
        </row>
        <row r="1993">
          <cell r="C1993" t="str">
            <v>NMĐ MT Sông Lũy 1 MBA T1 (phía 22kV)</v>
          </cell>
          <cell r="D1993">
            <v>431</v>
          </cell>
          <cell r="E1993">
            <v>-1.2</v>
          </cell>
          <cell r="F1993">
            <v>-3.8</v>
          </cell>
          <cell r="G1993">
            <v>-3.2</v>
          </cell>
          <cell r="H1993">
            <v>-3.7</v>
          </cell>
          <cell r="I1993">
            <v>-3.5</v>
          </cell>
          <cell r="J1993">
            <v>-2.9</v>
          </cell>
          <cell r="K1993">
            <v>-2.8</v>
          </cell>
          <cell r="L1993">
            <v>-1.2</v>
          </cell>
          <cell r="M1993">
            <v>-3.8</v>
          </cell>
        </row>
        <row r="1994">
          <cell r="C1994" t="str">
            <v>NMĐ MT SP Infra 1 MBA T1 (phía 110kV)</v>
          </cell>
          <cell r="D1994">
            <v>131</v>
          </cell>
          <cell r="E1994">
            <v>0.3</v>
          </cell>
          <cell r="F1994">
            <v>2.1</v>
          </cell>
          <cell r="G1994">
            <v>0.5</v>
          </cell>
          <cell r="H1994">
            <v>0.6</v>
          </cell>
          <cell r="I1994">
            <v>0.6</v>
          </cell>
          <cell r="J1994">
            <v>0.4</v>
          </cell>
          <cell r="K1994">
            <v>0.3</v>
          </cell>
          <cell r="L1994">
            <v>0.6</v>
          </cell>
          <cell r="M1994">
            <v>2.1</v>
          </cell>
        </row>
        <row r="1995">
          <cell r="C1995" t="str">
            <v>110kV 171 NMĐ MT SP Infra 1 - 176 Ninh Phước</v>
          </cell>
          <cell r="D1995">
            <v>171</v>
          </cell>
          <cell r="E1995">
            <v>0.5</v>
          </cell>
          <cell r="F1995">
            <v>-2.1</v>
          </cell>
          <cell r="G1995">
            <v>0.8</v>
          </cell>
          <cell r="H1995">
            <v>0.9</v>
          </cell>
          <cell r="I1995">
            <v>0.9</v>
          </cell>
          <cell r="J1995">
            <v>0.6</v>
          </cell>
          <cell r="K1995">
            <v>0.5</v>
          </cell>
          <cell r="L1995">
            <v>0.5</v>
          </cell>
          <cell r="M1995">
            <v>-2.1</v>
          </cell>
        </row>
        <row r="1996">
          <cell r="C1996" t="str">
            <v>NMĐ MT SP Infra 1 MBA T1 (phía 22kV)</v>
          </cell>
          <cell r="D1996">
            <v>431</v>
          </cell>
          <cell r="E1996">
            <v>0.8</v>
          </cell>
          <cell r="F1996">
            <v>6.5</v>
          </cell>
          <cell r="G1996">
            <v>4.9000000000000004</v>
          </cell>
          <cell r="H1996">
            <v>6</v>
          </cell>
          <cell r="I1996">
            <v>6</v>
          </cell>
          <cell r="J1996">
            <v>3.7</v>
          </cell>
          <cell r="K1996">
            <v>0.8</v>
          </cell>
          <cell r="L1996">
            <v>2.1</v>
          </cell>
          <cell r="M1996">
            <v>6.5</v>
          </cell>
        </row>
        <row r="1997">
          <cell r="C1997" t="str">
            <v>110kV 171 NMĐ MT Tân Châu 1 - 176 trạm cắt Tây Ninh 1</v>
          </cell>
          <cell r="D1997">
            <v>171</v>
          </cell>
          <cell r="E1997">
            <v>-1</v>
          </cell>
          <cell r="F1997">
            <v>-6.4</v>
          </cell>
          <cell r="G1997">
            <v>-6</v>
          </cell>
          <cell r="H1997">
            <v>-4</v>
          </cell>
          <cell r="I1997">
            <v>-6.4</v>
          </cell>
          <cell r="J1997">
            <v>-6.4</v>
          </cell>
          <cell r="K1997">
            <v>-6.3</v>
          </cell>
          <cell r="L1997">
            <v>-4</v>
          </cell>
          <cell r="M1997">
            <v>-1</v>
          </cell>
        </row>
        <row r="1998">
          <cell r="C1998" t="str">
            <v>NMĐ MT Tân Châu 1 MBA T1 (phía 22kV)</v>
          </cell>
          <cell r="D1998">
            <v>431</v>
          </cell>
          <cell r="E1998">
            <v>-0.5</v>
          </cell>
          <cell r="F1998">
            <v>-3.3</v>
          </cell>
          <cell r="G1998">
            <v>-3</v>
          </cell>
          <cell r="H1998">
            <v>-1.9</v>
          </cell>
          <cell r="I1998">
            <v>-3.3</v>
          </cell>
          <cell r="J1998">
            <v>-3.2</v>
          </cell>
          <cell r="K1998">
            <v>-3.2</v>
          </cell>
          <cell r="L1998">
            <v>-2</v>
          </cell>
          <cell r="M1998">
            <v>-0.5</v>
          </cell>
        </row>
        <row r="1999">
          <cell r="C1999" t="str">
            <v>NMĐ MT Thiên Tân Solar Ninh Thuận MBA T1 (phía 220kV)</v>
          </cell>
          <cell r="D1999">
            <v>231</v>
          </cell>
          <cell r="E1999">
            <v>-0.2</v>
          </cell>
          <cell r="F1999">
            <v>4.3</v>
          </cell>
          <cell r="G1999">
            <v>4.2</v>
          </cell>
          <cell r="H1999">
            <v>3.8</v>
          </cell>
          <cell r="I1999">
            <v>3.7</v>
          </cell>
          <cell r="J1999">
            <v>2.7</v>
          </cell>
          <cell r="K1999">
            <v>-0.2</v>
          </cell>
          <cell r="L1999">
            <v>1.7</v>
          </cell>
          <cell r="M1999">
            <v>4.3</v>
          </cell>
        </row>
        <row r="2000">
          <cell r="C2000" t="str">
            <v>NMĐ MT Thiên Tân Solar Ninh Thuận MBA T2 (phía 220kV)</v>
          </cell>
          <cell r="D2000">
            <v>232</v>
          </cell>
          <cell r="E2000">
            <v>0.5</v>
          </cell>
          <cell r="F2000">
            <v>3.5</v>
          </cell>
          <cell r="G2000">
            <v>3.4</v>
          </cell>
          <cell r="H2000">
            <v>3.4</v>
          </cell>
          <cell r="I2000">
            <v>2.7</v>
          </cell>
          <cell r="J2000">
            <v>2.1</v>
          </cell>
          <cell r="K2000">
            <v>0.5</v>
          </cell>
          <cell r="L2000">
            <v>2.1</v>
          </cell>
          <cell r="M2000">
            <v>3.5</v>
          </cell>
        </row>
        <row r="2001">
          <cell r="C2001" t="str">
            <v>220kV 271 NMĐ MT Thiên Tân Solar Ninh Thuận - 273 NMĐ MT Xuân Thiện Thuận Bắc GĐ1</v>
          </cell>
          <cell r="D2001">
            <v>271</v>
          </cell>
          <cell r="E2001">
            <v>-8.8000000000000007</v>
          </cell>
          <cell r="F2001">
            <v>41.3</v>
          </cell>
          <cell r="G2001">
            <v>41.3</v>
          </cell>
          <cell r="H2001">
            <v>25.1</v>
          </cell>
          <cell r="I2001">
            <v>18.7</v>
          </cell>
          <cell r="J2001">
            <v>25.9</v>
          </cell>
          <cell r="K2001">
            <v>22.8</v>
          </cell>
          <cell r="L2001">
            <v>-8.8000000000000007</v>
          </cell>
          <cell r="M2001">
            <v>13.9</v>
          </cell>
        </row>
        <row r="2002">
          <cell r="C2002" t="str">
            <v>220kV 272 NMĐ MT Thiên Tân Solar Ninh Thuận - 274 Nha Trang</v>
          </cell>
          <cell r="D2002">
            <v>272</v>
          </cell>
          <cell r="E2002">
            <v>9.1999999999999993</v>
          </cell>
          <cell r="F2002">
            <v>-40.700000000000003</v>
          </cell>
          <cell r="G2002">
            <v>-40.700000000000003</v>
          </cell>
          <cell r="H2002">
            <v>-31.4</v>
          </cell>
          <cell r="I2002">
            <v>-23.6</v>
          </cell>
          <cell r="J2002">
            <v>-25.8</v>
          </cell>
          <cell r="K2002">
            <v>-22</v>
          </cell>
          <cell r="L2002">
            <v>9.1999999999999993</v>
          </cell>
          <cell r="M2002">
            <v>-16.5</v>
          </cell>
        </row>
        <row r="2003">
          <cell r="C2003" t="str">
            <v>NMĐ MT Thiên Tân Solar Ninh Thuận MBA T1 (phía 35kV)</v>
          </cell>
          <cell r="D2003">
            <v>331</v>
          </cell>
          <cell r="E2003">
            <v>0.1</v>
          </cell>
          <cell r="F2003">
            <v>-1.7</v>
          </cell>
          <cell r="G2003">
            <v>-1.6</v>
          </cell>
          <cell r="H2003">
            <v>-1.4</v>
          </cell>
          <cell r="I2003">
            <v>-1.4</v>
          </cell>
          <cell r="J2003">
            <v>-0.9</v>
          </cell>
          <cell r="K2003">
            <v>0.1</v>
          </cell>
          <cell r="L2003">
            <v>-0.6</v>
          </cell>
          <cell r="M2003">
            <v>-1.7</v>
          </cell>
        </row>
        <row r="2004">
          <cell r="C2004" t="str">
            <v>NMĐ MT Thiên Tân Solar Ninh Thuận MBA T2 (phía 35kV)</v>
          </cell>
          <cell r="D2004">
            <v>332</v>
          </cell>
          <cell r="E2004">
            <v>0</v>
          </cell>
          <cell r="F2004">
            <v>-1.4</v>
          </cell>
          <cell r="G2004">
            <v>-1.4</v>
          </cell>
          <cell r="H2004">
            <v>-1.3</v>
          </cell>
          <cell r="I2004">
            <v>-1.1000000000000001</v>
          </cell>
          <cell r="J2004">
            <v>-0.9</v>
          </cell>
          <cell r="K2004">
            <v>0</v>
          </cell>
          <cell r="L2004">
            <v>-0.7</v>
          </cell>
          <cell r="M2004">
            <v>-1.4</v>
          </cell>
        </row>
        <row r="2005">
          <cell r="C2005" t="str">
            <v>NMĐ MT Thuận Minh 2 MBA T1 (phía 110kV)</v>
          </cell>
          <cell r="D2005">
            <v>131</v>
          </cell>
          <cell r="E2005">
            <v>-6</v>
          </cell>
          <cell r="F2005">
            <v>10.1</v>
          </cell>
          <cell r="G2005">
            <v>9.9</v>
          </cell>
          <cell r="H2005">
            <v>-6</v>
          </cell>
          <cell r="I2005">
            <v>8</v>
          </cell>
          <cell r="J2005">
            <v>9.9</v>
          </cell>
          <cell r="K2005">
            <v>8</v>
          </cell>
          <cell r="L2005">
            <v>7.9</v>
          </cell>
          <cell r="M2005">
            <v>10.1</v>
          </cell>
        </row>
        <row r="2006">
          <cell r="C2006" t="str">
            <v>110kV 171 NMĐ MT Thuận Minh 2 - 173 Ma Lâm</v>
          </cell>
          <cell r="D2006">
            <v>171</v>
          </cell>
          <cell r="E2006">
            <v>6</v>
          </cell>
          <cell r="F2006">
            <v>-10</v>
          </cell>
          <cell r="G2006">
            <v>-9.9</v>
          </cell>
          <cell r="H2006">
            <v>6</v>
          </cell>
          <cell r="I2006">
            <v>-7.9</v>
          </cell>
          <cell r="J2006">
            <v>-9.9</v>
          </cell>
          <cell r="K2006">
            <v>-7.9</v>
          </cell>
          <cell r="L2006">
            <v>-7.9</v>
          </cell>
          <cell r="M2006">
            <v>-10</v>
          </cell>
        </row>
        <row r="2007">
          <cell r="C2007" t="str">
            <v>NMĐ MT Thuận Minh 2 MBA T1 (phía 22kV)</v>
          </cell>
          <cell r="D2007">
            <v>431</v>
          </cell>
          <cell r="E2007">
            <v>6.2</v>
          </cell>
          <cell r="F2007">
            <v>-8.8000000000000007</v>
          </cell>
          <cell r="G2007">
            <v>-8.6999999999999993</v>
          </cell>
          <cell r="H2007">
            <v>6.2</v>
          </cell>
          <cell r="I2007">
            <v>-7.7</v>
          </cell>
          <cell r="J2007">
            <v>-8.8000000000000007</v>
          </cell>
          <cell r="K2007">
            <v>-7.8</v>
          </cell>
          <cell r="L2007">
            <v>-7.4</v>
          </cell>
          <cell r="M2007">
            <v>-8.5</v>
          </cell>
        </row>
        <row r="2008">
          <cell r="C2008" t="str">
            <v>NMĐ MT Thuận Nam 12 MBA T1 (phía 220kV)</v>
          </cell>
          <cell r="D2008">
            <v>231</v>
          </cell>
          <cell r="E2008">
            <v>0.1</v>
          </cell>
          <cell r="F2008">
            <v>0.4</v>
          </cell>
          <cell r="G2008">
            <v>0.1</v>
          </cell>
          <cell r="H2008">
            <v>0.1</v>
          </cell>
          <cell r="I2008">
            <v>0.4</v>
          </cell>
          <cell r="J2008">
            <v>0.1</v>
          </cell>
          <cell r="K2008">
            <v>0.1</v>
          </cell>
          <cell r="L2008">
            <v>0.1</v>
          </cell>
          <cell r="M2008">
            <v>0.1</v>
          </cell>
        </row>
        <row r="2009">
          <cell r="C2009" t="str">
            <v>220kV 271 NMĐ MT Thuận Nam 12 - 272 NMĐ MT Nhị Hà</v>
          </cell>
          <cell r="D2009">
            <v>271</v>
          </cell>
          <cell r="E2009">
            <v>0.1</v>
          </cell>
          <cell r="F2009">
            <v>-0.5</v>
          </cell>
          <cell r="G2009">
            <v>0.2</v>
          </cell>
          <cell r="H2009">
            <v>-0.2</v>
          </cell>
          <cell r="I2009">
            <v>-0.5</v>
          </cell>
          <cell r="J2009">
            <v>-0.3</v>
          </cell>
          <cell r="K2009">
            <v>0.1</v>
          </cell>
          <cell r="L2009">
            <v>0.1</v>
          </cell>
          <cell r="M2009">
            <v>-0.2</v>
          </cell>
        </row>
        <row r="2010">
          <cell r="C2010" t="str">
            <v>NMĐ MT Thuận Nam 12 MBA T1 (phía 22kV)</v>
          </cell>
          <cell r="D2010">
            <v>431</v>
          </cell>
          <cell r="E2010">
            <v>0.2</v>
          </cell>
          <cell r="F2010">
            <v>3.7</v>
          </cell>
          <cell r="G2010">
            <v>2</v>
          </cell>
          <cell r="H2010">
            <v>3</v>
          </cell>
          <cell r="I2010">
            <v>2.9</v>
          </cell>
          <cell r="J2010">
            <v>3.7</v>
          </cell>
          <cell r="K2010">
            <v>0.5</v>
          </cell>
          <cell r="L2010">
            <v>0.2</v>
          </cell>
          <cell r="M2010">
            <v>3.5</v>
          </cell>
        </row>
        <row r="2011">
          <cell r="C2011" t="str">
            <v>NMĐ MT Thuận Nam 19 MBA T1 (phía 110kV)</v>
          </cell>
          <cell r="D2011">
            <v>131</v>
          </cell>
          <cell r="E2011">
            <v>0.2</v>
          </cell>
          <cell r="F2011">
            <v>-0.6</v>
          </cell>
          <cell r="G2011">
            <v>-0.2</v>
          </cell>
          <cell r="H2011">
            <v>0.2</v>
          </cell>
          <cell r="I2011">
            <v>-0.6</v>
          </cell>
          <cell r="J2011">
            <v>-0.4</v>
          </cell>
          <cell r="K2011">
            <v>0.2</v>
          </cell>
          <cell r="L2011">
            <v>0.2</v>
          </cell>
          <cell r="M2011">
            <v>0.3</v>
          </cell>
        </row>
        <row r="2012">
          <cell r="C2012" t="str">
            <v>110kV 171 NMĐ MT Thuận Nam 19 - 172 NMĐ MT Adani Phước Minh</v>
          </cell>
          <cell r="D2012">
            <v>171</v>
          </cell>
          <cell r="E2012">
            <v>2.8</v>
          </cell>
          <cell r="F2012">
            <v>6.3</v>
          </cell>
          <cell r="G2012">
            <v>6.3</v>
          </cell>
          <cell r="H2012">
            <v>-3.5</v>
          </cell>
          <cell r="I2012">
            <v>-4.5</v>
          </cell>
          <cell r="J2012">
            <v>-4.5999999999999996</v>
          </cell>
          <cell r="K2012">
            <v>2.8</v>
          </cell>
          <cell r="L2012">
            <v>3</v>
          </cell>
          <cell r="M2012">
            <v>-4.9000000000000004</v>
          </cell>
        </row>
        <row r="2013">
          <cell r="C2013" t="str">
            <v>110kV 172 NMĐ MT Thuận Nam 19 - 171 NMĐ MT Bim</v>
          </cell>
          <cell r="D2013">
            <v>172</v>
          </cell>
          <cell r="E2013">
            <v>-2.6</v>
          </cell>
          <cell r="F2013">
            <v>-6.1</v>
          </cell>
          <cell r="G2013">
            <v>-6.1</v>
          </cell>
          <cell r="H2013">
            <v>3.1</v>
          </cell>
          <cell r="I2013">
            <v>4.7</v>
          </cell>
          <cell r="J2013">
            <v>4.9000000000000004</v>
          </cell>
          <cell r="K2013">
            <v>-2.6</v>
          </cell>
          <cell r="L2013">
            <v>-2.8</v>
          </cell>
          <cell r="M2013">
            <v>4.5999999999999996</v>
          </cell>
        </row>
        <row r="2014">
          <cell r="C2014" t="str">
            <v>NMĐ MT Thuận Nam 19 MBA T1 (phía 22kV)</v>
          </cell>
          <cell r="D2014">
            <v>431</v>
          </cell>
          <cell r="E2014">
            <v>0.2</v>
          </cell>
          <cell r="F2014">
            <v>2</v>
          </cell>
          <cell r="G2014">
            <v>2</v>
          </cell>
          <cell r="H2014">
            <v>1.9</v>
          </cell>
          <cell r="I2014">
            <v>1.9</v>
          </cell>
          <cell r="J2014">
            <v>1.7</v>
          </cell>
          <cell r="K2014">
            <v>0.8</v>
          </cell>
          <cell r="L2014">
            <v>0.2</v>
          </cell>
          <cell r="M2014">
            <v>1.3</v>
          </cell>
        </row>
        <row r="2015">
          <cell r="C2015" t="str">
            <v>NMĐ MT Thuận Nam Đức Long MBA T1 (phía 220kV)</v>
          </cell>
          <cell r="D2015">
            <v>231</v>
          </cell>
          <cell r="E2015">
            <v>0.5</v>
          </cell>
          <cell r="F2015">
            <v>7.4</v>
          </cell>
          <cell r="G2015">
            <v>7.4</v>
          </cell>
          <cell r="H2015">
            <v>6.3</v>
          </cell>
          <cell r="I2015">
            <v>4.8</v>
          </cell>
          <cell r="J2015">
            <v>6</v>
          </cell>
          <cell r="K2015">
            <v>1.1000000000000001</v>
          </cell>
          <cell r="L2015">
            <v>0.5</v>
          </cell>
          <cell r="M2015">
            <v>7.3</v>
          </cell>
        </row>
        <row r="2016">
          <cell r="C2016" t="str">
            <v>220kV 271 NMĐ MT Thuận Nam Đức Long - 277 NMĐ MT Nhị Hà</v>
          </cell>
          <cell r="D2016">
            <v>271</v>
          </cell>
          <cell r="E2016">
            <v>-0.5</v>
          </cell>
          <cell r="F2016">
            <v>-7.3</v>
          </cell>
          <cell r="G2016">
            <v>-7.3</v>
          </cell>
          <cell r="H2016">
            <v>-6.3</v>
          </cell>
          <cell r="I2016">
            <v>-4.5999999999999996</v>
          </cell>
          <cell r="J2016">
            <v>-5.9</v>
          </cell>
          <cell r="K2016">
            <v>-1.2</v>
          </cell>
          <cell r="L2016">
            <v>-0.5</v>
          </cell>
          <cell r="M2016">
            <v>-7.2</v>
          </cell>
        </row>
        <row r="2017">
          <cell r="C2017" t="str">
            <v>NMĐ MT Thuận Nam Đức Long MBA T1 (phía 22kV)</v>
          </cell>
          <cell r="D2017">
            <v>431</v>
          </cell>
          <cell r="E2017">
            <v>-0.2</v>
          </cell>
          <cell r="F2017">
            <v>-3.8</v>
          </cell>
          <cell r="G2017">
            <v>-3.8</v>
          </cell>
          <cell r="H2017">
            <v>-3.2</v>
          </cell>
          <cell r="I2017">
            <v>-2.4</v>
          </cell>
          <cell r="J2017">
            <v>-3</v>
          </cell>
          <cell r="K2017">
            <v>-0.4</v>
          </cell>
          <cell r="L2017">
            <v>-0.2</v>
          </cell>
          <cell r="M2017">
            <v>-3.7</v>
          </cell>
        </row>
        <row r="2018">
          <cell r="C2018" t="str">
            <v>NMĐ MT Trí Việt 1 MBA T1 (phía 110kV)</v>
          </cell>
          <cell r="D2018">
            <v>131</v>
          </cell>
          <cell r="E2018">
            <v>1</v>
          </cell>
          <cell r="F2018">
            <v>4</v>
          </cell>
          <cell r="G2018">
            <v>4</v>
          </cell>
          <cell r="H2018">
            <v>2.2999999999999998</v>
          </cell>
          <cell r="I2018">
            <v>3.5</v>
          </cell>
          <cell r="J2018">
            <v>3.7</v>
          </cell>
          <cell r="K2018">
            <v>3.9</v>
          </cell>
          <cell r="L2018">
            <v>2.9</v>
          </cell>
          <cell r="M2018">
            <v>1</v>
          </cell>
        </row>
        <row r="2019">
          <cell r="C2019" t="str">
            <v>NMĐ MT Trí Việt 1 MBA T1 (phía 22kV)</v>
          </cell>
          <cell r="D2019">
            <v>431</v>
          </cell>
          <cell r="E2019">
            <v>-0.6</v>
          </cell>
          <cell r="F2019">
            <v>-2.1</v>
          </cell>
          <cell r="G2019">
            <v>-2.1</v>
          </cell>
          <cell r="H2019">
            <v>-1.1000000000000001</v>
          </cell>
          <cell r="I2019">
            <v>-2.1</v>
          </cell>
          <cell r="J2019">
            <v>-2</v>
          </cell>
          <cell r="K2019">
            <v>-2.1</v>
          </cell>
          <cell r="L2019">
            <v>-1.6</v>
          </cell>
          <cell r="M2019">
            <v>-0.6</v>
          </cell>
        </row>
        <row r="2020">
          <cell r="C2020" t="str">
            <v>NMĐ MT Trung Nam MBA T1 (phía 220kV)</v>
          </cell>
          <cell r="D2020">
            <v>231</v>
          </cell>
          <cell r="E2020">
            <v>-1.2</v>
          </cell>
          <cell r="F2020">
            <v>14.9</v>
          </cell>
          <cell r="G2020">
            <v>11.3</v>
          </cell>
          <cell r="H2020">
            <v>5.9</v>
          </cell>
          <cell r="I2020">
            <v>10.7</v>
          </cell>
          <cell r="J2020">
            <v>14.9</v>
          </cell>
          <cell r="K2020">
            <v>-1.2</v>
          </cell>
          <cell r="L2020">
            <v>8.4</v>
          </cell>
          <cell r="M2020">
            <v>14</v>
          </cell>
        </row>
        <row r="2021">
          <cell r="C2021" t="str">
            <v>NMĐ MT Trung Nam MBA T2 (phía 220kV)</v>
          </cell>
          <cell r="D2021">
            <v>232</v>
          </cell>
          <cell r="E2021">
            <v>-0.7</v>
          </cell>
          <cell r="F2021">
            <v>14.4</v>
          </cell>
          <cell r="G2021">
            <v>11</v>
          </cell>
          <cell r="H2021">
            <v>6.7</v>
          </cell>
          <cell r="I2021">
            <v>10.7</v>
          </cell>
          <cell r="J2021">
            <v>12</v>
          </cell>
          <cell r="K2021">
            <v>-0.7</v>
          </cell>
          <cell r="L2021">
            <v>10.3</v>
          </cell>
          <cell r="M2021">
            <v>14.4</v>
          </cell>
        </row>
        <row r="2022">
          <cell r="C2022" t="str">
            <v>220kV 274 NMĐ MT Trung Nam - 279 Tháp Chàm 2</v>
          </cell>
          <cell r="D2022">
            <v>274</v>
          </cell>
          <cell r="E2022">
            <v>2.2999999999999998</v>
          </cell>
          <cell r="F2022">
            <v>-28.2</v>
          </cell>
          <cell r="G2022">
            <v>-22.4</v>
          </cell>
          <cell r="H2022">
            <v>-12.2</v>
          </cell>
          <cell r="I2022">
            <v>-21</v>
          </cell>
          <cell r="J2022">
            <v>-26.9</v>
          </cell>
          <cell r="K2022">
            <v>2.2999999999999998</v>
          </cell>
          <cell r="L2022">
            <v>-18.7</v>
          </cell>
          <cell r="M2022">
            <v>-28.2</v>
          </cell>
        </row>
        <row r="2023">
          <cell r="C2023" t="str">
            <v>NMĐ MT Trung Nam MBA T1 (phía 35kV)</v>
          </cell>
          <cell r="D2023">
            <v>331</v>
          </cell>
          <cell r="E2023">
            <v>1.2</v>
          </cell>
          <cell r="F2023">
            <v>-6.6</v>
          </cell>
          <cell r="G2023">
            <v>-5.6</v>
          </cell>
          <cell r="H2023">
            <v>-2.6</v>
          </cell>
          <cell r="I2023">
            <v>-5.7</v>
          </cell>
          <cell r="J2023">
            <v>-6.3</v>
          </cell>
          <cell r="K2023">
            <v>1.2</v>
          </cell>
          <cell r="L2023">
            <v>-3.2</v>
          </cell>
          <cell r="M2023">
            <v>-6.6</v>
          </cell>
        </row>
        <row r="2024">
          <cell r="C2024" t="str">
            <v>NMĐ MT Trung Nam MBA T2 (phía 35kV)</v>
          </cell>
          <cell r="D2024">
            <v>332</v>
          </cell>
          <cell r="E2024">
            <v>0.8</v>
          </cell>
          <cell r="F2024">
            <v>-6.7</v>
          </cell>
          <cell r="G2024">
            <v>-5</v>
          </cell>
          <cell r="H2024">
            <v>-2.8</v>
          </cell>
          <cell r="I2024">
            <v>-5.9</v>
          </cell>
          <cell r="J2024">
            <v>-5.4</v>
          </cell>
          <cell r="K2024">
            <v>0.8</v>
          </cell>
          <cell r="L2024">
            <v>-4.3</v>
          </cell>
          <cell r="M2024">
            <v>-6.7</v>
          </cell>
        </row>
        <row r="2025">
          <cell r="C2025" t="str">
            <v>NMĐ MT Trung Nam Trà Vinh MBA T1 (phía 220kV)</v>
          </cell>
          <cell r="D2025">
            <v>231</v>
          </cell>
          <cell r="E2025">
            <v>3.8</v>
          </cell>
          <cell r="F2025">
            <v>9.6999999999999993</v>
          </cell>
          <cell r="G2025">
            <v>6</v>
          </cell>
          <cell r="H2025">
            <v>3.8</v>
          </cell>
          <cell r="I2025">
            <v>6.8</v>
          </cell>
          <cell r="J2025">
            <v>9.6999999999999993</v>
          </cell>
          <cell r="K2025">
            <v>4.4000000000000004</v>
          </cell>
          <cell r="L2025">
            <v>9.3000000000000007</v>
          </cell>
          <cell r="M2025">
            <v>9</v>
          </cell>
        </row>
        <row r="2026">
          <cell r="C2026" t="str">
            <v>NMĐ MT Trung Nam Trà Vinh MBA T2 (phía 220kV)</v>
          </cell>
          <cell r="D2026">
            <v>232</v>
          </cell>
          <cell r="E2026">
            <v>4.9000000000000004</v>
          </cell>
          <cell r="F2026">
            <v>10</v>
          </cell>
          <cell r="G2026">
            <v>6.9</v>
          </cell>
          <cell r="H2026">
            <v>6.9</v>
          </cell>
          <cell r="I2026">
            <v>10</v>
          </cell>
          <cell r="J2026">
            <v>9.4</v>
          </cell>
          <cell r="K2026">
            <v>4.9000000000000004</v>
          </cell>
          <cell r="L2026">
            <v>8.1999999999999993</v>
          </cell>
          <cell r="M2026">
            <v>7.9</v>
          </cell>
        </row>
        <row r="2027">
          <cell r="C2027" t="str">
            <v>220kV 273 NMĐ MT Trung Nam Trà Vinh - 275 Duyên Hải</v>
          </cell>
          <cell r="D2027">
            <v>273</v>
          </cell>
          <cell r="E2027">
            <v>-8.6999999999999993</v>
          </cell>
          <cell r="F2027">
            <v>-16.5</v>
          </cell>
          <cell r="G2027">
            <v>-12.5</v>
          </cell>
          <cell r="H2027">
            <v>-10.4</v>
          </cell>
          <cell r="I2027">
            <v>-15.9</v>
          </cell>
          <cell r="J2027">
            <v>-16.5</v>
          </cell>
          <cell r="K2027">
            <v>-8.6999999999999993</v>
          </cell>
          <cell r="L2027">
            <v>-14.9</v>
          </cell>
          <cell r="M2027">
            <v>-15.2</v>
          </cell>
        </row>
        <row r="2028">
          <cell r="C2028" t="str">
            <v>NMĐ MT Trung Nam Trà Vinh MBA T1 (phía 35kV)</v>
          </cell>
          <cell r="D2028">
            <v>331</v>
          </cell>
          <cell r="E2028">
            <v>-1.8</v>
          </cell>
          <cell r="F2028">
            <v>-4.7</v>
          </cell>
          <cell r="G2028">
            <v>-2.8</v>
          </cell>
          <cell r="H2028">
            <v>-1.8</v>
          </cell>
          <cell r="I2028">
            <v>-3.2</v>
          </cell>
          <cell r="J2028">
            <v>-4.7</v>
          </cell>
          <cell r="K2028">
            <v>-1.9</v>
          </cell>
          <cell r="L2028">
            <v>-4.3</v>
          </cell>
          <cell r="M2028">
            <v>-4.2</v>
          </cell>
        </row>
        <row r="2029">
          <cell r="C2029" t="str">
            <v>NMĐ MT Trung Nam Trà Vinh MBA T2 (phía 35kV)</v>
          </cell>
          <cell r="D2029">
            <v>332</v>
          </cell>
          <cell r="E2029">
            <v>-2.1</v>
          </cell>
          <cell r="F2029">
            <v>-4.7</v>
          </cell>
          <cell r="G2029">
            <v>-3.2</v>
          </cell>
          <cell r="H2029">
            <v>-3.1</v>
          </cell>
          <cell r="I2029">
            <v>-4.7</v>
          </cell>
          <cell r="J2029">
            <v>-4.3</v>
          </cell>
          <cell r="K2029">
            <v>-2.1</v>
          </cell>
          <cell r="L2029">
            <v>-3.8</v>
          </cell>
          <cell r="M2029">
            <v>-3.6</v>
          </cell>
        </row>
        <row r="2030">
          <cell r="C2030" t="str">
            <v>NMĐ MT TTC Đức Huệ 1 MBA T1 (phía 110kV)</v>
          </cell>
          <cell r="D2030">
            <v>131</v>
          </cell>
          <cell r="E2030">
            <v>1.2</v>
          </cell>
          <cell r="F2030">
            <v>5.5</v>
          </cell>
          <cell r="G2030">
            <v>3.6</v>
          </cell>
          <cell r="H2030">
            <v>3.2</v>
          </cell>
          <cell r="I2030">
            <v>5.0999999999999996</v>
          </cell>
          <cell r="J2030">
            <v>5.5</v>
          </cell>
          <cell r="K2030">
            <v>3.8</v>
          </cell>
          <cell r="L2030">
            <v>2.8</v>
          </cell>
          <cell r="M2030">
            <v>1.2</v>
          </cell>
        </row>
        <row r="2031">
          <cell r="C2031" t="str">
            <v>110kV 171 NMĐ MT TTC Đức Huệ 1 - 175 Đức Huệ</v>
          </cell>
          <cell r="D2031">
            <v>171</v>
          </cell>
          <cell r="E2031">
            <v>-1.2</v>
          </cell>
          <cell r="F2031">
            <v>-5.3</v>
          </cell>
          <cell r="G2031">
            <v>-3.2</v>
          </cell>
          <cell r="H2031">
            <v>-3</v>
          </cell>
          <cell r="I2031">
            <v>-4.8</v>
          </cell>
          <cell r="J2031">
            <v>-5.3</v>
          </cell>
          <cell r="K2031">
            <v>-3.8</v>
          </cell>
          <cell r="L2031">
            <v>-2.6</v>
          </cell>
          <cell r="M2031">
            <v>-1.2</v>
          </cell>
        </row>
        <row r="2032">
          <cell r="C2032" t="str">
            <v>NMĐ MT TTC Đức Huệ 1 MBA T1 (phía 22kV)</v>
          </cell>
          <cell r="D2032">
            <v>431</v>
          </cell>
          <cell r="E2032">
            <v>-1.7</v>
          </cell>
          <cell r="F2032">
            <v>-2.8</v>
          </cell>
          <cell r="G2032">
            <v>-2.1</v>
          </cell>
          <cell r="H2032">
            <v>-2.1</v>
          </cell>
          <cell r="I2032">
            <v>-2.4</v>
          </cell>
          <cell r="J2032">
            <v>-2.8</v>
          </cell>
          <cell r="K2032">
            <v>-2.2999999999999998</v>
          </cell>
          <cell r="L2032">
            <v>-1.9</v>
          </cell>
          <cell r="M2032">
            <v>-1.7</v>
          </cell>
        </row>
        <row r="2033">
          <cell r="C2033" t="str">
            <v>NMĐ MT TTC1 MBA T1 (phía 110kV)</v>
          </cell>
          <cell r="D2033">
            <v>131</v>
          </cell>
          <cell r="E2033">
            <v>1.7</v>
          </cell>
          <cell r="F2033">
            <v>7.2</v>
          </cell>
          <cell r="G2033">
            <v>5.2</v>
          </cell>
          <cell r="H2033">
            <v>3.7</v>
          </cell>
          <cell r="I2033">
            <v>7.2</v>
          </cell>
          <cell r="J2033">
            <v>7.2</v>
          </cell>
          <cell r="K2033">
            <v>5</v>
          </cell>
          <cell r="L2033">
            <v>5</v>
          </cell>
          <cell r="M2033">
            <v>1.7</v>
          </cell>
        </row>
        <row r="2034">
          <cell r="C2034" t="str">
            <v>110kV 171 NMĐ MT TTC1 - 177 Đức Hòa 2</v>
          </cell>
          <cell r="D2034">
            <v>171</v>
          </cell>
          <cell r="E2034">
            <v>-31</v>
          </cell>
          <cell r="F2034">
            <v>-45.5</v>
          </cell>
          <cell r="G2034">
            <v>-38.200000000000003</v>
          </cell>
          <cell r="H2034">
            <v>-45.5</v>
          </cell>
          <cell r="I2034">
            <v>-38.700000000000003</v>
          </cell>
          <cell r="J2034">
            <v>-31</v>
          </cell>
          <cell r="K2034">
            <v>-37.299999999999997</v>
          </cell>
          <cell r="L2034">
            <v>-39</v>
          </cell>
          <cell r="M2034">
            <v>-37.6</v>
          </cell>
        </row>
        <row r="2035">
          <cell r="C2035" t="str">
            <v>110kV 172 NMĐ MT TTC1 - 171 Thành Công</v>
          </cell>
          <cell r="D2035">
            <v>172</v>
          </cell>
          <cell r="E2035">
            <v>31.3</v>
          </cell>
          <cell r="F2035">
            <v>41.7</v>
          </cell>
          <cell r="G2035">
            <v>32.200000000000003</v>
          </cell>
          <cell r="H2035">
            <v>41.7</v>
          </cell>
          <cell r="I2035">
            <v>34.700000000000003</v>
          </cell>
          <cell r="J2035">
            <v>31.3</v>
          </cell>
          <cell r="K2035">
            <v>33.5</v>
          </cell>
          <cell r="L2035">
            <v>38.6</v>
          </cell>
          <cell r="M2035">
            <v>37.700000000000003</v>
          </cell>
        </row>
        <row r="2036">
          <cell r="C2036" t="str">
            <v>NMĐ MT TTC1 MBA T1 (phía 22kV)</v>
          </cell>
          <cell r="D2036">
            <v>431</v>
          </cell>
          <cell r="E2036">
            <v>-1.8</v>
          </cell>
          <cell r="F2036">
            <v>-3.8</v>
          </cell>
          <cell r="G2036">
            <v>-2.8</v>
          </cell>
          <cell r="H2036">
            <v>-2.4</v>
          </cell>
          <cell r="I2036">
            <v>-3.7</v>
          </cell>
          <cell r="J2036">
            <v>-3.8</v>
          </cell>
          <cell r="K2036">
            <v>-2.9</v>
          </cell>
          <cell r="L2036">
            <v>-2.7</v>
          </cell>
          <cell r="M2036">
            <v>-1.8</v>
          </cell>
        </row>
        <row r="2037">
          <cell r="C2037" t="str">
            <v>NMĐ MT TTC2 MBA T2 (phía 110kV)</v>
          </cell>
          <cell r="D2037">
            <v>132</v>
          </cell>
          <cell r="E2037">
            <v>1.2</v>
          </cell>
          <cell r="F2037">
            <v>5.6</v>
          </cell>
          <cell r="G2037">
            <v>4.9000000000000004</v>
          </cell>
          <cell r="H2037">
            <v>1.8</v>
          </cell>
          <cell r="I2037">
            <v>5</v>
          </cell>
          <cell r="J2037">
            <v>5.6</v>
          </cell>
          <cell r="K2037">
            <v>3.6</v>
          </cell>
          <cell r="L2037">
            <v>2.8</v>
          </cell>
          <cell r="M2037">
            <v>1.2</v>
          </cell>
        </row>
        <row r="2038">
          <cell r="C2038" t="str">
            <v>NMĐ MT TTC2 MBA T2 (phía 22kV)</v>
          </cell>
          <cell r="D2038">
            <v>432</v>
          </cell>
          <cell r="E2038">
            <v>-1.3</v>
          </cell>
          <cell r="F2038">
            <v>-3.5</v>
          </cell>
          <cell r="G2038">
            <v>-3.2</v>
          </cell>
          <cell r="H2038">
            <v>-1.5</v>
          </cell>
          <cell r="I2038">
            <v>-3</v>
          </cell>
          <cell r="J2038">
            <v>-3.5</v>
          </cell>
          <cell r="K2038">
            <v>-2.2000000000000002</v>
          </cell>
          <cell r="L2038">
            <v>-1.9</v>
          </cell>
          <cell r="M2038">
            <v>-1.3</v>
          </cell>
        </row>
        <row r="2039">
          <cell r="C2039" t="str">
            <v>NMĐ MT Tuy Phong MBA T1 (phía 110kV)</v>
          </cell>
          <cell r="D2039">
            <v>131</v>
          </cell>
          <cell r="E2039">
            <v>0</v>
          </cell>
          <cell r="F2039">
            <v>0.1</v>
          </cell>
          <cell r="G2039">
            <v>-0.1</v>
          </cell>
          <cell r="H2039">
            <v>-0.1</v>
          </cell>
          <cell r="I2039">
            <v>-0.1</v>
          </cell>
          <cell r="J2039">
            <v>-0.1</v>
          </cell>
          <cell r="K2039">
            <v>0</v>
          </cell>
          <cell r="L2039">
            <v>0</v>
          </cell>
          <cell r="M2039">
            <v>0.1</v>
          </cell>
        </row>
        <row r="2040">
          <cell r="C2040" t="str">
            <v>110kV 171 NMĐ MT Tuy Phong - 171 NMĐ Gió Phú Lạc</v>
          </cell>
          <cell r="D2040">
            <v>171</v>
          </cell>
          <cell r="E2040">
            <v>2.1</v>
          </cell>
          <cell r="F2040">
            <v>3</v>
          </cell>
          <cell r="G2040">
            <v>2.1</v>
          </cell>
          <cell r="H2040">
            <v>2.2000000000000002</v>
          </cell>
          <cell r="I2040">
            <v>3</v>
          </cell>
          <cell r="J2040">
            <v>2.2999999999999998</v>
          </cell>
          <cell r="K2040">
            <v>2.7</v>
          </cell>
          <cell r="L2040">
            <v>2.1</v>
          </cell>
          <cell r="M2040">
            <v>2.2000000000000002</v>
          </cell>
        </row>
        <row r="2041">
          <cell r="C2041" t="str">
            <v>110kV 172 NMĐ MT Tuy Phong - 172 NMĐ MT VSP Bình Thuận II</v>
          </cell>
          <cell r="D2041">
            <v>172</v>
          </cell>
          <cell r="E2041">
            <v>-2.1</v>
          </cell>
          <cell r="F2041">
            <v>-3</v>
          </cell>
          <cell r="G2041">
            <v>-2.1</v>
          </cell>
          <cell r="H2041">
            <v>-3</v>
          </cell>
          <cell r="I2041">
            <v>-2.1</v>
          </cell>
          <cell r="J2041">
            <v>-2.1</v>
          </cell>
          <cell r="K2041">
            <v>-2.1</v>
          </cell>
          <cell r="L2041">
            <v>-2.1</v>
          </cell>
          <cell r="M2041">
            <v>-2.2000000000000002</v>
          </cell>
        </row>
        <row r="2042">
          <cell r="C2042" t="str">
            <v>NMĐ MT Tuy Phong MBA T1 (phía 22kV)</v>
          </cell>
          <cell r="D2042">
            <v>431</v>
          </cell>
          <cell r="E2042">
            <v>0.2</v>
          </cell>
          <cell r="F2042">
            <v>2</v>
          </cell>
          <cell r="G2042">
            <v>1.5</v>
          </cell>
          <cell r="H2042">
            <v>1.5</v>
          </cell>
          <cell r="I2042">
            <v>2</v>
          </cell>
          <cell r="J2042">
            <v>1</v>
          </cell>
          <cell r="K2042">
            <v>0.8</v>
          </cell>
          <cell r="L2042">
            <v>0.2</v>
          </cell>
          <cell r="M2042">
            <v>2</v>
          </cell>
        </row>
        <row r="2043">
          <cell r="C2043" t="str">
            <v>NMĐ MT Văn Giáo 1 MBA T1 (phía 110kV)</v>
          </cell>
          <cell r="D2043">
            <v>131</v>
          </cell>
          <cell r="E2043">
            <v>2.1</v>
          </cell>
          <cell r="F2043">
            <v>5</v>
          </cell>
          <cell r="G2043">
            <v>3.2</v>
          </cell>
          <cell r="H2043">
            <v>3.2</v>
          </cell>
          <cell r="I2043">
            <v>2.5</v>
          </cell>
          <cell r="J2043">
            <v>5</v>
          </cell>
          <cell r="K2043">
            <v>2.1</v>
          </cell>
          <cell r="L2043">
            <v>3.3</v>
          </cell>
          <cell r="M2043">
            <v>3</v>
          </cell>
        </row>
        <row r="2044">
          <cell r="C2044" t="str">
            <v>110kV 172 NMĐ MT Văn Giáo 1 - 173 Tịnh Biên</v>
          </cell>
          <cell r="D2044">
            <v>172</v>
          </cell>
          <cell r="E2044">
            <v>-3.7</v>
          </cell>
          <cell r="F2044">
            <v>-9.8000000000000007</v>
          </cell>
          <cell r="G2044">
            <v>-5.9</v>
          </cell>
          <cell r="H2044">
            <v>-6.2</v>
          </cell>
          <cell r="I2044">
            <v>-5.2</v>
          </cell>
          <cell r="J2044">
            <v>-9.8000000000000007</v>
          </cell>
          <cell r="K2044">
            <v>-3.7</v>
          </cell>
          <cell r="L2044">
            <v>-6.2</v>
          </cell>
          <cell r="M2044">
            <v>-5.6</v>
          </cell>
        </row>
        <row r="2045">
          <cell r="C2045" t="str">
            <v>NMĐ MT Văn Giáo 1 MBA T1 (phía 22kV)</v>
          </cell>
          <cell r="D2045">
            <v>431</v>
          </cell>
          <cell r="E2045">
            <v>-2</v>
          </cell>
          <cell r="F2045">
            <v>3.9</v>
          </cell>
          <cell r="G2045">
            <v>3.4</v>
          </cell>
          <cell r="H2045">
            <v>-2.2000000000000002</v>
          </cell>
          <cell r="I2045">
            <v>2.5</v>
          </cell>
          <cell r="J2045">
            <v>3.9</v>
          </cell>
          <cell r="K2045">
            <v>2.9</v>
          </cell>
          <cell r="L2045">
            <v>2.5</v>
          </cell>
          <cell r="M2045">
            <v>-2</v>
          </cell>
        </row>
        <row r="2046">
          <cell r="C2046" t="str">
            <v>NMĐ MT Văn Giáo 2 MBA T2 (phía 110kV)</v>
          </cell>
          <cell r="D2046">
            <v>132</v>
          </cell>
          <cell r="E2046">
            <v>2.2000000000000002</v>
          </cell>
          <cell r="F2046">
            <v>5.4</v>
          </cell>
          <cell r="G2046">
            <v>3.1</v>
          </cell>
          <cell r="H2046">
            <v>3.2</v>
          </cell>
          <cell r="I2046">
            <v>2.9</v>
          </cell>
          <cell r="J2046">
            <v>5.4</v>
          </cell>
          <cell r="K2046">
            <v>2.2000000000000002</v>
          </cell>
          <cell r="L2046">
            <v>3.1</v>
          </cell>
          <cell r="M2046">
            <v>2.9</v>
          </cell>
        </row>
        <row r="2047">
          <cell r="C2047" t="str">
            <v>NMĐ MT Văn Giáo 2 MBA T2 (phía 22kV)</v>
          </cell>
          <cell r="D2047">
            <v>432</v>
          </cell>
          <cell r="E2047">
            <v>-1.8</v>
          </cell>
          <cell r="F2047">
            <v>4.5999999999999996</v>
          </cell>
          <cell r="G2047">
            <v>4.5999999999999996</v>
          </cell>
          <cell r="H2047">
            <v>-2</v>
          </cell>
          <cell r="I2047">
            <v>4.0999999999999996</v>
          </cell>
          <cell r="J2047">
            <v>3.7</v>
          </cell>
          <cell r="K2047">
            <v>2</v>
          </cell>
          <cell r="L2047">
            <v>3.4</v>
          </cell>
          <cell r="M2047">
            <v>-1.8</v>
          </cell>
        </row>
        <row r="2048">
          <cell r="C2048" t="str">
            <v>NMĐ MT Vĩnh Hảo MBA T1 (phía 110kV)</v>
          </cell>
          <cell r="D2048">
            <v>131</v>
          </cell>
          <cell r="E2048">
            <v>-0.3</v>
          </cell>
          <cell r="F2048">
            <v>-0.4</v>
          </cell>
          <cell r="G2048">
            <v>-0.4</v>
          </cell>
          <cell r="H2048">
            <v>-0.3</v>
          </cell>
          <cell r="I2048">
            <v>-0.4</v>
          </cell>
          <cell r="J2048">
            <v>-0.4</v>
          </cell>
          <cell r="K2048">
            <v>-0.4</v>
          </cell>
          <cell r="L2048">
            <v>-0.3</v>
          </cell>
          <cell r="M2048">
            <v>-0.4</v>
          </cell>
        </row>
        <row r="2049">
          <cell r="C2049" t="str">
            <v>110kV 171 NMĐ MT Vĩnh Hảo - 171 NMĐ MT Vĩnh Hảo 4</v>
          </cell>
          <cell r="D2049">
            <v>171</v>
          </cell>
          <cell r="E2049">
            <v>-0.4</v>
          </cell>
          <cell r="F2049">
            <v>5.4</v>
          </cell>
          <cell r="G2049">
            <v>5.4</v>
          </cell>
          <cell r="H2049">
            <v>5.4</v>
          </cell>
          <cell r="I2049">
            <v>-0.6</v>
          </cell>
          <cell r="J2049">
            <v>-0.5</v>
          </cell>
          <cell r="K2049">
            <v>-0.4</v>
          </cell>
          <cell r="L2049">
            <v>-0.4</v>
          </cell>
          <cell r="M2049">
            <v>0.7</v>
          </cell>
        </row>
        <row r="2050">
          <cell r="C2050" t="str">
            <v>110kV 172 NMĐ MT Vĩnh Hảo - 171 NMĐ MT VSP Bình Thuận II</v>
          </cell>
          <cell r="D2050">
            <v>172</v>
          </cell>
          <cell r="E2050">
            <v>0.8</v>
          </cell>
          <cell r="F2050">
            <v>-5.2</v>
          </cell>
          <cell r="G2050">
            <v>-5.0999999999999996</v>
          </cell>
          <cell r="H2050">
            <v>-5.2</v>
          </cell>
          <cell r="I2050">
            <v>1</v>
          </cell>
          <cell r="J2050">
            <v>0.8</v>
          </cell>
          <cell r="K2050">
            <v>0.8</v>
          </cell>
          <cell r="L2050">
            <v>0.8</v>
          </cell>
          <cell r="M2050">
            <v>1</v>
          </cell>
        </row>
        <row r="2051">
          <cell r="C2051" t="str">
            <v>NMĐ MT Vĩnh Hảo MBA T1 (phía 22kV)</v>
          </cell>
          <cell r="D2051">
            <v>431</v>
          </cell>
          <cell r="E2051">
            <v>0.5</v>
          </cell>
          <cell r="F2051">
            <v>3.8</v>
          </cell>
          <cell r="G2051">
            <v>3.3</v>
          </cell>
          <cell r="H2051">
            <v>3.1</v>
          </cell>
          <cell r="I2051">
            <v>3.8</v>
          </cell>
          <cell r="J2051">
            <v>2.2000000000000002</v>
          </cell>
          <cell r="K2051">
            <v>1.3</v>
          </cell>
          <cell r="L2051">
            <v>0.5</v>
          </cell>
          <cell r="M2051">
            <v>2.6</v>
          </cell>
        </row>
        <row r="2052">
          <cell r="C2052" t="str">
            <v>NMĐ MT Vĩnh Hảo 4 MBA T1 (phía 110kV)</v>
          </cell>
          <cell r="D2052">
            <v>131</v>
          </cell>
          <cell r="E2052">
            <v>0</v>
          </cell>
          <cell r="F2052">
            <v>0</v>
          </cell>
          <cell r="G2052">
            <v>0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</row>
        <row r="2053">
          <cell r="C2053" t="str">
            <v>NMĐ MT Vĩnh Hảo 4 MBA T2 (phía 110kV)</v>
          </cell>
          <cell r="D2053">
            <v>132</v>
          </cell>
          <cell r="E2053">
            <v>0</v>
          </cell>
          <cell r="F2053">
            <v>3</v>
          </cell>
          <cell r="G2053">
            <v>3</v>
          </cell>
          <cell r="H2053">
            <v>2.9</v>
          </cell>
          <cell r="I2053">
            <v>0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</row>
        <row r="2054">
          <cell r="C2054" t="str">
            <v>110kV 171 NMĐ MT Vĩnh Hảo 4 - 171 NMĐ MT Vĩnh Hảo</v>
          </cell>
          <cell r="D2054">
            <v>171</v>
          </cell>
          <cell r="E2054">
            <v>0</v>
          </cell>
          <cell r="F2054">
            <v>-5.8</v>
          </cell>
          <cell r="G2054">
            <v>-5.7</v>
          </cell>
          <cell r="H2054">
            <v>-5.8</v>
          </cell>
          <cell r="I2054">
            <v>0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</row>
        <row r="2055">
          <cell r="C2055" t="str">
            <v>110kV 172 NMĐ MT Vĩnh Hảo 4 - 173 trạm cắt Vĩnh Hải</v>
          </cell>
          <cell r="D2055">
            <v>172</v>
          </cell>
          <cell r="E2055">
            <v>0</v>
          </cell>
          <cell r="F2055">
            <v>3.7</v>
          </cell>
          <cell r="G2055">
            <v>3.7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</row>
        <row r="2056">
          <cell r="C2056" t="str">
            <v>NMĐ MT Vĩnh Hảo 4 MBA T1 (phía 22kV)</v>
          </cell>
          <cell r="D2056">
            <v>431</v>
          </cell>
          <cell r="E2056">
            <v>0.1</v>
          </cell>
          <cell r="F2056">
            <v>1.4</v>
          </cell>
          <cell r="G2056">
            <v>-1.1000000000000001</v>
          </cell>
          <cell r="H2056">
            <v>1.3</v>
          </cell>
          <cell r="I2056">
            <v>1.4</v>
          </cell>
          <cell r="J2056">
            <v>1.2</v>
          </cell>
          <cell r="K2056">
            <v>0.5</v>
          </cell>
          <cell r="L2056">
            <v>0.1</v>
          </cell>
          <cell r="M2056">
            <v>1.3</v>
          </cell>
        </row>
        <row r="2057">
          <cell r="C2057" t="str">
            <v>NMĐ MT Vĩnh Hảo 4 MBA T2 (phía 22kV)</v>
          </cell>
          <cell r="D2057">
            <v>432</v>
          </cell>
          <cell r="E2057">
            <v>3.9</v>
          </cell>
          <cell r="F2057">
            <v>15.6</v>
          </cell>
          <cell r="G2057">
            <v>15.6</v>
          </cell>
          <cell r="H2057">
            <v>15.2</v>
          </cell>
          <cell r="I2057">
            <v>13.6</v>
          </cell>
          <cell r="J2057">
            <v>12.7</v>
          </cell>
          <cell r="K2057">
            <v>8.4</v>
          </cell>
          <cell r="L2057">
            <v>3.9</v>
          </cell>
          <cell r="M2057">
            <v>14.1</v>
          </cell>
        </row>
        <row r="2058">
          <cell r="C2058" t="str">
            <v>NMĐ MT Vĩnh Hảo 6 MBA T1 (phía 110kV)</v>
          </cell>
          <cell r="D2058">
            <v>131</v>
          </cell>
          <cell r="E2058">
            <v>0.8</v>
          </cell>
          <cell r="F2058">
            <v>2.6</v>
          </cell>
          <cell r="G2058">
            <v>-1</v>
          </cell>
          <cell r="H2058">
            <v>1.1000000000000001</v>
          </cell>
          <cell r="I2058">
            <v>2.6</v>
          </cell>
          <cell r="J2058">
            <v>2.2999999999999998</v>
          </cell>
          <cell r="K2058">
            <v>1.2</v>
          </cell>
          <cell r="L2058">
            <v>0.8</v>
          </cell>
          <cell r="M2058">
            <v>2.4</v>
          </cell>
        </row>
        <row r="2059">
          <cell r="C2059" t="str">
            <v>NMĐ MT Vĩnh Hảo 6 MBA T1 (phía 22kV)</v>
          </cell>
          <cell r="D2059">
            <v>431</v>
          </cell>
          <cell r="E2059">
            <v>-0.3</v>
          </cell>
          <cell r="F2059">
            <v>1.1000000000000001</v>
          </cell>
          <cell r="G2059">
            <v>1.1000000000000001</v>
          </cell>
          <cell r="H2059">
            <v>1</v>
          </cell>
          <cell r="I2059">
            <v>-0.5</v>
          </cell>
          <cell r="J2059">
            <v>-0.5</v>
          </cell>
          <cell r="K2059">
            <v>-0.3</v>
          </cell>
          <cell r="L2059">
            <v>-0.3</v>
          </cell>
          <cell r="M2059">
            <v>-0.5</v>
          </cell>
        </row>
        <row r="2060">
          <cell r="C2060" t="str">
            <v>NMĐ MT Vĩnh Tân 2 MBA T1 (phía 110kV)</v>
          </cell>
          <cell r="D2060">
            <v>131</v>
          </cell>
          <cell r="E2060">
            <v>0.3</v>
          </cell>
          <cell r="F2060">
            <v>0.8</v>
          </cell>
          <cell r="G2060">
            <v>0.6</v>
          </cell>
          <cell r="H2060">
            <v>0.6</v>
          </cell>
          <cell r="I2060">
            <v>0.8</v>
          </cell>
          <cell r="J2060">
            <v>0.6</v>
          </cell>
          <cell r="K2060">
            <v>0.4</v>
          </cell>
          <cell r="L2060">
            <v>0.3</v>
          </cell>
          <cell r="M2060">
            <v>0.6</v>
          </cell>
        </row>
        <row r="2061">
          <cell r="C2061" t="str">
            <v>110kV 171 NMĐ MT Vĩnh Tân 2 - 174 trạm cắt Vĩnh Hải</v>
          </cell>
          <cell r="D2061">
            <v>171</v>
          </cell>
          <cell r="E2061">
            <v>-0.8</v>
          </cell>
          <cell r="F2061">
            <v>-4.5999999999999996</v>
          </cell>
          <cell r="G2061">
            <v>-4.5999999999999996</v>
          </cell>
          <cell r="H2061">
            <v>1.1000000000000001</v>
          </cell>
          <cell r="I2061">
            <v>3</v>
          </cell>
          <cell r="J2061">
            <v>2.7</v>
          </cell>
          <cell r="K2061">
            <v>1.1000000000000001</v>
          </cell>
          <cell r="L2061">
            <v>-0.8</v>
          </cell>
          <cell r="M2061">
            <v>2.7</v>
          </cell>
        </row>
        <row r="2062">
          <cell r="C2062" t="str">
            <v>110kV 172 NMĐ MT Vĩnh Tân 2 - 172 NMĐ MT Bim</v>
          </cell>
          <cell r="D2062">
            <v>172</v>
          </cell>
          <cell r="E2062">
            <v>1</v>
          </cell>
          <cell r="F2062">
            <v>3.2</v>
          </cell>
          <cell r="G2062">
            <v>3.2</v>
          </cell>
          <cell r="H2062">
            <v>-1.4</v>
          </cell>
          <cell r="I2062">
            <v>-3.1</v>
          </cell>
          <cell r="J2062">
            <v>-3</v>
          </cell>
          <cell r="K2062">
            <v>-1.2</v>
          </cell>
          <cell r="L2062">
            <v>1</v>
          </cell>
          <cell r="M2062">
            <v>-3.1</v>
          </cell>
        </row>
        <row r="2063">
          <cell r="C2063" t="str">
            <v>NMĐ MT Vĩnh Tân 2 MBA T1 (phía 22kV)</v>
          </cell>
          <cell r="D2063">
            <v>431</v>
          </cell>
          <cell r="E2063">
            <v>0.2</v>
          </cell>
          <cell r="F2063">
            <v>0.9</v>
          </cell>
          <cell r="G2063">
            <v>0.5</v>
          </cell>
          <cell r="H2063">
            <v>0.3</v>
          </cell>
          <cell r="I2063">
            <v>0.5</v>
          </cell>
          <cell r="J2063">
            <v>0.9</v>
          </cell>
          <cell r="K2063">
            <v>0.3</v>
          </cell>
          <cell r="L2063">
            <v>0.2</v>
          </cell>
          <cell r="M2063">
            <v>0.6</v>
          </cell>
        </row>
        <row r="2064">
          <cell r="C2064" t="str">
            <v>NMĐ MT VSP Bình Thuận II MBA T1 (phía 110kV)</v>
          </cell>
          <cell r="D2064">
            <v>131</v>
          </cell>
          <cell r="E2064">
            <v>-0.1</v>
          </cell>
          <cell r="F2064">
            <v>0.5</v>
          </cell>
          <cell r="G2064">
            <v>-0.3</v>
          </cell>
          <cell r="H2064">
            <v>0.5</v>
          </cell>
          <cell r="I2064">
            <v>-0.3</v>
          </cell>
          <cell r="J2064">
            <v>0.2</v>
          </cell>
          <cell r="K2064">
            <v>-0.1</v>
          </cell>
          <cell r="L2064">
            <v>-0.1</v>
          </cell>
          <cell r="M2064">
            <v>0.5</v>
          </cell>
        </row>
        <row r="2065">
          <cell r="C2065" t="str">
            <v>110kV 171 NMĐ MT VSP Bình Thuận II - 172 NMĐ MT Vĩnh Hảo</v>
          </cell>
          <cell r="D2065">
            <v>171</v>
          </cell>
          <cell r="E2065">
            <v>-2.1</v>
          </cell>
          <cell r="F2065">
            <v>4.4000000000000004</v>
          </cell>
          <cell r="G2065">
            <v>-2.1</v>
          </cell>
          <cell r="H2065">
            <v>4.4000000000000004</v>
          </cell>
          <cell r="I2065">
            <v>-2.2000000000000002</v>
          </cell>
          <cell r="J2065">
            <v>-2.1</v>
          </cell>
          <cell r="K2065">
            <v>-2.2000000000000002</v>
          </cell>
          <cell r="L2065">
            <v>-2.1</v>
          </cell>
          <cell r="M2065">
            <v>-3.1</v>
          </cell>
        </row>
        <row r="2066">
          <cell r="C2066" t="str">
            <v>110kV 172 NMĐ MT VSP Bình Thuận II - 172 NMĐ MT Tuy Phong</v>
          </cell>
          <cell r="D2066">
            <v>172</v>
          </cell>
          <cell r="E2066">
            <v>2.2999999999999998</v>
          </cell>
          <cell r="F2066">
            <v>-4.3</v>
          </cell>
          <cell r="G2066">
            <v>2.4</v>
          </cell>
          <cell r="H2066">
            <v>-4.3</v>
          </cell>
          <cell r="I2066">
            <v>2.4</v>
          </cell>
          <cell r="J2066">
            <v>2.2999999999999998</v>
          </cell>
          <cell r="K2066">
            <v>2.2999999999999998</v>
          </cell>
          <cell r="L2066">
            <v>2.2999999999999998</v>
          </cell>
          <cell r="M2066">
            <v>2.2999999999999998</v>
          </cell>
        </row>
        <row r="2067">
          <cell r="C2067" t="str">
            <v>NMĐ MT VSP Bình Thuận II MBA T1 (phía 22kV)</v>
          </cell>
          <cell r="D2067">
            <v>431</v>
          </cell>
          <cell r="E2067">
            <v>0.5</v>
          </cell>
          <cell r="F2067">
            <v>2.6</v>
          </cell>
          <cell r="G2067">
            <v>1.9</v>
          </cell>
          <cell r="H2067">
            <v>2.6</v>
          </cell>
          <cell r="I2067">
            <v>2.2000000000000002</v>
          </cell>
          <cell r="J2067">
            <v>1.8</v>
          </cell>
          <cell r="K2067">
            <v>1.1000000000000001</v>
          </cell>
          <cell r="L2067">
            <v>0.5</v>
          </cell>
          <cell r="M2067">
            <v>1.9</v>
          </cell>
        </row>
        <row r="2068">
          <cell r="C2068" t="str">
            <v>NMĐ MT Xuân Thiện Thuận Bắc GĐ1 MBA T1 (phía 220kV)</v>
          </cell>
          <cell r="D2068">
            <v>231</v>
          </cell>
          <cell r="E2068">
            <v>-2.5</v>
          </cell>
          <cell r="F2068">
            <v>28.3</v>
          </cell>
          <cell r="G2068">
            <v>28.3</v>
          </cell>
          <cell r="H2068">
            <v>10.4</v>
          </cell>
          <cell r="I2068">
            <v>7.4</v>
          </cell>
          <cell r="J2068">
            <v>7.2</v>
          </cell>
          <cell r="K2068">
            <v>7.1</v>
          </cell>
          <cell r="L2068">
            <v>5.8</v>
          </cell>
          <cell r="M2068">
            <v>-2.5</v>
          </cell>
        </row>
        <row r="2069">
          <cell r="C2069" t="str">
            <v>220kV 273 NMĐ MT Xuân Thiện Thuận Bắc GĐ1 - 271 NMĐ MT Thiên Tân Solar Ninh Thuận</v>
          </cell>
          <cell r="D2069">
            <v>273</v>
          </cell>
          <cell r="E2069">
            <v>6.3</v>
          </cell>
          <cell r="F2069">
            <v>-42.4</v>
          </cell>
          <cell r="G2069">
            <v>-42.4</v>
          </cell>
          <cell r="H2069">
            <v>-28.6</v>
          </cell>
          <cell r="I2069">
            <v>-17.7</v>
          </cell>
          <cell r="J2069">
            <v>-27.8</v>
          </cell>
          <cell r="K2069">
            <v>-24.3</v>
          </cell>
          <cell r="L2069">
            <v>6.3</v>
          </cell>
          <cell r="M2069">
            <v>-13.9</v>
          </cell>
        </row>
        <row r="2070">
          <cell r="C2070" t="str">
            <v>220kV 274 NMĐ MT Xuân Thiện Thuận Bắc GĐ1 - 276 Tháp Chàm 2</v>
          </cell>
          <cell r="D2070">
            <v>274</v>
          </cell>
          <cell r="E2070">
            <v>-8.9</v>
          </cell>
          <cell r="F2070">
            <v>48</v>
          </cell>
          <cell r="G2070">
            <v>48</v>
          </cell>
          <cell r="H2070">
            <v>18.399999999999999</v>
          </cell>
          <cell r="I2070">
            <v>19.5</v>
          </cell>
          <cell r="J2070">
            <v>21.7</v>
          </cell>
          <cell r="K2070">
            <v>26.3</v>
          </cell>
          <cell r="L2070">
            <v>-8.9</v>
          </cell>
          <cell r="M2070">
            <v>15.2</v>
          </cell>
        </row>
        <row r="2071">
          <cell r="C2071" t="str">
            <v>NMĐ MT Xuân Thiện Thuận Bắc GĐ1 MBA T1 (phía 35kV)</v>
          </cell>
          <cell r="D2071">
            <v>331</v>
          </cell>
          <cell r="E2071">
            <v>-5.7</v>
          </cell>
          <cell r="F2071">
            <v>-26.8</v>
          </cell>
          <cell r="G2071">
            <v>-26.8</v>
          </cell>
          <cell r="H2071">
            <v>10</v>
          </cell>
          <cell r="I2071">
            <v>7.9</v>
          </cell>
          <cell r="J2071">
            <v>-10</v>
          </cell>
          <cell r="K2071">
            <v>-6.1</v>
          </cell>
          <cell r="L2071">
            <v>-5.7</v>
          </cell>
          <cell r="M2071">
            <v>11.5</v>
          </cell>
        </row>
        <row r="2072">
          <cell r="C2072" t="str">
            <v>NMĐ MT Xuân Thiện Thuận Bắc GĐ2 MBA T2 (phía 220kV)</v>
          </cell>
          <cell r="D2072">
            <v>232</v>
          </cell>
          <cell r="E2072">
            <v>0.4</v>
          </cell>
          <cell r="F2072">
            <v>9</v>
          </cell>
          <cell r="G2072">
            <v>9</v>
          </cell>
          <cell r="H2072">
            <v>6.3</v>
          </cell>
          <cell r="I2072">
            <v>4.7</v>
          </cell>
          <cell r="J2072">
            <v>4.9000000000000004</v>
          </cell>
          <cell r="K2072">
            <v>3.7</v>
          </cell>
          <cell r="L2072">
            <v>4.7</v>
          </cell>
          <cell r="M2072">
            <v>0.4</v>
          </cell>
        </row>
        <row r="2073">
          <cell r="C2073" t="str">
            <v>NMĐ MT Xuân Thiện Thuận Bắc GĐ2 MBA T2 (phía 35kV)</v>
          </cell>
          <cell r="D2073">
            <v>332</v>
          </cell>
          <cell r="E2073">
            <v>-3.6</v>
          </cell>
          <cell r="F2073">
            <v>5.9</v>
          </cell>
          <cell r="G2073">
            <v>-4.2</v>
          </cell>
          <cell r="H2073">
            <v>-4.7</v>
          </cell>
          <cell r="I2073">
            <v>4.2</v>
          </cell>
          <cell r="J2073">
            <v>5.2</v>
          </cell>
          <cell r="K2073">
            <v>-3.6</v>
          </cell>
          <cell r="L2073">
            <v>-4.8</v>
          </cell>
          <cell r="M2073">
            <v>5.9</v>
          </cell>
        </row>
        <row r="2074">
          <cell r="C2074" t="str">
            <v>NMĐ Nhơn Trạch 1 &amp; 2 MBA T1 (phía 220kV)</v>
          </cell>
          <cell r="D2074">
            <v>231</v>
          </cell>
          <cell r="E2074">
            <v>1.8</v>
          </cell>
          <cell r="F2074">
            <v>-52.7</v>
          </cell>
          <cell r="G2074">
            <v>2.1</v>
          </cell>
          <cell r="H2074">
            <v>2.1</v>
          </cell>
          <cell r="I2074">
            <v>2.1</v>
          </cell>
          <cell r="J2074">
            <v>2.1</v>
          </cell>
          <cell r="K2074">
            <v>1.8</v>
          </cell>
          <cell r="L2074">
            <v>-52.7</v>
          </cell>
          <cell r="M2074">
            <v>-47.6</v>
          </cell>
        </row>
        <row r="2075">
          <cell r="C2075" t="str">
            <v>NMĐ Nhơn Trạch 1 &amp; 2 MBA T2 (phía 220kV)</v>
          </cell>
          <cell r="D2075">
            <v>232</v>
          </cell>
          <cell r="E2075">
            <v>0.4</v>
          </cell>
          <cell r="F2075">
            <v>-58.2</v>
          </cell>
          <cell r="G2075">
            <v>-55.1</v>
          </cell>
          <cell r="H2075">
            <v>-50.3</v>
          </cell>
          <cell r="I2075">
            <v>-58.2</v>
          </cell>
          <cell r="J2075">
            <v>-9.8000000000000007</v>
          </cell>
          <cell r="K2075">
            <v>0.4</v>
          </cell>
          <cell r="L2075">
            <v>1.7</v>
          </cell>
          <cell r="M2075">
            <v>1.7</v>
          </cell>
        </row>
        <row r="2076">
          <cell r="C2076" t="str">
            <v>NMĐ Nhơn Trạch 1 &amp; 2 MBA T3 (phía 220kV)</v>
          </cell>
          <cell r="D2076">
            <v>233</v>
          </cell>
          <cell r="E2076">
            <v>1.1000000000000001</v>
          </cell>
          <cell r="F2076">
            <v>-66</v>
          </cell>
          <cell r="G2076">
            <v>-62.3</v>
          </cell>
          <cell r="H2076">
            <v>-64.400000000000006</v>
          </cell>
          <cell r="I2076">
            <v>-66</v>
          </cell>
          <cell r="J2076">
            <v>-3</v>
          </cell>
          <cell r="K2076">
            <v>1.1000000000000001</v>
          </cell>
          <cell r="L2076">
            <v>-62</v>
          </cell>
          <cell r="M2076">
            <v>-62.6</v>
          </cell>
        </row>
        <row r="2077">
          <cell r="C2077" t="str">
            <v>NMĐ Nhơn Trạch 1 &amp; 2 MBA T4 (phía 220kV)</v>
          </cell>
          <cell r="D2077">
            <v>234</v>
          </cell>
          <cell r="E2077">
            <v>0</v>
          </cell>
          <cell r="F2077">
            <v>0</v>
          </cell>
          <cell r="G2077">
            <v>0</v>
          </cell>
          <cell r="H2077">
            <v>0</v>
          </cell>
          <cell r="I2077">
            <v>0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</row>
        <row r="2078">
          <cell r="C2078" t="str">
            <v>NMĐ Nhơn Trạch 1 &amp; 2 MBA T5 (phía 220kV)</v>
          </cell>
          <cell r="D2078">
            <v>235</v>
          </cell>
          <cell r="E2078">
            <v>1</v>
          </cell>
          <cell r="F2078">
            <v>1</v>
          </cell>
          <cell r="G2078">
            <v>1</v>
          </cell>
          <cell r="H2078">
            <v>1</v>
          </cell>
          <cell r="I2078">
            <v>1</v>
          </cell>
          <cell r="J2078">
            <v>1</v>
          </cell>
          <cell r="K2078">
            <v>1</v>
          </cell>
          <cell r="L2078">
            <v>1</v>
          </cell>
          <cell r="M2078">
            <v>1</v>
          </cell>
        </row>
        <row r="2079">
          <cell r="C2079" t="str">
            <v>NMĐ Nhơn Trạch 1 &amp; 2 MBA T6 (phía 220kV)</v>
          </cell>
          <cell r="D2079">
            <v>236</v>
          </cell>
          <cell r="E2079">
            <v>0.4</v>
          </cell>
          <cell r="F2079">
            <v>0.4</v>
          </cell>
          <cell r="G2079">
            <v>0.4</v>
          </cell>
          <cell r="H2079">
            <v>0.4</v>
          </cell>
          <cell r="I2079">
            <v>0.4</v>
          </cell>
          <cell r="J2079">
            <v>0.4</v>
          </cell>
          <cell r="K2079">
            <v>0.4</v>
          </cell>
          <cell r="L2079">
            <v>0.4</v>
          </cell>
          <cell r="M2079">
            <v>0.4</v>
          </cell>
        </row>
        <row r="2080">
          <cell r="C2080" t="str">
            <v>220kV 271 NMĐ Nhơn Trạch 1 &amp; 2 - 273 Nhà Bè</v>
          </cell>
          <cell r="D2080">
            <v>271</v>
          </cell>
          <cell r="E2080">
            <v>-45.4</v>
          </cell>
          <cell r="F2080">
            <v>-61.7</v>
          </cell>
          <cell r="G2080">
            <v>-60.9</v>
          </cell>
          <cell r="H2080">
            <v>-45.4</v>
          </cell>
          <cell r="I2080">
            <v>-61.1</v>
          </cell>
          <cell r="J2080">
            <v>-50.9</v>
          </cell>
          <cell r="K2080">
            <v>-56</v>
          </cell>
          <cell r="L2080">
            <v>-61.7</v>
          </cell>
          <cell r="M2080">
            <v>-48.5</v>
          </cell>
        </row>
        <row r="2081">
          <cell r="C2081" t="str">
            <v>220kV 272 NMĐ Nhơn Trạch 1 &amp; 2 - 274 Nhà Bè</v>
          </cell>
          <cell r="D2081">
            <v>272</v>
          </cell>
          <cell r="E2081">
            <v>-40</v>
          </cell>
          <cell r="F2081">
            <v>-59.7</v>
          </cell>
          <cell r="G2081">
            <v>-52.4</v>
          </cell>
          <cell r="H2081">
            <v>-40</v>
          </cell>
          <cell r="I2081">
            <v>-52.2</v>
          </cell>
          <cell r="J2081">
            <v>-52.6</v>
          </cell>
          <cell r="K2081">
            <v>-56</v>
          </cell>
          <cell r="L2081">
            <v>-59.7</v>
          </cell>
          <cell r="M2081">
            <v>-47.3</v>
          </cell>
        </row>
        <row r="2082">
          <cell r="C2082" t="str">
            <v>220kV 273 NMĐ Nhơn Trạch 1 &amp; 2 - 273 Cát Lái</v>
          </cell>
          <cell r="D2082">
            <v>273</v>
          </cell>
          <cell r="E2082">
            <v>19.5</v>
          </cell>
          <cell r="F2082">
            <v>27.1</v>
          </cell>
          <cell r="G2082">
            <v>-20.399999999999999</v>
          </cell>
          <cell r="H2082">
            <v>19.5</v>
          </cell>
          <cell r="I2082">
            <v>26.1</v>
          </cell>
          <cell r="J2082">
            <v>-22.6</v>
          </cell>
          <cell r="K2082">
            <v>-23.5</v>
          </cell>
          <cell r="L2082">
            <v>-21.3</v>
          </cell>
          <cell r="M2082">
            <v>27.1</v>
          </cell>
        </row>
        <row r="2083">
          <cell r="C2083" t="str">
            <v>220kV 274 NMĐ Nhơn Trạch 1 &amp; 2 - 274 Cát Lái</v>
          </cell>
          <cell r="D2083">
            <v>274</v>
          </cell>
          <cell r="E2083">
            <v>19.600000000000001</v>
          </cell>
          <cell r="F2083">
            <v>27.3</v>
          </cell>
          <cell r="G2083">
            <v>-21.2</v>
          </cell>
          <cell r="H2083">
            <v>19.600000000000001</v>
          </cell>
          <cell r="I2083">
            <v>26.2</v>
          </cell>
          <cell r="J2083">
            <v>-22.7</v>
          </cell>
          <cell r="K2083">
            <v>-23.2</v>
          </cell>
          <cell r="L2083">
            <v>-21.2</v>
          </cell>
          <cell r="M2083">
            <v>27.3</v>
          </cell>
        </row>
        <row r="2084">
          <cell r="C2084" t="str">
            <v>220kV 275 NMĐ Nhơn Trạch 1 &amp; 2 - 273 Bàu Sen</v>
          </cell>
          <cell r="D2084">
            <v>275</v>
          </cell>
          <cell r="E2084">
            <v>51.7</v>
          </cell>
          <cell r="F2084">
            <v>62.1</v>
          </cell>
          <cell r="G2084">
            <v>60.9</v>
          </cell>
          <cell r="H2084">
            <v>54.2</v>
          </cell>
          <cell r="I2084">
            <v>53.9</v>
          </cell>
          <cell r="J2084">
            <v>51.7</v>
          </cell>
          <cell r="K2084">
            <v>58.5</v>
          </cell>
          <cell r="L2084">
            <v>61.7</v>
          </cell>
          <cell r="M2084">
            <v>62.1</v>
          </cell>
        </row>
        <row r="2085">
          <cell r="C2085" t="str">
            <v>220kV 276 NMĐ Nhơn Trạch 1 &amp; 2 - 274 Bàu Sen</v>
          </cell>
          <cell r="D2085">
            <v>276</v>
          </cell>
          <cell r="E2085">
            <v>52.1</v>
          </cell>
          <cell r="F2085">
            <v>61.9</v>
          </cell>
          <cell r="G2085">
            <v>61.7</v>
          </cell>
          <cell r="H2085">
            <v>53.5</v>
          </cell>
          <cell r="I2085">
            <v>53.9</v>
          </cell>
          <cell r="J2085">
            <v>52.1</v>
          </cell>
          <cell r="K2085">
            <v>58.5</v>
          </cell>
          <cell r="L2085">
            <v>61.6</v>
          </cell>
          <cell r="M2085">
            <v>61.9</v>
          </cell>
        </row>
        <row r="2086">
          <cell r="C2086" t="str">
            <v>NMĐ Phú Mỹ 1 MBA T5 (phía 110kV)</v>
          </cell>
          <cell r="D2086">
            <v>135</v>
          </cell>
          <cell r="E2086">
            <v>30.3</v>
          </cell>
          <cell r="F2086">
            <v>70</v>
          </cell>
          <cell r="G2086">
            <v>50.5</v>
          </cell>
          <cell r="H2086">
            <v>67.2</v>
          </cell>
          <cell r="I2086">
            <v>44.2</v>
          </cell>
          <cell r="J2086">
            <v>30.3</v>
          </cell>
          <cell r="K2086">
            <v>65.5</v>
          </cell>
          <cell r="L2086">
            <v>52</v>
          </cell>
          <cell r="M2086">
            <v>70</v>
          </cell>
        </row>
        <row r="2087">
          <cell r="C2087" t="str">
            <v>NMĐ Phú Mỹ 1 MBA T6 (phía 110kV)</v>
          </cell>
          <cell r="D2087">
            <v>136</v>
          </cell>
          <cell r="E2087">
            <v>30.1</v>
          </cell>
          <cell r="F2087">
            <v>70.8</v>
          </cell>
          <cell r="G2087">
            <v>49.9</v>
          </cell>
          <cell r="H2087">
            <v>64.599999999999994</v>
          </cell>
          <cell r="I2087">
            <v>43.1</v>
          </cell>
          <cell r="J2087">
            <v>30.1</v>
          </cell>
          <cell r="K2087">
            <v>65.7</v>
          </cell>
          <cell r="L2087">
            <v>51.4</v>
          </cell>
          <cell r="M2087">
            <v>70.8</v>
          </cell>
        </row>
        <row r="2088">
          <cell r="C2088" t="str">
            <v>110kV 171 NMĐ Phú Mỹ 1 - 171 Pomina 2</v>
          </cell>
          <cell r="D2088">
            <v>171</v>
          </cell>
          <cell r="E2088">
            <v>-11.5</v>
          </cell>
          <cell r="F2088">
            <v>-44.1</v>
          </cell>
          <cell r="G2088">
            <v>-30.9</v>
          </cell>
          <cell r="H2088">
            <v>-44.1</v>
          </cell>
          <cell r="I2088">
            <v>-34.200000000000003</v>
          </cell>
          <cell r="J2088">
            <v>-11.5</v>
          </cell>
          <cell r="K2088">
            <v>-37.9</v>
          </cell>
          <cell r="L2088">
            <v>-28.4</v>
          </cell>
          <cell r="M2088">
            <v>-34.299999999999997</v>
          </cell>
        </row>
        <row r="2089">
          <cell r="C2089" t="str">
            <v>110kV 172 NMĐ Phú Mỹ 1 - 171 Pos-Vina</v>
          </cell>
          <cell r="D2089">
            <v>172</v>
          </cell>
          <cell r="E2089">
            <v>-10.7</v>
          </cell>
          <cell r="F2089">
            <v>-16.7</v>
          </cell>
          <cell r="G2089">
            <v>-12.3</v>
          </cell>
          <cell r="H2089">
            <v>-16.7</v>
          </cell>
          <cell r="I2089">
            <v>-10.7</v>
          </cell>
          <cell r="J2089">
            <v>13.2</v>
          </cell>
          <cell r="K2089">
            <v>-12.9</v>
          </cell>
          <cell r="L2089">
            <v>-12.4</v>
          </cell>
          <cell r="M2089">
            <v>-12.6</v>
          </cell>
        </row>
        <row r="2090">
          <cell r="C2090" t="str">
            <v>110kV 173 NMĐ Phú Mỹ 1 - 171 Phú Mỹ</v>
          </cell>
          <cell r="D2090">
            <v>173</v>
          </cell>
          <cell r="E2090">
            <v>-16.8</v>
          </cell>
          <cell r="F2090">
            <v>-29.6</v>
          </cell>
          <cell r="G2090">
            <v>-26</v>
          </cell>
          <cell r="H2090">
            <v>-16.8</v>
          </cell>
          <cell r="I2090">
            <v>-25.5</v>
          </cell>
          <cell r="J2090">
            <v>-29.6</v>
          </cell>
          <cell r="K2090">
            <v>-23.6</v>
          </cell>
          <cell r="L2090">
            <v>-21.8</v>
          </cell>
          <cell r="M2090">
            <v>-24</v>
          </cell>
        </row>
        <row r="2091">
          <cell r="C2091" t="str">
            <v>110kV 174 NMĐ Phú Mỹ 1 - 173 NMĐ Bà Rịa</v>
          </cell>
          <cell r="D2091">
            <v>174</v>
          </cell>
          <cell r="E2091">
            <v>-27.1</v>
          </cell>
          <cell r="F2091">
            <v>-35.299999999999997</v>
          </cell>
          <cell r="G2091">
            <v>-33.200000000000003</v>
          </cell>
          <cell r="H2091">
            <v>-27.1</v>
          </cell>
          <cell r="I2091">
            <v>-35.299999999999997</v>
          </cell>
          <cell r="J2091">
            <v>-32.799999999999997</v>
          </cell>
          <cell r="K2091">
            <v>-29.8</v>
          </cell>
          <cell r="L2091">
            <v>-27.4</v>
          </cell>
          <cell r="M2091">
            <v>-32.4</v>
          </cell>
        </row>
        <row r="2092">
          <cell r="C2092" t="str">
            <v>110kV 175 NMĐ Phú Mỹ 1 - 172 Đồng Tiến</v>
          </cell>
          <cell r="D2092">
            <v>175</v>
          </cell>
          <cell r="E2092">
            <v>0</v>
          </cell>
          <cell r="F2092">
            <v>0</v>
          </cell>
          <cell r="G2092">
            <v>0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</row>
        <row r="2093">
          <cell r="C2093" t="str">
            <v>110kV 176 NMĐ Phú Mỹ 1 - 171 Mỹ Xuân A</v>
          </cell>
          <cell r="D2093">
            <v>176</v>
          </cell>
          <cell r="E2093">
            <v>8.4</v>
          </cell>
          <cell r="F2093">
            <v>11.3</v>
          </cell>
          <cell r="G2093">
            <v>10.199999999999999</v>
          </cell>
          <cell r="H2093">
            <v>11</v>
          </cell>
          <cell r="I2093">
            <v>10.5</v>
          </cell>
          <cell r="J2093">
            <v>9.1</v>
          </cell>
          <cell r="K2093">
            <v>11.3</v>
          </cell>
          <cell r="L2093">
            <v>8.4</v>
          </cell>
          <cell r="M2093">
            <v>10.199999999999999</v>
          </cell>
        </row>
        <row r="2094">
          <cell r="C2094" t="str">
            <v>110kV 177 NMĐ Phú Mỹ 1 - 171 Vina Kyoei</v>
          </cell>
          <cell r="D2094">
            <v>177</v>
          </cell>
          <cell r="E2094">
            <v>23.2</v>
          </cell>
          <cell r="F2094">
            <v>45.7</v>
          </cell>
          <cell r="G2094">
            <v>37</v>
          </cell>
          <cell r="H2094">
            <v>32.1</v>
          </cell>
          <cell r="I2094">
            <v>39.299999999999997</v>
          </cell>
          <cell r="J2094">
            <v>39.700000000000003</v>
          </cell>
          <cell r="K2094">
            <v>45.7</v>
          </cell>
          <cell r="L2094">
            <v>23.2</v>
          </cell>
          <cell r="M2094">
            <v>28.9</v>
          </cell>
        </row>
        <row r="2095">
          <cell r="C2095" t="str">
            <v>110kV 178 NMĐ Phú Mỹ 1 - 171 Thép Việt</v>
          </cell>
          <cell r="D2095">
            <v>178</v>
          </cell>
          <cell r="E2095">
            <v>0</v>
          </cell>
          <cell r="F2095">
            <v>8.4</v>
          </cell>
          <cell r="G2095">
            <v>8.4</v>
          </cell>
          <cell r="H2095">
            <v>6.1</v>
          </cell>
          <cell r="I2095">
            <v>0</v>
          </cell>
          <cell r="J2095">
            <v>6.2</v>
          </cell>
          <cell r="K2095">
            <v>8.3000000000000007</v>
          </cell>
          <cell r="L2095">
            <v>0.4</v>
          </cell>
          <cell r="M2095">
            <v>3</v>
          </cell>
        </row>
        <row r="2096">
          <cell r="C2096" t="str">
            <v>NMĐ Phú Mỹ 1 MBA T5 (phía 220kV)</v>
          </cell>
          <cell r="D2096">
            <v>235</v>
          </cell>
          <cell r="E2096">
            <v>-22.4</v>
          </cell>
          <cell r="F2096">
            <v>-61.3</v>
          </cell>
          <cell r="G2096">
            <v>-47.6</v>
          </cell>
          <cell r="H2096">
            <v>-61.3</v>
          </cell>
          <cell r="I2096">
            <v>-38.1</v>
          </cell>
          <cell r="J2096">
            <v>-22.4</v>
          </cell>
          <cell r="K2096">
            <v>-56.2</v>
          </cell>
          <cell r="L2096">
            <v>-48.5</v>
          </cell>
          <cell r="M2096">
            <v>-59.7</v>
          </cell>
        </row>
        <row r="2097">
          <cell r="C2097" t="str">
            <v>NMĐ Phú Mỹ 1 MBA T6 (phía 220kV)</v>
          </cell>
          <cell r="D2097">
            <v>236</v>
          </cell>
          <cell r="E2097">
            <v>-26.4</v>
          </cell>
          <cell r="F2097">
            <v>-65.900000000000006</v>
          </cell>
          <cell r="G2097">
            <v>-48.5</v>
          </cell>
          <cell r="H2097">
            <v>-62.8</v>
          </cell>
          <cell r="I2097">
            <v>-41</v>
          </cell>
          <cell r="J2097">
            <v>-26.4</v>
          </cell>
          <cell r="K2097">
            <v>-60.4</v>
          </cell>
          <cell r="L2097">
            <v>-49.5</v>
          </cell>
          <cell r="M2097">
            <v>-65.900000000000006</v>
          </cell>
        </row>
        <row r="2098">
          <cell r="C2098" t="str">
            <v>220kV 271 NMĐ Phú Mỹ 1 - 271 Tân Thành</v>
          </cell>
          <cell r="D2098">
            <v>271</v>
          </cell>
          <cell r="E2098">
            <v>68.8</v>
          </cell>
          <cell r="F2098">
            <v>122.7</v>
          </cell>
          <cell r="G2098">
            <v>75.7</v>
          </cell>
          <cell r="H2098">
            <v>108.7</v>
          </cell>
          <cell r="I2098">
            <v>68.8</v>
          </cell>
          <cell r="J2098">
            <v>78.5</v>
          </cell>
          <cell r="K2098">
            <v>105.8</v>
          </cell>
          <cell r="L2098">
            <v>73.099999999999994</v>
          </cell>
          <cell r="M2098">
            <v>122.7</v>
          </cell>
        </row>
        <row r="2099">
          <cell r="C2099" t="str">
            <v>220kV 272 NMĐ Phú Mỹ 1 - 273 Tân Thành</v>
          </cell>
          <cell r="D2099">
            <v>272</v>
          </cell>
          <cell r="E2099">
            <v>68.099999999999994</v>
          </cell>
          <cell r="F2099">
            <v>121.5</v>
          </cell>
          <cell r="G2099">
            <v>76.3</v>
          </cell>
          <cell r="H2099">
            <v>109.3</v>
          </cell>
          <cell r="I2099">
            <v>68.099999999999994</v>
          </cell>
          <cell r="J2099">
            <v>77.900000000000006</v>
          </cell>
          <cell r="K2099">
            <v>113.4</v>
          </cell>
          <cell r="L2099">
            <v>69.099999999999994</v>
          </cell>
          <cell r="M2099">
            <v>121.5</v>
          </cell>
        </row>
        <row r="2100">
          <cell r="C2100" t="str">
            <v>220kV 273 NMĐ Phú Mỹ 1 - 277 Long Thành</v>
          </cell>
          <cell r="D2100">
            <v>273</v>
          </cell>
          <cell r="E2100">
            <v>19.100000000000001</v>
          </cell>
          <cell r="F2100">
            <v>44.9</v>
          </cell>
          <cell r="G2100">
            <v>22.6</v>
          </cell>
          <cell r="H2100">
            <v>33.1</v>
          </cell>
          <cell r="I2100">
            <v>33.1</v>
          </cell>
          <cell r="J2100">
            <v>19.100000000000001</v>
          </cell>
          <cell r="K2100">
            <v>41.4</v>
          </cell>
          <cell r="L2100">
            <v>44.9</v>
          </cell>
          <cell r="M2100">
            <v>33.4</v>
          </cell>
        </row>
        <row r="2101">
          <cell r="C2101" t="str">
            <v>220kV 274 NMĐ Phú Mỹ 1 - 273 Mỹ Xuân 2</v>
          </cell>
          <cell r="D2101">
            <v>274</v>
          </cell>
          <cell r="E2101">
            <v>65.8</v>
          </cell>
          <cell r="F2101">
            <v>104.7</v>
          </cell>
          <cell r="G2101">
            <v>104.7</v>
          </cell>
          <cell r="H2101">
            <v>97.9</v>
          </cell>
          <cell r="I2101">
            <v>104.6</v>
          </cell>
          <cell r="J2101">
            <v>65.8</v>
          </cell>
          <cell r="K2101">
            <v>100.5</v>
          </cell>
          <cell r="L2101">
            <v>91.7</v>
          </cell>
          <cell r="M2101">
            <v>80.8</v>
          </cell>
        </row>
        <row r="2102">
          <cell r="C2102" t="str">
            <v>220kV 275 NMĐ Phú Mỹ 1 - 274 Mỹ Xuân 2</v>
          </cell>
          <cell r="D2102">
            <v>275</v>
          </cell>
          <cell r="E2102">
            <v>65.599999999999994</v>
          </cell>
          <cell r="F2102">
            <v>104.5</v>
          </cell>
          <cell r="G2102">
            <v>104.5</v>
          </cell>
          <cell r="H2102">
            <v>97.7</v>
          </cell>
          <cell r="I2102">
            <v>104.1</v>
          </cell>
          <cell r="J2102">
            <v>65.599999999999994</v>
          </cell>
          <cell r="K2102">
            <v>100.5</v>
          </cell>
          <cell r="L2102">
            <v>91.5</v>
          </cell>
          <cell r="M2102">
            <v>81.2</v>
          </cell>
        </row>
        <row r="2103">
          <cell r="C2103" t="str">
            <v>220kV 276 NMĐ Phú Mỹ 1 - 271 Nhà Bè</v>
          </cell>
          <cell r="D2103">
            <v>276</v>
          </cell>
          <cell r="E2103">
            <v>29.8</v>
          </cell>
          <cell r="F2103">
            <v>47.4</v>
          </cell>
          <cell r="G2103">
            <v>47.4</v>
          </cell>
          <cell r="H2103">
            <v>40.299999999999997</v>
          </cell>
          <cell r="I2103">
            <v>47.3</v>
          </cell>
          <cell r="J2103">
            <v>-41.1</v>
          </cell>
          <cell r="K2103">
            <v>36</v>
          </cell>
          <cell r="L2103">
            <v>29.8</v>
          </cell>
          <cell r="M2103">
            <v>37.1</v>
          </cell>
        </row>
        <row r="2104">
          <cell r="C2104" t="str">
            <v>220kV 277 NMĐ Phú Mỹ 1 - 272 Nhà Bè</v>
          </cell>
          <cell r="D2104">
            <v>277</v>
          </cell>
          <cell r="E2104">
            <v>32.6</v>
          </cell>
          <cell r="F2104">
            <v>48.2</v>
          </cell>
          <cell r="G2104">
            <v>44.9</v>
          </cell>
          <cell r="H2104">
            <v>39.700000000000003</v>
          </cell>
          <cell r="I2104">
            <v>48.2</v>
          </cell>
          <cell r="J2104">
            <v>-41.5</v>
          </cell>
          <cell r="K2104">
            <v>38.5</v>
          </cell>
          <cell r="L2104">
            <v>32.6</v>
          </cell>
          <cell r="M2104">
            <v>43</v>
          </cell>
        </row>
        <row r="2105">
          <cell r="C2105" t="str">
            <v>220kV 278 NMĐ Phú Mỹ 1 - 276 Mỹ Tho 500kV</v>
          </cell>
          <cell r="D2105">
            <v>278</v>
          </cell>
          <cell r="E2105">
            <v>-9.5</v>
          </cell>
          <cell r="F2105">
            <v>-31.9</v>
          </cell>
          <cell r="G2105">
            <v>-9.5</v>
          </cell>
          <cell r="H2105">
            <v>-17.8</v>
          </cell>
          <cell r="I2105">
            <v>-12.2</v>
          </cell>
          <cell r="J2105">
            <v>-24.5</v>
          </cell>
          <cell r="K2105">
            <v>-22.3</v>
          </cell>
          <cell r="L2105">
            <v>-31.5</v>
          </cell>
          <cell r="M2105">
            <v>-31.9</v>
          </cell>
        </row>
        <row r="2106">
          <cell r="C2106" t="str">
            <v>220kV 283 NMĐ Phú Mỹ 1 - 274 Cần Đước 2</v>
          </cell>
          <cell r="D2106">
            <v>283</v>
          </cell>
          <cell r="E2106">
            <v>19.100000000000001</v>
          </cell>
          <cell r="F2106">
            <v>-26.5</v>
          </cell>
          <cell r="G2106">
            <v>-19.600000000000001</v>
          </cell>
          <cell r="H2106">
            <v>19.100000000000001</v>
          </cell>
          <cell r="I2106">
            <v>22.1</v>
          </cell>
          <cell r="J2106">
            <v>-22.7</v>
          </cell>
          <cell r="K2106">
            <v>-23.2</v>
          </cell>
          <cell r="L2106">
            <v>-26.5</v>
          </cell>
          <cell r="M2106">
            <v>-22</v>
          </cell>
        </row>
        <row r="2107">
          <cell r="C2107" t="str">
            <v>220kV 284 NMĐ Phú Mỹ 1 - 278 Long Thành</v>
          </cell>
          <cell r="D2107">
            <v>284</v>
          </cell>
          <cell r="E2107">
            <v>37</v>
          </cell>
          <cell r="F2107">
            <v>56.4</v>
          </cell>
          <cell r="G2107">
            <v>51.6</v>
          </cell>
          <cell r="H2107">
            <v>51.9</v>
          </cell>
          <cell r="I2107">
            <v>56.4</v>
          </cell>
          <cell r="J2107">
            <v>37</v>
          </cell>
          <cell r="K2107">
            <v>52.4</v>
          </cell>
          <cell r="L2107">
            <v>56</v>
          </cell>
          <cell r="M2107">
            <v>44</v>
          </cell>
        </row>
        <row r="2108">
          <cell r="C2108" t="str">
            <v>220kV 285 NMĐ Phú Mỹ 1 - 272 NMĐ Phú Mỹ 2-1</v>
          </cell>
          <cell r="D2108">
            <v>285</v>
          </cell>
          <cell r="E2108">
            <v>-31.1</v>
          </cell>
          <cell r="F2108">
            <v>-57.1</v>
          </cell>
          <cell r="G2108">
            <v>-47.6</v>
          </cell>
          <cell r="H2108">
            <v>-46.6</v>
          </cell>
          <cell r="I2108">
            <v>-57.1</v>
          </cell>
          <cell r="J2108">
            <v>-31.1</v>
          </cell>
          <cell r="K2108">
            <v>-56.5</v>
          </cell>
          <cell r="L2108">
            <v>-53.3</v>
          </cell>
          <cell r="M2108">
            <v>-47.2</v>
          </cell>
        </row>
        <row r="2109">
          <cell r="C2109" t="str">
            <v>220kV 286 NMĐ Phú Mỹ 1 - 271 NMĐ Phú Mỹ 2-1</v>
          </cell>
          <cell r="D2109">
            <v>286</v>
          </cell>
          <cell r="E2109">
            <v>-82.9</v>
          </cell>
          <cell r="F2109">
            <v>-129.9</v>
          </cell>
          <cell r="G2109">
            <v>-103.9</v>
          </cell>
          <cell r="H2109">
            <v>-110</v>
          </cell>
          <cell r="I2109">
            <v>-111.7</v>
          </cell>
          <cell r="J2109">
            <v>-82.9</v>
          </cell>
          <cell r="K2109">
            <v>-129.9</v>
          </cell>
          <cell r="L2109">
            <v>-96.7</v>
          </cell>
          <cell r="M2109">
            <v>-125.8</v>
          </cell>
        </row>
        <row r="2110">
          <cell r="C2110" t="str">
            <v>NMĐ Phú Mỹ 2.1 MBA T1 (phía 220kV)</v>
          </cell>
          <cell r="D2110">
            <v>231</v>
          </cell>
          <cell r="E2110">
            <v>30</v>
          </cell>
          <cell r="F2110">
            <v>54.4</v>
          </cell>
          <cell r="G2110">
            <v>48.2</v>
          </cell>
          <cell r="H2110">
            <v>46.5</v>
          </cell>
          <cell r="I2110">
            <v>52.2</v>
          </cell>
          <cell r="J2110">
            <v>30</v>
          </cell>
          <cell r="K2110">
            <v>54.4</v>
          </cell>
          <cell r="L2110">
            <v>51.6</v>
          </cell>
          <cell r="M2110">
            <v>46.7</v>
          </cell>
        </row>
        <row r="2111">
          <cell r="C2111" t="str">
            <v>NMĐ Phú Mỹ 2.1 MBA T2 (phía 220kV)</v>
          </cell>
          <cell r="D2111">
            <v>232</v>
          </cell>
          <cell r="E2111">
            <v>44.7</v>
          </cell>
          <cell r="F2111">
            <v>72.900000000000006</v>
          </cell>
          <cell r="G2111">
            <v>58.8</v>
          </cell>
          <cell r="H2111">
            <v>61</v>
          </cell>
          <cell r="I2111">
            <v>53.8</v>
          </cell>
          <cell r="J2111">
            <v>44.7</v>
          </cell>
          <cell r="K2111">
            <v>72.900000000000006</v>
          </cell>
          <cell r="L2111">
            <v>48.5</v>
          </cell>
          <cell r="M2111">
            <v>61.5</v>
          </cell>
        </row>
        <row r="2112">
          <cell r="C2112" t="str">
            <v>NMĐ Phú Mỹ 2.1 MBA T3 (phía 220kV)</v>
          </cell>
          <cell r="D2112">
            <v>233</v>
          </cell>
          <cell r="E2112">
            <v>30.4</v>
          </cell>
          <cell r="F2112">
            <v>58.8</v>
          </cell>
          <cell r="G2112">
            <v>44.7</v>
          </cell>
          <cell r="H2112">
            <v>46.9</v>
          </cell>
          <cell r="I2112">
            <v>40.700000000000003</v>
          </cell>
          <cell r="J2112">
            <v>30.4</v>
          </cell>
          <cell r="K2112">
            <v>57</v>
          </cell>
          <cell r="L2112">
            <v>37.5</v>
          </cell>
          <cell r="M2112">
            <v>58.8</v>
          </cell>
        </row>
        <row r="2113">
          <cell r="C2113" t="str">
            <v>NMĐ Phú Mỹ 2.1 MBA T4 (phía 220kV)</v>
          </cell>
          <cell r="D2113">
            <v>234</v>
          </cell>
          <cell r="E2113">
            <v>-1.1000000000000001</v>
          </cell>
          <cell r="F2113">
            <v>-1.5</v>
          </cell>
          <cell r="G2113">
            <v>-1.3</v>
          </cell>
          <cell r="H2113">
            <v>-1.5</v>
          </cell>
          <cell r="I2113">
            <v>-1.3</v>
          </cell>
          <cell r="J2113">
            <v>-1.5</v>
          </cell>
          <cell r="K2113">
            <v>-1.3</v>
          </cell>
          <cell r="L2113">
            <v>-1.1000000000000001</v>
          </cell>
          <cell r="M2113">
            <v>-1.3</v>
          </cell>
        </row>
        <row r="2114">
          <cell r="C2114" t="str">
            <v>NMĐ Phú Mỹ 2.1 MBA T5 (phía 220kV)</v>
          </cell>
          <cell r="D2114">
            <v>235</v>
          </cell>
          <cell r="E2114">
            <v>0.6</v>
          </cell>
          <cell r="F2114">
            <v>1.1000000000000001</v>
          </cell>
          <cell r="G2114">
            <v>0.6</v>
          </cell>
          <cell r="H2114">
            <v>1.1000000000000001</v>
          </cell>
          <cell r="I2114">
            <v>0.6</v>
          </cell>
          <cell r="J2114">
            <v>-0.9</v>
          </cell>
          <cell r="K2114">
            <v>0.9</v>
          </cell>
          <cell r="L2114">
            <v>0.6</v>
          </cell>
          <cell r="M2114">
            <v>1.1000000000000001</v>
          </cell>
        </row>
        <row r="2115">
          <cell r="C2115" t="str">
            <v>NMĐ Phú Mỹ 2.1 MBA T6 (phía 220kV)</v>
          </cell>
          <cell r="D2115">
            <v>236</v>
          </cell>
          <cell r="E2115">
            <v>0.4</v>
          </cell>
          <cell r="F2115">
            <v>1</v>
          </cell>
          <cell r="G2115">
            <v>0.4</v>
          </cell>
          <cell r="H2115">
            <v>0.6</v>
          </cell>
          <cell r="I2115">
            <v>1</v>
          </cell>
          <cell r="J2115">
            <v>1</v>
          </cell>
          <cell r="K2115">
            <v>0.6</v>
          </cell>
          <cell r="L2115">
            <v>0.6</v>
          </cell>
          <cell r="M2115">
            <v>0.6</v>
          </cell>
        </row>
        <row r="2116">
          <cell r="C2116" t="str">
            <v>220kV 271 NMĐ Phú Mỹ 2.1 - 286 NMĐ Phú Mỹ 1</v>
          </cell>
          <cell r="D2116">
            <v>271</v>
          </cell>
          <cell r="E2116">
            <v>76.900000000000006</v>
          </cell>
          <cell r="F2116">
            <v>127.7</v>
          </cell>
          <cell r="G2116">
            <v>105.4</v>
          </cell>
          <cell r="H2116">
            <v>106.9</v>
          </cell>
          <cell r="I2116">
            <v>95.4</v>
          </cell>
          <cell r="J2116">
            <v>76.900000000000006</v>
          </cell>
          <cell r="K2116">
            <v>127.7</v>
          </cell>
          <cell r="L2116">
            <v>88.5</v>
          </cell>
          <cell r="M2116">
            <v>120.8</v>
          </cell>
        </row>
        <row r="2117">
          <cell r="C2117" t="str">
            <v>220kV 272 NMĐ Phú Mỹ 2.1 - 285 NMĐ Phú Mỹ 1</v>
          </cell>
          <cell r="D2117">
            <v>272</v>
          </cell>
          <cell r="E2117">
            <v>33.9</v>
          </cell>
          <cell r="F2117">
            <v>57.7</v>
          </cell>
          <cell r="G2117">
            <v>50.8</v>
          </cell>
          <cell r="H2117">
            <v>48.5</v>
          </cell>
          <cell r="I2117">
            <v>53.1</v>
          </cell>
          <cell r="J2117">
            <v>33.9</v>
          </cell>
          <cell r="K2117">
            <v>57.7</v>
          </cell>
          <cell r="L2117">
            <v>53.9</v>
          </cell>
          <cell r="M2117">
            <v>50</v>
          </cell>
        </row>
        <row r="2118">
          <cell r="C2118" t="str">
            <v>NMĐ Srok Phu Miêng MBA T1 (phía 110kV)</v>
          </cell>
          <cell r="D2118">
            <v>131</v>
          </cell>
          <cell r="E2118">
            <v>0.7</v>
          </cell>
          <cell r="F2118">
            <v>-8.8000000000000007</v>
          </cell>
          <cell r="G2118">
            <v>0.7</v>
          </cell>
          <cell r="H2118">
            <v>-8.8000000000000007</v>
          </cell>
          <cell r="I2118">
            <v>1</v>
          </cell>
          <cell r="J2118">
            <v>1</v>
          </cell>
          <cell r="K2118">
            <v>0.9</v>
          </cell>
          <cell r="L2118">
            <v>1.1000000000000001</v>
          </cell>
          <cell r="M2118">
            <v>0.9</v>
          </cell>
        </row>
        <row r="2119">
          <cell r="C2119" t="str">
            <v>NMĐ Srok Phu Miêng MBA T2 (phía 110kV)</v>
          </cell>
          <cell r="D2119">
            <v>132</v>
          </cell>
          <cell r="E2119">
            <v>-0.8</v>
          </cell>
          <cell r="F2119">
            <v>1.6</v>
          </cell>
          <cell r="G2119">
            <v>0.9</v>
          </cell>
          <cell r="H2119">
            <v>-0.8</v>
          </cell>
          <cell r="I2119">
            <v>1.6</v>
          </cell>
          <cell r="J2119">
            <v>1.1000000000000001</v>
          </cell>
          <cell r="K2119">
            <v>1.2</v>
          </cell>
          <cell r="L2119">
            <v>1.2</v>
          </cell>
          <cell r="M2119">
            <v>1</v>
          </cell>
        </row>
        <row r="2120">
          <cell r="C2120" t="str">
            <v>110kV 171 NMĐ Srok Phu Miêng - 178 Bình Long 2</v>
          </cell>
          <cell r="D2120">
            <v>171</v>
          </cell>
          <cell r="E2120">
            <v>1.3</v>
          </cell>
          <cell r="F2120">
            <v>-8.8000000000000007</v>
          </cell>
          <cell r="G2120">
            <v>1.3</v>
          </cell>
          <cell r="H2120">
            <v>-8.8000000000000007</v>
          </cell>
          <cell r="I2120">
            <v>1.8</v>
          </cell>
          <cell r="J2120">
            <v>-8.3000000000000007</v>
          </cell>
          <cell r="K2120">
            <v>2.1</v>
          </cell>
          <cell r="L2120">
            <v>2.1</v>
          </cell>
          <cell r="M2120">
            <v>1.5</v>
          </cell>
        </row>
        <row r="2121">
          <cell r="C2121" t="str">
            <v>110kV 171 NMĐ Thác Mơ - 171 Phước Long</v>
          </cell>
          <cell r="D2121">
            <v>171</v>
          </cell>
          <cell r="E2121">
            <v>16.899999999999999</v>
          </cell>
          <cell r="F2121">
            <v>25</v>
          </cell>
          <cell r="G2121">
            <v>24.9</v>
          </cell>
          <cell r="H2121">
            <v>25</v>
          </cell>
          <cell r="I2121">
            <v>23.8</v>
          </cell>
          <cell r="J2121">
            <v>16.899999999999999</v>
          </cell>
          <cell r="K2121">
            <v>24.4</v>
          </cell>
          <cell r="L2121">
            <v>20.3</v>
          </cell>
          <cell r="M2121">
            <v>24.9</v>
          </cell>
        </row>
        <row r="2122">
          <cell r="C2122" t="str">
            <v>110kV 172 NMĐ Thác Mơ - 171 Bình Long 2</v>
          </cell>
          <cell r="D2122">
            <v>172</v>
          </cell>
          <cell r="E2122">
            <v>-8</v>
          </cell>
          <cell r="F2122">
            <v>-22.8</v>
          </cell>
          <cell r="G2122">
            <v>-22.8</v>
          </cell>
          <cell r="H2122">
            <v>-18.3</v>
          </cell>
          <cell r="I2122">
            <v>-21.1</v>
          </cell>
          <cell r="J2122">
            <v>-8</v>
          </cell>
          <cell r="K2122">
            <v>-21.8</v>
          </cell>
          <cell r="L2122">
            <v>-17.899999999999999</v>
          </cell>
          <cell r="M2122">
            <v>-18.399999999999999</v>
          </cell>
        </row>
        <row r="2123">
          <cell r="C2123" t="str">
            <v>110kV 173 NMĐ Thác Mơ - 171 Lộc Ninh</v>
          </cell>
          <cell r="D2123">
            <v>173</v>
          </cell>
          <cell r="E2123">
            <v>-8.3000000000000007</v>
          </cell>
          <cell r="F2123">
            <v>-21.8</v>
          </cell>
          <cell r="G2123">
            <v>-21.8</v>
          </cell>
          <cell r="H2123">
            <v>-18</v>
          </cell>
          <cell r="I2123">
            <v>-19.8</v>
          </cell>
          <cell r="J2123">
            <v>-8.3000000000000007</v>
          </cell>
          <cell r="K2123">
            <v>-20.3</v>
          </cell>
          <cell r="L2123">
            <v>-17.7</v>
          </cell>
          <cell r="M2123">
            <v>-18.3</v>
          </cell>
        </row>
        <row r="2124">
          <cell r="C2124" t="str">
            <v>110kV 174 NMĐ Thác Mơ - 171 Bù Đăng - 171 trạm cắt Đăk Glun</v>
          </cell>
          <cell r="D2124">
            <v>174</v>
          </cell>
          <cell r="E2124">
            <v>-4.7</v>
          </cell>
          <cell r="F2124">
            <v>-7.2</v>
          </cell>
          <cell r="G2124">
            <v>-4.8</v>
          </cell>
          <cell r="H2124">
            <v>-5.2</v>
          </cell>
          <cell r="I2124">
            <v>-4.7</v>
          </cell>
          <cell r="J2124">
            <v>-5.7</v>
          </cell>
          <cell r="K2124">
            <v>-5.8</v>
          </cell>
          <cell r="L2124">
            <v>-6.1</v>
          </cell>
          <cell r="M2124">
            <v>-7.2</v>
          </cell>
        </row>
        <row r="2125">
          <cell r="C2125" t="str">
            <v>NMĐ Thủ Đức MBA T1 (phía 110kV)</v>
          </cell>
          <cell r="D2125">
            <v>131</v>
          </cell>
          <cell r="E2125">
            <v>0</v>
          </cell>
          <cell r="F2125">
            <v>0</v>
          </cell>
          <cell r="G2125">
            <v>0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</row>
        <row r="2126">
          <cell r="C2126" t="str">
            <v>NMĐ Thủ Đức MBA T2 (phía 110kV)</v>
          </cell>
          <cell r="D2126">
            <v>132</v>
          </cell>
          <cell r="E2126">
            <v>0</v>
          </cell>
          <cell r="F2126">
            <v>0</v>
          </cell>
          <cell r="G2126">
            <v>0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</row>
        <row r="2127">
          <cell r="C2127" t="str">
            <v>NMĐ Thủ Đức MBA T3 (phía 110kV)</v>
          </cell>
          <cell r="D2127">
            <v>133</v>
          </cell>
          <cell r="E2127">
            <v>0</v>
          </cell>
          <cell r="F2127">
            <v>0</v>
          </cell>
          <cell r="G2127">
            <v>0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</row>
        <row r="2128">
          <cell r="C2128" t="str">
            <v>NMĐ Thủ Đức MBA T4 (phía 110kV)</v>
          </cell>
          <cell r="D2128">
            <v>134</v>
          </cell>
          <cell r="E2128">
            <v>0</v>
          </cell>
          <cell r="F2128">
            <v>0</v>
          </cell>
          <cell r="G2128">
            <v>0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</row>
        <row r="2129">
          <cell r="C2129" t="str">
            <v>NMĐ Thủ Đức MBA T5 (phía 110kV)</v>
          </cell>
          <cell r="D2129">
            <v>135</v>
          </cell>
          <cell r="E2129">
            <v>0</v>
          </cell>
          <cell r="F2129">
            <v>0</v>
          </cell>
          <cell r="G2129">
            <v>0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</row>
        <row r="2130">
          <cell r="C2130" t="str">
            <v>110kV 171 NMĐ Thủ Đức - 175 Thủ Đức</v>
          </cell>
          <cell r="D2130">
            <v>171</v>
          </cell>
          <cell r="E2130">
            <v>-1</v>
          </cell>
          <cell r="F2130">
            <v>3.8</v>
          </cell>
          <cell r="G2130">
            <v>2.2999999999999998</v>
          </cell>
          <cell r="H2130">
            <v>3.8</v>
          </cell>
          <cell r="I2130">
            <v>2.5</v>
          </cell>
          <cell r="J2130">
            <v>-1</v>
          </cell>
          <cell r="K2130">
            <v>1.8</v>
          </cell>
          <cell r="L2130">
            <v>2</v>
          </cell>
          <cell r="M2130">
            <v>2.2000000000000002</v>
          </cell>
        </row>
        <row r="2131">
          <cell r="C2131" t="str">
            <v>110kV 172 NMĐ Thủ Đức - 174 Thủ Đức</v>
          </cell>
          <cell r="D2131">
            <v>172</v>
          </cell>
          <cell r="E2131">
            <v>0.9</v>
          </cell>
          <cell r="F2131">
            <v>-3.8</v>
          </cell>
          <cell r="G2131">
            <v>-2</v>
          </cell>
          <cell r="H2131">
            <v>-3.8</v>
          </cell>
          <cell r="I2131">
            <v>-2.5</v>
          </cell>
          <cell r="J2131">
            <v>0.9</v>
          </cell>
          <cell r="K2131">
            <v>-1.8</v>
          </cell>
          <cell r="L2131">
            <v>-1.9</v>
          </cell>
          <cell r="M2131">
            <v>-2.1</v>
          </cell>
        </row>
        <row r="2132">
          <cell r="C2132" t="str">
            <v>NMĐ Trị An MBA AT8 (phía 110kV)</v>
          </cell>
          <cell r="D2132">
            <v>138</v>
          </cell>
          <cell r="E2132">
            <v>13.8</v>
          </cell>
          <cell r="F2132">
            <v>-21.4</v>
          </cell>
          <cell r="G2132">
            <v>-20.5</v>
          </cell>
          <cell r="H2132">
            <v>-21.4</v>
          </cell>
          <cell r="I2132">
            <v>-20.3</v>
          </cell>
          <cell r="J2132">
            <v>13.8</v>
          </cell>
          <cell r="K2132">
            <v>-18</v>
          </cell>
          <cell r="L2132">
            <v>-19.5</v>
          </cell>
          <cell r="M2132">
            <v>-20.100000000000001</v>
          </cell>
        </row>
        <row r="2133">
          <cell r="C2133" t="str">
            <v>NMĐ Trị An MBA AT9 (phía 110kV)</v>
          </cell>
          <cell r="D2133">
            <v>139</v>
          </cell>
          <cell r="E2133">
            <v>7.4</v>
          </cell>
          <cell r="F2133">
            <v>-21.2</v>
          </cell>
          <cell r="G2133">
            <v>-21.2</v>
          </cell>
          <cell r="H2133">
            <v>-21.1</v>
          </cell>
          <cell r="I2133">
            <v>-21</v>
          </cell>
          <cell r="J2133">
            <v>7.4</v>
          </cell>
          <cell r="K2133">
            <v>-17.5</v>
          </cell>
          <cell r="L2133">
            <v>-19.5</v>
          </cell>
          <cell r="M2133">
            <v>-20.5</v>
          </cell>
        </row>
        <row r="2134">
          <cell r="C2134" t="str">
            <v>110kV 171 NMĐ Trị An - 171 Phú Giáo</v>
          </cell>
          <cell r="D2134">
            <v>171</v>
          </cell>
          <cell r="E2134">
            <v>-7</v>
          </cell>
          <cell r="F2134">
            <v>14.2</v>
          </cell>
          <cell r="G2134">
            <v>13.1</v>
          </cell>
          <cell r="H2134">
            <v>13.9</v>
          </cell>
          <cell r="I2134">
            <v>13.1</v>
          </cell>
          <cell r="J2134">
            <v>-7</v>
          </cell>
          <cell r="K2134">
            <v>10.8</v>
          </cell>
          <cell r="L2134">
            <v>10.5</v>
          </cell>
          <cell r="M2134">
            <v>14.2</v>
          </cell>
        </row>
        <row r="2135">
          <cell r="C2135" t="str">
            <v>110kV 172 NMĐ Trị An - 171 Thạnh Phú</v>
          </cell>
          <cell r="D2135">
            <v>172</v>
          </cell>
          <cell r="E2135">
            <v>-7.4</v>
          </cell>
          <cell r="F2135">
            <v>30.2</v>
          </cell>
          <cell r="G2135">
            <v>29.8</v>
          </cell>
          <cell r="H2135">
            <v>30.2</v>
          </cell>
          <cell r="I2135">
            <v>26.7</v>
          </cell>
          <cell r="J2135">
            <v>-7.4</v>
          </cell>
          <cell r="K2135">
            <v>26</v>
          </cell>
          <cell r="L2135">
            <v>27.1</v>
          </cell>
          <cell r="M2135">
            <v>28</v>
          </cell>
        </row>
        <row r="2136">
          <cell r="C2136" t="str">
            <v>110kV 173 NMĐ Trị An - 173 Tân Hòa</v>
          </cell>
          <cell r="D2136">
            <v>173</v>
          </cell>
          <cell r="E2136">
            <v>0</v>
          </cell>
          <cell r="F2136">
            <v>0</v>
          </cell>
          <cell r="G2136">
            <v>0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</row>
        <row r="2137">
          <cell r="C2137" t="str">
            <v>110kV 175 NMĐ Trị An - 171 Vĩnh An</v>
          </cell>
          <cell r="D2137">
            <v>175</v>
          </cell>
          <cell r="E2137">
            <v>0</v>
          </cell>
          <cell r="F2137">
            <v>0</v>
          </cell>
          <cell r="G2137">
            <v>0</v>
          </cell>
          <cell r="H2137">
            <v>0</v>
          </cell>
          <cell r="I2137">
            <v>0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</row>
        <row r="2138">
          <cell r="C2138" t="str">
            <v>110kV 176 NMĐ Trị An - 171 Kiệm Tân</v>
          </cell>
          <cell r="D2138">
            <v>176</v>
          </cell>
          <cell r="E2138">
            <v>-4.8</v>
          </cell>
          <cell r="F2138">
            <v>-6.7</v>
          </cell>
          <cell r="G2138">
            <v>-6</v>
          </cell>
          <cell r="H2138">
            <v>-6.3</v>
          </cell>
          <cell r="I2138">
            <v>-4.8</v>
          </cell>
          <cell r="J2138">
            <v>-5.3</v>
          </cell>
          <cell r="K2138">
            <v>-6</v>
          </cell>
          <cell r="L2138">
            <v>-6.2</v>
          </cell>
          <cell r="M2138">
            <v>-6.7</v>
          </cell>
        </row>
        <row r="2139">
          <cell r="C2139" t="str">
            <v>NMĐ Trị An MBA T1 (phía 220kV)</v>
          </cell>
          <cell r="D2139">
            <v>231</v>
          </cell>
          <cell r="E2139">
            <v>-37.700000000000003</v>
          </cell>
          <cell r="F2139">
            <v>-55.9</v>
          </cell>
          <cell r="G2139">
            <v>-46.7</v>
          </cell>
          <cell r="H2139">
            <v>-46.5</v>
          </cell>
          <cell r="I2139">
            <v>-55.9</v>
          </cell>
          <cell r="J2139">
            <v>-37.700000000000003</v>
          </cell>
          <cell r="K2139">
            <v>-46.8</v>
          </cell>
          <cell r="L2139">
            <v>-52.8</v>
          </cell>
          <cell r="M2139">
            <v>-45.5</v>
          </cell>
        </row>
        <row r="2140">
          <cell r="C2140" t="str">
            <v>NMĐ Trị An MBA T2 (phía 220kV)</v>
          </cell>
          <cell r="D2140">
            <v>232</v>
          </cell>
          <cell r="E2140">
            <v>-35.6</v>
          </cell>
          <cell r="F2140">
            <v>-52.9</v>
          </cell>
          <cell r="G2140">
            <v>-46</v>
          </cell>
          <cell r="H2140">
            <v>-47.1</v>
          </cell>
          <cell r="I2140">
            <v>-52.9</v>
          </cell>
          <cell r="J2140">
            <v>-35.6</v>
          </cell>
          <cell r="K2140">
            <v>-47.5</v>
          </cell>
          <cell r="L2140">
            <v>-52.2</v>
          </cell>
          <cell r="M2140">
            <v>-45.5</v>
          </cell>
        </row>
        <row r="2141">
          <cell r="C2141" t="str">
            <v>NMĐ Trị An MBA T3 (phía 220kV)</v>
          </cell>
          <cell r="D2141">
            <v>233</v>
          </cell>
          <cell r="E2141">
            <v>-28.8</v>
          </cell>
          <cell r="F2141">
            <v>-51</v>
          </cell>
          <cell r="G2141">
            <v>-44</v>
          </cell>
          <cell r="H2141">
            <v>-44.6</v>
          </cell>
          <cell r="I2141">
            <v>-51</v>
          </cell>
          <cell r="J2141">
            <v>-28.8</v>
          </cell>
          <cell r="K2141">
            <v>-46.8</v>
          </cell>
          <cell r="L2141">
            <v>-46.4</v>
          </cell>
          <cell r="M2141">
            <v>-45.2</v>
          </cell>
        </row>
        <row r="2142">
          <cell r="C2142" t="str">
            <v>NMĐ Trị An MBA T4 (phía 220kV)</v>
          </cell>
          <cell r="D2142">
            <v>234</v>
          </cell>
          <cell r="E2142">
            <v>-28.4</v>
          </cell>
          <cell r="F2142">
            <v>-53.1</v>
          </cell>
          <cell r="G2142">
            <v>-47</v>
          </cell>
          <cell r="H2142">
            <v>-44.2</v>
          </cell>
          <cell r="I2142">
            <v>-53.1</v>
          </cell>
          <cell r="J2142">
            <v>-28.4</v>
          </cell>
          <cell r="K2142">
            <v>-46.8</v>
          </cell>
          <cell r="L2142">
            <v>-46.5</v>
          </cell>
          <cell r="M2142">
            <v>-45.7</v>
          </cell>
        </row>
        <row r="2143">
          <cell r="C2143" t="str">
            <v>NMĐ Trị An MBA AT8 (phía 220kV)</v>
          </cell>
          <cell r="D2143">
            <v>238</v>
          </cell>
          <cell r="E2143">
            <v>-10.5</v>
          </cell>
          <cell r="F2143">
            <v>34</v>
          </cell>
          <cell r="G2143">
            <v>33.6</v>
          </cell>
          <cell r="H2143">
            <v>34</v>
          </cell>
          <cell r="I2143">
            <v>32.1</v>
          </cell>
          <cell r="J2143">
            <v>-10.5</v>
          </cell>
          <cell r="K2143">
            <v>29.5</v>
          </cell>
          <cell r="L2143">
            <v>31</v>
          </cell>
          <cell r="M2143">
            <v>32.799999999999997</v>
          </cell>
        </row>
        <row r="2144">
          <cell r="C2144" t="str">
            <v>NMĐ Trị An MBA AT9 (phía 220kV)</v>
          </cell>
          <cell r="D2144">
            <v>239</v>
          </cell>
          <cell r="E2144">
            <v>12.4</v>
          </cell>
          <cell r="F2144">
            <v>34.200000000000003</v>
          </cell>
          <cell r="G2144">
            <v>34.1</v>
          </cell>
          <cell r="H2144">
            <v>34.200000000000003</v>
          </cell>
          <cell r="I2144">
            <v>31.7</v>
          </cell>
          <cell r="J2144">
            <v>12.4</v>
          </cell>
          <cell r="K2144">
            <v>29.4</v>
          </cell>
          <cell r="L2144">
            <v>31.1</v>
          </cell>
          <cell r="M2144">
            <v>33</v>
          </cell>
        </row>
        <row r="2145">
          <cell r="C2145" t="str">
            <v>220kV 271 NMĐ Trị An - 279 Sông Mây</v>
          </cell>
          <cell r="D2145">
            <v>271</v>
          </cell>
          <cell r="E2145">
            <v>64</v>
          </cell>
          <cell r="F2145">
            <v>109.4</v>
          </cell>
          <cell r="G2145">
            <v>103.4</v>
          </cell>
          <cell r="H2145">
            <v>102.2</v>
          </cell>
          <cell r="I2145">
            <v>109.4</v>
          </cell>
          <cell r="J2145">
            <v>64</v>
          </cell>
          <cell r="K2145">
            <v>101.7</v>
          </cell>
          <cell r="L2145">
            <v>98.4</v>
          </cell>
          <cell r="M2145">
            <v>104.6</v>
          </cell>
        </row>
        <row r="2146">
          <cell r="C2146" t="str">
            <v>220kV 272 NMĐ Trị An - 276 Bình Hòa</v>
          </cell>
          <cell r="D2146">
            <v>272</v>
          </cell>
          <cell r="E2146">
            <v>-23.2</v>
          </cell>
          <cell r="F2146">
            <v>33.5</v>
          </cell>
          <cell r="G2146">
            <v>-23.2</v>
          </cell>
          <cell r="H2146">
            <v>23.8</v>
          </cell>
          <cell r="I2146">
            <v>28.3</v>
          </cell>
          <cell r="J2146">
            <v>28</v>
          </cell>
          <cell r="K2146">
            <v>-32.5</v>
          </cell>
          <cell r="L2146">
            <v>31.9</v>
          </cell>
          <cell r="M2146">
            <v>33.5</v>
          </cell>
        </row>
        <row r="2147">
          <cell r="C2147" t="str">
            <v>220kV 273 NMĐ Trị An - 275 Bình Hòa</v>
          </cell>
          <cell r="D2147">
            <v>273</v>
          </cell>
          <cell r="E2147">
            <v>-20.5</v>
          </cell>
          <cell r="F2147">
            <v>-33.6</v>
          </cell>
          <cell r="G2147">
            <v>-28.6</v>
          </cell>
          <cell r="H2147">
            <v>-20.5</v>
          </cell>
          <cell r="I2147">
            <v>27.4</v>
          </cell>
          <cell r="J2147">
            <v>27.4</v>
          </cell>
          <cell r="K2147">
            <v>-33.6</v>
          </cell>
          <cell r="L2147">
            <v>32.1</v>
          </cell>
          <cell r="M2147">
            <v>31.2</v>
          </cell>
        </row>
        <row r="2148">
          <cell r="C2148" t="str">
            <v>NMĐ Vedan MBA T1 (phía 110kV)</v>
          </cell>
          <cell r="D2148">
            <v>131</v>
          </cell>
          <cell r="E2148">
            <v>2.8</v>
          </cell>
          <cell r="F2148">
            <v>3.4</v>
          </cell>
          <cell r="G2148">
            <v>3.4</v>
          </cell>
          <cell r="H2148">
            <v>3.2</v>
          </cell>
          <cell r="I2148">
            <v>3</v>
          </cell>
          <cell r="J2148">
            <v>3</v>
          </cell>
          <cell r="K2148">
            <v>2.8</v>
          </cell>
          <cell r="L2148">
            <v>2.9</v>
          </cell>
          <cell r="M2148">
            <v>3</v>
          </cell>
        </row>
        <row r="2149">
          <cell r="C2149" t="str">
            <v>NMĐ Vedan MBA T2 (phía 110kV)</v>
          </cell>
          <cell r="D2149">
            <v>132</v>
          </cell>
          <cell r="E2149">
            <v>2.8</v>
          </cell>
          <cell r="F2149">
            <v>3.5</v>
          </cell>
          <cell r="G2149">
            <v>3.5</v>
          </cell>
          <cell r="H2149">
            <v>3.3</v>
          </cell>
          <cell r="I2149">
            <v>3.1</v>
          </cell>
          <cell r="J2149">
            <v>3.1</v>
          </cell>
          <cell r="K2149">
            <v>2.8</v>
          </cell>
          <cell r="L2149">
            <v>2.9</v>
          </cell>
          <cell r="M2149">
            <v>3</v>
          </cell>
        </row>
        <row r="2150">
          <cell r="C2150" t="str">
            <v>NMĐ Vedan MBA T3 (phía 110kV)</v>
          </cell>
          <cell r="D2150">
            <v>133</v>
          </cell>
          <cell r="E2150">
            <v>0.7</v>
          </cell>
          <cell r="F2150">
            <v>6.1</v>
          </cell>
          <cell r="G2150">
            <v>6.1</v>
          </cell>
          <cell r="H2150">
            <v>0.8</v>
          </cell>
          <cell r="I2150">
            <v>0.8</v>
          </cell>
          <cell r="J2150">
            <v>0.8</v>
          </cell>
          <cell r="K2150">
            <v>1.7</v>
          </cell>
          <cell r="L2150">
            <v>0.7</v>
          </cell>
          <cell r="M2150">
            <v>0.8</v>
          </cell>
        </row>
        <row r="2151">
          <cell r="C2151" t="str">
            <v>NMĐ Vedan MBA T4 (phía 110kV)</v>
          </cell>
          <cell r="D2151">
            <v>134</v>
          </cell>
          <cell r="E2151">
            <v>-13.8</v>
          </cell>
          <cell r="F2151">
            <v>-17.600000000000001</v>
          </cell>
          <cell r="G2151">
            <v>-17.100000000000001</v>
          </cell>
          <cell r="H2151">
            <v>-13.9</v>
          </cell>
          <cell r="I2151">
            <v>-13.8</v>
          </cell>
          <cell r="J2151">
            <v>-13.9</v>
          </cell>
          <cell r="K2151">
            <v>-17.600000000000001</v>
          </cell>
          <cell r="L2151">
            <v>-14.2</v>
          </cell>
          <cell r="M2151">
            <v>-14</v>
          </cell>
        </row>
        <row r="2152">
          <cell r="C2152" t="str">
            <v>NMĐ Vedan MBA T5 (phía 110kV)</v>
          </cell>
          <cell r="D2152">
            <v>135</v>
          </cell>
          <cell r="E2152">
            <v>0.6</v>
          </cell>
          <cell r="F2152">
            <v>-1.9</v>
          </cell>
          <cell r="G2152">
            <v>0.6</v>
          </cell>
          <cell r="H2152">
            <v>0.7</v>
          </cell>
          <cell r="I2152">
            <v>0.6</v>
          </cell>
          <cell r="J2152">
            <v>0.7</v>
          </cell>
          <cell r="K2152">
            <v>0.6</v>
          </cell>
          <cell r="L2152">
            <v>-1.9</v>
          </cell>
          <cell r="M2152">
            <v>0.7</v>
          </cell>
        </row>
        <row r="2153">
          <cell r="C2153" t="str">
            <v>NMĐ Vedan MBA T6 (phía 110kV)</v>
          </cell>
          <cell r="D2153">
            <v>136</v>
          </cell>
          <cell r="E2153">
            <v>7</v>
          </cell>
          <cell r="F2153">
            <v>8.4</v>
          </cell>
          <cell r="G2153">
            <v>7.2</v>
          </cell>
          <cell r="H2153">
            <v>7</v>
          </cell>
          <cell r="I2153">
            <v>8.4</v>
          </cell>
          <cell r="J2153">
            <v>7.9</v>
          </cell>
          <cell r="K2153">
            <v>7.9</v>
          </cell>
          <cell r="L2153">
            <v>7.5</v>
          </cell>
          <cell r="M2153">
            <v>8.1999999999999993</v>
          </cell>
        </row>
        <row r="2154">
          <cell r="C2154" t="str">
            <v>110kV 171 NMĐ Vedan - 183 Long Thành</v>
          </cell>
          <cell r="D2154">
            <v>171</v>
          </cell>
          <cell r="E2154">
            <v>19.2</v>
          </cell>
          <cell r="F2154">
            <v>38.700000000000003</v>
          </cell>
          <cell r="G2154">
            <v>38.700000000000003</v>
          </cell>
          <cell r="H2154">
            <v>33.4</v>
          </cell>
          <cell r="I2154">
            <v>28.7</v>
          </cell>
          <cell r="J2154">
            <v>19.2</v>
          </cell>
          <cell r="K2154">
            <v>29.8</v>
          </cell>
          <cell r="L2154">
            <v>34.4</v>
          </cell>
          <cell r="M2154">
            <v>22.6</v>
          </cell>
        </row>
        <row r="2155">
          <cell r="C2155" t="str">
            <v>110kV 172 NMĐ Vedan - 178 Mỹ Xuân 2</v>
          </cell>
          <cell r="D2155">
            <v>172</v>
          </cell>
          <cell r="E2155">
            <v>-18.5</v>
          </cell>
          <cell r="F2155">
            <v>-38.299999999999997</v>
          </cell>
          <cell r="G2155">
            <v>-38.299999999999997</v>
          </cell>
          <cell r="H2155">
            <v>-33</v>
          </cell>
          <cell r="I2155">
            <v>-28.4</v>
          </cell>
          <cell r="J2155">
            <v>-18.5</v>
          </cell>
          <cell r="K2155">
            <v>-29.6</v>
          </cell>
          <cell r="L2155">
            <v>-33.299999999999997</v>
          </cell>
          <cell r="M2155">
            <v>-23.5</v>
          </cell>
        </row>
        <row r="2156">
          <cell r="C2156" t="str">
            <v>NMĐ Vedan MBA T1 (phía 15kV)</v>
          </cell>
          <cell r="D2156">
            <v>931</v>
          </cell>
          <cell r="E2156">
            <v>-2</v>
          </cell>
          <cell r="F2156">
            <v>-2.6</v>
          </cell>
          <cell r="G2156">
            <v>-2.6</v>
          </cell>
          <cell r="H2156">
            <v>-2.4</v>
          </cell>
          <cell r="I2156">
            <v>-2.2999999999999998</v>
          </cell>
          <cell r="J2156">
            <v>-2.2999999999999998</v>
          </cell>
          <cell r="K2156">
            <v>-2</v>
          </cell>
          <cell r="L2156">
            <v>-2.1</v>
          </cell>
          <cell r="M2156">
            <v>-2.2000000000000002</v>
          </cell>
        </row>
        <row r="2157">
          <cell r="C2157" t="str">
            <v>NMĐ Vedan MBA T2 (phía 15kV)</v>
          </cell>
          <cell r="D2157">
            <v>932</v>
          </cell>
          <cell r="E2157">
            <v>-2.1</v>
          </cell>
          <cell r="F2157">
            <v>-2.7</v>
          </cell>
          <cell r="G2157">
            <v>-2.7</v>
          </cell>
          <cell r="H2157">
            <v>-2.5</v>
          </cell>
          <cell r="I2157">
            <v>-2.4</v>
          </cell>
          <cell r="J2157">
            <v>-2.4</v>
          </cell>
          <cell r="K2157">
            <v>-2.1</v>
          </cell>
          <cell r="L2157">
            <v>-2.2000000000000002</v>
          </cell>
          <cell r="M2157">
            <v>-2.2999999999999998</v>
          </cell>
        </row>
        <row r="2158">
          <cell r="C2158" t="str">
            <v>NMĐ Vedan MBA T3 (phía 10kV)</v>
          </cell>
          <cell r="D2158">
            <v>933</v>
          </cell>
          <cell r="E2158">
            <v>1.7</v>
          </cell>
          <cell r="F2158">
            <v>-5.8</v>
          </cell>
          <cell r="G2158">
            <v>-5.8</v>
          </cell>
          <cell r="H2158">
            <v>1.7</v>
          </cell>
          <cell r="I2158">
            <v>1.8</v>
          </cell>
          <cell r="J2158">
            <v>1.8</v>
          </cell>
          <cell r="K2158">
            <v>1.9</v>
          </cell>
          <cell r="L2158">
            <v>1.7</v>
          </cell>
          <cell r="M2158">
            <v>1.7</v>
          </cell>
        </row>
        <row r="2159">
          <cell r="C2159" t="str">
            <v>NMĐ Vedan MBA T5 (phía 10kV)</v>
          </cell>
          <cell r="D2159">
            <v>935</v>
          </cell>
          <cell r="E2159">
            <v>1.5</v>
          </cell>
          <cell r="F2159">
            <v>3</v>
          </cell>
          <cell r="G2159">
            <v>2.5</v>
          </cell>
          <cell r="H2159">
            <v>1.6</v>
          </cell>
          <cell r="I2159">
            <v>1.5</v>
          </cell>
          <cell r="J2159">
            <v>1.6</v>
          </cell>
          <cell r="K2159">
            <v>1.5</v>
          </cell>
          <cell r="L2159">
            <v>3</v>
          </cell>
          <cell r="M2159">
            <v>1.6</v>
          </cell>
        </row>
        <row r="2160">
          <cell r="C2160" t="str">
            <v>NMĐ Vedan MBA T6 (phía 10kV)</v>
          </cell>
          <cell r="D2160">
            <v>936</v>
          </cell>
          <cell r="E2160">
            <v>-5.9</v>
          </cell>
          <cell r="F2160">
            <v>-7</v>
          </cell>
          <cell r="G2160">
            <v>-6.1</v>
          </cell>
          <cell r="H2160">
            <v>-5.9</v>
          </cell>
          <cell r="I2160">
            <v>-7</v>
          </cell>
          <cell r="J2160">
            <v>-6.7</v>
          </cell>
          <cell r="K2160">
            <v>-6.7</v>
          </cell>
          <cell r="L2160">
            <v>-6.3</v>
          </cell>
          <cell r="M2160">
            <v>-6.9</v>
          </cell>
        </row>
        <row r="2161">
          <cell r="C2161" t="str">
            <v>NMĐ Yan Tann Sien MBA T1 (phía 110kV)</v>
          </cell>
          <cell r="D2161">
            <v>131</v>
          </cell>
          <cell r="E2161">
            <v>-0.9</v>
          </cell>
          <cell r="F2161">
            <v>-1.1000000000000001</v>
          </cell>
          <cell r="G2161">
            <v>-0.9</v>
          </cell>
          <cell r="H2161">
            <v>-1</v>
          </cell>
          <cell r="I2161">
            <v>-1</v>
          </cell>
          <cell r="J2161">
            <v>-1.1000000000000001</v>
          </cell>
          <cell r="K2161">
            <v>-1</v>
          </cell>
          <cell r="L2161">
            <v>-1</v>
          </cell>
          <cell r="M2161">
            <v>-1</v>
          </cell>
        </row>
        <row r="2162">
          <cell r="C2162" t="str">
            <v>NMĐ Yan Tann Sien MBA T2 (phía 110kV)</v>
          </cell>
          <cell r="D2162">
            <v>132</v>
          </cell>
          <cell r="E2162">
            <v>-0.9</v>
          </cell>
          <cell r="F2162">
            <v>-1.1000000000000001</v>
          </cell>
          <cell r="G2162">
            <v>-0.9</v>
          </cell>
          <cell r="H2162">
            <v>-1</v>
          </cell>
          <cell r="I2162">
            <v>-1</v>
          </cell>
          <cell r="J2162">
            <v>-1.1000000000000001</v>
          </cell>
          <cell r="K2162">
            <v>-1</v>
          </cell>
          <cell r="L2162">
            <v>-0.9</v>
          </cell>
          <cell r="M2162">
            <v>-0.9</v>
          </cell>
        </row>
        <row r="2163">
          <cell r="C2163" t="str">
            <v>110kV 171 NMĐ Yan Tann Sien - 174 Suối Vàng</v>
          </cell>
          <cell r="D2163">
            <v>171</v>
          </cell>
          <cell r="E2163">
            <v>1.9</v>
          </cell>
          <cell r="F2163">
            <v>2.2000000000000002</v>
          </cell>
          <cell r="G2163">
            <v>1.9</v>
          </cell>
          <cell r="H2163">
            <v>2</v>
          </cell>
          <cell r="I2163">
            <v>2.1</v>
          </cell>
          <cell r="J2163">
            <v>2.1</v>
          </cell>
          <cell r="K2163">
            <v>2.2000000000000002</v>
          </cell>
          <cell r="L2163">
            <v>2</v>
          </cell>
          <cell r="M2163">
            <v>2</v>
          </cell>
        </row>
        <row r="2164">
          <cell r="C2164" t="str">
            <v>NMTĐ Đăk Glun MBA T1 (phía 110kV)</v>
          </cell>
          <cell r="D2164">
            <v>131</v>
          </cell>
          <cell r="E2164">
            <v>-1.9</v>
          </cell>
          <cell r="F2164">
            <v>-2.6</v>
          </cell>
          <cell r="G2164">
            <v>-1.9</v>
          </cell>
          <cell r="H2164">
            <v>-2.4</v>
          </cell>
          <cell r="I2164">
            <v>-2</v>
          </cell>
          <cell r="J2164">
            <v>-2.2000000000000002</v>
          </cell>
          <cell r="K2164">
            <v>-2.5</v>
          </cell>
          <cell r="L2164">
            <v>-2.2999999999999998</v>
          </cell>
          <cell r="M2164">
            <v>-2.6</v>
          </cell>
        </row>
        <row r="2165">
          <cell r="C2165" t="str">
            <v>NMTĐ Đăk Glun MBA T2 (phía 110kV)</v>
          </cell>
          <cell r="D2165">
            <v>132</v>
          </cell>
          <cell r="E2165">
            <v>-1.6</v>
          </cell>
          <cell r="F2165">
            <v>-2.1</v>
          </cell>
          <cell r="G2165">
            <v>-1.6</v>
          </cell>
          <cell r="H2165">
            <v>-1.6</v>
          </cell>
          <cell r="I2165">
            <v>-1.6</v>
          </cell>
          <cell r="J2165">
            <v>-1.6</v>
          </cell>
          <cell r="K2165">
            <v>-1.7</v>
          </cell>
          <cell r="L2165">
            <v>-1.9</v>
          </cell>
          <cell r="M2165">
            <v>-2.1</v>
          </cell>
        </row>
        <row r="2166">
          <cell r="C2166" t="str">
            <v>110kV 172 NMTĐ Đăk Glun - 171 NMTĐ Đăk Glun 2</v>
          </cell>
          <cell r="D2166">
            <v>172</v>
          </cell>
          <cell r="E2166">
            <v>3.5</v>
          </cell>
          <cell r="F2166">
            <v>4.7</v>
          </cell>
          <cell r="G2166">
            <v>3.5</v>
          </cell>
          <cell r="H2166">
            <v>3.8</v>
          </cell>
          <cell r="I2166">
            <v>3.5</v>
          </cell>
          <cell r="J2166">
            <v>3.8</v>
          </cell>
          <cell r="K2166">
            <v>4.0999999999999996</v>
          </cell>
          <cell r="L2166">
            <v>4</v>
          </cell>
          <cell r="M2166">
            <v>4.7</v>
          </cell>
        </row>
        <row r="2167">
          <cell r="C2167" t="str">
            <v>NMTĐ Đăk Glun 2 MBA T1 (phía 110kV)</v>
          </cell>
          <cell r="D2167">
            <v>131</v>
          </cell>
          <cell r="E2167">
            <v>0.5</v>
          </cell>
          <cell r="F2167">
            <v>0.8</v>
          </cell>
          <cell r="G2167">
            <v>0.6</v>
          </cell>
          <cell r="H2167">
            <v>0.7</v>
          </cell>
          <cell r="I2167">
            <v>0.5</v>
          </cell>
          <cell r="J2167">
            <v>0.8</v>
          </cell>
          <cell r="K2167">
            <v>0.8</v>
          </cell>
          <cell r="L2167">
            <v>0.8</v>
          </cell>
          <cell r="M2167">
            <v>0.8</v>
          </cell>
        </row>
        <row r="2168">
          <cell r="C2168" t="str">
            <v>110kV 171 NMTĐ Đăk Glun 2 - 172 NMTĐ Đăk Glun</v>
          </cell>
          <cell r="D2168">
            <v>171</v>
          </cell>
          <cell r="E2168">
            <v>-3.7</v>
          </cell>
          <cell r="F2168">
            <v>-5</v>
          </cell>
          <cell r="G2168">
            <v>-3.7</v>
          </cell>
          <cell r="H2168">
            <v>-4</v>
          </cell>
          <cell r="I2168">
            <v>-3.7</v>
          </cell>
          <cell r="J2168">
            <v>-4</v>
          </cell>
          <cell r="K2168">
            <v>-4.3</v>
          </cell>
          <cell r="L2168">
            <v>-4.3</v>
          </cell>
          <cell r="M2168">
            <v>-5</v>
          </cell>
        </row>
        <row r="2169">
          <cell r="C2169" t="str">
            <v>110kV 172 NMTĐ Đăk Glun 2 - 171 trạm cắt 110 kV Đăk Glun</v>
          </cell>
          <cell r="D2169">
            <v>172</v>
          </cell>
          <cell r="E2169">
            <v>3.9</v>
          </cell>
          <cell r="F2169">
            <v>5.8</v>
          </cell>
          <cell r="G2169">
            <v>3.9</v>
          </cell>
          <cell r="H2169">
            <v>4.5</v>
          </cell>
          <cell r="I2169">
            <v>3.9</v>
          </cell>
          <cell r="J2169">
            <v>4.8</v>
          </cell>
          <cell r="K2169">
            <v>5.0999999999999996</v>
          </cell>
          <cell r="L2169">
            <v>5.0999999999999996</v>
          </cell>
          <cell r="M2169">
            <v>5.8</v>
          </cell>
        </row>
        <row r="2170">
          <cell r="C2170" t="str">
            <v>Ô Môn 2 MBA AT3 (phía 110kV)</v>
          </cell>
          <cell r="D2170">
            <v>133</v>
          </cell>
          <cell r="E2170">
            <v>3.7</v>
          </cell>
          <cell r="F2170">
            <v>5.6</v>
          </cell>
          <cell r="G2170">
            <v>-5.0999999999999996</v>
          </cell>
          <cell r="H2170">
            <v>-4.5999999999999996</v>
          </cell>
          <cell r="I2170">
            <v>3.9</v>
          </cell>
          <cell r="J2170">
            <v>5.6</v>
          </cell>
          <cell r="K2170">
            <v>4.7</v>
          </cell>
          <cell r="L2170">
            <v>3.7</v>
          </cell>
          <cell r="M2170">
            <v>3.8</v>
          </cell>
        </row>
        <row r="2171">
          <cell r="C2171" t="str">
            <v>Ô Môn 2 MBA AT4 (phía 110kV)</v>
          </cell>
          <cell r="D2171">
            <v>134</v>
          </cell>
          <cell r="E2171">
            <v>0.7</v>
          </cell>
          <cell r="F2171">
            <v>0.7</v>
          </cell>
          <cell r="G2171">
            <v>0.7</v>
          </cell>
          <cell r="H2171">
            <v>0.7</v>
          </cell>
          <cell r="I2171">
            <v>0.7</v>
          </cell>
          <cell r="J2171">
            <v>0.7</v>
          </cell>
          <cell r="K2171">
            <v>0.7</v>
          </cell>
          <cell r="L2171">
            <v>0.7</v>
          </cell>
          <cell r="M2171">
            <v>0.7</v>
          </cell>
        </row>
        <row r="2172">
          <cell r="C2172" t="str">
            <v>110kV 171 Ô Môn 2 - 173 Sông Hậu</v>
          </cell>
          <cell r="D2172">
            <v>171</v>
          </cell>
          <cell r="E2172">
            <v>-0.3</v>
          </cell>
          <cell r="F2172">
            <v>-0.3</v>
          </cell>
          <cell r="G2172">
            <v>-0.3</v>
          </cell>
          <cell r="H2172">
            <v>-0.3</v>
          </cell>
          <cell r="I2172">
            <v>-0.3</v>
          </cell>
          <cell r="J2172">
            <v>-0.3</v>
          </cell>
          <cell r="K2172">
            <v>-0.3</v>
          </cell>
          <cell r="L2172">
            <v>-0.3</v>
          </cell>
          <cell r="M2172">
            <v>-0.3</v>
          </cell>
        </row>
        <row r="2173">
          <cell r="C2173" t="str">
            <v>110kV 172 Ô Môn 2 - 172 Phát Thanh Nam Bộ</v>
          </cell>
          <cell r="D2173">
            <v>172</v>
          </cell>
          <cell r="E2173">
            <v>-0.4</v>
          </cell>
          <cell r="F2173">
            <v>-0.4</v>
          </cell>
          <cell r="G2173">
            <v>-0.4</v>
          </cell>
          <cell r="H2173">
            <v>-0.4</v>
          </cell>
          <cell r="I2173">
            <v>-0.4</v>
          </cell>
          <cell r="J2173">
            <v>-0.4</v>
          </cell>
          <cell r="K2173">
            <v>-0.4</v>
          </cell>
          <cell r="L2173">
            <v>-0.4</v>
          </cell>
          <cell r="M2173">
            <v>-0.4</v>
          </cell>
        </row>
        <row r="2174">
          <cell r="C2174" t="str">
            <v>110kV 173 Ô Môn 2 - 131 Thới Lai</v>
          </cell>
          <cell r="D2174">
            <v>173</v>
          </cell>
          <cell r="E2174">
            <v>-4.0999999999999996</v>
          </cell>
          <cell r="F2174">
            <v>-5.0999999999999996</v>
          </cell>
          <cell r="G2174">
            <v>-4.7</v>
          </cell>
          <cell r="H2174">
            <v>-4.0999999999999996</v>
          </cell>
          <cell r="I2174">
            <v>-5</v>
          </cell>
          <cell r="J2174">
            <v>-5</v>
          </cell>
          <cell r="K2174">
            <v>-5</v>
          </cell>
          <cell r="L2174">
            <v>-4.4000000000000004</v>
          </cell>
          <cell r="M2174">
            <v>-5.0999999999999996</v>
          </cell>
        </row>
        <row r="2175">
          <cell r="C2175" t="str">
            <v>110kV 174 Ô Môn 2 - 172 Trà Nóc</v>
          </cell>
          <cell r="D2175">
            <v>174</v>
          </cell>
          <cell r="E2175">
            <v>-0.4</v>
          </cell>
          <cell r="F2175">
            <v>-0.4</v>
          </cell>
          <cell r="G2175">
            <v>-0.4</v>
          </cell>
          <cell r="H2175">
            <v>-0.4</v>
          </cell>
          <cell r="I2175">
            <v>-0.4</v>
          </cell>
          <cell r="J2175">
            <v>-0.4</v>
          </cell>
          <cell r="K2175">
            <v>-0.4</v>
          </cell>
          <cell r="L2175">
            <v>-0.4</v>
          </cell>
          <cell r="M2175">
            <v>-0.4</v>
          </cell>
        </row>
        <row r="2176">
          <cell r="C2176" t="str">
            <v>110kV 175 Ô Môn 2 - 172 KCN Cần Thơ</v>
          </cell>
          <cell r="D2176">
            <v>175</v>
          </cell>
          <cell r="E2176">
            <v>4.5</v>
          </cell>
          <cell r="F2176">
            <v>10</v>
          </cell>
          <cell r="G2176">
            <v>10</v>
          </cell>
          <cell r="H2176">
            <v>8.3000000000000007</v>
          </cell>
          <cell r="I2176">
            <v>4.9000000000000004</v>
          </cell>
          <cell r="J2176">
            <v>-6</v>
          </cell>
          <cell r="K2176">
            <v>-5.6</v>
          </cell>
          <cell r="L2176">
            <v>4.7</v>
          </cell>
          <cell r="M2176">
            <v>4.5</v>
          </cell>
        </row>
        <row r="2177">
          <cell r="C2177" t="str">
            <v>Ô Môn 2 MBA AT3 (phía 220kV)</v>
          </cell>
          <cell r="D2177">
            <v>233</v>
          </cell>
          <cell r="E2177">
            <v>-0.7</v>
          </cell>
          <cell r="F2177">
            <v>-0.7</v>
          </cell>
          <cell r="G2177">
            <v>-0.7</v>
          </cell>
          <cell r="H2177">
            <v>-0.7</v>
          </cell>
          <cell r="I2177">
            <v>-0.7</v>
          </cell>
          <cell r="J2177">
            <v>-0.7</v>
          </cell>
          <cell r="K2177">
            <v>-0.7</v>
          </cell>
          <cell r="L2177">
            <v>-0.7</v>
          </cell>
          <cell r="M2177">
            <v>-0.7</v>
          </cell>
        </row>
        <row r="2178">
          <cell r="C2178" t="str">
            <v>Ô Môn 2 MBA AT4 (phía 220kV)</v>
          </cell>
          <cell r="D2178">
            <v>234</v>
          </cell>
          <cell r="E2178">
            <v>-0.7</v>
          </cell>
          <cell r="F2178">
            <v>-0.7</v>
          </cell>
          <cell r="G2178">
            <v>-0.7</v>
          </cell>
          <cell r="H2178">
            <v>-0.7</v>
          </cell>
          <cell r="I2178">
            <v>-0.7</v>
          </cell>
          <cell r="J2178">
            <v>-0.7</v>
          </cell>
          <cell r="K2178">
            <v>-0.7</v>
          </cell>
          <cell r="L2178">
            <v>-0.7</v>
          </cell>
          <cell r="M2178">
            <v>-0.7</v>
          </cell>
        </row>
        <row r="2179">
          <cell r="C2179" t="str">
            <v>220kV 271 Ô Môn 2 - 272 Trà Nóc</v>
          </cell>
          <cell r="D2179">
            <v>271</v>
          </cell>
          <cell r="E2179">
            <v>13.2</v>
          </cell>
          <cell r="F2179">
            <v>20.2</v>
          </cell>
          <cell r="G2179">
            <v>15.7</v>
          </cell>
          <cell r="H2179">
            <v>17.7</v>
          </cell>
          <cell r="I2179">
            <v>14.9</v>
          </cell>
          <cell r="J2179">
            <v>-13.8</v>
          </cell>
          <cell r="K2179">
            <v>13.2</v>
          </cell>
          <cell r="L2179">
            <v>14.6</v>
          </cell>
          <cell r="M2179">
            <v>20.2</v>
          </cell>
        </row>
        <row r="2180">
          <cell r="C2180" t="str">
            <v>220kV 272 Ô Môn 2 - 276 Cần Thơ 2</v>
          </cell>
          <cell r="D2180">
            <v>272</v>
          </cell>
          <cell r="E2180">
            <v>7.1</v>
          </cell>
          <cell r="F2180">
            <v>-10.8</v>
          </cell>
          <cell r="G2180">
            <v>-8.6</v>
          </cell>
          <cell r="H2180">
            <v>7.1</v>
          </cell>
          <cell r="I2180">
            <v>-7.5</v>
          </cell>
          <cell r="J2180">
            <v>-8.9</v>
          </cell>
          <cell r="K2180">
            <v>-10.8</v>
          </cell>
          <cell r="L2180">
            <v>-10</v>
          </cell>
          <cell r="M2180">
            <v>-9.6999999999999993</v>
          </cell>
        </row>
        <row r="2181">
          <cell r="C2181" t="str">
            <v>220kV 273 Ô Môn 2 - 272 NMĐ Cà Mau</v>
          </cell>
          <cell r="D2181">
            <v>273</v>
          </cell>
          <cell r="E2181">
            <v>-15.4</v>
          </cell>
          <cell r="F2181">
            <v>-35.700000000000003</v>
          </cell>
          <cell r="G2181">
            <v>-29.6</v>
          </cell>
          <cell r="H2181">
            <v>-35.700000000000003</v>
          </cell>
          <cell r="I2181">
            <v>-24.6</v>
          </cell>
          <cell r="J2181">
            <v>-15.4</v>
          </cell>
          <cell r="K2181">
            <v>-35.700000000000003</v>
          </cell>
          <cell r="L2181">
            <v>-30.7</v>
          </cell>
          <cell r="M2181">
            <v>-24.8</v>
          </cell>
        </row>
        <row r="2182">
          <cell r="C2182" t="str">
            <v>220kV 274 Ô Môn 2 - 273 Sóc Trăng 2</v>
          </cell>
          <cell r="D2182">
            <v>274</v>
          </cell>
          <cell r="E2182">
            <v>-12.7</v>
          </cell>
          <cell r="F2182">
            <v>-33.200000000000003</v>
          </cell>
          <cell r="G2182">
            <v>-22.1</v>
          </cell>
          <cell r="H2182">
            <v>-33.200000000000003</v>
          </cell>
          <cell r="I2182">
            <v>-20.8</v>
          </cell>
          <cell r="J2182">
            <v>-12.7</v>
          </cell>
          <cell r="K2182">
            <v>-23.1</v>
          </cell>
          <cell r="L2182">
            <v>-20.3</v>
          </cell>
          <cell r="M2182">
            <v>-21.7</v>
          </cell>
        </row>
        <row r="2183">
          <cell r="C2183" t="str">
            <v>220kV 275 Ô Môn 2 - 272 Thốt Nốt 2</v>
          </cell>
          <cell r="D2183">
            <v>275</v>
          </cell>
          <cell r="E2183">
            <v>-15.9</v>
          </cell>
          <cell r="F2183">
            <v>-37.9</v>
          </cell>
          <cell r="G2183">
            <v>-37.9</v>
          </cell>
          <cell r="H2183">
            <v>-15.9</v>
          </cell>
          <cell r="I2183">
            <v>-23.6</v>
          </cell>
          <cell r="J2183">
            <v>-24.3</v>
          </cell>
          <cell r="K2183">
            <v>-28.5</v>
          </cell>
          <cell r="L2183">
            <v>-31.8</v>
          </cell>
          <cell r="M2183">
            <v>-24.1</v>
          </cell>
        </row>
        <row r="2184">
          <cell r="C2184" t="str">
            <v>220kV 276 Ô Môn 2 - 271 Thốt Nốt 2</v>
          </cell>
          <cell r="D2184">
            <v>276</v>
          </cell>
          <cell r="E2184">
            <v>-15.3</v>
          </cell>
          <cell r="F2184">
            <v>-37.1</v>
          </cell>
          <cell r="G2184">
            <v>-37.1</v>
          </cell>
          <cell r="H2184">
            <v>-15.3</v>
          </cell>
          <cell r="I2184">
            <v>-22.9</v>
          </cell>
          <cell r="J2184">
            <v>-23.8</v>
          </cell>
          <cell r="K2184">
            <v>-27.8</v>
          </cell>
          <cell r="L2184">
            <v>-31.3</v>
          </cell>
          <cell r="M2184">
            <v>-23.7</v>
          </cell>
        </row>
        <row r="2185">
          <cell r="C2185" t="str">
            <v>220kV 278 Ô Môn 2 - 273 Vĩnh Long 2</v>
          </cell>
          <cell r="D2185">
            <v>278</v>
          </cell>
          <cell r="E2185">
            <v>-16.399999999999999</v>
          </cell>
          <cell r="F2185">
            <v>39.5</v>
          </cell>
          <cell r="G2185">
            <v>39.5</v>
          </cell>
          <cell r="H2185">
            <v>31.7</v>
          </cell>
          <cell r="I2185">
            <v>-16.399999999999999</v>
          </cell>
          <cell r="J2185">
            <v>21.2</v>
          </cell>
          <cell r="K2185">
            <v>20.2</v>
          </cell>
          <cell r="L2185">
            <v>23</v>
          </cell>
          <cell r="M2185">
            <v>19.3</v>
          </cell>
        </row>
        <row r="2186">
          <cell r="C2186" t="str">
            <v>220kV 279 Ô Môn 2 - 272 Rạch Giá 2</v>
          </cell>
          <cell r="D2186">
            <v>279</v>
          </cell>
          <cell r="E2186">
            <v>-12.3</v>
          </cell>
          <cell r="F2186">
            <v>-38.299999999999997</v>
          </cell>
          <cell r="G2186">
            <v>-38.299999999999997</v>
          </cell>
          <cell r="H2186">
            <v>-31.8</v>
          </cell>
          <cell r="I2186">
            <v>-19.899999999999999</v>
          </cell>
          <cell r="J2186">
            <v>-12.3</v>
          </cell>
          <cell r="K2186">
            <v>-33.799999999999997</v>
          </cell>
          <cell r="L2186">
            <v>-31.9</v>
          </cell>
          <cell r="M2186">
            <v>-24.8</v>
          </cell>
        </row>
        <row r="2187">
          <cell r="C2187" t="str">
            <v>220kV 283 Ô Môn 2 - 275 NMĐ Cà Mau</v>
          </cell>
          <cell r="D2187">
            <v>283</v>
          </cell>
          <cell r="E2187">
            <v>-15.4</v>
          </cell>
          <cell r="F2187">
            <v>-36.299999999999997</v>
          </cell>
          <cell r="G2187">
            <v>-29.9</v>
          </cell>
          <cell r="H2187">
            <v>-36.299999999999997</v>
          </cell>
          <cell r="I2187">
            <v>-24.7</v>
          </cell>
          <cell r="J2187">
            <v>-15.4</v>
          </cell>
          <cell r="K2187">
            <v>-36.200000000000003</v>
          </cell>
          <cell r="L2187">
            <v>-30.6</v>
          </cell>
          <cell r="M2187">
            <v>-25.2</v>
          </cell>
        </row>
        <row r="2188">
          <cell r="C2188" t="str">
            <v>220kV 288 Ô Môn 2 - 272 Sa Đéc 2</v>
          </cell>
          <cell r="D2188">
            <v>288</v>
          </cell>
          <cell r="E2188">
            <v>15.8</v>
          </cell>
          <cell r="F2188">
            <v>39.700000000000003</v>
          </cell>
          <cell r="G2188">
            <v>39.700000000000003</v>
          </cell>
          <cell r="H2188">
            <v>31.8</v>
          </cell>
          <cell r="I2188">
            <v>-16.2</v>
          </cell>
          <cell r="J2188">
            <v>18.399999999999999</v>
          </cell>
          <cell r="K2188">
            <v>15.8</v>
          </cell>
          <cell r="L2188">
            <v>21.6</v>
          </cell>
          <cell r="M2188">
            <v>19.399999999999999</v>
          </cell>
        </row>
        <row r="2189">
          <cell r="C2189" t="str">
            <v>Ô Môn MBA AT1 (phía 220kV)</v>
          </cell>
          <cell r="D2189">
            <v>231</v>
          </cell>
          <cell r="E2189">
            <v>34.200000000000003</v>
          </cell>
          <cell r="F2189">
            <v>60.8</v>
          </cell>
          <cell r="G2189">
            <v>43.4</v>
          </cell>
          <cell r="H2189">
            <v>38.299999999999997</v>
          </cell>
          <cell r="I2189">
            <v>43.7</v>
          </cell>
          <cell r="J2189">
            <v>34.200000000000003</v>
          </cell>
          <cell r="K2189">
            <v>52.5</v>
          </cell>
          <cell r="L2189">
            <v>60.8</v>
          </cell>
          <cell r="M2189">
            <v>54.6</v>
          </cell>
        </row>
        <row r="2190">
          <cell r="C2190" t="str">
            <v>Ô Môn MBA AT2 (phía 220kV)</v>
          </cell>
          <cell r="D2190">
            <v>232</v>
          </cell>
          <cell r="E2190">
            <v>0</v>
          </cell>
          <cell r="F2190">
            <v>0</v>
          </cell>
          <cell r="G2190">
            <v>0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</row>
        <row r="2191">
          <cell r="C2191" t="str">
            <v>Ô Môn MBA AT1 (phía 500kV)</v>
          </cell>
          <cell r="D2191">
            <v>531</v>
          </cell>
          <cell r="E2191">
            <v>24.2</v>
          </cell>
          <cell r="F2191">
            <v>-39.5</v>
          </cell>
          <cell r="G2191">
            <v>33.299999999999997</v>
          </cell>
          <cell r="H2191">
            <v>32.200000000000003</v>
          </cell>
          <cell r="I2191">
            <v>-27.3</v>
          </cell>
          <cell r="J2191">
            <v>24.2</v>
          </cell>
          <cell r="K2191">
            <v>-33</v>
          </cell>
          <cell r="L2191">
            <v>-39.5</v>
          </cell>
          <cell r="M2191">
            <v>-35.799999999999997</v>
          </cell>
        </row>
        <row r="2192">
          <cell r="C2192" t="str">
            <v>Ô Môn MBA AT2 (phía 500kV)</v>
          </cell>
          <cell r="D2192">
            <v>532</v>
          </cell>
          <cell r="E2192">
            <v>36.200000000000003</v>
          </cell>
          <cell r="F2192">
            <v>-68.8</v>
          </cell>
          <cell r="G2192">
            <v>-53.8</v>
          </cell>
          <cell r="H2192">
            <v>47.6</v>
          </cell>
          <cell r="I2192">
            <v>-49.6</v>
          </cell>
          <cell r="J2192">
            <v>36.200000000000003</v>
          </cell>
          <cell r="K2192">
            <v>-59.3</v>
          </cell>
          <cell r="L2192">
            <v>-68.8</v>
          </cell>
          <cell r="M2192">
            <v>-62.7</v>
          </cell>
        </row>
        <row r="2193">
          <cell r="C2193" t="str">
            <v xml:space="preserve">Ông Kèo MBA T1 (phía 110kV) </v>
          </cell>
          <cell r="D2193">
            <v>131</v>
          </cell>
          <cell r="E2193">
            <v>0</v>
          </cell>
          <cell r="F2193">
            <v>-1</v>
          </cell>
          <cell r="G2193">
            <v>0</v>
          </cell>
          <cell r="H2193">
            <v>-1</v>
          </cell>
          <cell r="I2193">
            <v>0</v>
          </cell>
          <cell r="J2193">
            <v>-1</v>
          </cell>
          <cell r="K2193">
            <v>-1</v>
          </cell>
          <cell r="L2193">
            <v>-1</v>
          </cell>
          <cell r="M2193">
            <v>-1</v>
          </cell>
        </row>
        <row r="2194">
          <cell r="C2194" t="str">
            <v xml:space="preserve">Ông Kèo MBA T2 (phía 110kV) </v>
          </cell>
          <cell r="D2194">
            <v>132</v>
          </cell>
          <cell r="E2194">
            <v>1</v>
          </cell>
          <cell r="F2194">
            <v>4</v>
          </cell>
          <cell r="G2194">
            <v>2</v>
          </cell>
          <cell r="H2194">
            <v>2</v>
          </cell>
          <cell r="I2194">
            <v>1</v>
          </cell>
          <cell r="J2194">
            <v>1</v>
          </cell>
          <cell r="K2194">
            <v>4</v>
          </cell>
          <cell r="L2194">
            <v>4</v>
          </cell>
          <cell r="M2194">
            <v>3</v>
          </cell>
        </row>
        <row r="2195">
          <cell r="C2195" t="str">
            <v>110kV 171 Ông Kèo - 172 Dệt May</v>
          </cell>
          <cell r="D2195">
            <v>171</v>
          </cell>
          <cell r="E2195">
            <v>9</v>
          </cell>
          <cell r="F2195">
            <v>23</v>
          </cell>
          <cell r="G2195">
            <v>17</v>
          </cell>
          <cell r="H2195">
            <v>9</v>
          </cell>
          <cell r="I2195">
            <v>10</v>
          </cell>
          <cell r="J2195">
            <v>23</v>
          </cell>
          <cell r="K2195">
            <v>18</v>
          </cell>
          <cell r="L2195">
            <v>17</v>
          </cell>
          <cell r="M2195">
            <v>16</v>
          </cell>
        </row>
        <row r="2196">
          <cell r="C2196" t="str">
            <v>110kV 172 Ông Kèo - 177 Bàu Sen</v>
          </cell>
          <cell r="D2196">
            <v>172</v>
          </cell>
          <cell r="E2196">
            <v>-10</v>
          </cell>
          <cell r="F2196">
            <v>-22</v>
          </cell>
          <cell r="G2196">
            <v>-18</v>
          </cell>
          <cell r="H2196">
            <v>-10</v>
          </cell>
          <cell r="I2196">
            <v>-11</v>
          </cell>
          <cell r="J2196">
            <v>-22</v>
          </cell>
          <cell r="K2196">
            <v>-18</v>
          </cell>
          <cell r="L2196">
            <v>-19</v>
          </cell>
          <cell r="M2196">
            <v>-19</v>
          </cell>
        </row>
        <row r="2197">
          <cell r="C2197" t="str">
            <v xml:space="preserve">Ông Kèo MBA T1 (phía 22kV) </v>
          </cell>
          <cell r="D2197">
            <v>431</v>
          </cell>
          <cell r="E2197">
            <v>1</v>
          </cell>
          <cell r="F2197">
            <v>1</v>
          </cell>
          <cell r="G2197">
            <v>1</v>
          </cell>
          <cell r="H2197">
            <v>1</v>
          </cell>
          <cell r="I2197">
            <v>1</v>
          </cell>
          <cell r="J2197">
            <v>1</v>
          </cell>
          <cell r="K2197">
            <v>1</v>
          </cell>
          <cell r="L2197">
            <v>1</v>
          </cell>
          <cell r="M2197">
            <v>1</v>
          </cell>
        </row>
        <row r="2198">
          <cell r="C2198" t="str">
            <v xml:space="preserve">Ông Kèo MBA T2 (phía 22kV) </v>
          </cell>
          <cell r="D2198">
            <v>432</v>
          </cell>
          <cell r="E2198">
            <v>0</v>
          </cell>
          <cell r="F2198">
            <v>-2</v>
          </cell>
          <cell r="G2198">
            <v>-1</v>
          </cell>
          <cell r="H2198">
            <v>-1</v>
          </cell>
          <cell r="I2198">
            <v>0</v>
          </cell>
          <cell r="J2198">
            <v>0</v>
          </cell>
          <cell r="K2198">
            <v>-1</v>
          </cell>
          <cell r="L2198">
            <v>-2</v>
          </cell>
          <cell r="M2198">
            <v>-2</v>
          </cell>
        </row>
        <row r="2199">
          <cell r="C2199" t="str">
            <v>Phan Rí MBA T1 (phía 110kV)</v>
          </cell>
          <cell r="D2199">
            <v>131</v>
          </cell>
          <cell r="E2199">
            <v>1.8</v>
          </cell>
          <cell r="F2199">
            <v>2.2000000000000002</v>
          </cell>
          <cell r="G2199">
            <v>2</v>
          </cell>
          <cell r="H2199">
            <v>2.2000000000000002</v>
          </cell>
          <cell r="I2199">
            <v>2.1</v>
          </cell>
          <cell r="J2199">
            <v>1.8</v>
          </cell>
          <cell r="K2199">
            <v>2</v>
          </cell>
          <cell r="L2199">
            <v>1.8</v>
          </cell>
          <cell r="M2199">
            <v>1.9</v>
          </cell>
        </row>
        <row r="2200">
          <cell r="C2200" t="str">
            <v>Phan Rí MBA T2 (phía 110kV)</v>
          </cell>
          <cell r="D2200">
            <v>132</v>
          </cell>
          <cell r="E2200">
            <v>1.8</v>
          </cell>
          <cell r="F2200">
            <v>2.2999999999999998</v>
          </cell>
          <cell r="G2200">
            <v>2.1</v>
          </cell>
          <cell r="H2200">
            <v>2.2999999999999998</v>
          </cell>
          <cell r="I2200">
            <v>2.2000000000000002</v>
          </cell>
          <cell r="J2200">
            <v>1.8</v>
          </cell>
          <cell r="K2200">
            <v>2</v>
          </cell>
          <cell r="L2200">
            <v>1.8</v>
          </cell>
          <cell r="M2200">
            <v>2</v>
          </cell>
        </row>
        <row r="2201">
          <cell r="C2201" t="str">
            <v>110kV 171 Phan Rí - 179 Phan Rí 2</v>
          </cell>
          <cell r="D2201">
            <v>171</v>
          </cell>
          <cell r="E2201">
            <v>3.4</v>
          </cell>
          <cell r="F2201">
            <v>-8.1</v>
          </cell>
          <cell r="G2201">
            <v>-7.3</v>
          </cell>
          <cell r="H2201">
            <v>-8.1</v>
          </cell>
          <cell r="I2201">
            <v>-6.5</v>
          </cell>
          <cell r="J2201">
            <v>-5.6</v>
          </cell>
          <cell r="K2201">
            <v>3.9</v>
          </cell>
          <cell r="L2201">
            <v>3.4</v>
          </cell>
          <cell r="M2201">
            <v>-7.9</v>
          </cell>
        </row>
        <row r="2202">
          <cell r="C2202" t="str">
            <v>110kV 172 Phan Rí - 178 Phan Rí 2</v>
          </cell>
          <cell r="D2202">
            <v>172</v>
          </cell>
          <cell r="E2202">
            <v>3.3</v>
          </cell>
          <cell r="F2202">
            <v>-7.1</v>
          </cell>
          <cell r="G2202">
            <v>-6.5</v>
          </cell>
          <cell r="H2202">
            <v>-7.1</v>
          </cell>
          <cell r="I2202">
            <v>-6.4</v>
          </cell>
          <cell r="J2202">
            <v>-5</v>
          </cell>
          <cell r="K2202">
            <v>3.7</v>
          </cell>
          <cell r="L2202">
            <v>3.3</v>
          </cell>
          <cell r="M2202">
            <v>-7</v>
          </cell>
        </row>
        <row r="2203">
          <cell r="C2203" t="str">
            <v>110kV 173 Phan Rí - 172 NMĐ MT Phong Phú</v>
          </cell>
          <cell r="D2203">
            <v>173</v>
          </cell>
          <cell r="E2203">
            <v>-0.6</v>
          </cell>
          <cell r="F2203">
            <v>-0.6</v>
          </cell>
          <cell r="G2203">
            <v>-0.6</v>
          </cell>
          <cell r="H2203">
            <v>-0.6</v>
          </cell>
          <cell r="I2203">
            <v>-0.6</v>
          </cell>
          <cell r="J2203">
            <v>-0.6</v>
          </cell>
          <cell r="K2203">
            <v>-0.6</v>
          </cell>
          <cell r="L2203">
            <v>-0.6</v>
          </cell>
          <cell r="M2203">
            <v>-0.6</v>
          </cell>
        </row>
        <row r="2204">
          <cell r="C2204" t="str">
            <v>110kV 174 Phan Rí - 171 NMĐ MT Eco Seido Tuy Phong</v>
          </cell>
          <cell r="D2204">
            <v>174</v>
          </cell>
          <cell r="E2204">
            <v>-5.9</v>
          </cell>
          <cell r="F2204">
            <v>14.1</v>
          </cell>
          <cell r="G2204">
            <v>13.4</v>
          </cell>
          <cell r="H2204">
            <v>14.1</v>
          </cell>
          <cell r="I2204">
            <v>13</v>
          </cell>
          <cell r="J2204">
            <v>11.2</v>
          </cell>
          <cell r="K2204">
            <v>-6</v>
          </cell>
          <cell r="L2204">
            <v>-5.9</v>
          </cell>
          <cell r="M2204">
            <v>13.6</v>
          </cell>
        </row>
        <row r="2205">
          <cell r="C2205" t="str">
            <v>Phan Rí MBA T1 (phía 22kV)</v>
          </cell>
          <cell r="D2205">
            <v>431</v>
          </cell>
          <cell r="E2205">
            <v>1.9</v>
          </cell>
          <cell r="F2205">
            <v>2</v>
          </cell>
          <cell r="G2205">
            <v>1.9</v>
          </cell>
          <cell r="H2205">
            <v>-2</v>
          </cell>
          <cell r="I2205">
            <v>-1.9</v>
          </cell>
          <cell r="J2205">
            <v>1.9</v>
          </cell>
          <cell r="K2205">
            <v>2</v>
          </cell>
          <cell r="L2205">
            <v>2</v>
          </cell>
          <cell r="M2205">
            <v>2</v>
          </cell>
        </row>
        <row r="2206">
          <cell r="C2206" t="str">
            <v>Phan Rí MBA T2 (phía 22kV)</v>
          </cell>
          <cell r="D2206">
            <v>432</v>
          </cell>
          <cell r="E2206">
            <v>2</v>
          </cell>
          <cell r="F2206">
            <v>2.1</v>
          </cell>
          <cell r="G2206">
            <v>-2</v>
          </cell>
          <cell r="H2206">
            <v>-2.1</v>
          </cell>
          <cell r="I2206">
            <v>-2</v>
          </cell>
          <cell r="J2206">
            <v>2</v>
          </cell>
          <cell r="K2206">
            <v>2</v>
          </cell>
          <cell r="L2206">
            <v>2</v>
          </cell>
          <cell r="M2206">
            <v>2.1</v>
          </cell>
        </row>
        <row r="2207">
          <cell r="C2207" t="str">
            <v>Phan Rí 2 MBA AT1 (phía 110kV)</v>
          </cell>
          <cell r="D2207">
            <v>131</v>
          </cell>
          <cell r="E2207">
            <v>6.7</v>
          </cell>
          <cell r="F2207">
            <v>-18.7</v>
          </cell>
          <cell r="G2207">
            <v>-14.9</v>
          </cell>
          <cell r="H2207">
            <v>-15.3</v>
          </cell>
          <cell r="I2207">
            <v>-18.7</v>
          </cell>
          <cell r="J2207">
            <v>-7.7</v>
          </cell>
          <cell r="K2207">
            <v>6.7</v>
          </cell>
          <cell r="L2207">
            <v>7.1</v>
          </cell>
          <cell r="M2207">
            <v>-13.8</v>
          </cell>
        </row>
        <row r="2208">
          <cell r="C2208" t="str">
            <v>110kV 176 Phan Rí 2 - 171 NMĐ MT Bình An</v>
          </cell>
          <cell r="D2208">
            <v>176</v>
          </cell>
          <cell r="E2208">
            <v>0</v>
          </cell>
          <cell r="F2208">
            <v>2.2000000000000002</v>
          </cell>
          <cell r="G2208">
            <v>0</v>
          </cell>
          <cell r="H2208">
            <v>0</v>
          </cell>
          <cell r="I2208">
            <v>0</v>
          </cell>
          <cell r="J2208">
            <v>2.2000000000000002</v>
          </cell>
          <cell r="K2208">
            <v>0</v>
          </cell>
          <cell r="L2208">
            <v>0</v>
          </cell>
          <cell r="M2208">
            <v>0</v>
          </cell>
        </row>
        <row r="2209">
          <cell r="C2209" t="str">
            <v>110kV 177 Phan Rí 2 - 171 Lương Sơn</v>
          </cell>
          <cell r="D2209">
            <v>177</v>
          </cell>
          <cell r="E2209">
            <v>0</v>
          </cell>
          <cell r="F2209">
            <v>5.7</v>
          </cell>
          <cell r="G2209">
            <v>0</v>
          </cell>
          <cell r="H2209">
            <v>0</v>
          </cell>
          <cell r="I2209">
            <v>5.7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</row>
        <row r="2210">
          <cell r="C2210" t="str">
            <v>110kV 178 Phan Rí 2 - 172 Phan Rí</v>
          </cell>
          <cell r="D2210">
            <v>178</v>
          </cell>
          <cell r="E2210">
            <v>-3.2</v>
          </cell>
          <cell r="F2210">
            <v>7.9</v>
          </cell>
          <cell r="G2210">
            <v>6.6</v>
          </cell>
          <cell r="H2210">
            <v>7.9</v>
          </cell>
          <cell r="I2210">
            <v>5.4</v>
          </cell>
          <cell r="J2210">
            <v>4.4000000000000004</v>
          </cell>
          <cell r="K2210">
            <v>-3.2</v>
          </cell>
          <cell r="L2210">
            <v>-3.2</v>
          </cell>
          <cell r="M2210">
            <v>6.3</v>
          </cell>
        </row>
        <row r="2211">
          <cell r="C2211" t="str">
            <v>110kV 179 Phan Rí 2 - 171 Phan Rí</v>
          </cell>
          <cell r="D2211">
            <v>179</v>
          </cell>
          <cell r="E2211">
            <v>-3.4</v>
          </cell>
          <cell r="F2211">
            <v>7.2</v>
          </cell>
          <cell r="G2211">
            <v>6</v>
          </cell>
          <cell r="H2211">
            <v>7</v>
          </cell>
          <cell r="I2211">
            <v>7</v>
          </cell>
          <cell r="J2211">
            <v>6.8</v>
          </cell>
          <cell r="K2211">
            <v>-3.5</v>
          </cell>
          <cell r="L2211">
            <v>-3.4</v>
          </cell>
          <cell r="M2211">
            <v>7.2</v>
          </cell>
        </row>
        <row r="2212">
          <cell r="C2212" t="str">
            <v>Phan Rí 2 MBA AT1 (phía 220kV)</v>
          </cell>
          <cell r="D2212">
            <v>231</v>
          </cell>
          <cell r="E2212">
            <v>-6.2</v>
          </cell>
          <cell r="F2212">
            <v>28.7</v>
          </cell>
          <cell r="G2212">
            <v>19.8</v>
          </cell>
          <cell r="H2212">
            <v>23.9</v>
          </cell>
          <cell r="I2212">
            <v>28.7</v>
          </cell>
          <cell r="J2212">
            <v>18.399999999999999</v>
          </cell>
          <cell r="K2212">
            <v>-6.2</v>
          </cell>
          <cell r="L2212">
            <v>-6.2</v>
          </cell>
          <cell r="M2212">
            <v>25.7</v>
          </cell>
        </row>
        <row r="2213">
          <cell r="C2213" t="str">
            <v>220kV 271 Phan Rí 2 - 273 NMĐ MT Hồng Phong 1A</v>
          </cell>
          <cell r="D2213">
            <v>271</v>
          </cell>
          <cell r="E2213">
            <v>11.8</v>
          </cell>
          <cell r="F2213">
            <v>-27.6</v>
          </cell>
          <cell r="G2213">
            <v>-24.2</v>
          </cell>
          <cell r="H2213">
            <v>-19.7</v>
          </cell>
          <cell r="I2213">
            <v>-17.399999999999999</v>
          </cell>
          <cell r="J2213">
            <v>-27.6</v>
          </cell>
          <cell r="K2213">
            <v>-18.7</v>
          </cell>
          <cell r="L2213">
            <v>-19.2</v>
          </cell>
          <cell r="M2213">
            <v>11.8</v>
          </cell>
        </row>
        <row r="2214">
          <cell r="C2214" t="str">
            <v>220kV 272 Phan Rí 2 - 275 Phan Thiết 2</v>
          </cell>
          <cell r="D2214">
            <v>272</v>
          </cell>
          <cell r="E2214">
            <v>-27.6</v>
          </cell>
          <cell r="F2214">
            <v>-44.3</v>
          </cell>
          <cell r="G2214">
            <v>-44.3</v>
          </cell>
          <cell r="H2214">
            <v>-37</v>
          </cell>
          <cell r="I2214">
            <v>-34.299999999999997</v>
          </cell>
          <cell r="J2214">
            <v>-32.1</v>
          </cell>
          <cell r="K2214">
            <v>-29.2</v>
          </cell>
          <cell r="L2214">
            <v>-28</v>
          </cell>
          <cell r="M2214">
            <v>-27.6</v>
          </cell>
        </row>
        <row r="2215">
          <cell r="C2215" t="str">
            <v>220kV 273 Phan Rí 2 - 273 Vĩnh Tân</v>
          </cell>
          <cell r="D2215">
            <v>273</v>
          </cell>
          <cell r="E2215">
            <v>26.4</v>
          </cell>
          <cell r="F2215">
            <v>47.8</v>
          </cell>
          <cell r="G2215">
            <v>47.8</v>
          </cell>
          <cell r="H2215">
            <v>29.2</v>
          </cell>
          <cell r="I2215">
            <v>39.200000000000003</v>
          </cell>
          <cell r="J2215">
            <v>35.200000000000003</v>
          </cell>
          <cell r="K2215">
            <v>37.1</v>
          </cell>
          <cell r="L2215">
            <v>36.4</v>
          </cell>
          <cell r="M2215">
            <v>26.4</v>
          </cell>
        </row>
        <row r="2216">
          <cell r="C2216" t="str">
            <v>220kV 274 Phan Rí 2 - 274 Vĩnh Tân</v>
          </cell>
          <cell r="D2216">
            <v>274</v>
          </cell>
          <cell r="E2216">
            <v>-11.2</v>
          </cell>
          <cell r="F2216">
            <v>29.1</v>
          </cell>
          <cell r="G2216">
            <v>22.5</v>
          </cell>
          <cell r="H2216">
            <v>-21.2</v>
          </cell>
          <cell r="I2216">
            <v>18.5</v>
          </cell>
          <cell r="J2216">
            <v>29.1</v>
          </cell>
          <cell r="K2216">
            <v>15.3</v>
          </cell>
          <cell r="L2216">
            <v>16.600000000000001</v>
          </cell>
          <cell r="M2216">
            <v>-11.2</v>
          </cell>
        </row>
        <row r="2217">
          <cell r="C2217" t="str">
            <v>Phan Thiết MBA T1 (phía 110kV)</v>
          </cell>
          <cell r="D2217">
            <v>131</v>
          </cell>
          <cell r="E2217">
            <v>4</v>
          </cell>
          <cell r="F2217">
            <v>6.4</v>
          </cell>
          <cell r="G2217">
            <v>6.4</v>
          </cell>
          <cell r="H2217">
            <v>4.9000000000000004</v>
          </cell>
          <cell r="I2217">
            <v>6.1</v>
          </cell>
          <cell r="J2217">
            <v>4.7</v>
          </cell>
          <cell r="K2217">
            <v>5.0999999999999996</v>
          </cell>
          <cell r="L2217">
            <v>4</v>
          </cell>
          <cell r="M2217">
            <v>4.5</v>
          </cell>
        </row>
        <row r="2218">
          <cell r="C2218" t="str">
            <v>Phan Thiết MBA T2 (phía 110kV)</v>
          </cell>
          <cell r="D2218">
            <v>132</v>
          </cell>
          <cell r="E2218">
            <v>5.3</v>
          </cell>
          <cell r="F2218">
            <v>6.1</v>
          </cell>
          <cell r="G2218">
            <v>5.3</v>
          </cell>
          <cell r="H2218">
            <v>5.8</v>
          </cell>
          <cell r="I2218">
            <v>5.3</v>
          </cell>
          <cell r="J2218">
            <v>6.1</v>
          </cell>
          <cell r="K2218">
            <v>5.8</v>
          </cell>
          <cell r="L2218">
            <v>5.8</v>
          </cell>
          <cell r="M2218">
            <v>5.7</v>
          </cell>
        </row>
        <row r="2219">
          <cell r="C2219" t="str">
            <v>110kV 172 Phan Thiết - 172 Phan Thiết 2</v>
          </cell>
          <cell r="D2219">
            <v>172</v>
          </cell>
          <cell r="E2219">
            <v>-5.8</v>
          </cell>
          <cell r="F2219">
            <v>-8.5</v>
          </cell>
          <cell r="G2219">
            <v>-6.7</v>
          </cell>
          <cell r="H2219">
            <v>-6.5</v>
          </cell>
          <cell r="I2219">
            <v>-5.8</v>
          </cell>
          <cell r="J2219">
            <v>-7.5</v>
          </cell>
          <cell r="K2219">
            <v>-6.9</v>
          </cell>
          <cell r="L2219">
            <v>-7.9</v>
          </cell>
          <cell r="M2219">
            <v>-8.5</v>
          </cell>
        </row>
        <row r="2220">
          <cell r="C2220" t="str">
            <v>110kV 173 Phan Thiết - 173 Phan Thiết 2</v>
          </cell>
          <cell r="D2220">
            <v>173</v>
          </cell>
          <cell r="E2220">
            <v>-6.3</v>
          </cell>
          <cell r="F2220">
            <v>-8.9</v>
          </cell>
          <cell r="G2220">
            <v>-7</v>
          </cell>
          <cell r="H2220">
            <v>-6.8</v>
          </cell>
          <cell r="I2220">
            <v>-6.3</v>
          </cell>
          <cell r="J2220">
            <v>-8</v>
          </cell>
          <cell r="K2220">
            <v>-7</v>
          </cell>
          <cell r="L2220">
            <v>-8.6</v>
          </cell>
          <cell r="M2220">
            <v>-8.9</v>
          </cell>
        </row>
        <row r="2221">
          <cell r="C2221" t="str">
            <v>110kV 174 Phan Thiết - 173 trạm cắt Sông Lũy 1</v>
          </cell>
          <cell r="D2221">
            <v>174</v>
          </cell>
          <cell r="E2221">
            <v>-3.9</v>
          </cell>
          <cell r="F2221">
            <v>6.7</v>
          </cell>
          <cell r="G2221">
            <v>4</v>
          </cell>
          <cell r="H2221">
            <v>-3.9</v>
          </cell>
          <cell r="I2221">
            <v>4.4000000000000004</v>
          </cell>
          <cell r="J2221">
            <v>4.2</v>
          </cell>
          <cell r="K2221">
            <v>4.4000000000000004</v>
          </cell>
          <cell r="L2221">
            <v>-4.5999999999999996</v>
          </cell>
          <cell r="M2221">
            <v>6.7</v>
          </cell>
        </row>
        <row r="2222">
          <cell r="C2222" t="str">
            <v>110kV 175 Phan Thiết - 171 Hàm Kiệm</v>
          </cell>
          <cell r="D2222">
            <v>175</v>
          </cell>
          <cell r="E2222">
            <v>5.2</v>
          </cell>
          <cell r="F2222">
            <v>7.3</v>
          </cell>
          <cell r="G2222">
            <v>5.2</v>
          </cell>
          <cell r="H2222">
            <v>-7.2</v>
          </cell>
          <cell r="I2222">
            <v>6.5</v>
          </cell>
          <cell r="J2222">
            <v>-6.2</v>
          </cell>
          <cell r="K2222">
            <v>-6.4</v>
          </cell>
          <cell r="L2222">
            <v>7.3</v>
          </cell>
          <cell r="M2222">
            <v>-6</v>
          </cell>
        </row>
        <row r="2223">
          <cell r="C2223" t="str">
            <v>Phan Thiết MBA T1 (phía 22kV)</v>
          </cell>
          <cell r="D2223">
            <v>431</v>
          </cell>
          <cell r="E2223">
            <v>-3.7</v>
          </cell>
          <cell r="F2223">
            <v>-5.6</v>
          </cell>
          <cell r="G2223">
            <v>-5.6</v>
          </cell>
          <cell r="H2223">
            <v>-4.4000000000000004</v>
          </cell>
          <cell r="I2223">
            <v>-5.4</v>
          </cell>
          <cell r="J2223">
            <v>-3.7</v>
          </cell>
          <cell r="K2223">
            <v>-4.5999999999999996</v>
          </cell>
          <cell r="L2223">
            <v>-3.8</v>
          </cell>
          <cell r="M2223">
            <v>-4.0999999999999996</v>
          </cell>
        </row>
        <row r="2224">
          <cell r="C2224" t="str">
            <v>Phan Thiết MBA T2 (phía 22kV)</v>
          </cell>
          <cell r="D2224">
            <v>432</v>
          </cell>
          <cell r="E2224">
            <v>-2.7</v>
          </cell>
          <cell r="F2224">
            <v>-3.4</v>
          </cell>
          <cell r="G2224">
            <v>-3.1</v>
          </cell>
          <cell r="H2224">
            <v>-3.1</v>
          </cell>
          <cell r="I2224">
            <v>-2.7</v>
          </cell>
          <cell r="J2224">
            <v>-3.4</v>
          </cell>
          <cell r="K2224">
            <v>-3.2</v>
          </cell>
          <cell r="L2224">
            <v>-3.3</v>
          </cell>
          <cell r="M2224">
            <v>-2.9</v>
          </cell>
        </row>
        <row r="2225">
          <cell r="C2225" t="str">
            <v>Phan Thiết 2 MBA AT1 (phía 110kV)</v>
          </cell>
          <cell r="D2225">
            <v>131</v>
          </cell>
          <cell r="E2225">
            <v>-4.3</v>
          </cell>
          <cell r="F2225">
            <v>-17.8</v>
          </cell>
          <cell r="G2225">
            <v>-11.7</v>
          </cell>
          <cell r="H2225">
            <v>-17.8</v>
          </cell>
          <cell r="I2225">
            <v>-8.1</v>
          </cell>
          <cell r="J2225">
            <v>-8.5</v>
          </cell>
          <cell r="K2225">
            <v>-10.5</v>
          </cell>
          <cell r="L2225">
            <v>6.3</v>
          </cell>
          <cell r="M2225">
            <v>-4.3</v>
          </cell>
        </row>
        <row r="2226">
          <cell r="C2226" t="str">
            <v>Phan Thiết 2 MBA AT2 (phía 110kV)</v>
          </cell>
          <cell r="D2226">
            <v>132</v>
          </cell>
          <cell r="E2226">
            <v>-6.7</v>
          </cell>
          <cell r="F2226">
            <v>-18.399999999999999</v>
          </cell>
          <cell r="G2226">
            <v>-13</v>
          </cell>
          <cell r="H2226">
            <v>10.1</v>
          </cell>
          <cell r="I2226">
            <v>-9.5</v>
          </cell>
          <cell r="J2226">
            <v>-10.9</v>
          </cell>
          <cell r="K2226">
            <v>-13.2</v>
          </cell>
          <cell r="L2226">
            <v>-6.7</v>
          </cell>
          <cell r="M2226">
            <v>-18.399999999999999</v>
          </cell>
        </row>
        <row r="2227">
          <cell r="C2227" t="str">
            <v>110kV 172 Phan Thiết 2 - 172 Phan Thiết</v>
          </cell>
          <cell r="D2227">
            <v>172</v>
          </cell>
          <cell r="E2227">
            <v>5.4</v>
          </cell>
          <cell r="F2227">
            <v>7.9</v>
          </cell>
          <cell r="G2227">
            <v>6.1</v>
          </cell>
          <cell r="H2227">
            <v>6</v>
          </cell>
          <cell r="I2227">
            <v>5.4</v>
          </cell>
          <cell r="J2227">
            <v>7.4</v>
          </cell>
          <cell r="K2227">
            <v>6.4</v>
          </cell>
          <cell r="L2227">
            <v>6.7</v>
          </cell>
          <cell r="M2227">
            <v>7.9</v>
          </cell>
        </row>
        <row r="2228">
          <cell r="C2228" t="str">
            <v>110kV 173 Phan Thiết 2 - 173 Phan Thiết</v>
          </cell>
          <cell r="D2228">
            <v>173</v>
          </cell>
          <cell r="E2228">
            <v>6.1</v>
          </cell>
          <cell r="F2228">
            <v>9.1</v>
          </cell>
          <cell r="G2228">
            <v>7</v>
          </cell>
          <cell r="H2228">
            <v>6.5</v>
          </cell>
          <cell r="I2228">
            <v>6.4</v>
          </cell>
          <cell r="J2228">
            <v>8</v>
          </cell>
          <cell r="K2228">
            <v>6.1</v>
          </cell>
          <cell r="L2228">
            <v>7.7</v>
          </cell>
          <cell r="M2228">
            <v>9.1</v>
          </cell>
        </row>
        <row r="2229">
          <cell r="C2229" t="str">
            <v>110kV 174 Phan Thiết 2 - 171 Mũi Né</v>
          </cell>
          <cell r="D2229">
            <v>174</v>
          </cell>
          <cell r="E2229">
            <v>-4.0999999999999996</v>
          </cell>
          <cell r="F2229">
            <v>11.7</v>
          </cell>
          <cell r="G2229">
            <v>4.9000000000000004</v>
          </cell>
          <cell r="H2229">
            <v>4.9000000000000004</v>
          </cell>
          <cell r="I2229">
            <v>5.6</v>
          </cell>
          <cell r="J2229">
            <v>5.2</v>
          </cell>
          <cell r="K2229">
            <v>5.2</v>
          </cell>
          <cell r="L2229">
            <v>-4.0999999999999996</v>
          </cell>
          <cell r="M2229">
            <v>11.7</v>
          </cell>
        </row>
        <row r="2230">
          <cell r="C2230" t="str">
            <v>110kV 175 Phan Thiết 2 - 171 Ma Lâm</v>
          </cell>
          <cell r="D2230">
            <v>175</v>
          </cell>
          <cell r="E2230">
            <v>7.4</v>
          </cell>
          <cell r="F2230">
            <v>15.3</v>
          </cell>
          <cell r="G2230">
            <v>10.8</v>
          </cell>
          <cell r="H2230">
            <v>9</v>
          </cell>
          <cell r="I2230">
            <v>7.6</v>
          </cell>
          <cell r="J2230">
            <v>10.4</v>
          </cell>
          <cell r="K2230">
            <v>9.5</v>
          </cell>
          <cell r="L2230">
            <v>7.4</v>
          </cell>
          <cell r="M2230">
            <v>15.3</v>
          </cell>
        </row>
        <row r="2231">
          <cell r="C2231" t="str">
            <v>110kV 176 Phan Thiết 2 - 172 NMĐ Hàm Thuận</v>
          </cell>
          <cell r="D2231">
            <v>176</v>
          </cell>
          <cell r="E2231">
            <v>0</v>
          </cell>
          <cell r="F2231">
            <v>0</v>
          </cell>
          <cell r="G2231">
            <v>0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</row>
        <row r="2232">
          <cell r="C2232" t="str">
            <v>Phan Thiết 2 MBA AT1 (phía 220kV)</v>
          </cell>
          <cell r="D2232">
            <v>231</v>
          </cell>
          <cell r="E2232">
            <v>10.6</v>
          </cell>
          <cell r="F2232">
            <v>18.2</v>
          </cell>
          <cell r="G2232">
            <v>12.6</v>
          </cell>
          <cell r="H2232">
            <v>17.7</v>
          </cell>
          <cell r="I2232">
            <v>10.6</v>
          </cell>
          <cell r="J2232">
            <v>12.1</v>
          </cell>
          <cell r="K2232">
            <v>11.6</v>
          </cell>
          <cell r="L2232">
            <v>11.6</v>
          </cell>
          <cell r="M2232">
            <v>18.2</v>
          </cell>
        </row>
        <row r="2233">
          <cell r="C2233" t="str">
            <v>Phan Thiết 2 MBA AT2 (phía 220kV)</v>
          </cell>
          <cell r="D2233">
            <v>232</v>
          </cell>
          <cell r="E2233">
            <v>12.2</v>
          </cell>
          <cell r="F2233">
            <v>20.2</v>
          </cell>
          <cell r="G2233">
            <v>13.4</v>
          </cell>
          <cell r="H2233">
            <v>14.6</v>
          </cell>
          <cell r="I2233">
            <v>13.2</v>
          </cell>
          <cell r="J2233">
            <v>15</v>
          </cell>
          <cell r="K2233">
            <v>13.7</v>
          </cell>
          <cell r="L2233">
            <v>12.2</v>
          </cell>
          <cell r="M2233">
            <v>20.2</v>
          </cell>
        </row>
        <row r="2234">
          <cell r="C2234" t="str">
            <v>220kV 271 Phan Thiết 2 - 276 Hàm Tân 2</v>
          </cell>
          <cell r="D2234">
            <v>271</v>
          </cell>
          <cell r="E2234">
            <v>-19.2</v>
          </cell>
          <cell r="F2234">
            <v>-26.9</v>
          </cell>
          <cell r="G2234">
            <v>-26.9</v>
          </cell>
          <cell r="H2234">
            <v>-21</v>
          </cell>
          <cell r="I2234">
            <v>-23.9</v>
          </cell>
          <cell r="J2234">
            <v>-19.2</v>
          </cell>
          <cell r="K2234">
            <v>-19.600000000000001</v>
          </cell>
          <cell r="L2234">
            <v>-20.100000000000001</v>
          </cell>
          <cell r="M2234">
            <v>-22.6</v>
          </cell>
        </row>
        <row r="2235">
          <cell r="C2235" t="str">
            <v>220kV 272 Phan Thiết 2 - 273 NMĐ Hàm Thuận</v>
          </cell>
          <cell r="D2235">
            <v>272</v>
          </cell>
          <cell r="E2235">
            <v>-14.4</v>
          </cell>
          <cell r="F2235">
            <v>-41.6</v>
          </cell>
          <cell r="G2235">
            <v>-41.6</v>
          </cell>
          <cell r="H2235">
            <v>-28.5</v>
          </cell>
          <cell r="I2235">
            <v>-29</v>
          </cell>
          <cell r="J2235">
            <v>-19</v>
          </cell>
          <cell r="K2235">
            <v>-24.3</v>
          </cell>
          <cell r="L2235">
            <v>-14.4</v>
          </cell>
          <cell r="M2235">
            <v>-33.9</v>
          </cell>
        </row>
        <row r="2236">
          <cell r="C2236" t="str">
            <v>220kV 273 Phan Thiết 2 - 272 NMĐ MT Đá Bạc</v>
          </cell>
          <cell r="D2236">
            <v>273</v>
          </cell>
          <cell r="E2236">
            <v>-15.8</v>
          </cell>
          <cell r="F2236">
            <v>-23.2</v>
          </cell>
          <cell r="G2236">
            <v>-23.2</v>
          </cell>
          <cell r="H2236">
            <v>-19.100000000000001</v>
          </cell>
          <cell r="I2236">
            <v>-18.3</v>
          </cell>
          <cell r="J2236">
            <v>-15.8</v>
          </cell>
          <cell r="K2236">
            <v>-18.7</v>
          </cell>
          <cell r="L2236">
            <v>-18</v>
          </cell>
          <cell r="M2236">
            <v>18</v>
          </cell>
        </row>
        <row r="2237">
          <cell r="C2237" t="str">
            <v>220kV 274 Phan Thiết 2 - 273 Bảo Lộc</v>
          </cell>
          <cell r="D2237">
            <v>274</v>
          </cell>
          <cell r="E2237">
            <v>-11.3</v>
          </cell>
          <cell r="F2237">
            <v>-24.9</v>
          </cell>
          <cell r="G2237">
            <v>-24.5</v>
          </cell>
          <cell r="H2237">
            <v>-24.9</v>
          </cell>
          <cell r="I2237">
            <v>-11.3</v>
          </cell>
          <cell r="J2237">
            <v>-19.8</v>
          </cell>
          <cell r="K2237">
            <v>-12.6</v>
          </cell>
          <cell r="L2237">
            <v>13.7</v>
          </cell>
          <cell r="M2237">
            <v>-22</v>
          </cell>
        </row>
        <row r="2238">
          <cell r="C2238" t="str">
            <v>220kV 275 Phan Thiết 2 - 272 Phan Rí 2</v>
          </cell>
          <cell r="D2238">
            <v>275</v>
          </cell>
          <cell r="E2238">
            <v>27</v>
          </cell>
          <cell r="F2238">
            <v>54.4</v>
          </cell>
          <cell r="G2238">
            <v>43.2</v>
          </cell>
          <cell r="H2238">
            <v>54.4</v>
          </cell>
          <cell r="I2238">
            <v>32.299999999999997</v>
          </cell>
          <cell r="J2238">
            <v>36.1</v>
          </cell>
          <cell r="K2238">
            <v>33.200000000000003</v>
          </cell>
          <cell r="L2238">
            <v>27</v>
          </cell>
          <cell r="M2238">
            <v>35.6</v>
          </cell>
        </row>
        <row r="2239">
          <cell r="C2239" t="str">
            <v>220kV 276 Phan Thiết 2 - 272 NMĐ MT Hồng Phong 1A</v>
          </cell>
          <cell r="D2239">
            <v>276</v>
          </cell>
          <cell r="E2239">
            <v>12.4</v>
          </cell>
          <cell r="F2239">
            <v>32.5</v>
          </cell>
          <cell r="G2239">
            <v>32.200000000000003</v>
          </cell>
          <cell r="H2239">
            <v>32.5</v>
          </cell>
          <cell r="I2239">
            <v>20.8</v>
          </cell>
          <cell r="J2239">
            <v>21.5</v>
          </cell>
          <cell r="K2239">
            <v>15.4</v>
          </cell>
          <cell r="L2239">
            <v>12.4</v>
          </cell>
          <cell r="M2239">
            <v>14.8</v>
          </cell>
        </row>
        <row r="2240">
          <cell r="C2240" t="str">
            <v>Phát Thanh Nam Bộ MBA T1 (phía 110kV)</v>
          </cell>
          <cell r="D2240">
            <v>131</v>
          </cell>
          <cell r="E2240">
            <v>0.3</v>
          </cell>
          <cell r="F2240">
            <v>0.4</v>
          </cell>
          <cell r="G2240">
            <v>0.4</v>
          </cell>
          <cell r="H2240">
            <v>0.3</v>
          </cell>
          <cell r="I2240">
            <v>0.3</v>
          </cell>
          <cell r="J2240">
            <v>0.3</v>
          </cell>
          <cell r="K2240">
            <v>0.3</v>
          </cell>
          <cell r="L2240">
            <v>0.3</v>
          </cell>
          <cell r="M2240">
            <v>0.3</v>
          </cell>
        </row>
        <row r="2241">
          <cell r="C2241" t="str">
            <v>Phát Thanh Nam Bộ MBA T2 (phía 110kV)</v>
          </cell>
          <cell r="D2241">
            <v>132</v>
          </cell>
          <cell r="E2241">
            <v>0.2</v>
          </cell>
          <cell r="F2241">
            <v>0.2</v>
          </cell>
          <cell r="G2241">
            <v>0.2</v>
          </cell>
          <cell r="H2241">
            <v>0.2</v>
          </cell>
          <cell r="I2241">
            <v>0.2</v>
          </cell>
          <cell r="J2241">
            <v>0.2</v>
          </cell>
          <cell r="K2241">
            <v>0.2</v>
          </cell>
          <cell r="L2241">
            <v>0.2</v>
          </cell>
          <cell r="M2241">
            <v>0.2</v>
          </cell>
        </row>
        <row r="2242">
          <cell r="C2242" t="str">
            <v>110kV 171 Phát Thanh Nam Bộ - 171 Thốt Nốt 2</v>
          </cell>
          <cell r="D2242">
            <v>171</v>
          </cell>
          <cell r="E2242">
            <v>0</v>
          </cell>
          <cell r="F2242">
            <v>0</v>
          </cell>
          <cell r="G2242">
            <v>0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</row>
        <row r="2243">
          <cell r="C2243" t="str">
            <v>110kV 172 Phát Thanh Nam Bộ - 172 NMĐ Ô Môn</v>
          </cell>
          <cell r="D2243">
            <v>172</v>
          </cell>
          <cell r="E2243">
            <v>-0.3</v>
          </cell>
          <cell r="F2243">
            <v>-0.3</v>
          </cell>
          <cell r="G2243">
            <v>-0.3</v>
          </cell>
          <cell r="H2243">
            <v>-0.3</v>
          </cell>
          <cell r="I2243">
            <v>-0.3</v>
          </cell>
          <cell r="J2243">
            <v>-0.3</v>
          </cell>
          <cell r="K2243">
            <v>-0.3</v>
          </cell>
          <cell r="L2243">
            <v>-0.3</v>
          </cell>
          <cell r="M2243">
            <v>-0.3</v>
          </cell>
        </row>
        <row r="2244">
          <cell r="C2244" t="str">
            <v>Phát Thanh Nam Bộ MBA T1 (phía 10kV)</v>
          </cell>
          <cell r="D2244">
            <v>931</v>
          </cell>
          <cell r="E2244">
            <v>-0.3</v>
          </cell>
          <cell r="F2244">
            <v>-0.4</v>
          </cell>
          <cell r="G2244">
            <v>-0.4</v>
          </cell>
          <cell r="H2244">
            <v>-0.4</v>
          </cell>
          <cell r="I2244">
            <v>-0.4</v>
          </cell>
          <cell r="J2244">
            <v>-0.4</v>
          </cell>
          <cell r="K2244">
            <v>-0.4</v>
          </cell>
          <cell r="L2244">
            <v>-0.4</v>
          </cell>
          <cell r="M2244">
            <v>-0.3</v>
          </cell>
        </row>
        <row r="2245">
          <cell r="C2245" t="str">
            <v>Phát Thanh Nam Bộ MBA T2 (phía 10kV)</v>
          </cell>
          <cell r="D2245">
            <v>932</v>
          </cell>
          <cell r="E2245">
            <v>0</v>
          </cell>
          <cell r="F2245">
            <v>0</v>
          </cell>
          <cell r="G2245">
            <v>0</v>
          </cell>
          <cell r="H2245">
            <v>0</v>
          </cell>
          <cell r="I2245">
            <v>0</v>
          </cell>
          <cell r="J2245">
            <v>0</v>
          </cell>
          <cell r="K2245">
            <v>0</v>
          </cell>
          <cell r="L2245">
            <v>0</v>
          </cell>
          <cell r="M2245">
            <v>0</v>
          </cell>
        </row>
        <row r="2246">
          <cell r="C2246" t="str">
            <v>Phú Châu MBA T1 (phía 110kV)</v>
          </cell>
          <cell r="D2246">
            <v>131</v>
          </cell>
          <cell r="E2246">
            <v>0</v>
          </cell>
          <cell r="F2246">
            <v>0.8</v>
          </cell>
          <cell r="G2246">
            <v>0.8</v>
          </cell>
          <cell r="H2246">
            <v>0</v>
          </cell>
          <cell r="I2246">
            <v>0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</row>
        <row r="2247">
          <cell r="C2247" t="str">
            <v>Phú Châu MBA T2 (phía 110kV)</v>
          </cell>
          <cell r="D2247">
            <v>132</v>
          </cell>
          <cell r="E2247">
            <v>0</v>
          </cell>
          <cell r="F2247">
            <v>0</v>
          </cell>
          <cell r="G2247">
            <v>0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</row>
        <row r="2248">
          <cell r="C2248" t="str">
            <v>110kV 171 Phú Châu - 172 Hồng Ngự</v>
          </cell>
          <cell r="D2248">
            <v>171</v>
          </cell>
          <cell r="E2248">
            <v>0</v>
          </cell>
          <cell r="F2248">
            <v>0</v>
          </cell>
          <cell r="G2248">
            <v>0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</row>
        <row r="2249">
          <cell r="C2249" t="str">
            <v>110kV 172 Phú Châu - 173 Châu Đốc 2</v>
          </cell>
          <cell r="D2249">
            <v>172</v>
          </cell>
          <cell r="E2249">
            <v>-1.3</v>
          </cell>
          <cell r="F2249">
            <v>-2.4</v>
          </cell>
          <cell r="G2249">
            <v>-2.4</v>
          </cell>
          <cell r="H2249">
            <v>1.6</v>
          </cell>
          <cell r="I2249">
            <v>1.7</v>
          </cell>
          <cell r="J2249">
            <v>-1.3</v>
          </cell>
          <cell r="K2249">
            <v>1.6</v>
          </cell>
          <cell r="L2249">
            <v>-1.7</v>
          </cell>
          <cell r="M2249">
            <v>1.5</v>
          </cell>
        </row>
        <row r="2250">
          <cell r="C2250" t="str">
            <v>Phú Châu MBA T1 (phía 22kV)</v>
          </cell>
          <cell r="D2250">
            <v>431</v>
          </cell>
          <cell r="E2250">
            <v>1.8</v>
          </cell>
          <cell r="F2250">
            <v>2.2000000000000002</v>
          </cell>
          <cell r="G2250">
            <v>1.9</v>
          </cell>
          <cell r="H2250">
            <v>2.1</v>
          </cell>
          <cell r="I2250">
            <v>2.2000000000000002</v>
          </cell>
          <cell r="J2250">
            <v>1.8</v>
          </cell>
          <cell r="K2250">
            <v>2.2000000000000002</v>
          </cell>
          <cell r="L2250">
            <v>2.1</v>
          </cell>
          <cell r="M2250">
            <v>2.2000000000000002</v>
          </cell>
        </row>
        <row r="2251">
          <cell r="C2251" t="str">
            <v>Phú Châu MBA T2 (phía 22kV)</v>
          </cell>
          <cell r="D2251">
            <v>432</v>
          </cell>
          <cell r="E2251">
            <v>0</v>
          </cell>
          <cell r="F2251">
            <v>0</v>
          </cell>
          <cell r="G2251">
            <v>0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</row>
        <row r="2252">
          <cell r="C2252" t="str">
            <v>Phú Định MBA T1 (phía 110kV)</v>
          </cell>
          <cell r="D2252">
            <v>131</v>
          </cell>
          <cell r="E2252">
            <v>-1.8</v>
          </cell>
          <cell r="F2252">
            <v>-2.2000000000000002</v>
          </cell>
          <cell r="G2252">
            <v>-1.8</v>
          </cell>
          <cell r="H2252">
            <v>-1.9</v>
          </cell>
          <cell r="I2252">
            <v>-1.8</v>
          </cell>
          <cell r="J2252">
            <v>-2.1</v>
          </cell>
          <cell r="K2252">
            <v>-2.2000000000000002</v>
          </cell>
          <cell r="L2252">
            <v>-2.1</v>
          </cell>
          <cell r="M2252">
            <v>-1.9</v>
          </cell>
        </row>
        <row r="2253">
          <cell r="C2253" t="str">
            <v>Phú Định MBA T2 (phía 110kV)</v>
          </cell>
          <cell r="D2253">
            <v>132</v>
          </cell>
          <cell r="E2253">
            <v>-2.9</v>
          </cell>
          <cell r="F2253">
            <v>-3.9</v>
          </cell>
          <cell r="G2253">
            <v>-3.4</v>
          </cell>
          <cell r="H2253">
            <v>-2.9</v>
          </cell>
          <cell r="I2253">
            <v>-3.2</v>
          </cell>
          <cell r="J2253">
            <v>-3.4</v>
          </cell>
          <cell r="K2253">
            <v>-3.5</v>
          </cell>
          <cell r="L2253">
            <v>-3.9</v>
          </cell>
          <cell r="M2253">
            <v>-3.4</v>
          </cell>
        </row>
        <row r="2254">
          <cell r="C2254" t="str">
            <v>110kV 171 Phú Định - 175 Phú Lâm</v>
          </cell>
          <cell r="D2254">
            <v>171</v>
          </cell>
          <cell r="E2254">
            <v>3.5</v>
          </cell>
          <cell r="F2254">
            <v>7.8</v>
          </cell>
          <cell r="G2254">
            <v>7.8</v>
          </cell>
          <cell r="H2254">
            <v>7.6</v>
          </cell>
          <cell r="I2254">
            <v>7.6</v>
          </cell>
          <cell r="J2254">
            <v>3.5</v>
          </cell>
          <cell r="K2254">
            <v>7.8</v>
          </cell>
          <cell r="L2254">
            <v>7.6</v>
          </cell>
          <cell r="M2254">
            <v>7.4</v>
          </cell>
        </row>
        <row r="2255">
          <cell r="C2255" t="str">
            <v>110kV 172 Phú Định - 171 Bình Phú</v>
          </cell>
          <cell r="D2255">
            <v>172</v>
          </cell>
          <cell r="E2255">
            <v>3.7</v>
          </cell>
          <cell r="F2255">
            <v>8.1</v>
          </cell>
          <cell r="G2255">
            <v>8.1</v>
          </cell>
          <cell r="H2255">
            <v>7.8</v>
          </cell>
          <cell r="I2255">
            <v>8</v>
          </cell>
          <cell r="J2255">
            <v>3.7</v>
          </cell>
          <cell r="K2255">
            <v>7.9</v>
          </cell>
          <cell r="L2255">
            <v>7.7</v>
          </cell>
          <cell r="M2255">
            <v>7.4</v>
          </cell>
        </row>
        <row r="2256">
          <cell r="C2256" t="str">
            <v>110kV 173 Phú Định - 172 Hùng Vương</v>
          </cell>
          <cell r="D2256">
            <v>173</v>
          </cell>
          <cell r="E2256">
            <v>8.6</v>
          </cell>
          <cell r="F2256">
            <v>19.8</v>
          </cell>
          <cell r="G2256">
            <v>-12.7</v>
          </cell>
          <cell r="H2256">
            <v>9</v>
          </cell>
          <cell r="I2256">
            <v>19.8</v>
          </cell>
          <cell r="J2256">
            <v>-9.8000000000000007</v>
          </cell>
          <cell r="K2256">
            <v>8.6</v>
          </cell>
          <cell r="L2256">
            <v>11.5</v>
          </cell>
          <cell r="M2256">
            <v>15.5</v>
          </cell>
        </row>
        <row r="2257">
          <cell r="C2257" t="str">
            <v>110kV 174 Phú Định - 171 Quận 8</v>
          </cell>
          <cell r="D2257">
            <v>174</v>
          </cell>
          <cell r="E2257">
            <v>-31.1</v>
          </cell>
          <cell r="F2257">
            <v>67.400000000000006</v>
          </cell>
          <cell r="G2257">
            <v>-49.5</v>
          </cell>
          <cell r="H2257">
            <v>-33.200000000000003</v>
          </cell>
          <cell r="I2257">
            <v>67.400000000000006</v>
          </cell>
          <cell r="J2257">
            <v>-31.1</v>
          </cell>
          <cell r="K2257">
            <v>33</v>
          </cell>
          <cell r="L2257">
            <v>36.4</v>
          </cell>
          <cell r="M2257">
            <v>51.7</v>
          </cell>
        </row>
        <row r="2258">
          <cell r="C2258" t="str">
            <v>110kV 175 Phú Định - 175 Bình Chánh</v>
          </cell>
          <cell r="D2258">
            <v>175</v>
          </cell>
          <cell r="E2258">
            <v>-18.8</v>
          </cell>
          <cell r="F2258">
            <v>-48.9</v>
          </cell>
          <cell r="G2258">
            <v>21.3</v>
          </cell>
          <cell r="H2258">
            <v>-19.399999999999999</v>
          </cell>
          <cell r="I2258">
            <v>-48.9</v>
          </cell>
          <cell r="J2258">
            <v>21.1</v>
          </cell>
          <cell r="K2258">
            <v>-18.8</v>
          </cell>
          <cell r="L2258">
            <v>-29.1</v>
          </cell>
          <cell r="M2258">
            <v>-37.1</v>
          </cell>
        </row>
        <row r="2259">
          <cell r="C2259" t="str">
            <v>110kV 176 Phú Định -176 Bình Chánh</v>
          </cell>
          <cell r="D2259">
            <v>176</v>
          </cell>
          <cell r="E2259">
            <v>-18.7</v>
          </cell>
          <cell r="F2259">
            <v>-48.7</v>
          </cell>
          <cell r="G2259">
            <v>22</v>
          </cell>
          <cell r="H2259">
            <v>-18.899999999999999</v>
          </cell>
          <cell r="I2259">
            <v>-48.7</v>
          </cell>
          <cell r="J2259">
            <v>21.8</v>
          </cell>
          <cell r="K2259">
            <v>-18.7</v>
          </cell>
          <cell r="L2259">
            <v>-28.8</v>
          </cell>
          <cell r="M2259">
            <v>-37</v>
          </cell>
        </row>
        <row r="2260">
          <cell r="C2260" t="str">
            <v>Phú Định MBA T1 (phía 22kV)</v>
          </cell>
          <cell r="D2260">
            <v>431</v>
          </cell>
          <cell r="E2260">
            <v>2.2999999999999998</v>
          </cell>
          <cell r="F2260">
            <v>2.6</v>
          </cell>
          <cell r="G2260">
            <v>2.2999999999999998</v>
          </cell>
          <cell r="H2260">
            <v>2.4</v>
          </cell>
          <cell r="I2260">
            <v>2.2999999999999998</v>
          </cell>
          <cell r="J2260">
            <v>2.6</v>
          </cell>
          <cell r="K2260">
            <v>2.6</v>
          </cell>
          <cell r="L2260">
            <v>2.5</v>
          </cell>
          <cell r="M2260">
            <v>2.4</v>
          </cell>
        </row>
        <row r="2261">
          <cell r="C2261" t="str">
            <v>Phú Định MBA T2 (phía 22kV)</v>
          </cell>
          <cell r="D2261">
            <v>432</v>
          </cell>
          <cell r="E2261">
            <v>4.2</v>
          </cell>
          <cell r="F2261">
            <v>4.8</v>
          </cell>
          <cell r="G2261">
            <v>4.5</v>
          </cell>
          <cell r="H2261">
            <v>4.2</v>
          </cell>
          <cell r="I2261">
            <v>4.4000000000000004</v>
          </cell>
          <cell r="J2261">
            <v>4.5999999999999996</v>
          </cell>
          <cell r="K2261">
            <v>4.5</v>
          </cell>
          <cell r="L2261">
            <v>4.8</v>
          </cell>
          <cell r="M2261">
            <v>4.5999999999999996</v>
          </cell>
        </row>
        <row r="2262">
          <cell r="C2262" t="str">
            <v>Phú Giáo MBA T1 (phía 110kV)</v>
          </cell>
          <cell r="D2262">
            <v>131</v>
          </cell>
          <cell r="E2262">
            <v>4.9000000000000004</v>
          </cell>
          <cell r="F2262">
            <v>6.6</v>
          </cell>
          <cell r="G2262">
            <v>5.8</v>
          </cell>
          <cell r="H2262">
            <v>5.6</v>
          </cell>
          <cell r="I2262">
            <v>4.9000000000000004</v>
          </cell>
          <cell r="J2262">
            <v>5.9</v>
          </cell>
          <cell r="K2262">
            <v>6.6</v>
          </cell>
          <cell r="L2262">
            <v>5.2</v>
          </cell>
          <cell r="M2262">
            <v>5.2</v>
          </cell>
        </row>
        <row r="2263">
          <cell r="C2263" t="str">
            <v>Phú Giáo MBA T2 (phía 110kV)</v>
          </cell>
          <cell r="D2263">
            <v>132</v>
          </cell>
          <cell r="E2263">
            <v>3.5</v>
          </cell>
          <cell r="F2263">
            <v>7.5</v>
          </cell>
          <cell r="G2263">
            <v>5.9</v>
          </cell>
          <cell r="H2263">
            <v>6</v>
          </cell>
          <cell r="I2263">
            <v>6.5</v>
          </cell>
          <cell r="J2263">
            <v>-4.3</v>
          </cell>
          <cell r="K2263">
            <v>3.5</v>
          </cell>
          <cell r="L2263">
            <v>3.6</v>
          </cell>
          <cell r="M2263">
            <v>7.5</v>
          </cell>
        </row>
        <row r="2264">
          <cell r="C2264" t="str">
            <v>110kV 171 Phú Giáo - 171 NMĐ Trị An</v>
          </cell>
          <cell r="D2264">
            <v>171</v>
          </cell>
          <cell r="E2264">
            <v>-6.4</v>
          </cell>
          <cell r="F2264">
            <v>-12.1</v>
          </cell>
          <cell r="G2264">
            <v>-11.5</v>
          </cell>
          <cell r="H2264">
            <v>-11.1</v>
          </cell>
          <cell r="I2264">
            <v>-11.1</v>
          </cell>
          <cell r="J2264">
            <v>-6.4</v>
          </cell>
          <cell r="K2264">
            <v>-10</v>
          </cell>
          <cell r="L2264">
            <v>-8.5</v>
          </cell>
          <cell r="M2264">
            <v>-12.1</v>
          </cell>
        </row>
        <row r="2265">
          <cell r="C2265" t="str">
            <v>110kV 172 Phú Giáo - 171 Đồng Phú</v>
          </cell>
          <cell r="D2265">
            <v>172</v>
          </cell>
          <cell r="E2265">
            <v>0</v>
          </cell>
          <cell r="F2265">
            <v>0</v>
          </cell>
          <cell r="G2265">
            <v>0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</row>
        <row r="2266">
          <cell r="C2266" t="str">
            <v>Phú Giáo MBA T1 (phía 22kV)</v>
          </cell>
          <cell r="D2266">
            <v>431</v>
          </cell>
          <cell r="E2266">
            <v>4.2</v>
          </cell>
          <cell r="F2266">
            <v>5.3</v>
          </cell>
          <cell r="G2266">
            <v>5.3</v>
          </cell>
          <cell r="H2266">
            <v>4.2</v>
          </cell>
          <cell r="I2266">
            <v>4.7</v>
          </cell>
          <cell r="J2266">
            <v>-4.4000000000000004</v>
          </cell>
          <cell r="K2266">
            <v>4.3</v>
          </cell>
          <cell r="L2266">
            <v>4.5999999999999996</v>
          </cell>
          <cell r="M2266">
            <v>4.7</v>
          </cell>
        </row>
        <row r="2267">
          <cell r="C2267" t="str">
            <v>Phú Giáo MBA T2 (phía 22kV)</v>
          </cell>
          <cell r="D2267">
            <v>432</v>
          </cell>
          <cell r="E2267">
            <v>3.3</v>
          </cell>
          <cell r="F2267">
            <v>5.3</v>
          </cell>
          <cell r="G2267">
            <v>4.5</v>
          </cell>
          <cell r="H2267">
            <v>3.9</v>
          </cell>
          <cell r="I2267">
            <v>-4.3</v>
          </cell>
          <cell r="J2267">
            <v>5.3</v>
          </cell>
          <cell r="K2267">
            <v>3.3</v>
          </cell>
          <cell r="L2267">
            <v>3.6</v>
          </cell>
          <cell r="M2267">
            <v>-5.0999999999999996</v>
          </cell>
        </row>
        <row r="2268">
          <cell r="C2268" t="str">
            <v>Phú Hòa Đông MBA T1 (phía 110kV)</v>
          </cell>
          <cell r="D2268">
            <v>131</v>
          </cell>
          <cell r="E2268">
            <v>1.3</v>
          </cell>
          <cell r="F2268">
            <v>5.0999999999999996</v>
          </cell>
          <cell r="G2268">
            <v>5.0999999999999996</v>
          </cell>
          <cell r="H2268">
            <v>4.7</v>
          </cell>
          <cell r="I2268">
            <v>4.5</v>
          </cell>
          <cell r="J2268">
            <v>1.3</v>
          </cell>
          <cell r="K2268">
            <v>4.3</v>
          </cell>
          <cell r="L2268">
            <v>4.7</v>
          </cell>
          <cell r="M2268">
            <v>5</v>
          </cell>
        </row>
        <row r="2269">
          <cell r="C2269" t="str">
            <v>110kV 171 Phú Hòa Đông - 180 Củ Chi 2</v>
          </cell>
          <cell r="D2269">
            <v>171</v>
          </cell>
          <cell r="E2269">
            <v>3.6</v>
          </cell>
          <cell r="F2269">
            <v>-7.3</v>
          </cell>
          <cell r="G2269">
            <v>-7.3</v>
          </cell>
          <cell r="H2269">
            <v>-6.1</v>
          </cell>
          <cell r="I2269">
            <v>-6.3</v>
          </cell>
          <cell r="J2269">
            <v>3.6</v>
          </cell>
          <cell r="K2269">
            <v>-6.1</v>
          </cell>
          <cell r="L2269">
            <v>-5.4</v>
          </cell>
          <cell r="M2269">
            <v>-4.4000000000000004</v>
          </cell>
        </row>
        <row r="2270">
          <cell r="C2270" t="str">
            <v>110kV 172 Phú Hòa Đông - 171 Đông Nam</v>
          </cell>
          <cell r="D2270">
            <v>172</v>
          </cell>
          <cell r="E2270">
            <v>-2.8</v>
          </cell>
          <cell r="F2270">
            <v>-4.0999999999999996</v>
          </cell>
          <cell r="G2270">
            <v>3</v>
          </cell>
          <cell r="H2270">
            <v>-2.8</v>
          </cell>
          <cell r="I2270">
            <v>-3</v>
          </cell>
          <cell r="J2270">
            <v>-3.6</v>
          </cell>
          <cell r="K2270">
            <v>-2.9</v>
          </cell>
          <cell r="L2270">
            <v>-3.4</v>
          </cell>
          <cell r="M2270">
            <v>-4.0999999999999996</v>
          </cell>
        </row>
        <row r="2271">
          <cell r="C2271" t="str">
            <v>Phú Hòa Đông MBA T1 (phía 22kV)</v>
          </cell>
          <cell r="D2271">
            <v>431</v>
          </cell>
          <cell r="E2271">
            <v>-1.4</v>
          </cell>
          <cell r="F2271">
            <v>-4.3</v>
          </cell>
          <cell r="G2271">
            <v>-4.3</v>
          </cell>
          <cell r="H2271">
            <v>-3.8</v>
          </cell>
          <cell r="I2271">
            <v>-3.7</v>
          </cell>
          <cell r="J2271">
            <v>-1.4</v>
          </cell>
          <cell r="K2271">
            <v>-3.7</v>
          </cell>
          <cell r="L2271">
            <v>-3.9</v>
          </cell>
          <cell r="M2271">
            <v>-4.0999999999999996</v>
          </cell>
        </row>
        <row r="2272">
          <cell r="C2272" t="str">
            <v>Phú Lâm MBA AT3 (phía 110kV)</v>
          </cell>
          <cell r="D2272">
            <v>133</v>
          </cell>
          <cell r="E2272">
            <v>14</v>
          </cell>
          <cell r="F2272">
            <v>-44.1</v>
          </cell>
          <cell r="G2272">
            <v>-44.1</v>
          </cell>
          <cell r="H2272">
            <v>-20.9</v>
          </cell>
          <cell r="I2272">
            <v>-15.8</v>
          </cell>
          <cell r="J2272">
            <v>14</v>
          </cell>
          <cell r="K2272">
            <v>-35.299999999999997</v>
          </cell>
          <cell r="L2272">
            <v>-18.7</v>
          </cell>
          <cell r="M2272">
            <v>-22.1</v>
          </cell>
        </row>
        <row r="2273">
          <cell r="C2273" t="str">
            <v>Phú Lâm MBA AT4 (phía 110kV)</v>
          </cell>
          <cell r="D2273">
            <v>134</v>
          </cell>
          <cell r="E2273">
            <v>12</v>
          </cell>
          <cell r="F2273">
            <v>-44.5</v>
          </cell>
          <cell r="G2273">
            <v>-44.5</v>
          </cell>
          <cell r="H2273">
            <v>-22.6</v>
          </cell>
          <cell r="I2273">
            <v>-16.100000000000001</v>
          </cell>
          <cell r="J2273">
            <v>12</v>
          </cell>
          <cell r="K2273">
            <v>-35.6</v>
          </cell>
          <cell r="L2273">
            <v>-19.2</v>
          </cell>
          <cell r="M2273">
            <v>-23.1</v>
          </cell>
        </row>
        <row r="2274">
          <cell r="C2274" t="str">
            <v>Phú Lâm MBA T5 (phía 110kV)</v>
          </cell>
          <cell r="D2274">
            <v>135</v>
          </cell>
          <cell r="E2274">
            <v>1.7</v>
          </cell>
          <cell r="F2274">
            <v>16.7</v>
          </cell>
          <cell r="G2274">
            <v>16.100000000000001</v>
          </cell>
          <cell r="H2274">
            <v>16.7</v>
          </cell>
          <cell r="I2274">
            <v>15.6</v>
          </cell>
          <cell r="J2274">
            <v>1.7</v>
          </cell>
          <cell r="K2274">
            <v>15.9</v>
          </cell>
          <cell r="L2274">
            <v>16.2</v>
          </cell>
          <cell r="M2274">
            <v>16.3</v>
          </cell>
        </row>
        <row r="2275">
          <cell r="C2275" t="str">
            <v>Phú Lâm MBA T6 (phía 110kV)</v>
          </cell>
          <cell r="D2275">
            <v>136</v>
          </cell>
          <cell r="E2275">
            <v>3.5</v>
          </cell>
          <cell r="F2275">
            <v>7</v>
          </cell>
          <cell r="G2275">
            <v>6.7</v>
          </cell>
          <cell r="H2275">
            <v>7</v>
          </cell>
          <cell r="I2275">
            <v>6</v>
          </cell>
          <cell r="J2275">
            <v>3.5</v>
          </cell>
          <cell r="K2275">
            <v>6.6</v>
          </cell>
          <cell r="L2275">
            <v>6.8</v>
          </cell>
          <cell r="M2275">
            <v>5.9</v>
          </cell>
        </row>
        <row r="2276">
          <cell r="C2276" t="str">
            <v>Phú Lâm MBA AT7 (phía 110kV)</v>
          </cell>
          <cell r="D2276">
            <v>137</v>
          </cell>
          <cell r="E2276">
            <v>24.2</v>
          </cell>
          <cell r="F2276">
            <v>54.5</v>
          </cell>
          <cell r="G2276">
            <v>49.5</v>
          </cell>
          <cell r="H2276">
            <v>50</v>
          </cell>
          <cell r="I2276">
            <v>53.2</v>
          </cell>
          <cell r="J2276">
            <v>24.2</v>
          </cell>
          <cell r="K2276">
            <v>51.4</v>
          </cell>
          <cell r="L2276">
            <v>51</v>
          </cell>
          <cell r="M2276">
            <v>54.5</v>
          </cell>
        </row>
        <row r="2277">
          <cell r="C2277" t="str">
            <v>110kV 171 Phú Lâm - 172 Tân Bình 2 - 171 Pou Yuen</v>
          </cell>
          <cell r="D2277">
            <v>171</v>
          </cell>
          <cell r="E2277">
            <v>2.2000000000000002</v>
          </cell>
          <cell r="F2277">
            <v>12</v>
          </cell>
          <cell r="G2277">
            <v>12</v>
          </cell>
          <cell r="H2277">
            <v>11.9</v>
          </cell>
          <cell r="I2277">
            <v>11.6</v>
          </cell>
          <cell r="J2277">
            <v>2.2000000000000002</v>
          </cell>
          <cell r="K2277">
            <v>10.8</v>
          </cell>
          <cell r="L2277">
            <v>11.7</v>
          </cell>
          <cell r="M2277">
            <v>11.7</v>
          </cell>
        </row>
        <row r="2278">
          <cell r="C2278" t="str">
            <v>110kV 172 Phú Lâm - 172 Chợ Lớn</v>
          </cell>
          <cell r="D2278">
            <v>172</v>
          </cell>
          <cell r="E2278">
            <v>-11.5</v>
          </cell>
          <cell r="F2278">
            <v>-12.9</v>
          </cell>
          <cell r="G2278">
            <v>-11.9</v>
          </cell>
          <cell r="H2278">
            <v>11.5</v>
          </cell>
          <cell r="I2278">
            <v>-11.5</v>
          </cell>
          <cell r="J2278">
            <v>-12</v>
          </cell>
          <cell r="K2278">
            <v>-12.2</v>
          </cell>
          <cell r="L2278">
            <v>-12.9</v>
          </cell>
          <cell r="M2278">
            <v>-11.8</v>
          </cell>
        </row>
        <row r="2279">
          <cell r="C2279" t="str">
            <v>110kV 173 Phú Lâm - 173 Chợ Lớn</v>
          </cell>
          <cell r="D2279">
            <v>173</v>
          </cell>
          <cell r="E2279">
            <v>11</v>
          </cell>
          <cell r="F2279">
            <v>-13.1</v>
          </cell>
          <cell r="G2279">
            <v>-12.2</v>
          </cell>
          <cell r="H2279">
            <v>11</v>
          </cell>
          <cell r="I2279">
            <v>-11.8</v>
          </cell>
          <cell r="J2279">
            <v>-12.2</v>
          </cell>
          <cell r="K2279">
            <v>-12.6</v>
          </cell>
          <cell r="L2279">
            <v>-13.1</v>
          </cell>
          <cell r="M2279">
            <v>-12</v>
          </cell>
        </row>
        <row r="2280">
          <cell r="C2280" t="str">
            <v>110kV 174 Phú Lâm - 172 Bình Phú</v>
          </cell>
          <cell r="D2280">
            <v>174</v>
          </cell>
          <cell r="E2280">
            <v>0</v>
          </cell>
          <cell r="F2280">
            <v>0</v>
          </cell>
          <cell r="G2280">
            <v>0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</row>
        <row r="2281">
          <cell r="C2281" t="str">
            <v>110kV 175 Phú Lâm - 171 Phú Định</v>
          </cell>
          <cell r="D2281">
            <v>175</v>
          </cell>
          <cell r="E2281">
            <v>0</v>
          </cell>
          <cell r="F2281">
            <v>0</v>
          </cell>
          <cell r="G2281">
            <v>0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</row>
        <row r="2282">
          <cell r="C2282" t="str">
            <v>110kV 176 Phú Lâm - 171 Ching Luh - 172 Bến Lức - 172 Rạch Chanh</v>
          </cell>
          <cell r="D2282">
            <v>176</v>
          </cell>
          <cell r="E2282">
            <v>0.1</v>
          </cell>
          <cell r="F2282">
            <v>0.1</v>
          </cell>
          <cell r="G2282">
            <v>0.1</v>
          </cell>
          <cell r="H2282">
            <v>0.1</v>
          </cell>
          <cell r="I2282">
            <v>0.1</v>
          </cell>
          <cell r="J2282">
            <v>0.1</v>
          </cell>
          <cell r="K2282">
            <v>0.1</v>
          </cell>
          <cell r="L2282">
            <v>0.1</v>
          </cell>
          <cell r="M2282">
            <v>0.1</v>
          </cell>
        </row>
        <row r="2283">
          <cell r="C2283" t="str">
            <v>110kV 177 Phú Lâm - 171 Bình Trị Đông - 172 Pou Yuen</v>
          </cell>
          <cell r="D2283">
            <v>177</v>
          </cell>
          <cell r="E2283">
            <v>2</v>
          </cell>
          <cell r="F2283">
            <v>9.4</v>
          </cell>
          <cell r="G2283">
            <v>9.1</v>
          </cell>
          <cell r="H2283">
            <v>9</v>
          </cell>
          <cell r="I2283">
            <v>8.5</v>
          </cell>
          <cell r="J2283">
            <v>2</v>
          </cell>
          <cell r="K2283">
            <v>8.6999999999999993</v>
          </cell>
          <cell r="L2283">
            <v>9</v>
          </cell>
          <cell r="M2283">
            <v>9.4</v>
          </cell>
        </row>
        <row r="2284">
          <cell r="C2284" t="str">
            <v>110kV 178 Phú Lâm - 172 Tân Tạo</v>
          </cell>
          <cell r="D2284">
            <v>178</v>
          </cell>
          <cell r="E2284">
            <v>-5.6</v>
          </cell>
          <cell r="F2284">
            <v>23.2</v>
          </cell>
          <cell r="G2284">
            <v>23</v>
          </cell>
          <cell r="H2284">
            <v>23.2</v>
          </cell>
          <cell r="I2284">
            <v>20.399999999999999</v>
          </cell>
          <cell r="J2284">
            <v>-5.6</v>
          </cell>
          <cell r="K2284">
            <v>21.4</v>
          </cell>
          <cell r="L2284">
            <v>22.4</v>
          </cell>
          <cell r="M2284">
            <v>22.3</v>
          </cell>
        </row>
        <row r="2285">
          <cell r="C2285" t="str">
            <v>110kV 179 Phú Lâm - 172 Đức Hòa</v>
          </cell>
          <cell r="D2285">
            <v>179</v>
          </cell>
          <cell r="E2285">
            <v>-4.7</v>
          </cell>
          <cell r="F2285">
            <v>7.4</v>
          </cell>
          <cell r="G2285">
            <v>7.4</v>
          </cell>
          <cell r="H2285">
            <v>-4.7</v>
          </cell>
          <cell r="I2285">
            <v>5.0999999999999996</v>
          </cell>
          <cell r="J2285">
            <v>-6.1</v>
          </cell>
          <cell r="K2285">
            <v>-6</v>
          </cell>
          <cell r="L2285">
            <v>5.7</v>
          </cell>
          <cell r="M2285">
            <v>5.2</v>
          </cell>
        </row>
        <row r="2286">
          <cell r="C2286" t="str">
            <v>110kV 180 Phú Lâm - 171 Lê Minh Xuân</v>
          </cell>
          <cell r="D2286">
            <v>180</v>
          </cell>
          <cell r="E2286">
            <v>-15.4</v>
          </cell>
          <cell r="F2286">
            <v>31.4</v>
          </cell>
          <cell r="G2286">
            <v>28.9</v>
          </cell>
          <cell r="H2286">
            <v>27</v>
          </cell>
          <cell r="I2286">
            <v>24.8</v>
          </cell>
          <cell r="J2286">
            <v>-15.4</v>
          </cell>
          <cell r="K2286">
            <v>31.4</v>
          </cell>
          <cell r="L2286">
            <v>28.6</v>
          </cell>
          <cell r="M2286">
            <v>29.8</v>
          </cell>
        </row>
        <row r="2287">
          <cell r="C2287" t="str">
            <v>Phú Lâm MBA AT1 (phía 220kV)</v>
          </cell>
          <cell r="D2287">
            <v>231</v>
          </cell>
          <cell r="E2287">
            <v>78.5</v>
          </cell>
          <cell r="F2287">
            <v>117.1</v>
          </cell>
          <cell r="G2287">
            <v>87.6</v>
          </cell>
          <cell r="H2287">
            <v>94.7</v>
          </cell>
          <cell r="I2287">
            <v>83.1</v>
          </cell>
          <cell r="J2287">
            <v>90.4</v>
          </cell>
          <cell r="K2287">
            <v>117.1</v>
          </cell>
          <cell r="L2287">
            <v>-111.5</v>
          </cell>
          <cell r="M2287">
            <v>78.5</v>
          </cell>
        </row>
        <row r="2288">
          <cell r="C2288" t="str">
            <v>Phú Lâm MBA AT2 (phía 220kV)</v>
          </cell>
          <cell r="D2288">
            <v>232</v>
          </cell>
          <cell r="E2288">
            <v>54.8</v>
          </cell>
          <cell r="F2288">
            <v>-116.7</v>
          </cell>
          <cell r="G2288">
            <v>61</v>
          </cell>
          <cell r="H2288">
            <v>71.900000000000006</v>
          </cell>
          <cell r="I2288">
            <v>66.599999999999994</v>
          </cell>
          <cell r="J2288">
            <v>79.2</v>
          </cell>
          <cell r="K2288">
            <v>93.1</v>
          </cell>
          <cell r="L2288">
            <v>-116.7</v>
          </cell>
          <cell r="M2288">
            <v>54.8</v>
          </cell>
        </row>
        <row r="2289">
          <cell r="C2289" t="str">
            <v>Phú Lâm MBA AT3 (phía 220kV)</v>
          </cell>
          <cell r="D2289">
            <v>233</v>
          </cell>
          <cell r="E2289">
            <v>-12.4</v>
          </cell>
          <cell r="F2289">
            <v>56.6</v>
          </cell>
          <cell r="G2289">
            <v>56.6</v>
          </cell>
          <cell r="H2289">
            <v>32.4</v>
          </cell>
          <cell r="I2289">
            <v>28.4</v>
          </cell>
          <cell r="J2289">
            <v>-12.4</v>
          </cell>
          <cell r="K2289">
            <v>46.6</v>
          </cell>
          <cell r="L2289">
            <v>32.6</v>
          </cell>
          <cell r="M2289">
            <v>34.700000000000003</v>
          </cell>
        </row>
        <row r="2290">
          <cell r="C2290" t="str">
            <v>Phú Lâm MBA AT4 (phía 220kV)</v>
          </cell>
          <cell r="D2290">
            <v>234</v>
          </cell>
          <cell r="E2290">
            <v>-9.9</v>
          </cell>
          <cell r="F2290">
            <v>57.4</v>
          </cell>
          <cell r="G2290">
            <v>57.4</v>
          </cell>
          <cell r="H2290">
            <v>32.5</v>
          </cell>
          <cell r="I2290">
            <v>28.5</v>
          </cell>
          <cell r="J2290">
            <v>-9.9</v>
          </cell>
          <cell r="K2290">
            <v>46.7</v>
          </cell>
          <cell r="L2290">
            <v>33.1</v>
          </cell>
          <cell r="M2290">
            <v>34</v>
          </cell>
        </row>
        <row r="2291">
          <cell r="C2291" t="str">
            <v>Phú Lâm MBA AT7 (phía 220kV)</v>
          </cell>
          <cell r="D2291">
            <v>237</v>
          </cell>
          <cell r="E2291">
            <v>-19</v>
          </cell>
          <cell r="F2291">
            <v>-45.7</v>
          </cell>
          <cell r="G2291">
            <v>-37.6</v>
          </cell>
          <cell r="H2291">
            <v>-40.1</v>
          </cell>
          <cell r="I2291">
            <v>-44.3</v>
          </cell>
          <cell r="J2291">
            <v>-19</v>
          </cell>
          <cell r="K2291">
            <v>-42.2</v>
          </cell>
          <cell r="L2291">
            <v>-42</v>
          </cell>
          <cell r="M2291">
            <v>-45.7</v>
          </cell>
        </row>
        <row r="2292">
          <cell r="C2292" t="str">
            <v>220kV 271 Phú Lâm - 276 Bình Tân</v>
          </cell>
          <cell r="D2292">
            <v>271</v>
          </cell>
          <cell r="E2292">
            <v>-18.399999999999999</v>
          </cell>
          <cell r="F2292">
            <v>97.7</v>
          </cell>
          <cell r="G2292">
            <v>50.3</v>
          </cell>
          <cell r="H2292">
            <v>55.1</v>
          </cell>
          <cell r="I2292">
            <v>65</v>
          </cell>
          <cell r="J2292">
            <v>-18.399999999999999</v>
          </cell>
          <cell r="K2292">
            <v>58.4</v>
          </cell>
          <cell r="L2292">
            <v>97.7</v>
          </cell>
          <cell r="M2292">
            <v>63.1</v>
          </cell>
        </row>
        <row r="2293">
          <cell r="C2293" t="str">
            <v>220kV 272 Phú Lâm - 275 Bình Tân</v>
          </cell>
          <cell r="D2293">
            <v>272</v>
          </cell>
          <cell r="E2293">
            <v>32.799999999999997</v>
          </cell>
          <cell r="F2293">
            <v>61.3</v>
          </cell>
          <cell r="G2293">
            <v>34.5</v>
          </cell>
          <cell r="H2293">
            <v>43.5</v>
          </cell>
          <cell r="I2293">
            <v>37.700000000000003</v>
          </cell>
          <cell r="J2293">
            <v>32.799999999999997</v>
          </cell>
          <cell r="K2293">
            <v>37.9</v>
          </cell>
          <cell r="L2293">
            <v>61.3</v>
          </cell>
          <cell r="M2293">
            <v>36</v>
          </cell>
        </row>
        <row r="2294">
          <cell r="C2294" t="str">
            <v>220kV 273 Phú Lâm - 273 Long An 2</v>
          </cell>
          <cell r="D2294">
            <v>273</v>
          </cell>
          <cell r="E2294">
            <v>-50</v>
          </cell>
          <cell r="F2294">
            <v>-72.900000000000006</v>
          </cell>
          <cell r="G2294">
            <v>-70.3</v>
          </cell>
          <cell r="H2294">
            <v>-69.900000000000006</v>
          </cell>
          <cell r="I2294">
            <v>-50</v>
          </cell>
          <cell r="J2294">
            <v>-53</v>
          </cell>
          <cell r="K2294">
            <v>-68.099999999999994</v>
          </cell>
          <cell r="L2294">
            <v>-72.900000000000006</v>
          </cell>
          <cell r="M2294">
            <v>-54</v>
          </cell>
        </row>
        <row r="2295">
          <cell r="C2295" t="str">
            <v>220kV 274 Phú Lâm - 274 Long An 2</v>
          </cell>
          <cell r="D2295">
            <v>274</v>
          </cell>
          <cell r="E2295">
            <v>-51.1</v>
          </cell>
          <cell r="F2295">
            <v>-78.2</v>
          </cell>
          <cell r="G2295">
            <v>-75</v>
          </cell>
          <cell r="H2295">
            <v>-76.7</v>
          </cell>
          <cell r="I2295">
            <v>-55.8</v>
          </cell>
          <cell r="J2295">
            <v>-51.1</v>
          </cell>
          <cell r="K2295">
            <v>-72</v>
          </cell>
          <cell r="L2295">
            <v>-78.2</v>
          </cell>
          <cell r="M2295">
            <v>-58</v>
          </cell>
        </row>
        <row r="2296">
          <cell r="C2296" t="str">
            <v>220kV 275 Phú Lâm - 274 Bình Chánh</v>
          </cell>
          <cell r="D2296">
            <v>275</v>
          </cell>
          <cell r="E2296">
            <v>-34.6</v>
          </cell>
          <cell r="F2296">
            <v>83.1</v>
          </cell>
          <cell r="G2296">
            <v>-55.1</v>
          </cell>
          <cell r="H2296">
            <v>52.5</v>
          </cell>
          <cell r="I2296">
            <v>-61.4</v>
          </cell>
          <cell r="J2296">
            <v>-34.6</v>
          </cell>
          <cell r="K2296">
            <v>-75</v>
          </cell>
          <cell r="L2296">
            <v>83.1</v>
          </cell>
          <cell r="M2296">
            <v>-55.3</v>
          </cell>
        </row>
        <row r="2297">
          <cell r="C2297" t="str">
            <v>220kV 276 Phú Lâm - 275 Bình Chánh</v>
          </cell>
          <cell r="D2297">
            <v>276</v>
          </cell>
          <cell r="E2297">
            <v>-24.5</v>
          </cell>
          <cell r="F2297">
            <v>71.3</v>
          </cell>
          <cell r="G2297">
            <v>50.8</v>
          </cell>
          <cell r="H2297">
            <v>49</v>
          </cell>
          <cell r="I2297">
            <v>-52.5</v>
          </cell>
          <cell r="J2297">
            <v>-36.6</v>
          </cell>
          <cell r="K2297">
            <v>-45.6</v>
          </cell>
          <cell r="L2297">
            <v>71.3</v>
          </cell>
          <cell r="M2297">
            <v>-24.5</v>
          </cell>
        </row>
        <row r="2298">
          <cell r="C2298" t="str">
            <v>Phú Lâm MBA T5 (phía 22kV)</v>
          </cell>
          <cell r="D2298">
            <v>435</v>
          </cell>
          <cell r="E2298">
            <v>-1.9</v>
          </cell>
          <cell r="F2298">
            <v>11.5</v>
          </cell>
          <cell r="G2298">
            <v>11.3</v>
          </cell>
          <cell r="H2298">
            <v>11.5</v>
          </cell>
          <cell r="I2298">
            <v>11</v>
          </cell>
          <cell r="J2298">
            <v>-1.9</v>
          </cell>
          <cell r="K2298">
            <v>11</v>
          </cell>
          <cell r="L2298">
            <v>11.1</v>
          </cell>
          <cell r="M2298">
            <v>11.4</v>
          </cell>
        </row>
        <row r="2299">
          <cell r="C2299" t="str">
            <v>Phú Lâm MBA T6 (phía 22kV)</v>
          </cell>
          <cell r="D2299">
            <v>436</v>
          </cell>
          <cell r="E2299">
            <v>2.2999999999999998</v>
          </cell>
          <cell r="F2299">
            <v>5.4</v>
          </cell>
          <cell r="G2299">
            <v>5.0999999999999996</v>
          </cell>
          <cell r="H2299">
            <v>5.4</v>
          </cell>
          <cell r="I2299">
            <v>4.5999999999999996</v>
          </cell>
          <cell r="J2299">
            <v>2.2999999999999998</v>
          </cell>
          <cell r="K2299">
            <v>5.2</v>
          </cell>
          <cell r="L2299">
            <v>5.2</v>
          </cell>
          <cell r="M2299">
            <v>4.5</v>
          </cell>
        </row>
        <row r="2300">
          <cell r="C2300" t="str">
            <v>Phú Lâm MBA AT1 (phía 500kV)</v>
          </cell>
          <cell r="D2300">
            <v>531</v>
          </cell>
          <cell r="E2300">
            <v>-54.5</v>
          </cell>
          <cell r="F2300">
            <v>167.6</v>
          </cell>
          <cell r="G2300">
            <v>71.3</v>
          </cell>
          <cell r="H2300">
            <v>127.6</v>
          </cell>
          <cell r="I2300">
            <v>87.4</v>
          </cell>
          <cell r="J2300">
            <v>-54.5</v>
          </cell>
          <cell r="K2300">
            <v>-91.8</v>
          </cell>
          <cell r="L2300">
            <v>167.6</v>
          </cell>
          <cell r="M2300">
            <v>89.7</v>
          </cell>
        </row>
        <row r="2301">
          <cell r="C2301" t="str">
            <v>Phú Lâm MBA AT2 (phía 500kV)</v>
          </cell>
          <cell r="D2301">
            <v>532</v>
          </cell>
          <cell r="E2301">
            <v>-46</v>
          </cell>
          <cell r="F2301">
            <v>171.6</v>
          </cell>
          <cell r="G2301">
            <v>76.7</v>
          </cell>
          <cell r="H2301">
            <v>131.19999999999999</v>
          </cell>
          <cell r="I2301">
            <v>97</v>
          </cell>
          <cell r="J2301">
            <v>-46</v>
          </cell>
          <cell r="K2301">
            <v>74</v>
          </cell>
          <cell r="L2301">
            <v>171.6</v>
          </cell>
          <cell r="M2301">
            <v>108.3</v>
          </cell>
        </row>
        <row r="2302">
          <cell r="C2302" t="str">
            <v>Phú Mỹ MBA T1 (phía 110kV)</v>
          </cell>
          <cell r="D2302">
            <v>131</v>
          </cell>
          <cell r="E2302">
            <v>-1.6</v>
          </cell>
          <cell r="F2302">
            <v>-5.9</v>
          </cell>
          <cell r="G2302">
            <v>3.7</v>
          </cell>
          <cell r="H2302">
            <v>4.9000000000000004</v>
          </cell>
          <cell r="I2302">
            <v>3.7</v>
          </cell>
          <cell r="J2302">
            <v>-1.6</v>
          </cell>
          <cell r="K2302">
            <v>5.0999999999999996</v>
          </cell>
          <cell r="L2302">
            <v>-5.9</v>
          </cell>
          <cell r="M2302">
            <v>4.4000000000000004</v>
          </cell>
        </row>
        <row r="2303">
          <cell r="C2303" t="str">
            <v>Phú Mỹ MBA T2 (phía 110kV)</v>
          </cell>
          <cell r="D2303">
            <v>132</v>
          </cell>
          <cell r="E2303">
            <v>7.3</v>
          </cell>
          <cell r="F2303">
            <v>12.2</v>
          </cell>
          <cell r="G2303">
            <v>9.3000000000000007</v>
          </cell>
          <cell r="H2303">
            <v>12.2</v>
          </cell>
          <cell r="I2303">
            <v>10.8</v>
          </cell>
          <cell r="J2303">
            <v>8.4</v>
          </cell>
          <cell r="K2303">
            <v>7.3</v>
          </cell>
          <cell r="L2303">
            <v>8.5</v>
          </cell>
          <cell r="M2303">
            <v>9.9</v>
          </cell>
        </row>
        <row r="2304">
          <cell r="C2304" t="str">
            <v>110kV 171 Phú Mỹ - 173 NMĐ Phú Mỹ 1</v>
          </cell>
          <cell r="D2304">
            <v>171</v>
          </cell>
          <cell r="E2304">
            <v>17.2</v>
          </cell>
          <cell r="F2304">
            <v>28.9</v>
          </cell>
          <cell r="G2304">
            <v>22.5</v>
          </cell>
          <cell r="H2304">
            <v>17.2</v>
          </cell>
          <cell r="I2304">
            <v>22</v>
          </cell>
          <cell r="J2304">
            <v>28.9</v>
          </cell>
          <cell r="K2304">
            <v>22.8</v>
          </cell>
          <cell r="L2304">
            <v>20.100000000000001</v>
          </cell>
          <cell r="M2304">
            <v>23</v>
          </cell>
        </row>
        <row r="2305">
          <cell r="C2305" t="str">
            <v>110kV 172 Phú Mỹ - 174 NMĐ Bà Rịa</v>
          </cell>
          <cell r="D2305">
            <v>172</v>
          </cell>
          <cell r="E2305">
            <v>-26.1</v>
          </cell>
          <cell r="F2305">
            <v>-32.299999999999997</v>
          </cell>
          <cell r="G2305">
            <v>-31.4</v>
          </cell>
          <cell r="H2305">
            <v>-28.2</v>
          </cell>
          <cell r="I2305">
            <v>-31.6</v>
          </cell>
          <cell r="J2305">
            <v>-32.299999999999997</v>
          </cell>
          <cell r="K2305">
            <v>-29.8</v>
          </cell>
          <cell r="L2305">
            <v>-26.1</v>
          </cell>
          <cell r="M2305">
            <v>-32.1</v>
          </cell>
        </row>
        <row r="2306">
          <cell r="C2306" t="str">
            <v>Phú Mỹ MBA T1 (phía 22kV)</v>
          </cell>
          <cell r="D2306">
            <v>431</v>
          </cell>
          <cell r="E2306">
            <v>1.7</v>
          </cell>
          <cell r="F2306">
            <v>6</v>
          </cell>
          <cell r="G2306">
            <v>-2.5</v>
          </cell>
          <cell r="H2306">
            <v>-3.8</v>
          </cell>
          <cell r="I2306">
            <v>-2.6</v>
          </cell>
          <cell r="J2306">
            <v>1.7</v>
          </cell>
          <cell r="K2306">
            <v>-3.7</v>
          </cell>
          <cell r="L2306">
            <v>6</v>
          </cell>
          <cell r="M2306">
            <v>-3.2</v>
          </cell>
        </row>
        <row r="2307">
          <cell r="C2307" t="str">
            <v>Phú Mỹ MBA T2 (phía 22kV)</v>
          </cell>
          <cell r="D2307">
            <v>432</v>
          </cell>
          <cell r="E2307">
            <v>-6.2</v>
          </cell>
          <cell r="F2307">
            <v>-10.6</v>
          </cell>
          <cell r="G2307">
            <v>-7.4</v>
          </cell>
          <cell r="H2307">
            <v>-10.6</v>
          </cell>
          <cell r="I2307">
            <v>-9.1999999999999993</v>
          </cell>
          <cell r="J2307">
            <v>-7.2</v>
          </cell>
          <cell r="K2307">
            <v>-6.2</v>
          </cell>
          <cell r="L2307">
            <v>-7.1</v>
          </cell>
          <cell r="M2307">
            <v>-8.1999999999999993</v>
          </cell>
        </row>
        <row r="2308">
          <cell r="C2308" t="str">
            <v>Phú Mỹ 500kV MBA AT2 (phía 500kV)</v>
          </cell>
          <cell r="D2308">
            <v>532</v>
          </cell>
          <cell r="E2308">
            <v>72.8</v>
          </cell>
          <cell r="F2308">
            <v>129.80000000000001</v>
          </cell>
          <cell r="G2308">
            <v>90</v>
          </cell>
          <cell r="H2308">
            <v>95.3</v>
          </cell>
          <cell r="I2308">
            <v>72.8</v>
          </cell>
          <cell r="J2308">
            <v>102.2</v>
          </cell>
          <cell r="K2308">
            <v>129.80000000000001</v>
          </cell>
          <cell r="L2308">
            <v>90</v>
          </cell>
          <cell r="M2308">
            <v>109.2</v>
          </cell>
        </row>
        <row r="2309">
          <cell r="C2309" t="str">
            <v>Phú Mỹ Hưng MBA T1 (phía 110kV)</v>
          </cell>
          <cell r="D2309">
            <v>131</v>
          </cell>
          <cell r="E2309">
            <v>2.7</v>
          </cell>
          <cell r="F2309">
            <v>3.1</v>
          </cell>
          <cell r="G2309">
            <v>3.1</v>
          </cell>
          <cell r="H2309">
            <v>3.1</v>
          </cell>
          <cell r="I2309">
            <v>2.9</v>
          </cell>
          <cell r="J2309">
            <v>2.8</v>
          </cell>
          <cell r="K2309">
            <v>2.9</v>
          </cell>
          <cell r="L2309">
            <v>2.9</v>
          </cell>
          <cell r="M2309">
            <v>2.7</v>
          </cell>
        </row>
        <row r="2310">
          <cell r="C2310" t="str">
            <v>Phú Mỹ Hưng MBA T2 (phía 110kV)</v>
          </cell>
          <cell r="D2310">
            <v>132</v>
          </cell>
          <cell r="E2310">
            <v>1.9</v>
          </cell>
          <cell r="F2310">
            <v>4.5999999999999996</v>
          </cell>
          <cell r="G2310">
            <v>4.4000000000000004</v>
          </cell>
          <cell r="H2310">
            <v>4.5999999999999996</v>
          </cell>
          <cell r="I2310">
            <v>3</v>
          </cell>
          <cell r="J2310">
            <v>1.9</v>
          </cell>
          <cell r="K2310">
            <v>4.2</v>
          </cell>
          <cell r="L2310">
            <v>4.3</v>
          </cell>
          <cell r="M2310">
            <v>3.6</v>
          </cell>
        </row>
        <row r="2311">
          <cell r="C2311" t="str">
            <v>110kV 171 Phú Mỹ Hưng - 172 Tân Thuận</v>
          </cell>
          <cell r="D2311">
            <v>171</v>
          </cell>
          <cell r="E2311">
            <v>6.3</v>
          </cell>
          <cell r="F2311">
            <v>6.8</v>
          </cell>
          <cell r="G2311">
            <v>6.6</v>
          </cell>
          <cell r="H2311">
            <v>6.8</v>
          </cell>
          <cell r="I2311">
            <v>6.3</v>
          </cell>
          <cell r="J2311">
            <v>-6.6</v>
          </cell>
          <cell r="K2311">
            <v>6.3</v>
          </cell>
          <cell r="L2311">
            <v>6.7</v>
          </cell>
          <cell r="M2311">
            <v>6.8</v>
          </cell>
        </row>
        <row r="2312">
          <cell r="C2312" t="str">
            <v>110kV 172 Phú Mỹ Hưng - 172 NMĐ Hiệp Phước</v>
          </cell>
          <cell r="D2312">
            <v>172</v>
          </cell>
          <cell r="E2312">
            <v>7.2</v>
          </cell>
          <cell r="F2312">
            <v>-18.7</v>
          </cell>
          <cell r="G2312">
            <v>-17.899999999999999</v>
          </cell>
          <cell r="H2312">
            <v>-18.7</v>
          </cell>
          <cell r="I2312">
            <v>-13.9</v>
          </cell>
          <cell r="J2312">
            <v>7.2</v>
          </cell>
          <cell r="K2312">
            <v>-17.100000000000001</v>
          </cell>
          <cell r="L2312">
            <v>-17.7</v>
          </cell>
          <cell r="M2312">
            <v>-16</v>
          </cell>
        </row>
        <row r="2313">
          <cell r="C2313" t="str">
            <v>110kV 173 Phú Mỹ Hưng - 172 Nam Sài Gòn 3</v>
          </cell>
          <cell r="D2313">
            <v>173</v>
          </cell>
          <cell r="E2313">
            <v>-2.9</v>
          </cell>
          <cell r="F2313">
            <v>-3.2</v>
          </cell>
          <cell r="G2313">
            <v>-3.2</v>
          </cell>
          <cell r="H2313">
            <v>-2.9</v>
          </cell>
          <cell r="I2313">
            <v>-3</v>
          </cell>
          <cell r="J2313">
            <v>-2.9</v>
          </cell>
          <cell r="K2313">
            <v>-2.9</v>
          </cell>
          <cell r="L2313">
            <v>-3.2</v>
          </cell>
          <cell r="M2313">
            <v>-3.1</v>
          </cell>
        </row>
        <row r="2314">
          <cell r="C2314" t="str">
            <v>110kV 174 Phú Mỹ Hưng - 171 Nam Sài Gòn 3</v>
          </cell>
          <cell r="D2314">
            <v>174</v>
          </cell>
          <cell r="E2314">
            <v>-2.7</v>
          </cell>
          <cell r="F2314">
            <v>3.6</v>
          </cell>
          <cell r="G2314">
            <v>3.4</v>
          </cell>
          <cell r="H2314">
            <v>3.6</v>
          </cell>
          <cell r="I2314">
            <v>-2.7</v>
          </cell>
          <cell r="J2314">
            <v>-2.8</v>
          </cell>
          <cell r="K2314">
            <v>3.1</v>
          </cell>
          <cell r="L2314">
            <v>3.3</v>
          </cell>
          <cell r="M2314">
            <v>-2.7</v>
          </cell>
        </row>
        <row r="2315">
          <cell r="C2315" t="str">
            <v>Phú Mỹ Hưng MBA T1 (phía 22kV)</v>
          </cell>
          <cell r="D2315">
            <v>431</v>
          </cell>
          <cell r="E2315">
            <v>-2.1</v>
          </cell>
          <cell r="F2315">
            <v>-2.5</v>
          </cell>
          <cell r="G2315">
            <v>-2.4</v>
          </cell>
          <cell r="H2315">
            <v>-2.5</v>
          </cell>
          <cell r="I2315">
            <v>-2.2000000000000002</v>
          </cell>
          <cell r="J2315">
            <v>-2.1</v>
          </cell>
          <cell r="K2315">
            <v>-2.2999999999999998</v>
          </cell>
          <cell r="L2315">
            <v>-2.2000000000000002</v>
          </cell>
          <cell r="M2315">
            <v>-2.1</v>
          </cell>
        </row>
        <row r="2316">
          <cell r="C2316" t="str">
            <v>Phú Mỹ Hưng MBA T2 (phía 22kV)</v>
          </cell>
          <cell r="D2316">
            <v>432</v>
          </cell>
          <cell r="E2316">
            <v>1.4</v>
          </cell>
          <cell r="F2316">
            <v>-3</v>
          </cell>
          <cell r="G2316">
            <v>-2.8</v>
          </cell>
          <cell r="H2316">
            <v>-3</v>
          </cell>
          <cell r="I2316">
            <v>-1.8</v>
          </cell>
          <cell r="J2316">
            <v>1.4</v>
          </cell>
          <cell r="K2316">
            <v>-2.7</v>
          </cell>
          <cell r="L2316">
            <v>-2.9</v>
          </cell>
          <cell r="M2316">
            <v>-2.4</v>
          </cell>
        </row>
        <row r="2317">
          <cell r="C2317" t="str">
            <v>Phú Quốc MBA T1 (phía 110kV)</v>
          </cell>
          <cell r="D2317">
            <v>131</v>
          </cell>
          <cell r="E2317">
            <v>5.7</v>
          </cell>
          <cell r="F2317">
            <v>7.6</v>
          </cell>
          <cell r="G2317">
            <v>7.2</v>
          </cell>
          <cell r="H2317">
            <v>5.8</v>
          </cell>
          <cell r="I2317">
            <v>7.6</v>
          </cell>
          <cell r="J2317">
            <v>6.3</v>
          </cell>
          <cell r="K2317">
            <v>6.9</v>
          </cell>
          <cell r="L2317">
            <v>5.7</v>
          </cell>
          <cell r="M2317">
            <v>7</v>
          </cell>
        </row>
        <row r="2318">
          <cell r="C2318" t="str">
            <v>Phú Quốc MBA T2 (phía 110kV)</v>
          </cell>
          <cell r="D2318">
            <v>132</v>
          </cell>
          <cell r="E2318">
            <v>3.1</v>
          </cell>
          <cell r="F2318">
            <v>4.2</v>
          </cell>
          <cell r="G2318">
            <v>3.9</v>
          </cell>
          <cell r="H2318">
            <v>3.1</v>
          </cell>
          <cell r="I2318">
            <v>3.2</v>
          </cell>
          <cell r="J2318">
            <v>3.1</v>
          </cell>
          <cell r="K2318">
            <v>3.5</v>
          </cell>
          <cell r="L2318">
            <v>4.2</v>
          </cell>
          <cell r="M2318">
            <v>3.7</v>
          </cell>
        </row>
        <row r="2319">
          <cell r="C2319" t="str">
            <v>110kV 172 Phú Quốc - 173 Hà Tiên</v>
          </cell>
          <cell r="D2319">
            <v>172</v>
          </cell>
          <cell r="E2319">
            <v>-7.5</v>
          </cell>
          <cell r="F2319">
            <v>-9.8000000000000007</v>
          </cell>
          <cell r="G2319">
            <v>-9.8000000000000007</v>
          </cell>
          <cell r="H2319">
            <v>-7.5</v>
          </cell>
          <cell r="I2319">
            <v>-9.1</v>
          </cell>
          <cell r="J2319">
            <v>-8.1999999999999993</v>
          </cell>
          <cell r="K2319">
            <v>-8.8000000000000007</v>
          </cell>
          <cell r="L2319">
            <v>-8</v>
          </cell>
          <cell r="M2319">
            <v>-9.3000000000000007</v>
          </cell>
        </row>
        <row r="2320">
          <cell r="C2320" t="str">
            <v>Phú Quốc MBA T1 (phía 22kV)</v>
          </cell>
          <cell r="D2320">
            <v>431</v>
          </cell>
          <cell r="E2320">
            <v>3</v>
          </cell>
          <cell r="F2320">
            <v>4.4000000000000004</v>
          </cell>
          <cell r="G2320">
            <v>4.0999999999999996</v>
          </cell>
          <cell r="H2320">
            <v>3</v>
          </cell>
          <cell r="I2320">
            <v>4.4000000000000004</v>
          </cell>
          <cell r="J2320">
            <v>3.5</v>
          </cell>
          <cell r="K2320">
            <v>3.9</v>
          </cell>
          <cell r="L2320">
            <v>-3.1</v>
          </cell>
          <cell r="M2320">
            <v>4</v>
          </cell>
        </row>
        <row r="2321">
          <cell r="C2321" t="str">
            <v>Phú Quốc MBA T2 (phía 22kV)</v>
          </cell>
          <cell r="D2321">
            <v>432</v>
          </cell>
          <cell r="E2321">
            <v>-1.1000000000000001</v>
          </cell>
          <cell r="F2321">
            <v>2.1</v>
          </cell>
          <cell r="G2321">
            <v>2</v>
          </cell>
          <cell r="H2321">
            <v>1.2</v>
          </cell>
          <cell r="I2321">
            <v>-1.4</v>
          </cell>
          <cell r="J2321">
            <v>-1.1000000000000001</v>
          </cell>
          <cell r="K2321">
            <v>1.8</v>
          </cell>
          <cell r="L2321">
            <v>2.1</v>
          </cell>
          <cell r="M2321">
            <v>1.8</v>
          </cell>
        </row>
        <row r="2322">
          <cell r="C2322" t="str">
            <v>Phú Tân MBA T1 (phía 110kV)</v>
          </cell>
          <cell r="D2322">
            <v>131</v>
          </cell>
          <cell r="E2322">
            <v>1.3</v>
          </cell>
          <cell r="F2322">
            <v>-2.7</v>
          </cell>
          <cell r="G2322">
            <v>-2.1</v>
          </cell>
          <cell r="H2322">
            <v>-2.7</v>
          </cell>
          <cell r="I2322">
            <v>-2.5</v>
          </cell>
          <cell r="J2322">
            <v>1.3</v>
          </cell>
          <cell r="K2322">
            <v>-2.1</v>
          </cell>
          <cell r="L2322">
            <v>-2.1</v>
          </cell>
          <cell r="M2322">
            <v>-2.5</v>
          </cell>
        </row>
        <row r="2323">
          <cell r="C2323" t="str">
            <v>Phú Tân MBA T2 (phía 110kV)</v>
          </cell>
          <cell r="D2323">
            <v>132</v>
          </cell>
          <cell r="E2323">
            <v>-2.6</v>
          </cell>
          <cell r="F2323">
            <v>3.8</v>
          </cell>
          <cell r="G2323">
            <v>3.4</v>
          </cell>
          <cell r="H2323">
            <v>3.8</v>
          </cell>
          <cell r="I2323">
            <v>3.1</v>
          </cell>
          <cell r="J2323">
            <v>-2.6</v>
          </cell>
          <cell r="K2323">
            <v>3.4</v>
          </cell>
          <cell r="L2323">
            <v>3.2</v>
          </cell>
          <cell r="M2323">
            <v>3.2</v>
          </cell>
        </row>
        <row r="2324">
          <cell r="C2324" t="str">
            <v>110kV 171 Phú Tân - 172 Cái Dầu</v>
          </cell>
          <cell r="D2324">
            <v>171</v>
          </cell>
          <cell r="E2324">
            <v>3.2</v>
          </cell>
          <cell r="F2324">
            <v>-6.9</v>
          </cell>
          <cell r="G2324">
            <v>-6.9</v>
          </cell>
          <cell r="H2324">
            <v>-5.8</v>
          </cell>
          <cell r="I2324">
            <v>3.9</v>
          </cell>
          <cell r="J2324">
            <v>3.4</v>
          </cell>
          <cell r="K2324">
            <v>3.3</v>
          </cell>
          <cell r="L2324">
            <v>3.2</v>
          </cell>
          <cell r="M2324">
            <v>-4.5</v>
          </cell>
        </row>
        <row r="2325">
          <cell r="C2325" t="str">
            <v>110kV 172 Phú Tân - 172 Chợ Mới</v>
          </cell>
          <cell r="D2325">
            <v>172</v>
          </cell>
          <cell r="E2325">
            <v>-2.5</v>
          </cell>
          <cell r="F2325">
            <v>5.5</v>
          </cell>
          <cell r="G2325">
            <v>-3.5</v>
          </cell>
          <cell r="H2325">
            <v>-3</v>
          </cell>
          <cell r="I2325">
            <v>-3.7</v>
          </cell>
          <cell r="J2325">
            <v>5.5</v>
          </cell>
          <cell r="K2325">
            <v>-3.2</v>
          </cell>
          <cell r="L2325">
            <v>-4</v>
          </cell>
          <cell r="M2325">
            <v>-2.5</v>
          </cell>
        </row>
        <row r="2326">
          <cell r="C2326" t="str">
            <v>Phú Tân MBA T1 (phía 22kV)</v>
          </cell>
          <cell r="D2326">
            <v>431</v>
          </cell>
          <cell r="E2326">
            <v>1.5</v>
          </cell>
          <cell r="F2326">
            <v>3</v>
          </cell>
          <cell r="G2326">
            <v>2.4</v>
          </cell>
          <cell r="H2326">
            <v>3</v>
          </cell>
          <cell r="I2326">
            <v>2.8</v>
          </cell>
          <cell r="J2326">
            <v>1.5</v>
          </cell>
          <cell r="K2326">
            <v>2.4</v>
          </cell>
          <cell r="L2326">
            <v>2.5</v>
          </cell>
          <cell r="M2326">
            <v>2.9</v>
          </cell>
        </row>
        <row r="2327">
          <cell r="C2327" t="str">
            <v>Phú Tân MBA T2 (phía 22kV)</v>
          </cell>
          <cell r="D2327">
            <v>432</v>
          </cell>
          <cell r="E2327">
            <v>-2.4</v>
          </cell>
          <cell r="F2327">
            <v>3.1</v>
          </cell>
          <cell r="G2327">
            <v>-2.7</v>
          </cell>
          <cell r="H2327">
            <v>-3</v>
          </cell>
          <cell r="I2327">
            <v>-2.4</v>
          </cell>
          <cell r="J2327">
            <v>3.1</v>
          </cell>
          <cell r="K2327">
            <v>-2.8</v>
          </cell>
          <cell r="L2327">
            <v>-2.5</v>
          </cell>
          <cell r="M2327">
            <v>-2.5</v>
          </cell>
        </row>
        <row r="2328">
          <cell r="C2328" t="str">
            <v>Phú Thạnh MBA T1 (phía 110kV)</v>
          </cell>
          <cell r="D2328">
            <v>131</v>
          </cell>
          <cell r="E2328">
            <v>-2.7</v>
          </cell>
          <cell r="F2328">
            <v>-3</v>
          </cell>
          <cell r="G2328">
            <v>-3</v>
          </cell>
          <cell r="H2328">
            <v>-2.8</v>
          </cell>
          <cell r="I2328">
            <v>-2.7</v>
          </cell>
          <cell r="J2328">
            <v>-2.9</v>
          </cell>
          <cell r="K2328">
            <v>-2.7</v>
          </cell>
          <cell r="L2328">
            <v>-3</v>
          </cell>
          <cell r="M2328">
            <v>-2.8</v>
          </cell>
        </row>
        <row r="2329">
          <cell r="C2329" t="str">
            <v>110kV 171 Phú Thạnh - 180 Bàu Sen</v>
          </cell>
          <cell r="D2329">
            <v>171</v>
          </cell>
          <cell r="E2329">
            <v>-15.9</v>
          </cell>
          <cell r="F2329">
            <v>-21.7</v>
          </cell>
          <cell r="G2329">
            <v>-21.3</v>
          </cell>
          <cell r="H2329">
            <v>-15.9</v>
          </cell>
          <cell r="I2329">
            <v>-18.600000000000001</v>
          </cell>
          <cell r="J2329">
            <v>-18.399999999999999</v>
          </cell>
          <cell r="K2329">
            <v>-21.7</v>
          </cell>
          <cell r="L2329">
            <v>-21.6</v>
          </cell>
          <cell r="M2329">
            <v>-18.600000000000001</v>
          </cell>
        </row>
        <row r="2330">
          <cell r="C2330" t="str">
            <v>110kV 172 Phú Thạnh - 174 Long Thành</v>
          </cell>
          <cell r="D2330">
            <v>172</v>
          </cell>
          <cell r="E2330">
            <v>16.5</v>
          </cell>
          <cell r="F2330">
            <v>23.8</v>
          </cell>
          <cell r="G2330">
            <v>23.1</v>
          </cell>
          <cell r="H2330">
            <v>16.5</v>
          </cell>
          <cell r="I2330">
            <v>20.7</v>
          </cell>
          <cell r="J2330">
            <v>20.3</v>
          </cell>
          <cell r="K2330">
            <v>23.5</v>
          </cell>
          <cell r="L2330">
            <v>23.8</v>
          </cell>
          <cell r="M2330">
            <v>20.3</v>
          </cell>
        </row>
        <row r="2331">
          <cell r="C2331" t="str">
            <v>Phú Thạnh MBA T1 (phía 22kV)</v>
          </cell>
          <cell r="D2331">
            <v>431</v>
          </cell>
          <cell r="E2331">
            <v>3</v>
          </cell>
          <cell r="F2331">
            <v>3.3</v>
          </cell>
          <cell r="G2331">
            <v>3.3</v>
          </cell>
          <cell r="H2331">
            <v>3.2</v>
          </cell>
          <cell r="I2331">
            <v>3</v>
          </cell>
          <cell r="J2331">
            <v>3.3</v>
          </cell>
          <cell r="K2331">
            <v>3.1</v>
          </cell>
          <cell r="L2331">
            <v>3.3</v>
          </cell>
          <cell r="M2331">
            <v>3.3</v>
          </cell>
        </row>
        <row r="2332">
          <cell r="C2332" t="str">
            <v>Phú Xuân MBA T1 (phía 110kV)</v>
          </cell>
          <cell r="D2332">
            <v>131</v>
          </cell>
          <cell r="E2332">
            <v>-2.7</v>
          </cell>
          <cell r="F2332">
            <v>4.5999999999999996</v>
          </cell>
          <cell r="G2332">
            <v>-3</v>
          </cell>
          <cell r="H2332">
            <v>-3.5</v>
          </cell>
          <cell r="I2332">
            <v>4.5999999999999996</v>
          </cell>
          <cell r="J2332">
            <v>3.3</v>
          </cell>
          <cell r="K2332">
            <v>-2.9</v>
          </cell>
          <cell r="L2332">
            <v>-3.4</v>
          </cell>
          <cell r="M2332">
            <v>-2.7</v>
          </cell>
        </row>
        <row r="2333">
          <cell r="C2333" t="str">
            <v>110kV 171 Phú Xuân - 176 Cần Thơ 2</v>
          </cell>
          <cell r="D2333">
            <v>171</v>
          </cell>
          <cell r="E2333">
            <v>0</v>
          </cell>
          <cell r="F2333">
            <v>0</v>
          </cell>
          <cell r="G2333">
            <v>0</v>
          </cell>
          <cell r="H2333">
            <v>0</v>
          </cell>
          <cell r="I2333">
            <v>0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</row>
        <row r="2334">
          <cell r="C2334" t="str">
            <v>110kV 172 Phú Xuân - 171 Hưng Phú</v>
          </cell>
          <cell r="D2334">
            <v>172</v>
          </cell>
          <cell r="E2334">
            <v>-0.9</v>
          </cell>
          <cell r="F2334">
            <v>-2.4</v>
          </cell>
          <cell r="G2334">
            <v>-0.9</v>
          </cell>
          <cell r="H2334">
            <v>-1.3</v>
          </cell>
          <cell r="I2334">
            <v>-2.2999999999999998</v>
          </cell>
          <cell r="J2334">
            <v>-2.4</v>
          </cell>
          <cell r="K2334">
            <v>-1.1000000000000001</v>
          </cell>
          <cell r="L2334">
            <v>-1</v>
          </cell>
          <cell r="M2334">
            <v>-1.1000000000000001</v>
          </cell>
        </row>
        <row r="2335">
          <cell r="C2335" t="str">
            <v>Phú Xuân MBA T1 (phía 22kV)</v>
          </cell>
          <cell r="D2335">
            <v>431</v>
          </cell>
          <cell r="E2335">
            <v>2.2000000000000002</v>
          </cell>
          <cell r="F2335">
            <v>4.3</v>
          </cell>
          <cell r="G2335">
            <v>3.8</v>
          </cell>
          <cell r="H2335">
            <v>4.3</v>
          </cell>
          <cell r="I2335">
            <v>4.2</v>
          </cell>
          <cell r="J2335">
            <v>2.2000000000000002</v>
          </cell>
          <cell r="K2335">
            <v>3.6</v>
          </cell>
          <cell r="L2335">
            <v>4.2</v>
          </cell>
          <cell r="M2335">
            <v>3.5</v>
          </cell>
        </row>
        <row r="2336">
          <cell r="C2336" t="str">
            <v>Phụng Hiệp MBA T1 (phía 110kV)</v>
          </cell>
          <cell r="D2336">
            <v>131</v>
          </cell>
          <cell r="E2336">
            <v>0.9</v>
          </cell>
          <cell r="F2336">
            <v>1.2</v>
          </cell>
          <cell r="G2336">
            <v>1.1000000000000001</v>
          </cell>
          <cell r="H2336">
            <v>1.1000000000000001</v>
          </cell>
          <cell r="I2336">
            <v>1.2</v>
          </cell>
          <cell r="J2336">
            <v>0.9</v>
          </cell>
          <cell r="K2336">
            <v>1</v>
          </cell>
          <cell r="L2336">
            <v>1.1000000000000001</v>
          </cell>
          <cell r="M2336">
            <v>1.1000000000000001</v>
          </cell>
        </row>
        <row r="2337">
          <cell r="C2337" t="str">
            <v>Phụng Hiệp MBA T2 (phía 110kV)</v>
          </cell>
          <cell r="D2337">
            <v>132</v>
          </cell>
          <cell r="E2337">
            <v>1.1000000000000001</v>
          </cell>
          <cell r="F2337">
            <v>1.4</v>
          </cell>
          <cell r="G2337">
            <v>1.2</v>
          </cell>
          <cell r="H2337">
            <v>1.3</v>
          </cell>
          <cell r="I2337">
            <v>1.4</v>
          </cell>
          <cell r="J2337">
            <v>1.1000000000000001</v>
          </cell>
          <cell r="K2337">
            <v>1.2</v>
          </cell>
          <cell r="L2337">
            <v>1.3</v>
          </cell>
          <cell r="M2337">
            <v>1.3</v>
          </cell>
        </row>
        <row r="2338">
          <cell r="C2338" t="str">
            <v>110kV 171 Phụng Hiệp - 172 Châu Thành</v>
          </cell>
          <cell r="D2338">
            <v>171</v>
          </cell>
          <cell r="E2338">
            <v>0</v>
          </cell>
          <cell r="F2338">
            <v>-2.6</v>
          </cell>
          <cell r="G2338">
            <v>-2.2999999999999998</v>
          </cell>
          <cell r="H2338">
            <v>-2.5</v>
          </cell>
          <cell r="I2338">
            <v>-2.6</v>
          </cell>
          <cell r="J2338">
            <v>-2.1</v>
          </cell>
          <cell r="K2338">
            <v>-1.7</v>
          </cell>
          <cell r="L2338">
            <v>0</v>
          </cell>
          <cell r="M2338">
            <v>0</v>
          </cell>
        </row>
        <row r="2339">
          <cell r="C2339" t="str">
            <v>110kV 172 Phụng Hiệp - 171 Sóc Trăng</v>
          </cell>
          <cell r="D2339">
            <v>172</v>
          </cell>
          <cell r="E2339">
            <v>0</v>
          </cell>
          <cell r="F2339">
            <v>-2.6</v>
          </cell>
          <cell r="G2339">
            <v>0</v>
          </cell>
          <cell r="H2339">
            <v>0</v>
          </cell>
          <cell r="I2339">
            <v>0</v>
          </cell>
          <cell r="J2339">
            <v>0</v>
          </cell>
          <cell r="K2339">
            <v>-2.2000000000000002</v>
          </cell>
          <cell r="L2339">
            <v>-2.4</v>
          </cell>
          <cell r="M2339">
            <v>-2.6</v>
          </cell>
        </row>
        <row r="2340">
          <cell r="C2340" t="str">
            <v>Phụng Hiệp MBA T1 (phía 22kV)</v>
          </cell>
          <cell r="D2340">
            <v>431</v>
          </cell>
          <cell r="E2340">
            <v>2.4</v>
          </cell>
          <cell r="F2340">
            <v>2.7</v>
          </cell>
          <cell r="G2340">
            <v>2.7</v>
          </cell>
          <cell r="H2340">
            <v>2.6</v>
          </cell>
          <cell r="I2340">
            <v>2.5</v>
          </cell>
          <cell r="J2340">
            <v>2.5</v>
          </cell>
          <cell r="K2340">
            <v>2.6</v>
          </cell>
          <cell r="L2340">
            <v>2.5</v>
          </cell>
          <cell r="M2340">
            <v>2.4</v>
          </cell>
        </row>
        <row r="2341">
          <cell r="C2341" t="str">
            <v>Phụng Hiệp MBA T2 (phía 22kV)</v>
          </cell>
          <cell r="D2341">
            <v>432</v>
          </cell>
          <cell r="E2341">
            <v>2.2000000000000002</v>
          </cell>
          <cell r="F2341">
            <v>2.6</v>
          </cell>
          <cell r="G2341">
            <v>2.6</v>
          </cell>
          <cell r="H2341">
            <v>2.4</v>
          </cell>
          <cell r="I2341">
            <v>2.2999999999999998</v>
          </cell>
          <cell r="J2341">
            <v>2.2999999999999998</v>
          </cell>
          <cell r="K2341">
            <v>2.4</v>
          </cell>
          <cell r="L2341">
            <v>2.2000000000000002</v>
          </cell>
          <cell r="M2341">
            <v>2.2000000000000002</v>
          </cell>
        </row>
        <row r="2342">
          <cell r="C2342" t="str">
            <v>Phước Đông MBA T1 (phía 110kV)</v>
          </cell>
          <cell r="D2342">
            <v>131</v>
          </cell>
          <cell r="E2342">
            <v>6.9</v>
          </cell>
          <cell r="F2342">
            <v>9.9</v>
          </cell>
          <cell r="G2342">
            <v>9.3000000000000007</v>
          </cell>
          <cell r="H2342">
            <v>9.9</v>
          </cell>
          <cell r="I2342">
            <v>9.6</v>
          </cell>
          <cell r="J2342">
            <v>6.9</v>
          </cell>
          <cell r="K2342">
            <v>9.6999999999999993</v>
          </cell>
          <cell r="L2342">
            <v>8.6</v>
          </cell>
          <cell r="M2342">
            <v>9.3000000000000007</v>
          </cell>
        </row>
        <row r="2343">
          <cell r="C2343" t="str">
            <v>Phước Đông MBA T2 (phía 110kV)</v>
          </cell>
          <cell r="D2343">
            <v>132</v>
          </cell>
          <cell r="E2343">
            <v>13.4</v>
          </cell>
          <cell r="F2343">
            <v>15.7</v>
          </cell>
          <cell r="G2343">
            <v>15.1</v>
          </cell>
          <cell r="H2343">
            <v>15.7</v>
          </cell>
          <cell r="I2343">
            <v>14.2</v>
          </cell>
          <cell r="J2343">
            <v>13.4</v>
          </cell>
          <cell r="K2343">
            <v>14.6</v>
          </cell>
          <cell r="L2343">
            <v>15</v>
          </cell>
          <cell r="M2343">
            <v>13.7</v>
          </cell>
        </row>
        <row r="2344">
          <cell r="C2344" t="str">
            <v>110kV 171 Phước Đông - 171 Gia Lộc</v>
          </cell>
          <cell r="D2344">
            <v>171</v>
          </cell>
          <cell r="E2344">
            <v>13.4</v>
          </cell>
          <cell r="F2344">
            <v>14.9</v>
          </cell>
          <cell r="G2344">
            <v>14.6</v>
          </cell>
          <cell r="H2344">
            <v>14.8</v>
          </cell>
          <cell r="I2344">
            <v>14.9</v>
          </cell>
          <cell r="J2344">
            <v>13.4</v>
          </cell>
          <cell r="K2344">
            <v>14.5</v>
          </cell>
          <cell r="L2344">
            <v>14.7</v>
          </cell>
          <cell r="M2344">
            <v>13.8</v>
          </cell>
        </row>
        <row r="2345">
          <cell r="C2345" t="str">
            <v>110kV 172 Phước Đông - 179 Trảng Bàng 2</v>
          </cell>
          <cell r="D2345">
            <v>172</v>
          </cell>
          <cell r="E2345">
            <v>-35.299999999999997</v>
          </cell>
          <cell r="F2345">
            <v>-40.5</v>
          </cell>
          <cell r="G2345">
            <v>-39.299999999999997</v>
          </cell>
          <cell r="H2345">
            <v>-40.5</v>
          </cell>
          <cell r="I2345">
            <v>-39.799999999999997</v>
          </cell>
          <cell r="J2345">
            <v>-35.299999999999997</v>
          </cell>
          <cell r="K2345">
            <v>-39.4</v>
          </cell>
          <cell r="L2345">
            <v>-39</v>
          </cell>
          <cell r="M2345">
            <v>-37.9</v>
          </cell>
        </row>
        <row r="2346">
          <cell r="C2346" t="str">
            <v>Phước Đông MBA T1 (phía 22kV)</v>
          </cell>
          <cell r="D2346">
            <v>431</v>
          </cell>
          <cell r="E2346">
            <v>-3.9</v>
          </cell>
          <cell r="F2346">
            <v>-5.6</v>
          </cell>
          <cell r="G2346">
            <v>-5</v>
          </cell>
          <cell r="H2346">
            <v>-5.6</v>
          </cell>
          <cell r="I2346">
            <v>-5.5</v>
          </cell>
          <cell r="J2346">
            <v>-3.9</v>
          </cell>
          <cell r="K2346">
            <v>-5.6</v>
          </cell>
          <cell r="L2346">
            <v>-4.5999999999999996</v>
          </cell>
          <cell r="M2346">
            <v>-5.0999999999999996</v>
          </cell>
        </row>
        <row r="2347">
          <cell r="C2347" t="str">
            <v>Phước Đông MBA T2 (phía 22kV)</v>
          </cell>
          <cell r="D2347">
            <v>432</v>
          </cell>
          <cell r="E2347">
            <v>-9.6</v>
          </cell>
          <cell r="F2347">
            <v>-11.2</v>
          </cell>
          <cell r="G2347">
            <v>-10.5</v>
          </cell>
          <cell r="H2347">
            <v>-11.2</v>
          </cell>
          <cell r="I2347">
            <v>-10</v>
          </cell>
          <cell r="J2347">
            <v>-9.6</v>
          </cell>
          <cell r="K2347">
            <v>-10.199999999999999</v>
          </cell>
          <cell r="L2347">
            <v>-10.5</v>
          </cell>
          <cell r="M2347">
            <v>-9.6</v>
          </cell>
        </row>
        <row r="2348">
          <cell r="C2348" t="str">
            <v>Phước Đức MBA T1 (phía 110kV)</v>
          </cell>
          <cell r="D2348">
            <v>131</v>
          </cell>
          <cell r="E2348">
            <v>7</v>
          </cell>
          <cell r="F2348">
            <v>11.5</v>
          </cell>
          <cell r="G2348">
            <v>11</v>
          </cell>
          <cell r="H2348">
            <v>11.2</v>
          </cell>
          <cell r="I2348">
            <v>10.8</v>
          </cell>
          <cell r="J2348">
            <v>7</v>
          </cell>
          <cell r="K2348">
            <v>10.8</v>
          </cell>
          <cell r="L2348">
            <v>11.2</v>
          </cell>
          <cell r="M2348">
            <v>11.5</v>
          </cell>
        </row>
        <row r="2349">
          <cell r="C2349" t="str">
            <v>Phước Đức MBA T2 (phía 110kV)</v>
          </cell>
          <cell r="D2349">
            <v>132</v>
          </cell>
          <cell r="E2349">
            <v>10.8</v>
          </cell>
          <cell r="F2349">
            <v>13.6</v>
          </cell>
          <cell r="G2349">
            <v>11.7</v>
          </cell>
          <cell r="H2349">
            <v>12.9</v>
          </cell>
          <cell r="I2349">
            <v>12.2</v>
          </cell>
          <cell r="J2349">
            <v>12.4</v>
          </cell>
          <cell r="K2349">
            <v>11</v>
          </cell>
          <cell r="L2349">
            <v>13.6</v>
          </cell>
          <cell r="M2349">
            <v>10.8</v>
          </cell>
        </row>
        <row r="2350">
          <cell r="C2350" t="str">
            <v>110kV 171 Phước Đức - 171 Hòa Thành</v>
          </cell>
          <cell r="D2350">
            <v>171</v>
          </cell>
          <cell r="E2350">
            <v>-20</v>
          </cell>
          <cell r="F2350">
            <v>-26.8</v>
          </cell>
          <cell r="G2350">
            <v>-24.3</v>
          </cell>
          <cell r="H2350">
            <v>-25.5</v>
          </cell>
          <cell r="I2350">
            <v>-24</v>
          </cell>
          <cell r="J2350">
            <v>-20</v>
          </cell>
          <cell r="K2350">
            <v>-23.8</v>
          </cell>
          <cell r="L2350">
            <v>-26.8</v>
          </cell>
          <cell r="M2350">
            <v>-23</v>
          </cell>
        </row>
        <row r="2351">
          <cell r="C2351" t="str">
            <v>110kV 172 Phước Đức - 172 Gia Lộc</v>
          </cell>
          <cell r="D2351">
            <v>172</v>
          </cell>
          <cell r="E2351">
            <v>0</v>
          </cell>
          <cell r="F2351">
            <v>0</v>
          </cell>
          <cell r="G2351">
            <v>0</v>
          </cell>
          <cell r="H2351">
            <v>0</v>
          </cell>
          <cell r="I2351">
            <v>0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</row>
        <row r="2352">
          <cell r="C2352" t="str">
            <v>Phước Đức MBA T1 (phía 22kV)</v>
          </cell>
          <cell r="D2352">
            <v>431</v>
          </cell>
          <cell r="E2352">
            <v>6.7</v>
          </cell>
          <cell r="F2352">
            <v>-8.6</v>
          </cell>
          <cell r="G2352">
            <v>-8.3000000000000007</v>
          </cell>
          <cell r="H2352">
            <v>-8.3000000000000007</v>
          </cell>
          <cell r="I2352">
            <v>-8.1999999999999993</v>
          </cell>
          <cell r="J2352">
            <v>6.7</v>
          </cell>
          <cell r="K2352">
            <v>-8.1999999999999993</v>
          </cell>
          <cell r="L2352">
            <v>-8.3000000000000007</v>
          </cell>
          <cell r="M2352">
            <v>-8.6</v>
          </cell>
        </row>
        <row r="2353">
          <cell r="C2353" t="str">
            <v>Phước Đức MBA T2 (phía 22kV)</v>
          </cell>
          <cell r="D2353">
            <v>432</v>
          </cell>
          <cell r="E2353">
            <v>6.8</v>
          </cell>
          <cell r="F2353">
            <v>8.6</v>
          </cell>
          <cell r="G2353">
            <v>8.1</v>
          </cell>
          <cell r="H2353">
            <v>8.4</v>
          </cell>
          <cell r="I2353">
            <v>7.8</v>
          </cell>
          <cell r="J2353">
            <v>7.8</v>
          </cell>
          <cell r="K2353">
            <v>7.1</v>
          </cell>
          <cell r="L2353">
            <v>8.6</v>
          </cell>
          <cell r="M2353">
            <v>6.8</v>
          </cell>
        </row>
        <row r="2354">
          <cell r="C2354" t="str">
            <v>Phước Hòa MBA T1 (phía 110kV)</v>
          </cell>
          <cell r="D2354">
            <v>131</v>
          </cell>
          <cell r="E2354">
            <v>1.9</v>
          </cell>
          <cell r="F2354">
            <v>-3.1</v>
          </cell>
          <cell r="G2354">
            <v>-2.1</v>
          </cell>
          <cell r="H2354">
            <v>1.9</v>
          </cell>
          <cell r="I2354">
            <v>3.1</v>
          </cell>
          <cell r="J2354">
            <v>-3.1</v>
          </cell>
          <cell r="K2354">
            <v>-2.9</v>
          </cell>
          <cell r="L2354">
            <v>-2.1</v>
          </cell>
          <cell r="M2354">
            <v>2.2000000000000002</v>
          </cell>
        </row>
        <row r="2355">
          <cell r="C2355" t="str">
            <v>Phước Hòa MBA T2 (phía 110kV)</v>
          </cell>
          <cell r="D2355">
            <v>132</v>
          </cell>
          <cell r="E2355">
            <v>-1.2</v>
          </cell>
          <cell r="F2355">
            <v>-3.1</v>
          </cell>
          <cell r="G2355">
            <v>-2.2999999999999998</v>
          </cell>
          <cell r="H2355">
            <v>1.7</v>
          </cell>
          <cell r="I2355">
            <v>-3</v>
          </cell>
          <cell r="J2355">
            <v>-1.2</v>
          </cell>
          <cell r="K2355">
            <v>-3.1</v>
          </cell>
          <cell r="L2355">
            <v>-3.1</v>
          </cell>
          <cell r="M2355">
            <v>-1.5</v>
          </cell>
        </row>
        <row r="2356">
          <cell r="C2356" t="str">
            <v>Phước Hòa MBA T1 (phía 22kV)</v>
          </cell>
          <cell r="D2356">
            <v>431</v>
          </cell>
          <cell r="E2356">
            <v>2.8</v>
          </cell>
          <cell r="F2356">
            <v>3.5</v>
          </cell>
          <cell r="G2356">
            <v>3.1</v>
          </cell>
          <cell r="H2356">
            <v>2.8</v>
          </cell>
          <cell r="I2356">
            <v>3.2</v>
          </cell>
          <cell r="J2356">
            <v>3.5</v>
          </cell>
          <cell r="K2356">
            <v>3.2</v>
          </cell>
          <cell r="L2356">
            <v>3.2</v>
          </cell>
          <cell r="M2356">
            <v>3.2</v>
          </cell>
        </row>
        <row r="2357">
          <cell r="C2357" t="str">
            <v>Phước Hòa MBA T2 (phía 22kV)</v>
          </cell>
          <cell r="D2357">
            <v>432</v>
          </cell>
          <cell r="E2357">
            <v>1.3</v>
          </cell>
          <cell r="F2357">
            <v>3.4</v>
          </cell>
          <cell r="G2357">
            <v>2.5</v>
          </cell>
          <cell r="H2357">
            <v>-1.5</v>
          </cell>
          <cell r="I2357">
            <v>3.4</v>
          </cell>
          <cell r="J2357">
            <v>1.3</v>
          </cell>
          <cell r="K2357">
            <v>3.4</v>
          </cell>
          <cell r="L2357">
            <v>3.3</v>
          </cell>
          <cell r="M2357">
            <v>1.9</v>
          </cell>
        </row>
        <row r="2358">
          <cell r="C2358" t="str">
            <v>Phước Long MBA T1 (phía 110kV)</v>
          </cell>
          <cell r="D2358">
            <v>131</v>
          </cell>
          <cell r="E2358">
            <v>5</v>
          </cell>
          <cell r="F2358">
            <v>6.8</v>
          </cell>
          <cell r="G2358">
            <v>6.3</v>
          </cell>
          <cell r="H2358">
            <v>6.8</v>
          </cell>
          <cell r="I2358">
            <v>6</v>
          </cell>
          <cell r="J2358">
            <v>5.7</v>
          </cell>
          <cell r="K2358">
            <v>5.8</v>
          </cell>
          <cell r="L2358">
            <v>5</v>
          </cell>
          <cell r="M2358">
            <v>5.7</v>
          </cell>
        </row>
        <row r="2359">
          <cell r="C2359" t="str">
            <v>Phước Long MBA T2 (phía 110kV)</v>
          </cell>
          <cell r="D2359">
            <v>132</v>
          </cell>
          <cell r="E2359">
            <v>-3.9</v>
          </cell>
          <cell r="F2359">
            <v>-4.7</v>
          </cell>
          <cell r="G2359">
            <v>-4.5</v>
          </cell>
          <cell r="H2359">
            <v>-4.2</v>
          </cell>
          <cell r="I2359">
            <v>-4.5</v>
          </cell>
          <cell r="J2359">
            <v>-4.0999999999999996</v>
          </cell>
          <cell r="K2359">
            <v>-3.9</v>
          </cell>
          <cell r="L2359">
            <v>-4.0999999999999996</v>
          </cell>
          <cell r="M2359">
            <v>-4.7</v>
          </cell>
        </row>
        <row r="2360">
          <cell r="C2360" t="str">
            <v>110kV 171 Phước Long - 171 NMĐ Thác Mơ</v>
          </cell>
          <cell r="D2360">
            <v>171</v>
          </cell>
          <cell r="E2360">
            <v>-14.1</v>
          </cell>
          <cell r="F2360">
            <v>-20.3</v>
          </cell>
          <cell r="G2360">
            <v>-19.5</v>
          </cell>
          <cell r="H2360">
            <v>-20.100000000000001</v>
          </cell>
          <cell r="I2360">
            <v>-18.7</v>
          </cell>
          <cell r="J2360">
            <v>-14.1</v>
          </cell>
          <cell r="K2360">
            <v>-19.899999999999999</v>
          </cell>
          <cell r="L2360">
            <v>18.899999999999999</v>
          </cell>
          <cell r="M2360">
            <v>-20.3</v>
          </cell>
        </row>
        <row r="2361">
          <cell r="C2361" t="str">
            <v>110kV 172 Phước Long - 171 Vedan 2</v>
          </cell>
          <cell r="D2361">
            <v>172</v>
          </cell>
          <cell r="E2361">
            <v>8</v>
          </cell>
          <cell r="F2361">
            <v>-12.1</v>
          </cell>
          <cell r="G2361">
            <v>11.3</v>
          </cell>
          <cell r="H2361">
            <v>-11.8</v>
          </cell>
          <cell r="I2361">
            <v>11.4</v>
          </cell>
          <cell r="J2361">
            <v>8</v>
          </cell>
          <cell r="K2361">
            <v>10.5</v>
          </cell>
          <cell r="L2361">
            <v>-12.1</v>
          </cell>
          <cell r="M2361">
            <v>11.7</v>
          </cell>
        </row>
        <row r="2362">
          <cell r="C2362" t="str">
            <v>Phước Long MBA T1 (phía 22kV)</v>
          </cell>
          <cell r="D2362">
            <v>431</v>
          </cell>
          <cell r="E2362">
            <v>-3.6</v>
          </cell>
          <cell r="F2362">
            <v>4.5</v>
          </cell>
          <cell r="G2362">
            <v>-3.6</v>
          </cell>
          <cell r="H2362">
            <v>4.5</v>
          </cell>
          <cell r="I2362">
            <v>-4.2</v>
          </cell>
          <cell r="J2362">
            <v>-3.8</v>
          </cell>
          <cell r="K2362">
            <v>4</v>
          </cell>
          <cell r="L2362">
            <v>3.7</v>
          </cell>
          <cell r="M2362">
            <v>4</v>
          </cell>
        </row>
        <row r="2363">
          <cell r="C2363" t="str">
            <v>Phước Long MBA T2 (phía 22kV)</v>
          </cell>
          <cell r="D2363">
            <v>432</v>
          </cell>
          <cell r="E2363">
            <v>4.3</v>
          </cell>
          <cell r="F2363">
            <v>5.4</v>
          </cell>
          <cell r="G2363">
            <v>5.3</v>
          </cell>
          <cell r="H2363">
            <v>4.5999999999999996</v>
          </cell>
          <cell r="I2363">
            <v>4.9000000000000004</v>
          </cell>
          <cell r="J2363">
            <v>4.5</v>
          </cell>
          <cell r="K2363">
            <v>4.3</v>
          </cell>
          <cell r="L2363">
            <v>4.4000000000000004</v>
          </cell>
          <cell r="M2363">
            <v>5.4</v>
          </cell>
        </row>
        <row r="2364">
          <cell r="C2364" t="str">
            <v>Pomina MBA T1 (phía 110kV)</v>
          </cell>
          <cell r="D2364">
            <v>131</v>
          </cell>
          <cell r="E2364">
            <v>2.2999999999999998</v>
          </cell>
          <cell r="F2364">
            <v>2.9</v>
          </cell>
          <cell r="G2364">
            <v>2.5</v>
          </cell>
          <cell r="H2364">
            <v>2.6</v>
          </cell>
          <cell r="I2364">
            <v>2.5</v>
          </cell>
          <cell r="J2364">
            <v>2.5</v>
          </cell>
          <cell r="K2364">
            <v>2.9</v>
          </cell>
          <cell r="L2364">
            <v>2.6</v>
          </cell>
          <cell r="M2364">
            <v>2.2999999999999998</v>
          </cell>
        </row>
        <row r="2365">
          <cell r="C2365" t="str">
            <v>Pomina MBA T2 (phía 110kV)</v>
          </cell>
          <cell r="D2365">
            <v>132</v>
          </cell>
          <cell r="E2365">
            <v>-31.8</v>
          </cell>
          <cell r="F2365">
            <v>53.4</v>
          </cell>
          <cell r="G2365">
            <v>39.5</v>
          </cell>
          <cell r="H2365">
            <v>44.1</v>
          </cell>
          <cell r="I2365">
            <v>35.4</v>
          </cell>
          <cell r="J2365">
            <v>37.700000000000003</v>
          </cell>
          <cell r="K2365">
            <v>53.4</v>
          </cell>
          <cell r="L2365">
            <v>41.7</v>
          </cell>
          <cell r="M2365">
            <v>-31.8</v>
          </cell>
        </row>
        <row r="2366">
          <cell r="C2366" t="str">
            <v>110kV 171 Pomina - 172 Thép Miền Nam</v>
          </cell>
          <cell r="D2366">
            <v>171</v>
          </cell>
          <cell r="E2366">
            <v>29.2</v>
          </cell>
          <cell r="F2366">
            <v>50.3</v>
          </cell>
          <cell r="G2366">
            <v>33.5</v>
          </cell>
          <cell r="H2366">
            <v>50.3</v>
          </cell>
          <cell r="I2366">
            <v>41.3</v>
          </cell>
          <cell r="J2366">
            <v>29.2</v>
          </cell>
          <cell r="K2366">
            <v>47.8</v>
          </cell>
          <cell r="L2366">
            <v>46.5</v>
          </cell>
          <cell r="M2366">
            <v>45.4</v>
          </cell>
        </row>
        <row r="2367">
          <cell r="C2367" t="str">
            <v>110kV 172 Pomina - 177 Tân Thành</v>
          </cell>
          <cell r="D2367">
            <v>172</v>
          </cell>
          <cell r="E2367">
            <v>-30.7</v>
          </cell>
          <cell r="F2367">
            <v>-57.2</v>
          </cell>
          <cell r="G2367">
            <v>-37.9</v>
          </cell>
          <cell r="H2367">
            <v>-57.2</v>
          </cell>
          <cell r="I2367">
            <v>-33.4</v>
          </cell>
          <cell r="J2367">
            <v>-30.7</v>
          </cell>
          <cell r="K2367">
            <v>-55.3</v>
          </cell>
          <cell r="L2367">
            <v>-48.8</v>
          </cell>
          <cell r="M2367">
            <v>-37.5</v>
          </cell>
        </row>
        <row r="2368">
          <cell r="C2368" t="str">
            <v>Pomina MBA T2 (phía 35kV)</v>
          </cell>
          <cell r="D2368">
            <v>332</v>
          </cell>
          <cell r="E2368">
            <v>32.1</v>
          </cell>
          <cell r="F2368">
            <v>-42</v>
          </cell>
          <cell r="G2368">
            <v>-40</v>
          </cell>
          <cell r="H2368">
            <v>32.4</v>
          </cell>
          <cell r="I2368">
            <v>34.299999999999997</v>
          </cell>
          <cell r="J2368">
            <v>32.1</v>
          </cell>
          <cell r="K2368">
            <v>-42</v>
          </cell>
          <cell r="L2368">
            <v>-34.299999999999997</v>
          </cell>
          <cell r="M2368">
            <v>34</v>
          </cell>
        </row>
        <row r="2369">
          <cell r="C2369" t="str">
            <v>Pomina MBA T1 (phía 22kV)</v>
          </cell>
          <cell r="D2369">
            <v>431</v>
          </cell>
          <cell r="E2369">
            <v>2.5</v>
          </cell>
          <cell r="F2369">
            <v>3</v>
          </cell>
          <cell r="G2369">
            <v>2.7</v>
          </cell>
          <cell r="H2369">
            <v>2.7</v>
          </cell>
          <cell r="I2369">
            <v>2.7</v>
          </cell>
          <cell r="J2369">
            <v>2.6</v>
          </cell>
          <cell r="K2369">
            <v>3</v>
          </cell>
          <cell r="L2369">
            <v>2.6</v>
          </cell>
          <cell r="M2369">
            <v>2.5</v>
          </cell>
        </row>
        <row r="2370">
          <cell r="C2370" t="str">
            <v>Pomina 2 MBA T1 (phía 110kV)</v>
          </cell>
          <cell r="D2370">
            <v>131</v>
          </cell>
          <cell r="E2370">
            <v>-0.9</v>
          </cell>
          <cell r="F2370">
            <v>-2.2999999999999998</v>
          </cell>
          <cell r="G2370">
            <v>-2.2999999999999998</v>
          </cell>
          <cell r="H2370">
            <v>-2.2999999999999998</v>
          </cell>
          <cell r="I2370">
            <v>-1.8</v>
          </cell>
          <cell r="J2370">
            <v>-1.2</v>
          </cell>
          <cell r="K2370">
            <v>-0.9</v>
          </cell>
          <cell r="L2370">
            <v>1.5</v>
          </cell>
          <cell r="M2370">
            <v>1.3</v>
          </cell>
        </row>
        <row r="2371">
          <cell r="C2371" t="str">
            <v>110kV 171 Pomina 2 - 171 Phú Mỹ</v>
          </cell>
          <cell r="D2371">
            <v>171</v>
          </cell>
          <cell r="E2371">
            <v>11.3</v>
          </cell>
          <cell r="F2371">
            <v>44.4</v>
          </cell>
          <cell r="G2371">
            <v>31.1</v>
          </cell>
          <cell r="H2371">
            <v>44.4</v>
          </cell>
          <cell r="I2371">
            <v>34.4</v>
          </cell>
          <cell r="J2371">
            <v>11.3</v>
          </cell>
          <cell r="K2371">
            <v>38.799999999999997</v>
          </cell>
          <cell r="L2371">
            <v>30.6</v>
          </cell>
          <cell r="M2371">
            <v>34.1</v>
          </cell>
        </row>
        <row r="2372">
          <cell r="C2372" t="str">
            <v>110kV 172 Pomina 2 - 176 Tân Thành</v>
          </cell>
          <cell r="D2372">
            <v>172</v>
          </cell>
          <cell r="E2372">
            <v>-10.3</v>
          </cell>
          <cell r="F2372">
            <v>-42</v>
          </cell>
          <cell r="G2372">
            <v>-29</v>
          </cell>
          <cell r="H2372">
            <v>-42</v>
          </cell>
          <cell r="I2372">
            <v>-30.5</v>
          </cell>
          <cell r="J2372">
            <v>-10.3</v>
          </cell>
          <cell r="K2372">
            <v>-38.6</v>
          </cell>
          <cell r="L2372">
            <v>-31.3</v>
          </cell>
          <cell r="M2372">
            <v>-34.9</v>
          </cell>
        </row>
        <row r="2373">
          <cell r="C2373" t="str">
            <v>Pomina 2 MBA T1 (phía 22kV)</v>
          </cell>
          <cell r="D2373">
            <v>431</v>
          </cell>
          <cell r="E2373">
            <v>0.8</v>
          </cell>
          <cell r="F2373">
            <v>-2.1</v>
          </cell>
          <cell r="G2373">
            <v>-2.1</v>
          </cell>
          <cell r="H2373">
            <v>-2.1</v>
          </cell>
          <cell r="I2373">
            <v>-2.1</v>
          </cell>
          <cell r="J2373">
            <v>-1</v>
          </cell>
          <cell r="K2373">
            <v>-1</v>
          </cell>
          <cell r="L2373">
            <v>0.8</v>
          </cell>
          <cell r="M2373">
            <v>0.8</v>
          </cell>
        </row>
        <row r="2374">
          <cell r="C2374" t="str">
            <v>Posco MBA T1 (phía 110kV)</v>
          </cell>
          <cell r="D2374">
            <v>131</v>
          </cell>
          <cell r="E2374">
            <v>5.3</v>
          </cell>
          <cell r="F2374">
            <v>6.6</v>
          </cell>
          <cell r="G2374">
            <v>5.3</v>
          </cell>
          <cell r="H2374">
            <v>6</v>
          </cell>
          <cell r="I2374">
            <v>6.6</v>
          </cell>
          <cell r="J2374">
            <v>6.4</v>
          </cell>
          <cell r="K2374">
            <v>6.5</v>
          </cell>
          <cell r="L2374">
            <v>6.2</v>
          </cell>
          <cell r="M2374">
            <v>6.3</v>
          </cell>
        </row>
        <row r="2375">
          <cell r="C2375" t="str">
            <v>110kV 171 Posco - 172 Tân Thành</v>
          </cell>
          <cell r="D2375">
            <v>171</v>
          </cell>
          <cell r="E2375">
            <v>-5.6</v>
          </cell>
          <cell r="F2375">
            <v>-11</v>
          </cell>
          <cell r="G2375">
            <v>-9.6</v>
          </cell>
          <cell r="H2375">
            <v>-10</v>
          </cell>
          <cell r="I2375">
            <v>-11</v>
          </cell>
          <cell r="J2375">
            <v>-9.6</v>
          </cell>
          <cell r="K2375">
            <v>-5.6</v>
          </cell>
          <cell r="L2375">
            <v>-10.5</v>
          </cell>
          <cell r="M2375">
            <v>-8.6</v>
          </cell>
        </row>
        <row r="2376">
          <cell r="C2376" t="str">
            <v>110kV 172 Posco - 173 Fuco</v>
          </cell>
          <cell r="D2376">
            <v>172</v>
          </cell>
          <cell r="E2376">
            <v>-5.8</v>
          </cell>
          <cell r="F2376">
            <v>-11.9</v>
          </cell>
          <cell r="G2376">
            <v>9.5</v>
          </cell>
          <cell r="H2376">
            <v>-11.9</v>
          </cell>
          <cell r="I2376">
            <v>-10.9</v>
          </cell>
          <cell r="J2376">
            <v>-8.8000000000000007</v>
          </cell>
          <cell r="K2376">
            <v>-5.8</v>
          </cell>
          <cell r="L2376">
            <v>-11</v>
          </cell>
          <cell r="M2376">
            <v>-9.1</v>
          </cell>
        </row>
        <row r="2377">
          <cell r="C2377" t="str">
            <v>Posco MBA T1 (phía 22kV)</v>
          </cell>
          <cell r="D2377">
            <v>431</v>
          </cell>
          <cell r="E2377">
            <v>-4.4000000000000004</v>
          </cell>
          <cell r="F2377">
            <v>-6</v>
          </cell>
          <cell r="G2377">
            <v>-4.4000000000000004</v>
          </cell>
          <cell r="H2377">
            <v>-5.8</v>
          </cell>
          <cell r="I2377">
            <v>-5.7</v>
          </cell>
          <cell r="J2377">
            <v>-5.8</v>
          </cell>
          <cell r="K2377">
            <v>-6</v>
          </cell>
          <cell r="L2377">
            <v>-5.7</v>
          </cell>
          <cell r="M2377">
            <v>-6</v>
          </cell>
        </row>
        <row r="2378">
          <cell r="C2378" t="str">
            <v>Pos-Vina MBA T1 (phía 110kV)</v>
          </cell>
          <cell r="D2378">
            <v>131</v>
          </cell>
          <cell r="E2378">
            <v>0</v>
          </cell>
          <cell r="F2378">
            <v>0</v>
          </cell>
          <cell r="G2378">
            <v>0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</row>
        <row r="2379">
          <cell r="C2379" t="str">
            <v>Pos-Vina MBA T2 (phía 110kV)</v>
          </cell>
          <cell r="D2379">
            <v>132</v>
          </cell>
          <cell r="E2379">
            <v>0</v>
          </cell>
          <cell r="F2379">
            <v>0</v>
          </cell>
          <cell r="G2379">
            <v>0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</row>
        <row r="2380">
          <cell r="C2380" t="str">
            <v>110kV 171 Pos-Vina - 172 NMĐ Phú Mỹ 1</v>
          </cell>
          <cell r="D2380">
            <v>171</v>
          </cell>
          <cell r="E2380">
            <v>0</v>
          </cell>
          <cell r="F2380">
            <v>0</v>
          </cell>
          <cell r="G2380">
            <v>0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</row>
        <row r="2381">
          <cell r="C2381" t="str">
            <v>110kV 172 Pos-Vina - 171 Linde Gas</v>
          </cell>
          <cell r="D2381">
            <v>172</v>
          </cell>
          <cell r="E2381">
            <v>0</v>
          </cell>
          <cell r="F2381">
            <v>0</v>
          </cell>
          <cell r="G2381">
            <v>0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</row>
        <row r="2382">
          <cell r="C2382" t="str">
            <v>Pos-Vina MBA T1 (phía 35kV)</v>
          </cell>
          <cell r="D2382">
            <v>331</v>
          </cell>
          <cell r="E2382">
            <v>0</v>
          </cell>
          <cell r="F2382">
            <v>0</v>
          </cell>
          <cell r="G2382">
            <v>0</v>
          </cell>
          <cell r="H2382">
            <v>0</v>
          </cell>
          <cell r="I2382">
            <v>0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</row>
        <row r="2383">
          <cell r="C2383" t="str">
            <v>Pos-Vina MBA T2 (phía 22kV)</v>
          </cell>
          <cell r="D2383">
            <v>432</v>
          </cell>
          <cell r="E2383">
            <v>0</v>
          </cell>
          <cell r="F2383">
            <v>0</v>
          </cell>
          <cell r="G2383">
            <v>0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</row>
        <row r="2384">
          <cell r="C2384" t="str">
            <v>Pou Yuen MBA T1 (phía 110kV)</v>
          </cell>
          <cell r="D2384">
            <v>131</v>
          </cell>
          <cell r="E2384">
            <v>0</v>
          </cell>
          <cell r="F2384">
            <v>0</v>
          </cell>
          <cell r="G2384">
            <v>0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</row>
        <row r="2385">
          <cell r="C2385" t="str">
            <v>Pou Yuen MBA T2 (phía 110kV)</v>
          </cell>
          <cell r="D2385">
            <v>132</v>
          </cell>
          <cell r="E2385">
            <v>0</v>
          </cell>
          <cell r="F2385">
            <v>0</v>
          </cell>
          <cell r="G2385">
            <v>0</v>
          </cell>
          <cell r="H2385">
            <v>0</v>
          </cell>
          <cell r="I2385">
            <v>0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</row>
        <row r="2386">
          <cell r="C2386" t="str">
            <v>110kV 172 Pou Yuen - 177 Phú Lâm - 171 Bình Trị Đông</v>
          </cell>
          <cell r="D2386">
            <v>172</v>
          </cell>
          <cell r="E2386">
            <v>0</v>
          </cell>
          <cell r="F2386">
            <v>0</v>
          </cell>
          <cell r="G2386">
            <v>0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</row>
        <row r="2387">
          <cell r="C2387" t="str">
            <v>Pou Yuen MBA T1 (phía 10kV)</v>
          </cell>
          <cell r="D2387">
            <v>931</v>
          </cell>
          <cell r="E2387">
            <v>0</v>
          </cell>
          <cell r="F2387">
            <v>0</v>
          </cell>
          <cell r="G2387">
            <v>0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</row>
        <row r="2388">
          <cell r="C2388" t="str">
            <v>Pou Yuen MBA T2 (phía 10kV)</v>
          </cell>
          <cell r="D2388">
            <v>932</v>
          </cell>
          <cell r="E2388">
            <v>0</v>
          </cell>
          <cell r="F2388">
            <v>0</v>
          </cell>
          <cell r="G2388">
            <v>0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</row>
        <row r="2389">
          <cell r="C2389" t="str">
            <v>Quận 8 MBA AT1 (phía 110kV)</v>
          </cell>
          <cell r="D2389">
            <v>131</v>
          </cell>
          <cell r="E2389">
            <v>-12.4</v>
          </cell>
          <cell r="F2389">
            <v>-47.9</v>
          </cell>
          <cell r="G2389">
            <v>-47.9</v>
          </cell>
          <cell r="H2389">
            <v>-38.5</v>
          </cell>
          <cell r="I2389">
            <v>35.5</v>
          </cell>
          <cell r="J2389">
            <v>-12.4</v>
          </cell>
          <cell r="K2389">
            <v>-35.200000000000003</v>
          </cell>
          <cell r="L2389">
            <v>-25.3</v>
          </cell>
          <cell r="M2389">
            <v>32.700000000000003</v>
          </cell>
        </row>
        <row r="2390">
          <cell r="C2390" t="str">
            <v>Quận 8 MBA AT2 (phía 110kV)</v>
          </cell>
          <cell r="D2390">
            <v>132</v>
          </cell>
          <cell r="E2390">
            <v>-12.4</v>
          </cell>
          <cell r="F2390">
            <v>-48.1</v>
          </cell>
          <cell r="G2390">
            <v>-48.1</v>
          </cell>
          <cell r="H2390">
            <v>-38.6</v>
          </cell>
          <cell r="I2390">
            <v>35.6</v>
          </cell>
          <cell r="J2390">
            <v>-12.4</v>
          </cell>
          <cell r="K2390">
            <v>-35.4</v>
          </cell>
          <cell r="L2390">
            <v>-25.5</v>
          </cell>
          <cell r="M2390">
            <v>32.799999999999997</v>
          </cell>
        </row>
        <row r="2391">
          <cell r="C2391" t="str">
            <v>Quận 8 MBA T4 (phía 110kV)</v>
          </cell>
          <cell r="D2391">
            <v>134</v>
          </cell>
          <cell r="E2391">
            <v>-1.2</v>
          </cell>
          <cell r="F2391">
            <v>1.6</v>
          </cell>
          <cell r="G2391">
            <v>1.5</v>
          </cell>
          <cell r="H2391">
            <v>1.6</v>
          </cell>
          <cell r="I2391">
            <v>-1.2</v>
          </cell>
          <cell r="J2391">
            <v>-1.3</v>
          </cell>
          <cell r="K2391">
            <v>1.4</v>
          </cell>
          <cell r="L2391">
            <v>-1.5</v>
          </cell>
          <cell r="M2391">
            <v>-1.3</v>
          </cell>
        </row>
        <row r="2392">
          <cell r="C2392" t="str">
            <v>Quận 8 MBA T5 (phía 110kV)</v>
          </cell>
          <cell r="D2392">
            <v>135</v>
          </cell>
          <cell r="E2392">
            <v>1.5</v>
          </cell>
          <cell r="F2392">
            <v>2.8</v>
          </cell>
          <cell r="G2392">
            <v>2.6</v>
          </cell>
          <cell r="H2392">
            <v>2.8</v>
          </cell>
          <cell r="I2392">
            <v>2.7</v>
          </cell>
          <cell r="J2392">
            <v>1.5</v>
          </cell>
          <cell r="K2392">
            <v>2.5</v>
          </cell>
          <cell r="L2392">
            <v>2.4</v>
          </cell>
          <cell r="M2392">
            <v>2</v>
          </cell>
        </row>
        <row r="2393">
          <cell r="C2393" t="str">
            <v>110kV 171 Quận 8 - 174 Phú Định</v>
          </cell>
          <cell r="D2393">
            <v>171</v>
          </cell>
          <cell r="E2393">
            <v>30.8</v>
          </cell>
          <cell r="F2393">
            <v>-67.2</v>
          </cell>
          <cell r="G2393">
            <v>49.2</v>
          </cell>
          <cell r="H2393">
            <v>32.700000000000003</v>
          </cell>
          <cell r="I2393">
            <v>-67.2</v>
          </cell>
          <cell r="J2393">
            <v>30.8</v>
          </cell>
          <cell r="K2393">
            <v>-33</v>
          </cell>
          <cell r="L2393">
            <v>-36.1</v>
          </cell>
          <cell r="M2393">
            <v>-51.9</v>
          </cell>
        </row>
        <row r="2394">
          <cell r="C2394" t="str">
            <v>110kV 172 Quận 8 - 171 Chợ Quán</v>
          </cell>
          <cell r="D2394">
            <v>172</v>
          </cell>
          <cell r="E2394">
            <v>-4</v>
          </cell>
          <cell r="F2394">
            <v>-4.5</v>
          </cell>
          <cell r="G2394">
            <v>-4.4000000000000004</v>
          </cell>
          <cell r="H2394">
            <v>-4</v>
          </cell>
          <cell r="I2394">
            <v>-4.0999999999999996</v>
          </cell>
          <cell r="J2394">
            <v>-4.3</v>
          </cell>
          <cell r="K2394">
            <v>-4.2</v>
          </cell>
          <cell r="L2394">
            <v>-4.5</v>
          </cell>
          <cell r="M2394">
            <v>-4.2</v>
          </cell>
        </row>
        <row r="2395">
          <cell r="C2395" t="str">
            <v>110kV 173 Quận 8 - 171 Hùng Vương</v>
          </cell>
          <cell r="D2395">
            <v>173</v>
          </cell>
          <cell r="E2395">
            <v>8.6</v>
          </cell>
          <cell r="F2395">
            <v>21.3</v>
          </cell>
          <cell r="G2395">
            <v>21.3</v>
          </cell>
          <cell r="H2395">
            <v>18.2</v>
          </cell>
          <cell r="I2395">
            <v>-12.7</v>
          </cell>
          <cell r="J2395">
            <v>8.6</v>
          </cell>
          <cell r="K2395">
            <v>17</v>
          </cell>
          <cell r="L2395">
            <v>13.1</v>
          </cell>
          <cell r="M2395">
            <v>-12.4</v>
          </cell>
        </row>
        <row r="2396">
          <cell r="C2396" t="str">
            <v>110kV 174 Quận 8 - 174 Bến Thành</v>
          </cell>
          <cell r="D2396">
            <v>174</v>
          </cell>
          <cell r="E2396">
            <v>-5.6</v>
          </cell>
          <cell r="F2396">
            <v>23.2</v>
          </cell>
          <cell r="G2396">
            <v>23</v>
          </cell>
          <cell r="H2396">
            <v>23.2</v>
          </cell>
          <cell r="I2396">
            <v>12.8</v>
          </cell>
          <cell r="J2396">
            <v>-5.6</v>
          </cell>
          <cell r="K2396">
            <v>20.8</v>
          </cell>
          <cell r="L2396">
            <v>20.2</v>
          </cell>
          <cell r="M2396">
            <v>17</v>
          </cell>
        </row>
        <row r="2397">
          <cell r="C2397" t="str">
            <v>110kV 175 Quận 8 - 172 Chợ Quán</v>
          </cell>
          <cell r="D2397">
            <v>175</v>
          </cell>
          <cell r="E2397">
            <v>-2.2000000000000002</v>
          </cell>
          <cell r="F2397">
            <v>-2.5</v>
          </cell>
          <cell r="G2397">
            <v>-2.4</v>
          </cell>
          <cell r="H2397">
            <v>-2.2000000000000002</v>
          </cell>
          <cell r="I2397">
            <v>-2.2999999999999998</v>
          </cell>
          <cell r="J2397">
            <v>-2.4</v>
          </cell>
          <cell r="K2397">
            <v>-2.4</v>
          </cell>
          <cell r="L2397">
            <v>-2.5</v>
          </cell>
          <cell r="M2397">
            <v>-2.4</v>
          </cell>
        </row>
        <row r="2398">
          <cell r="C2398" t="str">
            <v>110kV 176 Quận 8 - 172 Chánh Hưng</v>
          </cell>
          <cell r="D2398">
            <v>176</v>
          </cell>
          <cell r="E2398">
            <v>-6.3</v>
          </cell>
          <cell r="F2398">
            <v>-11</v>
          </cell>
          <cell r="G2398">
            <v>-6.4</v>
          </cell>
          <cell r="H2398">
            <v>-11</v>
          </cell>
          <cell r="I2398">
            <v>-6.3</v>
          </cell>
          <cell r="J2398">
            <v>-6.5</v>
          </cell>
          <cell r="K2398">
            <v>-6.8</v>
          </cell>
          <cell r="L2398">
            <v>-7.2</v>
          </cell>
          <cell r="M2398">
            <v>-6.4</v>
          </cell>
        </row>
        <row r="2399">
          <cell r="C2399" t="str">
            <v>Quận 8 MBA AT1 (phía 220kV)</v>
          </cell>
          <cell r="D2399">
            <v>231</v>
          </cell>
          <cell r="E2399">
            <v>15.8</v>
          </cell>
          <cell r="F2399">
            <v>55.4</v>
          </cell>
          <cell r="G2399">
            <v>55.4</v>
          </cell>
          <cell r="H2399">
            <v>45.2</v>
          </cell>
          <cell r="I2399">
            <v>-30.6</v>
          </cell>
          <cell r="J2399">
            <v>15.8</v>
          </cell>
          <cell r="K2399">
            <v>41.7</v>
          </cell>
          <cell r="L2399">
            <v>31.4</v>
          </cell>
          <cell r="M2399">
            <v>-28.9</v>
          </cell>
        </row>
        <row r="2400">
          <cell r="C2400" t="str">
            <v>Quận 8 MBA AT2 (phía 220kV)</v>
          </cell>
          <cell r="D2400">
            <v>232</v>
          </cell>
          <cell r="E2400">
            <v>15.9</v>
          </cell>
          <cell r="F2400">
            <v>55.6</v>
          </cell>
          <cell r="G2400">
            <v>55.6</v>
          </cell>
          <cell r="H2400">
            <v>45.3</v>
          </cell>
          <cell r="I2400">
            <v>-30.7</v>
          </cell>
          <cell r="J2400">
            <v>15.9</v>
          </cell>
          <cell r="K2400">
            <v>41.8</v>
          </cell>
          <cell r="L2400">
            <v>31.5</v>
          </cell>
          <cell r="M2400">
            <v>-29</v>
          </cell>
        </row>
        <row r="2401">
          <cell r="C2401" t="str">
            <v>220kV 271 Quận 8 - 276 Bình Chánh</v>
          </cell>
          <cell r="D2401">
            <v>271</v>
          </cell>
          <cell r="E2401">
            <v>-15.5</v>
          </cell>
          <cell r="F2401">
            <v>-54.5</v>
          </cell>
          <cell r="G2401">
            <v>-54.5</v>
          </cell>
          <cell r="H2401">
            <v>-44.5</v>
          </cell>
          <cell r="I2401">
            <v>29.6</v>
          </cell>
          <cell r="J2401">
            <v>-15.5</v>
          </cell>
          <cell r="K2401">
            <v>-41</v>
          </cell>
          <cell r="L2401">
            <v>-31</v>
          </cell>
          <cell r="M2401">
            <v>28.3</v>
          </cell>
        </row>
        <row r="2402">
          <cell r="C2402" t="str">
            <v>220kV 272 Quận 8 - 277 Bình Chánh</v>
          </cell>
          <cell r="D2402">
            <v>272</v>
          </cell>
          <cell r="E2402">
            <v>-15.5</v>
          </cell>
          <cell r="F2402">
            <v>-55.6</v>
          </cell>
          <cell r="G2402">
            <v>-55.6</v>
          </cell>
          <cell r="H2402">
            <v>-45.1</v>
          </cell>
          <cell r="I2402">
            <v>32.299999999999997</v>
          </cell>
          <cell r="J2402">
            <v>-15.5</v>
          </cell>
          <cell r="K2402">
            <v>-41.5</v>
          </cell>
          <cell r="L2402">
            <v>-31.1</v>
          </cell>
          <cell r="M2402">
            <v>30</v>
          </cell>
        </row>
        <row r="2403">
          <cell r="C2403" t="str">
            <v>Quận 8 MBA T4 (phía 22kV)</v>
          </cell>
          <cell r="D2403">
            <v>434</v>
          </cell>
          <cell r="E2403">
            <v>2.2999999999999998</v>
          </cell>
          <cell r="F2403">
            <v>2.6</v>
          </cell>
          <cell r="G2403">
            <v>2.4</v>
          </cell>
          <cell r="H2403">
            <v>2.4</v>
          </cell>
          <cell r="I2403">
            <v>2.2999999999999998</v>
          </cell>
          <cell r="J2403">
            <v>2.5</v>
          </cell>
          <cell r="K2403">
            <v>2.4</v>
          </cell>
          <cell r="L2403">
            <v>2.6</v>
          </cell>
          <cell r="M2403">
            <v>2.5</v>
          </cell>
        </row>
        <row r="2404">
          <cell r="C2404" t="str">
            <v>Quận 8 MBA T5 (phía 22kV)</v>
          </cell>
          <cell r="D2404">
            <v>435</v>
          </cell>
          <cell r="E2404">
            <v>0.7</v>
          </cell>
          <cell r="F2404">
            <v>-1.7</v>
          </cell>
          <cell r="G2404">
            <v>-1.4</v>
          </cell>
          <cell r="H2404">
            <v>-1.7</v>
          </cell>
          <cell r="I2404">
            <v>-1.5</v>
          </cell>
          <cell r="J2404">
            <v>0.7</v>
          </cell>
          <cell r="K2404">
            <v>-1.4</v>
          </cell>
          <cell r="L2404">
            <v>-1.3</v>
          </cell>
          <cell r="M2404">
            <v>-1.1000000000000001</v>
          </cell>
        </row>
        <row r="2405">
          <cell r="C2405" t="str">
            <v>220kV 272 Quán Thẻ - 231 NMĐ MT Bim 3</v>
          </cell>
          <cell r="D2405">
            <v>272</v>
          </cell>
          <cell r="E2405">
            <v>-0.6</v>
          </cell>
          <cell r="F2405">
            <v>7</v>
          </cell>
          <cell r="G2405">
            <v>5.7</v>
          </cell>
          <cell r="H2405">
            <v>6.3</v>
          </cell>
          <cell r="I2405">
            <v>2.1</v>
          </cell>
          <cell r="J2405">
            <v>5.5</v>
          </cell>
          <cell r="K2405">
            <v>-0.6</v>
          </cell>
          <cell r="L2405">
            <v>-0.6</v>
          </cell>
          <cell r="M2405">
            <v>7</v>
          </cell>
        </row>
        <row r="2406">
          <cell r="C2406" t="str">
            <v>220kV 273 Quán Thẻ - 271 Vĩnh Tân</v>
          </cell>
          <cell r="D2406">
            <v>273</v>
          </cell>
          <cell r="E2406">
            <v>-22.2</v>
          </cell>
          <cell r="F2406">
            <v>-138.1</v>
          </cell>
          <cell r="G2406">
            <v>-138.1</v>
          </cell>
          <cell r="H2406">
            <v>-113.2</v>
          </cell>
          <cell r="I2406">
            <v>-77.599999999999994</v>
          </cell>
          <cell r="J2406">
            <v>-50</v>
          </cell>
          <cell r="K2406">
            <v>22.2</v>
          </cell>
          <cell r="L2406">
            <v>-22.2</v>
          </cell>
          <cell r="M2406">
            <v>-92.8</v>
          </cell>
        </row>
        <row r="2407">
          <cell r="C2407" t="str">
            <v>220kV 274 Quán Thẻ - 274 Thuận Nam 500</v>
          </cell>
          <cell r="D2407">
            <v>274</v>
          </cell>
          <cell r="E2407">
            <v>-19.100000000000001</v>
          </cell>
          <cell r="F2407">
            <v>116.3</v>
          </cell>
          <cell r="G2407">
            <v>116.3</v>
          </cell>
          <cell r="H2407">
            <v>74.099999999999994</v>
          </cell>
          <cell r="I2407">
            <v>54.8</v>
          </cell>
          <cell r="J2407">
            <v>44.7</v>
          </cell>
          <cell r="K2407">
            <v>-19.100000000000001</v>
          </cell>
          <cell r="L2407">
            <v>23.8</v>
          </cell>
          <cell r="M2407">
            <v>89.4</v>
          </cell>
        </row>
        <row r="2408">
          <cell r="C2408" t="str">
            <v>220kV 275 Quán Thẻ - 271 NMĐ MT Bim 2</v>
          </cell>
          <cell r="D2408">
            <v>275</v>
          </cell>
          <cell r="E2408">
            <v>-2.1</v>
          </cell>
          <cell r="F2408">
            <v>42.1</v>
          </cell>
          <cell r="G2408">
            <v>42.1</v>
          </cell>
          <cell r="H2408">
            <v>38.4</v>
          </cell>
          <cell r="I2408">
            <v>29.7</v>
          </cell>
          <cell r="J2408">
            <v>10.1</v>
          </cell>
          <cell r="K2408">
            <v>4.7</v>
          </cell>
          <cell r="L2408">
            <v>-2.1</v>
          </cell>
          <cell r="M2408">
            <v>16.399999999999999</v>
          </cell>
        </row>
        <row r="2409">
          <cell r="C2409" t="str">
            <v>Rạch Chanh MBA T1 (phía 110kV)</v>
          </cell>
          <cell r="D2409">
            <v>131</v>
          </cell>
          <cell r="E2409">
            <v>-7.7</v>
          </cell>
          <cell r="F2409">
            <v>-12.4</v>
          </cell>
          <cell r="G2409">
            <v>-9.5</v>
          </cell>
          <cell r="H2409">
            <v>-9.5</v>
          </cell>
          <cell r="I2409">
            <v>-9.3000000000000007</v>
          </cell>
          <cell r="J2409">
            <v>-10.8</v>
          </cell>
          <cell r="K2409">
            <v>-12.4</v>
          </cell>
          <cell r="L2409">
            <v>-7.8</v>
          </cell>
          <cell r="M2409">
            <v>-7.7</v>
          </cell>
        </row>
        <row r="2410">
          <cell r="C2410" t="str">
            <v>Rạch Chanh MBA T2 (phía 110kV)</v>
          </cell>
          <cell r="D2410">
            <v>132</v>
          </cell>
          <cell r="E2410">
            <v>5</v>
          </cell>
          <cell r="F2410">
            <v>7.9</v>
          </cell>
          <cell r="G2410">
            <v>7.9</v>
          </cell>
          <cell r="H2410">
            <v>7.3</v>
          </cell>
          <cell r="I2410">
            <v>6.9</v>
          </cell>
          <cell r="J2410">
            <v>5</v>
          </cell>
          <cell r="K2410">
            <v>6.3</v>
          </cell>
          <cell r="L2410">
            <v>6.7</v>
          </cell>
          <cell r="M2410">
            <v>6.3</v>
          </cell>
        </row>
        <row r="2411">
          <cell r="C2411" t="str">
            <v>110kV 171 Rạch Chanh - 175 Long An 2</v>
          </cell>
          <cell r="D2411">
            <v>171</v>
          </cell>
          <cell r="E2411">
            <v>9.6999999999999993</v>
          </cell>
          <cell r="F2411">
            <v>13.5</v>
          </cell>
          <cell r="G2411">
            <v>-13</v>
          </cell>
          <cell r="H2411">
            <v>13.5</v>
          </cell>
          <cell r="I2411">
            <v>11.7</v>
          </cell>
          <cell r="J2411">
            <v>9.6999999999999993</v>
          </cell>
          <cell r="K2411">
            <v>11.7</v>
          </cell>
          <cell r="L2411">
            <v>12</v>
          </cell>
          <cell r="M2411">
            <v>11.3</v>
          </cell>
        </row>
        <row r="2412">
          <cell r="C2412" t="str">
            <v>110kV 172 Rạch Chanh - 176 Phú Lâm - 171 Ching Luh - 172 Bến Lức</v>
          </cell>
          <cell r="D2412">
            <v>172</v>
          </cell>
          <cell r="E2412">
            <v>-2.5</v>
          </cell>
          <cell r="F2412">
            <v>5.0999999999999996</v>
          </cell>
          <cell r="G2412">
            <v>4.7</v>
          </cell>
          <cell r="H2412">
            <v>5.0999999999999996</v>
          </cell>
          <cell r="I2412">
            <v>4.7</v>
          </cell>
          <cell r="J2412">
            <v>-2.5</v>
          </cell>
          <cell r="K2412">
            <v>4.4000000000000004</v>
          </cell>
          <cell r="L2412">
            <v>4.7</v>
          </cell>
          <cell r="M2412">
            <v>4.5999999999999996</v>
          </cell>
        </row>
        <row r="2413">
          <cell r="C2413" t="str">
            <v>110kV 173 Rạch Chanh - 131 XM Long An</v>
          </cell>
          <cell r="D2413">
            <v>173</v>
          </cell>
          <cell r="E2413">
            <v>0</v>
          </cell>
          <cell r="F2413">
            <v>2.6</v>
          </cell>
          <cell r="G2413">
            <v>2.4</v>
          </cell>
          <cell r="H2413">
            <v>2.4</v>
          </cell>
          <cell r="I2413">
            <v>2.6</v>
          </cell>
          <cell r="J2413">
            <v>2.6</v>
          </cell>
          <cell r="K2413">
            <v>2.4</v>
          </cell>
          <cell r="L2413">
            <v>2.5</v>
          </cell>
          <cell r="M2413">
            <v>0</v>
          </cell>
        </row>
        <row r="2414">
          <cell r="C2414" t="str">
            <v>Rạch Chanh MBA T1 (phía 22kV)</v>
          </cell>
          <cell r="D2414">
            <v>431</v>
          </cell>
          <cell r="E2414">
            <v>9</v>
          </cell>
          <cell r="F2414">
            <v>12.9</v>
          </cell>
          <cell r="G2414">
            <v>10.7</v>
          </cell>
          <cell r="H2414">
            <v>10.6</v>
          </cell>
          <cell r="I2414">
            <v>10.5</v>
          </cell>
          <cell r="J2414">
            <v>11.3</v>
          </cell>
          <cell r="K2414">
            <v>12.9</v>
          </cell>
          <cell r="L2414">
            <v>9</v>
          </cell>
          <cell r="M2414">
            <v>9.3000000000000007</v>
          </cell>
        </row>
        <row r="2415">
          <cell r="C2415" t="str">
            <v>Rạch Chanh MBA T2 (phía 22kV)</v>
          </cell>
          <cell r="D2415">
            <v>432</v>
          </cell>
          <cell r="E2415">
            <v>-3.1</v>
          </cell>
          <cell r="F2415">
            <v>8.1</v>
          </cell>
          <cell r="G2415">
            <v>6.6</v>
          </cell>
          <cell r="H2415">
            <v>8.1</v>
          </cell>
          <cell r="I2415">
            <v>7.5</v>
          </cell>
          <cell r="J2415">
            <v>-3.1</v>
          </cell>
          <cell r="K2415">
            <v>7.6</v>
          </cell>
          <cell r="L2415">
            <v>7.8</v>
          </cell>
          <cell r="M2415">
            <v>7.5</v>
          </cell>
        </row>
        <row r="2416">
          <cell r="C2416" t="str">
            <v>Rạch Giá MBA T1 (phía 110kV)</v>
          </cell>
          <cell r="D2416">
            <v>131</v>
          </cell>
          <cell r="E2416">
            <v>1.8</v>
          </cell>
          <cell r="F2416">
            <v>2.4</v>
          </cell>
          <cell r="G2416">
            <v>2.2000000000000002</v>
          </cell>
          <cell r="H2416">
            <v>1.8</v>
          </cell>
          <cell r="I2416">
            <v>1.9</v>
          </cell>
          <cell r="J2416">
            <v>2.2000000000000002</v>
          </cell>
          <cell r="K2416">
            <v>2.2999999999999998</v>
          </cell>
          <cell r="L2416">
            <v>2.4</v>
          </cell>
          <cell r="M2416">
            <v>2.1</v>
          </cell>
        </row>
        <row r="2417">
          <cell r="C2417" t="str">
            <v>Rạch Giá MBA T2 (phía 110kV)</v>
          </cell>
          <cell r="D2417">
            <v>132</v>
          </cell>
          <cell r="E2417">
            <v>2.6</v>
          </cell>
          <cell r="F2417">
            <v>3.6</v>
          </cell>
          <cell r="G2417">
            <v>2.7</v>
          </cell>
          <cell r="H2417">
            <v>2.6</v>
          </cell>
          <cell r="I2417">
            <v>2.9</v>
          </cell>
          <cell r="J2417">
            <v>3.6</v>
          </cell>
          <cell r="K2417">
            <v>3.4</v>
          </cell>
          <cell r="L2417">
            <v>3.5</v>
          </cell>
          <cell r="M2417">
            <v>3.5</v>
          </cell>
        </row>
        <row r="2418">
          <cell r="C2418" t="str">
            <v>110kV 171 Rạch Giá - 171 Hòn Đất</v>
          </cell>
          <cell r="D2418">
            <v>171</v>
          </cell>
          <cell r="E2418">
            <v>0</v>
          </cell>
          <cell r="F2418">
            <v>0</v>
          </cell>
          <cell r="G2418">
            <v>0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</row>
        <row r="2419">
          <cell r="C2419" t="str">
            <v>110kV 172 Rạch Giá - 172 Rạch Giá 2</v>
          </cell>
          <cell r="D2419">
            <v>172</v>
          </cell>
          <cell r="E2419">
            <v>0</v>
          </cell>
          <cell r="F2419">
            <v>0</v>
          </cell>
          <cell r="G2419">
            <v>0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</row>
        <row r="2420">
          <cell r="C2420" t="str">
            <v>Rạch Giá MBA T1 (phía 22kV)</v>
          </cell>
          <cell r="D2420">
            <v>431</v>
          </cell>
          <cell r="E2420">
            <v>1.1000000000000001</v>
          </cell>
          <cell r="F2420">
            <v>1.8</v>
          </cell>
          <cell r="G2420">
            <v>1.4</v>
          </cell>
          <cell r="H2420">
            <v>1.3</v>
          </cell>
          <cell r="I2420">
            <v>1.6</v>
          </cell>
          <cell r="J2420">
            <v>1.8</v>
          </cell>
          <cell r="K2420">
            <v>1.1000000000000001</v>
          </cell>
          <cell r="L2420">
            <v>1.2</v>
          </cell>
          <cell r="M2420">
            <v>1.7</v>
          </cell>
        </row>
        <row r="2421">
          <cell r="C2421" t="str">
            <v>Rạch Giá MBA T2 (phía 22kV)</v>
          </cell>
          <cell r="D2421">
            <v>432</v>
          </cell>
          <cell r="E2421">
            <v>-1.1000000000000001</v>
          </cell>
          <cell r="F2421">
            <v>-1.1000000000000001</v>
          </cell>
          <cell r="G2421">
            <v>-1.1000000000000001</v>
          </cell>
          <cell r="H2421">
            <v>-1.1000000000000001</v>
          </cell>
          <cell r="I2421">
            <v>-1.1000000000000001</v>
          </cell>
          <cell r="J2421">
            <v>-1.1000000000000001</v>
          </cell>
          <cell r="K2421">
            <v>-1.1000000000000001</v>
          </cell>
          <cell r="L2421">
            <v>-1.1000000000000001</v>
          </cell>
          <cell r="M2421">
            <v>-1.1000000000000001</v>
          </cell>
        </row>
        <row r="2422">
          <cell r="C2422" t="str">
            <v>Rạch Giá 2 MBA AT1 (phía 110kV)</v>
          </cell>
          <cell r="D2422">
            <v>131</v>
          </cell>
          <cell r="E2422">
            <v>-10.3</v>
          </cell>
          <cell r="F2422">
            <v>20</v>
          </cell>
          <cell r="G2422">
            <v>20</v>
          </cell>
          <cell r="H2422">
            <v>-10.8</v>
          </cell>
          <cell r="I2422">
            <v>-14.8</v>
          </cell>
          <cell r="J2422">
            <v>-11.8</v>
          </cell>
          <cell r="K2422">
            <v>-12.8</v>
          </cell>
          <cell r="L2422">
            <v>-10.3</v>
          </cell>
          <cell r="M2422">
            <v>-14.1</v>
          </cell>
        </row>
        <row r="2423">
          <cell r="C2423" t="str">
            <v>Rạch Giá 2 MBA AT2 (phía 110kV)</v>
          </cell>
          <cell r="D2423">
            <v>132</v>
          </cell>
          <cell r="E2423">
            <v>-9.8000000000000007</v>
          </cell>
          <cell r="F2423">
            <v>18.600000000000001</v>
          </cell>
          <cell r="G2423">
            <v>18.600000000000001</v>
          </cell>
          <cell r="H2423">
            <v>-10.3</v>
          </cell>
          <cell r="I2423">
            <v>-13.4</v>
          </cell>
          <cell r="J2423">
            <v>-11.2</v>
          </cell>
          <cell r="K2423">
            <v>-12.1</v>
          </cell>
          <cell r="L2423">
            <v>-9.8000000000000007</v>
          </cell>
          <cell r="M2423">
            <v>-13.5</v>
          </cell>
        </row>
        <row r="2424">
          <cell r="C2424" t="str">
            <v>110kV 171 Rạch Giá 2 - 171 Chung Sư</v>
          </cell>
          <cell r="D2424">
            <v>171</v>
          </cell>
          <cell r="E2424">
            <v>2.4</v>
          </cell>
          <cell r="F2424">
            <v>3.4</v>
          </cell>
          <cell r="G2424">
            <v>3.2</v>
          </cell>
          <cell r="H2424">
            <v>3.1</v>
          </cell>
          <cell r="I2424">
            <v>2.5</v>
          </cell>
          <cell r="J2424">
            <v>-3.2</v>
          </cell>
          <cell r="K2424">
            <v>3.4</v>
          </cell>
          <cell r="L2424">
            <v>2.4</v>
          </cell>
          <cell r="M2424">
            <v>2.7</v>
          </cell>
        </row>
        <row r="2425">
          <cell r="C2425" t="str">
            <v>110kV 172 Rạch Giá 2 - 172 Rạch Giá</v>
          </cell>
          <cell r="D2425">
            <v>172</v>
          </cell>
          <cell r="E2425">
            <v>3.8</v>
          </cell>
          <cell r="F2425">
            <v>5.9</v>
          </cell>
          <cell r="G2425">
            <v>4.5999999999999996</v>
          </cell>
          <cell r="H2425">
            <v>3.8</v>
          </cell>
          <cell r="I2425">
            <v>4.5</v>
          </cell>
          <cell r="J2425">
            <v>5.4</v>
          </cell>
          <cell r="K2425">
            <v>5.6</v>
          </cell>
          <cell r="L2425">
            <v>5.9</v>
          </cell>
          <cell r="M2425">
            <v>5.6</v>
          </cell>
        </row>
        <row r="2426">
          <cell r="C2426" t="str">
            <v>110kV 173 Rạch Giá 2 - 172 Minh Phong</v>
          </cell>
          <cell r="D2426">
            <v>173</v>
          </cell>
          <cell r="E2426">
            <v>-6</v>
          </cell>
          <cell r="F2426">
            <v>10.6</v>
          </cell>
          <cell r="G2426">
            <v>10.3</v>
          </cell>
          <cell r="H2426">
            <v>7.6</v>
          </cell>
          <cell r="I2426">
            <v>7.8</v>
          </cell>
          <cell r="J2426">
            <v>10.3</v>
          </cell>
          <cell r="K2426">
            <v>9.5</v>
          </cell>
          <cell r="L2426">
            <v>-6</v>
          </cell>
          <cell r="M2426">
            <v>10.6</v>
          </cell>
        </row>
        <row r="2427">
          <cell r="C2427" t="str">
            <v>110kV 174 Rạch Giá 2 - 171 Giồng Riềng</v>
          </cell>
          <cell r="D2427">
            <v>174</v>
          </cell>
          <cell r="E2427">
            <v>4.0999999999999996</v>
          </cell>
          <cell r="F2427">
            <v>10.199999999999999</v>
          </cell>
          <cell r="G2427">
            <v>4.8</v>
          </cell>
          <cell r="H2427">
            <v>4.0999999999999996</v>
          </cell>
          <cell r="I2427">
            <v>10.199999999999999</v>
          </cell>
          <cell r="J2427">
            <v>-5.6</v>
          </cell>
          <cell r="K2427">
            <v>4.5999999999999996</v>
          </cell>
          <cell r="L2427">
            <v>-5.0999999999999996</v>
          </cell>
          <cell r="M2427">
            <v>-4.5999999999999996</v>
          </cell>
        </row>
        <row r="2428">
          <cell r="C2428" t="str">
            <v>110kV 175 Rạch Giá 2 - 172 Thạnh Đông</v>
          </cell>
          <cell r="D2428">
            <v>175</v>
          </cell>
          <cell r="E2428">
            <v>2.2000000000000002</v>
          </cell>
          <cell r="F2428">
            <v>3.6</v>
          </cell>
          <cell r="G2428">
            <v>-3.1</v>
          </cell>
          <cell r="H2428">
            <v>-2.9</v>
          </cell>
          <cell r="I2428">
            <v>3.4</v>
          </cell>
          <cell r="J2428">
            <v>-2.4</v>
          </cell>
          <cell r="K2428">
            <v>-2.6</v>
          </cell>
          <cell r="L2428">
            <v>2.2000000000000002</v>
          </cell>
          <cell r="M2428">
            <v>3.6</v>
          </cell>
        </row>
        <row r="2429">
          <cell r="C2429" t="str">
            <v>110kV 176 Rạch Giá 2 - 173 Thạnh Đông</v>
          </cell>
          <cell r="D2429">
            <v>176</v>
          </cell>
          <cell r="E2429">
            <v>3</v>
          </cell>
          <cell r="F2429">
            <v>5.0999999999999996</v>
          </cell>
          <cell r="G2429">
            <v>3</v>
          </cell>
          <cell r="H2429">
            <v>4.5</v>
          </cell>
          <cell r="I2429">
            <v>5</v>
          </cell>
          <cell r="J2429">
            <v>4.0999999999999996</v>
          </cell>
          <cell r="K2429">
            <v>4.0999999999999996</v>
          </cell>
          <cell r="L2429">
            <v>4.3</v>
          </cell>
          <cell r="M2429">
            <v>5.0999999999999996</v>
          </cell>
        </row>
        <row r="2430">
          <cell r="C2430" t="str">
            <v>Rạch Giá 2 MBA AT1 (phía 220kV)</v>
          </cell>
          <cell r="D2430">
            <v>231</v>
          </cell>
          <cell r="E2430">
            <v>14.9</v>
          </cell>
          <cell r="F2430">
            <v>22.6</v>
          </cell>
          <cell r="G2430">
            <v>14.9</v>
          </cell>
          <cell r="H2430">
            <v>17.8</v>
          </cell>
          <cell r="I2430">
            <v>22.6</v>
          </cell>
          <cell r="J2430">
            <v>18.8</v>
          </cell>
          <cell r="K2430">
            <v>20.100000000000001</v>
          </cell>
          <cell r="L2430">
            <v>17</v>
          </cell>
          <cell r="M2430">
            <v>21.1</v>
          </cell>
        </row>
        <row r="2431">
          <cell r="C2431" t="str">
            <v>Rạch Giá 2 MBA AT2 (phía 220kV)</v>
          </cell>
          <cell r="D2431">
            <v>232</v>
          </cell>
          <cell r="E2431">
            <v>14</v>
          </cell>
          <cell r="F2431">
            <v>20.9</v>
          </cell>
          <cell r="G2431">
            <v>14</v>
          </cell>
          <cell r="H2431">
            <v>16.5</v>
          </cell>
          <cell r="I2431">
            <v>20.9</v>
          </cell>
          <cell r="J2431">
            <v>17.899999999999999</v>
          </cell>
          <cell r="K2431">
            <v>19.2</v>
          </cell>
          <cell r="L2431">
            <v>15.9</v>
          </cell>
          <cell r="M2431">
            <v>20.100000000000001</v>
          </cell>
        </row>
        <row r="2432">
          <cell r="C2432" t="str">
            <v>220kV 271 Rạch Giá 2 - 273 Thốt Nốt 2</v>
          </cell>
          <cell r="D2432">
            <v>271</v>
          </cell>
          <cell r="E2432">
            <v>-16.100000000000001</v>
          </cell>
          <cell r="F2432">
            <v>22.5</v>
          </cell>
          <cell r="G2432">
            <v>20.6</v>
          </cell>
          <cell r="H2432">
            <v>22.5</v>
          </cell>
          <cell r="I2432">
            <v>-20</v>
          </cell>
          <cell r="J2432">
            <v>-16.100000000000001</v>
          </cell>
          <cell r="K2432">
            <v>22</v>
          </cell>
          <cell r="L2432">
            <v>17.2</v>
          </cell>
          <cell r="M2432">
            <v>-18.399999999999999</v>
          </cell>
        </row>
        <row r="2433">
          <cell r="C2433" t="str">
            <v>220kV 272 Rạch Giá 2 - 279 NMĐ Ô Môn</v>
          </cell>
          <cell r="D2433">
            <v>272</v>
          </cell>
          <cell r="E2433">
            <v>14.4</v>
          </cell>
          <cell r="F2433">
            <v>36.700000000000003</v>
          </cell>
          <cell r="G2433">
            <v>36.700000000000003</v>
          </cell>
          <cell r="H2433">
            <v>30.5</v>
          </cell>
          <cell r="I2433">
            <v>15.4</v>
          </cell>
          <cell r="J2433">
            <v>14.4</v>
          </cell>
          <cell r="K2433">
            <v>32.1</v>
          </cell>
          <cell r="L2433">
            <v>27.5</v>
          </cell>
          <cell r="M2433">
            <v>20.6</v>
          </cell>
        </row>
        <row r="2434">
          <cell r="C2434" t="str">
            <v>220kV 273 Rạch Giá 2 - 273 NMĐ Cà Mau</v>
          </cell>
          <cell r="D2434">
            <v>273</v>
          </cell>
          <cell r="E2434">
            <v>-11.3</v>
          </cell>
          <cell r="F2434">
            <v>-22.9</v>
          </cell>
          <cell r="G2434">
            <v>-15.5</v>
          </cell>
          <cell r="H2434">
            <v>-22.9</v>
          </cell>
          <cell r="I2434">
            <v>-16.7</v>
          </cell>
          <cell r="J2434">
            <v>-11.3</v>
          </cell>
          <cell r="K2434">
            <v>-22.2</v>
          </cell>
          <cell r="L2434">
            <v>-16.8</v>
          </cell>
          <cell r="M2434">
            <v>-16.3</v>
          </cell>
        </row>
        <row r="2435">
          <cell r="C2435" t="str">
            <v>220kV 274 Rạch Giá 2 - 273 Kiên Bình</v>
          </cell>
          <cell r="D2435">
            <v>274</v>
          </cell>
          <cell r="E2435">
            <v>-20.100000000000001</v>
          </cell>
          <cell r="F2435">
            <v>-32.799999999999997</v>
          </cell>
          <cell r="G2435">
            <v>-30.2</v>
          </cell>
          <cell r="H2435">
            <v>-20.100000000000001</v>
          </cell>
          <cell r="I2435">
            <v>-24.7</v>
          </cell>
          <cell r="J2435">
            <v>-26.3</v>
          </cell>
          <cell r="K2435">
            <v>-32.799999999999997</v>
          </cell>
          <cell r="L2435">
            <v>-31.6</v>
          </cell>
          <cell r="M2435">
            <v>-31.8</v>
          </cell>
        </row>
        <row r="2436">
          <cell r="C2436" t="str">
            <v>220kV 276 Rạch Giá 2 - 286 NMĐ Cà Mau</v>
          </cell>
          <cell r="D2436">
            <v>276</v>
          </cell>
          <cell r="E2436">
            <v>-16.899999999999999</v>
          </cell>
          <cell r="F2436">
            <v>-36.1</v>
          </cell>
          <cell r="G2436">
            <v>-23.9</v>
          </cell>
          <cell r="H2436">
            <v>-36.1</v>
          </cell>
          <cell r="I2436">
            <v>-26</v>
          </cell>
          <cell r="J2436">
            <v>-16.899999999999999</v>
          </cell>
          <cell r="K2436">
            <v>-34.9</v>
          </cell>
          <cell r="L2436">
            <v>-26.4</v>
          </cell>
          <cell r="M2436">
            <v>-25.2</v>
          </cell>
        </row>
        <row r="2437">
          <cell r="C2437" t="str">
            <v>220kV 277 Rạch Giá 2 - 276 NMĐ Cà Mau</v>
          </cell>
          <cell r="D2437">
            <v>277</v>
          </cell>
          <cell r="E2437">
            <v>-17</v>
          </cell>
          <cell r="F2437">
            <v>-36.1</v>
          </cell>
          <cell r="G2437">
            <v>-24.2</v>
          </cell>
          <cell r="H2437">
            <v>-36.1</v>
          </cell>
          <cell r="I2437">
            <v>-26</v>
          </cell>
          <cell r="J2437">
            <v>-17</v>
          </cell>
          <cell r="K2437">
            <v>-35.5</v>
          </cell>
          <cell r="L2437">
            <v>-26.7</v>
          </cell>
          <cell r="M2437">
            <v>-26.1</v>
          </cell>
        </row>
        <row r="2438">
          <cell r="C2438" t="str">
            <v>Sa Đéc MBA T1 (phía 110kV)</v>
          </cell>
          <cell r="D2438">
            <v>131</v>
          </cell>
          <cell r="E2438">
            <v>-1.2</v>
          </cell>
          <cell r="F2438">
            <v>-2.4</v>
          </cell>
          <cell r="G2438">
            <v>1.9</v>
          </cell>
          <cell r="H2438">
            <v>-2.2000000000000002</v>
          </cell>
          <cell r="I2438">
            <v>2.1</v>
          </cell>
          <cell r="J2438">
            <v>-1.5</v>
          </cell>
          <cell r="K2438">
            <v>1.8</v>
          </cell>
          <cell r="L2438">
            <v>-2.4</v>
          </cell>
          <cell r="M2438">
            <v>-1.2</v>
          </cell>
        </row>
        <row r="2439">
          <cell r="C2439" t="str">
            <v>Sa Đéc MBA T2 (phía 110kV)</v>
          </cell>
          <cell r="D2439">
            <v>132</v>
          </cell>
          <cell r="E2439">
            <v>-1.5</v>
          </cell>
          <cell r="F2439">
            <v>-4.2</v>
          </cell>
          <cell r="G2439">
            <v>-3.2</v>
          </cell>
          <cell r="H2439">
            <v>1.9</v>
          </cell>
          <cell r="I2439">
            <v>-4.2</v>
          </cell>
          <cell r="J2439">
            <v>-1.5</v>
          </cell>
          <cell r="K2439">
            <v>-3.6</v>
          </cell>
          <cell r="L2439">
            <v>1.8</v>
          </cell>
          <cell r="M2439">
            <v>-4.0999999999999996</v>
          </cell>
        </row>
        <row r="2440">
          <cell r="C2440" t="str">
            <v>110kV 171 Sa Đéc - 171 Sa Đéc 2</v>
          </cell>
          <cell r="D2440">
            <v>171</v>
          </cell>
          <cell r="E2440">
            <v>1.8</v>
          </cell>
          <cell r="F2440">
            <v>2.8</v>
          </cell>
          <cell r="G2440">
            <v>2.1</v>
          </cell>
          <cell r="H2440">
            <v>2.5</v>
          </cell>
          <cell r="I2440">
            <v>2.8</v>
          </cell>
          <cell r="J2440">
            <v>1.8</v>
          </cell>
          <cell r="K2440">
            <v>2.2000000000000002</v>
          </cell>
          <cell r="L2440">
            <v>2.5</v>
          </cell>
          <cell r="M2440">
            <v>2.7</v>
          </cell>
        </row>
        <row r="2441">
          <cell r="C2441" t="str">
            <v>110kV 172 Sa Đéc - 171 Nha Mân</v>
          </cell>
          <cell r="D2441">
            <v>172</v>
          </cell>
          <cell r="E2441">
            <v>0</v>
          </cell>
          <cell r="F2441">
            <v>0</v>
          </cell>
          <cell r="G2441">
            <v>0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</row>
        <row r="2442">
          <cell r="C2442" t="str">
            <v>110kV 173 Sa Đéc - 172 Sa Đéc 2</v>
          </cell>
          <cell r="D2442">
            <v>173</v>
          </cell>
          <cell r="E2442">
            <v>-1.1000000000000001</v>
          </cell>
          <cell r="F2442">
            <v>1.9</v>
          </cell>
          <cell r="G2442">
            <v>-1.9</v>
          </cell>
          <cell r="H2442">
            <v>1.6</v>
          </cell>
          <cell r="I2442">
            <v>1.9</v>
          </cell>
          <cell r="J2442">
            <v>-1.1000000000000001</v>
          </cell>
          <cell r="K2442">
            <v>1.3</v>
          </cell>
          <cell r="L2442">
            <v>1.5</v>
          </cell>
          <cell r="M2442">
            <v>1.7</v>
          </cell>
        </row>
        <row r="2443">
          <cell r="C2443" t="str">
            <v>Sa Đéc MBA T1 (phía 22kV)</v>
          </cell>
          <cell r="D2443">
            <v>431</v>
          </cell>
          <cell r="E2443">
            <v>-1.4</v>
          </cell>
          <cell r="F2443">
            <v>3.1</v>
          </cell>
          <cell r="G2443">
            <v>2.2999999999999998</v>
          </cell>
          <cell r="H2443">
            <v>2.8</v>
          </cell>
          <cell r="I2443">
            <v>-1.7</v>
          </cell>
          <cell r="J2443">
            <v>1.9</v>
          </cell>
          <cell r="K2443">
            <v>-1.4</v>
          </cell>
          <cell r="L2443">
            <v>3.1</v>
          </cell>
          <cell r="M2443">
            <v>1.6</v>
          </cell>
        </row>
        <row r="2444">
          <cell r="C2444" t="str">
            <v>Sa Đéc MBA T2 (phía 22kV)</v>
          </cell>
          <cell r="D2444">
            <v>432</v>
          </cell>
          <cell r="E2444">
            <v>-2.1</v>
          </cell>
          <cell r="F2444">
            <v>-4.9000000000000004</v>
          </cell>
          <cell r="G2444">
            <v>-3.7</v>
          </cell>
          <cell r="H2444">
            <v>-2.6</v>
          </cell>
          <cell r="I2444">
            <v>-4.8</v>
          </cell>
          <cell r="J2444">
            <v>-2.1</v>
          </cell>
          <cell r="K2444">
            <v>-4.0999999999999996</v>
          </cell>
          <cell r="L2444">
            <v>-2.6</v>
          </cell>
          <cell r="M2444">
            <v>-4.9000000000000004</v>
          </cell>
        </row>
        <row r="2445">
          <cell r="C2445" t="str">
            <v>Sa Đéc 2 MBA AT1 (phía 110kV)</v>
          </cell>
          <cell r="D2445">
            <v>131</v>
          </cell>
          <cell r="E2445">
            <v>7</v>
          </cell>
          <cell r="F2445">
            <v>13.2</v>
          </cell>
          <cell r="G2445">
            <v>7.8</v>
          </cell>
          <cell r="H2445">
            <v>11.9</v>
          </cell>
          <cell r="I2445">
            <v>13.1</v>
          </cell>
          <cell r="J2445">
            <v>13</v>
          </cell>
          <cell r="K2445">
            <v>13.2</v>
          </cell>
          <cell r="L2445">
            <v>7</v>
          </cell>
          <cell r="M2445">
            <v>10.7</v>
          </cell>
        </row>
        <row r="2446">
          <cell r="C2446" t="str">
            <v>110kV 171 Sa Đéc 2 - 171 Sa Đéc</v>
          </cell>
          <cell r="D2446">
            <v>171</v>
          </cell>
          <cell r="E2446">
            <v>-2</v>
          </cell>
          <cell r="F2446">
            <v>-3.1</v>
          </cell>
          <cell r="G2446">
            <v>-2.2000000000000002</v>
          </cell>
          <cell r="H2446">
            <v>-2.7</v>
          </cell>
          <cell r="I2446">
            <v>-3.1</v>
          </cell>
          <cell r="J2446">
            <v>-2</v>
          </cell>
          <cell r="K2446">
            <v>-2.4</v>
          </cell>
          <cell r="L2446">
            <v>-2.2999999999999998</v>
          </cell>
          <cell r="M2446">
            <v>-3</v>
          </cell>
        </row>
        <row r="2447">
          <cell r="C2447" t="str">
            <v>110kV 172 Sa Đéc 2 - 173 Sa Đéc</v>
          </cell>
          <cell r="D2447">
            <v>172</v>
          </cell>
          <cell r="E2447">
            <v>-1.2</v>
          </cell>
          <cell r="F2447">
            <v>-2.1</v>
          </cell>
          <cell r="G2447">
            <v>1.6</v>
          </cell>
          <cell r="H2447">
            <v>-1.8</v>
          </cell>
          <cell r="I2447">
            <v>-2.1</v>
          </cell>
          <cell r="J2447">
            <v>-1.2</v>
          </cell>
          <cell r="K2447">
            <v>-1.5</v>
          </cell>
          <cell r="L2447">
            <v>-1.4</v>
          </cell>
          <cell r="M2447">
            <v>-1.9</v>
          </cell>
        </row>
        <row r="2448">
          <cell r="C2448" t="str">
            <v>110kV 173 Sa Đéc 2 - 171 An Hòa</v>
          </cell>
          <cell r="D2448">
            <v>173</v>
          </cell>
          <cell r="E2448">
            <v>-3.8</v>
          </cell>
          <cell r="F2448">
            <v>-6.9</v>
          </cell>
          <cell r="G2448">
            <v>3.8</v>
          </cell>
          <cell r="H2448">
            <v>-5.3</v>
          </cell>
          <cell r="I2448">
            <v>-5.2</v>
          </cell>
          <cell r="J2448">
            <v>-6.9</v>
          </cell>
          <cell r="K2448">
            <v>-5.6</v>
          </cell>
          <cell r="L2448">
            <v>-4.5999999999999996</v>
          </cell>
          <cell r="M2448">
            <v>-3.8</v>
          </cell>
        </row>
        <row r="2449">
          <cell r="C2449" t="str">
            <v>110kV 174 Sa Đéc 2 - 171 Sông Hậu</v>
          </cell>
          <cell r="D2449">
            <v>174</v>
          </cell>
          <cell r="E2449">
            <v>-2.6</v>
          </cell>
          <cell r="F2449">
            <v>5.8</v>
          </cell>
          <cell r="G2449">
            <v>-2.6</v>
          </cell>
          <cell r="H2449">
            <v>-2.9</v>
          </cell>
          <cell r="I2449">
            <v>-3.3</v>
          </cell>
          <cell r="J2449">
            <v>-4</v>
          </cell>
          <cell r="K2449">
            <v>-4.7</v>
          </cell>
          <cell r="L2449">
            <v>5.8</v>
          </cell>
          <cell r="M2449">
            <v>-4.0999999999999996</v>
          </cell>
        </row>
        <row r="2450">
          <cell r="C2450" t="str">
            <v>Sa Đéc 2 MBA AT1 (phía 220kV)</v>
          </cell>
          <cell r="D2450">
            <v>231</v>
          </cell>
          <cell r="E2450">
            <v>7</v>
          </cell>
          <cell r="F2450">
            <v>15.4</v>
          </cell>
          <cell r="G2450">
            <v>13.3</v>
          </cell>
          <cell r="H2450">
            <v>15.2</v>
          </cell>
          <cell r="I2450">
            <v>10.6</v>
          </cell>
          <cell r="J2450">
            <v>-9.6999999999999993</v>
          </cell>
          <cell r="K2450">
            <v>11.9</v>
          </cell>
          <cell r="L2450">
            <v>15.4</v>
          </cell>
          <cell r="M2450">
            <v>7</v>
          </cell>
        </row>
        <row r="2451">
          <cell r="C2451" t="str">
            <v>220kV 271 Sa Đéc 2 - 274 Vĩnh Long 2</v>
          </cell>
          <cell r="D2451">
            <v>271</v>
          </cell>
          <cell r="E2451">
            <v>17.8</v>
          </cell>
          <cell r="F2451">
            <v>42.1</v>
          </cell>
          <cell r="G2451">
            <v>42.1</v>
          </cell>
          <cell r="H2451">
            <v>35.9</v>
          </cell>
          <cell r="I2451">
            <v>17.8</v>
          </cell>
          <cell r="J2451">
            <v>29.8</v>
          </cell>
          <cell r="K2451">
            <v>30.3</v>
          </cell>
          <cell r="L2451">
            <v>29.4</v>
          </cell>
          <cell r="M2451">
            <v>24.3</v>
          </cell>
        </row>
        <row r="2452">
          <cell r="C2452" t="str">
            <v>220kV 272 Sa Đéc 2 - 288 NMĐ Ô Môn</v>
          </cell>
          <cell r="D2452">
            <v>272</v>
          </cell>
          <cell r="E2452">
            <v>-14.5</v>
          </cell>
          <cell r="F2452">
            <v>-44.1</v>
          </cell>
          <cell r="G2452">
            <v>-44.1</v>
          </cell>
          <cell r="H2452">
            <v>-35.9</v>
          </cell>
          <cell r="I2452">
            <v>-14.5</v>
          </cell>
          <cell r="J2452">
            <v>-22.4</v>
          </cell>
          <cell r="K2452">
            <v>-20</v>
          </cell>
          <cell r="L2452">
            <v>-25.7</v>
          </cell>
          <cell r="M2452">
            <v>-24</v>
          </cell>
        </row>
        <row r="2453">
          <cell r="C2453" t="str">
            <v>Sóc Trăng MBA T1 (phía 110kV)</v>
          </cell>
          <cell r="D2453">
            <v>131</v>
          </cell>
          <cell r="E2453">
            <v>5.0999999999999996</v>
          </cell>
          <cell r="F2453">
            <v>6.7</v>
          </cell>
          <cell r="G2453">
            <v>6.4</v>
          </cell>
          <cell r="H2453">
            <v>6.6</v>
          </cell>
          <cell r="I2453">
            <v>6.5</v>
          </cell>
          <cell r="J2453">
            <v>5.0999999999999996</v>
          </cell>
          <cell r="K2453">
            <v>6.3</v>
          </cell>
          <cell r="L2453">
            <v>6.7</v>
          </cell>
          <cell r="M2453">
            <v>5.9</v>
          </cell>
        </row>
        <row r="2454">
          <cell r="C2454" t="str">
            <v>Sóc Trăng MBA T2 (phía 110kV)</v>
          </cell>
          <cell r="D2454">
            <v>132</v>
          </cell>
          <cell r="E2454">
            <v>5.8</v>
          </cell>
          <cell r="F2454">
            <v>8.6</v>
          </cell>
          <cell r="G2454">
            <v>8.5</v>
          </cell>
          <cell r="H2454">
            <v>7.4</v>
          </cell>
          <cell r="I2454">
            <v>7.7</v>
          </cell>
          <cell r="J2454">
            <v>5.8</v>
          </cell>
          <cell r="K2454">
            <v>8.6</v>
          </cell>
          <cell r="L2454">
            <v>8.6</v>
          </cell>
          <cell r="M2454">
            <v>6.3</v>
          </cell>
        </row>
        <row r="2455">
          <cell r="C2455" t="str">
            <v>110kV 171 Sóc Trăng - 172 Phụng Hiệp</v>
          </cell>
          <cell r="D2455">
            <v>171</v>
          </cell>
          <cell r="E2455">
            <v>-1.5</v>
          </cell>
          <cell r="F2455">
            <v>-2.2999999999999998</v>
          </cell>
          <cell r="G2455">
            <v>-1.5</v>
          </cell>
          <cell r="H2455">
            <v>-1.5</v>
          </cell>
          <cell r="I2455">
            <v>-1.5</v>
          </cell>
          <cell r="J2455">
            <v>-1.5</v>
          </cell>
          <cell r="K2455">
            <v>-2.2999999999999998</v>
          </cell>
          <cell r="L2455">
            <v>-2.2999999999999998</v>
          </cell>
          <cell r="M2455">
            <v>2.2000000000000002</v>
          </cell>
        </row>
        <row r="2456">
          <cell r="C2456" t="str">
            <v>110kV 172 Sóc Trăng - 175 Sóc Trăng 2</v>
          </cell>
          <cell r="D2456">
            <v>172</v>
          </cell>
          <cell r="E2456">
            <v>-9.3000000000000007</v>
          </cell>
          <cell r="F2456">
            <v>-16.3</v>
          </cell>
          <cell r="G2456">
            <v>-13.2</v>
          </cell>
          <cell r="H2456">
            <v>-12.3</v>
          </cell>
          <cell r="I2456">
            <v>-12.7</v>
          </cell>
          <cell r="J2456">
            <v>-9.3000000000000007</v>
          </cell>
          <cell r="K2456">
            <v>-14.8</v>
          </cell>
          <cell r="L2456">
            <v>-16.3</v>
          </cell>
          <cell r="M2456">
            <v>-12.9</v>
          </cell>
        </row>
        <row r="2457">
          <cell r="C2457" t="str">
            <v>Sóc Trăng MBA T1 (phía 22kV)</v>
          </cell>
          <cell r="D2457">
            <v>431</v>
          </cell>
          <cell r="E2457">
            <v>-3.6</v>
          </cell>
          <cell r="F2457">
            <v>-4.8</v>
          </cell>
          <cell r="G2457">
            <v>-4.5999999999999996</v>
          </cell>
          <cell r="H2457">
            <v>-4.5999999999999996</v>
          </cell>
          <cell r="I2457">
            <v>-4.5999999999999996</v>
          </cell>
          <cell r="J2457">
            <v>-3.6</v>
          </cell>
          <cell r="K2457">
            <v>-4.5</v>
          </cell>
          <cell r="L2457">
            <v>-4.8</v>
          </cell>
          <cell r="M2457">
            <v>-4.0999999999999996</v>
          </cell>
        </row>
        <row r="2458">
          <cell r="C2458" t="str">
            <v>Sóc Trăng MBA T2 (phía 22kV)</v>
          </cell>
          <cell r="D2458">
            <v>432</v>
          </cell>
          <cell r="E2458">
            <v>-3</v>
          </cell>
          <cell r="F2458">
            <v>-5.0999999999999996</v>
          </cell>
          <cell r="G2458">
            <v>-5.0999999999999996</v>
          </cell>
          <cell r="H2458">
            <v>-3.7</v>
          </cell>
          <cell r="I2458">
            <v>-4</v>
          </cell>
          <cell r="J2458">
            <v>-3</v>
          </cell>
          <cell r="K2458">
            <v>-4.5</v>
          </cell>
          <cell r="L2458">
            <v>-4.7</v>
          </cell>
          <cell r="M2458">
            <v>-3.7</v>
          </cell>
        </row>
        <row r="2459">
          <cell r="C2459" t="str">
            <v>Sóc Trăng 2 MBA AT1 (phía 110kV)</v>
          </cell>
          <cell r="D2459">
            <v>131</v>
          </cell>
          <cell r="E2459">
            <v>-7.9</v>
          </cell>
          <cell r="F2459">
            <v>-18.8</v>
          </cell>
          <cell r="G2459">
            <v>-12.6</v>
          </cell>
          <cell r="H2459">
            <v>-9.6</v>
          </cell>
          <cell r="I2459">
            <v>-14.9</v>
          </cell>
          <cell r="J2459">
            <v>-7.9</v>
          </cell>
          <cell r="K2459">
            <v>-14</v>
          </cell>
          <cell r="L2459">
            <v>-18.8</v>
          </cell>
          <cell r="M2459">
            <v>-12.4</v>
          </cell>
        </row>
        <row r="2460">
          <cell r="C2460" t="str">
            <v>Sóc Trăng 2 MBA AT2 (phía 110kV)</v>
          </cell>
          <cell r="D2460">
            <v>132</v>
          </cell>
          <cell r="E2460">
            <v>-4.3</v>
          </cell>
          <cell r="F2460">
            <v>-9</v>
          </cell>
          <cell r="G2460">
            <v>-6.5</v>
          </cell>
          <cell r="H2460">
            <v>-5.3</v>
          </cell>
          <cell r="I2460">
            <v>-7</v>
          </cell>
          <cell r="J2460">
            <v>-4.3</v>
          </cell>
          <cell r="K2460">
            <v>-7.5</v>
          </cell>
          <cell r="L2460">
            <v>-9</v>
          </cell>
          <cell r="M2460">
            <v>-6.9</v>
          </cell>
        </row>
        <row r="2461">
          <cell r="C2461" t="str">
            <v>110kV 172 Sóc Trăng 2 - 171 Thạnh Trị</v>
          </cell>
          <cell r="D2461">
            <v>172</v>
          </cell>
          <cell r="E2461">
            <v>-2.8</v>
          </cell>
          <cell r="F2461">
            <v>15.3</v>
          </cell>
          <cell r="G2461">
            <v>-2.8</v>
          </cell>
          <cell r="H2461">
            <v>7.3</v>
          </cell>
          <cell r="I2461">
            <v>9.1</v>
          </cell>
          <cell r="J2461">
            <v>15.3</v>
          </cell>
          <cell r="K2461">
            <v>13.8</v>
          </cell>
          <cell r="L2461">
            <v>12.2</v>
          </cell>
          <cell r="M2461">
            <v>5.8</v>
          </cell>
        </row>
        <row r="2462">
          <cell r="C2462" t="str">
            <v>110kV 173 Sóc Trăng 2 - 171 Mỹ Xuyên</v>
          </cell>
          <cell r="D2462">
            <v>173</v>
          </cell>
          <cell r="E2462">
            <v>-8.6999999999999993</v>
          </cell>
          <cell r="F2462">
            <v>-10</v>
          </cell>
          <cell r="G2462">
            <v>-8.9</v>
          </cell>
          <cell r="H2462">
            <v>-9.6</v>
          </cell>
          <cell r="I2462">
            <v>-9.9</v>
          </cell>
          <cell r="J2462">
            <v>-9</v>
          </cell>
          <cell r="K2462">
            <v>-10</v>
          </cell>
          <cell r="L2462">
            <v>-8.6999999999999993</v>
          </cell>
          <cell r="M2462">
            <v>-9.1999999999999993</v>
          </cell>
        </row>
        <row r="2463">
          <cell r="C2463" t="str">
            <v>110kV 175 Sóc Trăng 2 - 172 Sóc Trăng</v>
          </cell>
          <cell r="D2463">
            <v>175</v>
          </cell>
          <cell r="E2463">
            <v>9.3000000000000007</v>
          </cell>
          <cell r="F2463">
            <v>16.5</v>
          </cell>
          <cell r="G2463">
            <v>13.3</v>
          </cell>
          <cell r="H2463">
            <v>12.4</v>
          </cell>
          <cell r="I2463">
            <v>12.6</v>
          </cell>
          <cell r="J2463">
            <v>9.3000000000000007</v>
          </cell>
          <cell r="K2463">
            <v>15</v>
          </cell>
          <cell r="L2463">
            <v>16.5</v>
          </cell>
          <cell r="M2463">
            <v>13</v>
          </cell>
        </row>
        <row r="2464">
          <cell r="C2464" t="str">
            <v>110kV 176 Sóc Trăng 2 - 171 Đại Ngãi</v>
          </cell>
          <cell r="D2464">
            <v>176</v>
          </cell>
          <cell r="E2464">
            <v>-1.8</v>
          </cell>
          <cell r="F2464">
            <v>3.5</v>
          </cell>
          <cell r="G2464">
            <v>1.9</v>
          </cell>
          <cell r="H2464">
            <v>2.6</v>
          </cell>
          <cell r="I2464">
            <v>-1.9</v>
          </cell>
          <cell r="J2464">
            <v>-2.7</v>
          </cell>
          <cell r="K2464">
            <v>-1.8</v>
          </cell>
          <cell r="L2464">
            <v>3.4</v>
          </cell>
          <cell r="M2464">
            <v>3.5</v>
          </cell>
        </row>
        <row r="2465">
          <cell r="C2465" t="str">
            <v>110kV 177 Sóc Trăng 2 - 171 Mỹ Tú</v>
          </cell>
          <cell r="D2465">
            <v>177</v>
          </cell>
          <cell r="E2465">
            <v>-1</v>
          </cell>
          <cell r="F2465">
            <v>1.7</v>
          </cell>
          <cell r="G2465">
            <v>1.7</v>
          </cell>
          <cell r="H2465">
            <v>-1.2</v>
          </cell>
          <cell r="I2465">
            <v>-1.3</v>
          </cell>
          <cell r="J2465">
            <v>-1</v>
          </cell>
          <cell r="K2465">
            <v>-1.2</v>
          </cell>
          <cell r="L2465">
            <v>-1.4</v>
          </cell>
          <cell r="M2465">
            <v>-1.3</v>
          </cell>
        </row>
        <row r="2466">
          <cell r="C2466" t="str">
            <v>Sóc Trăng 2 MBA AT1 (phía 220kV)</v>
          </cell>
          <cell r="D2466">
            <v>231</v>
          </cell>
          <cell r="E2466">
            <v>13.7</v>
          </cell>
          <cell r="F2466">
            <v>26.6</v>
          </cell>
          <cell r="G2466">
            <v>20.399999999999999</v>
          </cell>
          <cell r="H2466">
            <v>16.2</v>
          </cell>
          <cell r="I2466">
            <v>21.6</v>
          </cell>
          <cell r="J2466">
            <v>13.7</v>
          </cell>
          <cell r="K2466">
            <v>22</v>
          </cell>
          <cell r="L2466">
            <v>26.6</v>
          </cell>
          <cell r="M2466">
            <v>20.8</v>
          </cell>
        </row>
        <row r="2467">
          <cell r="C2467" t="str">
            <v>Sóc Trăng 2 MBA AT2 (phía 220kV)</v>
          </cell>
          <cell r="D2467">
            <v>232</v>
          </cell>
          <cell r="E2467">
            <v>7</v>
          </cell>
          <cell r="F2467">
            <v>12.8</v>
          </cell>
          <cell r="G2467">
            <v>9.6999999999999993</v>
          </cell>
          <cell r="H2467">
            <v>8.3000000000000007</v>
          </cell>
          <cell r="I2467">
            <v>9.9</v>
          </cell>
          <cell r="J2467">
            <v>7</v>
          </cell>
          <cell r="K2467">
            <v>11.2</v>
          </cell>
          <cell r="L2467">
            <v>12.8</v>
          </cell>
          <cell r="M2467">
            <v>10.6</v>
          </cell>
        </row>
        <row r="2468">
          <cell r="C2468" t="str">
            <v>220kV 271 Sóc Trăng 2 - 273 Bạc Liêu 2</v>
          </cell>
          <cell r="D2468">
            <v>271</v>
          </cell>
          <cell r="E2468">
            <v>-12.9</v>
          </cell>
          <cell r="F2468">
            <v>-28.1</v>
          </cell>
          <cell r="G2468">
            <v>-20.100000000000001</v>
          </cell>
          <cell r="H2468">
            <v>-26.8</v>
          </cell>
          <cell r="I2468">
            <v>-20.3</v>
          </cell>
          <cell r="J2468">
            <v>-12.9</v>
          </cell>
          <cell r="K2468">
            <v>-28.1</v>
          </cell>
          <cell r="L2468">
            <v>-23.1</v>
          </cell>
          <cell r="M2468">
            <v>-20.5</v>
          </cell>
        </row>
        <row r="2469">
          <cell r="C2469" t="str">
            <v>220kV 272 Sóc Trăng 2 - 271 NMĐ Cà Mau</v>
          </cell>
          <cell r="D2469">
            <v>272</v>
          </cell>
          <cell r="E2469">
            <v>-13.9</v>
          </cell>
          <cell r="F2469">
            <v>-21.3</v>
          </cell>
          <cell r="G2469">
            <v>-20.3</v>
          </cell>
          <cell r="H2469">
            <v>-19</v>
          </cell>
          <cell r="I2469">
            <v>-17.2</v>
          </cell>
          <cell r="J2469">
            <v>-13.9</v>
          </cell>
          <cell r="K2469">
            <v>-21.3</v>
          </cell>
          <cell r="L2469">
            <v>-17.8</v>
          </cell>
          <cell r="M2469">
            <v>-16.600000000000001</v>
          </cell>
        </row>
        <row r="2470">
          <cell r="C2470" t="str">
            <v>220kV 273 Sóc Trăng 2 - 274 NMĐ Ô Môn</v>
          </cell>
          <cell r="D2470">
            <v>273</v>
          </cell>
          <cell r="E2470">
            <v>11.2</v>
          </cell>
          <cell r="F2470">
            <v>28.4</v>
          </cell>
          <cell r="G2470">
            <v>18.7</v>
          </cell>
          <cell r="H2470">
            <v>28.4</v>
          </cell>
          <cell r="I2470">
            <v>15.7</v>
          </cell>
          <cell r="J2470">
            <v>11.2</v>
          </cell>
          <cell r="K2470">
            <v>25.3</v>
          </cell>
          <cell r="L2470">
            <v>18.8</v>
          </cell>
          <cell r="M2470">
            <v>15.8</v>
          </cell>
        </row>
        <row r="2471">
          <cell r="C2471" t="str">
            <v>220kV 275 Sóc Trăng 2 - 283 Long Phú</v>
          </cell>
          <cell r="D2471">
            <v>275</v>
          </cell>
          <cell r="E2471">
            <v>0</v>
          </cell>
          <cell r="F2471">
            <v>-8.5</v>
          </cell>
          <cell r="G2471">
            <v>0</v>
          </cell>
          <cell r="H2471">
            <v>-8.5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</row>
        <row r="2472">
          <cell r="C2472" t="str">
            <v>220kV 276 Sóc Trăng 2 - 284 Long Phú</v>
          </cell>
          <cell r="D2472">
            <v>276</v>
          </cell>
          <cell r="E2472">
            <v>0</v>
          </cell>
          <cell r="F2472">
            <v>-7.9</v>
          </cell>
          <cell r="G2472">
            <v>0</v>
          </cell>
          <cell r="H2472">
            <v>-7.9</v>
          </cell>
          <cell r="I2472">
            <v>0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</row>
        <row r="2473">
          <cell r="C2473" t="str">
            <v>Sông Bình MBA T1 (phía 110kV)</v>
          </cell>
          <cell r="D2473">
            <v>131</v>
          </cell>
          <cell r="E2473">
            <v>-0.4</v>
          </cell>
          <cell r="F2473">
            <v>0.9</v>
          </cell>
          <cell r="G2473">
            <v>0.9</v>
          </cell>
          <cell r="H2473">
            <v>0.6</v>
          </cell>
          <cell r="I2473">
            <v>-0.4</v>
          </cell>
          <cell r="J2473">
            <v>-0.5</v>
          </cell>
          <cell r="K2473">
            <v>0.4</v>
          </cell>
          <cell r="L2473">
            <v>-0.4</v>
          </cell>
          <cell r="M2473">
            <v>-0.5</v>
          </cell>
        </row>
        <row r="2474">
          <cell r="C2474" t="str">
            <v>110kV 171 Sông Bình - 172 NMĐ MT Phan Lâm</v>
          </cell>
          <cell r="D2474">
            <v>171</v>
          </cell>
          <cell r="E2474">
            <v>2.4</v>
          </cell>
          <cell r="F2474">
            <v>3.3</v>
          </cell>
          <cell r="G2474">
            <v>3.3</v>
          </cell>
          <cell r="H2474">
            <v>2.4</v>
          </cell>
          <cell r="I2474">
            <v>2.6</v>
          </cell>
          <cell r="J2474">
            <v>2.7</v>
          </cell>
          <cell r="K2474">
            <v>2.6</v>
          </cell>
          <cell r="L2474">
            <v>2.7</v>
          </cell>
          <cell r="M2474">
            <v>2.7</v>
          </cell>
        </row>
        <row r="2475">
          <cell r="C2475" t="str">
            <v>110kV 172 Sông Bình - 172 NMĐ MT Bình An</v>
          </cell>
          <cell r="D2475">
            <v>172</v>
          </cell>
          <cell r="E2475">
            <v>-2.2000000000000002</v>
          </cell>
          <cell r="F2475">
            <v>-2.9</v>
          </cell>
          <cell r="G2475">
            <v>-2.9</v>
          </cell>
          <cell r="H2475">
            <v>-2.2000000000000002</v>
          </cell>
          <cell r="I2475">
            <v>-2.7</v>
          </cell>
          <cell r="J2475">
            <v>-2.2000000000000002</v>
          </cell>
          <cell r="K2475">
            <v>-2.5</v>
          </cell>
          <cell r="L2475">
            <v>-2.2999999999999998</v>
          </cell>
          <cell r="M2475">
            <v>-2.2000000000000002</v>
          </cell>
        </row>
        <row r="2476">
          <cell r="C2476" t="str">
            <v>Sông Bình MBA T1 (phía 22kV)</v>
          </cell>
          <cell r="D2476">
            <v>431</v>
          </cell>
          <cell r="E2476">
            <v>0.4</v>
          </cell>
          <cell r="F2476">
            <v>-0.9</v>
          </cell>
          <cell r="G2476">
            <v>-0.9</v>
          </cell>
          <cell r="H2476">
            <v>-0.5</v>
          </cell>
          <cell r="I2476">
            <v>0.5</v>
          </cell>
          <cell r="J2476">
            <v>0.5</v>
          </cell>
          <cell r="K2476">
            <v>0.4</v>
          </cell>
          <cell r="L2476">
            <v>0.5</v>
          </cell>
          <cell r="M2476">
            <v>0.6</v>
          </cell>
        </row>
        <row r="2477">
          <cell r="C2477" t="str">
            <v>Sông Đốc MBA T1 (phía 110kV)</v>
          </cell>
          <cell r="D2477">
            <v>131</v>
          </cell>
          <cell r="E2477">
            <v>-2.9</v>
          </cell>
          <cell r="F2477">
            <v>4.4000000000000004</v>
          </cell>
          <cell r="G2477">
            <v>4</v>
          </cell>
          <cell r="H2477">
            <v>3.5</v>
          </cell>
          <cell r="I2477">
            <v>3.3</v>
          </cell>
          <cell r="J2477">
            <v>4.4000000000000004</v>
          </cell>
          <cell r="K2477">
            <v>4.3</v>
          </cell>
          <cell r="L2477">
            <v>4.3</v>
          </cell>
          <cell r="M2477">
            <v>-2.9</v>
          </cell>
        </row>
        <row r="2478">
          <cell r="C2478" t="str">
            <v>110kV 171 Sông Đốc - 172 Trần Văn Thời</v>
          </cell>
          <cell r="D2478">
            <v>171</v>
          </cell>
          <cell r="E2478">
            <v>3.3</v>
          </cell>
          <cell r="F2478">
            <v>-4.5</v>
          </cell>
          <cell r="G2478">
            <v>-4.4000000000000004</v>
          </cell>
          <cell r="H2478">
            <v>-3.3</v>
          </cell>
          <cell r="I2478">
            <v>-3.8</v>
          </cell>
          <cell r="J2478">
            <v>-4.2</v>
          </cell>
          <cell r="K2478">
            <v>-4.5</v>
          </cell>
          <cell r="L2478">
            <v>-4.2</v>
          </cell>
          <cell r="M2478">
            <v>3.3</v>
          </cell>
        </row>
        <row r="2479">
          <cell r="C2479" t="str">
            <v>110kV 172 Sông Đốc - 131 Tân Hưng Tây</v>
          </cell>
          <cell r="D2479">
            <v>172</v>
          </cell>
          <cell r="E2479">
            <v>0.5</v>
          </cell>
          <cell r="F2479">
            <v>-0.9</v>
          </cell>
          <cell r="G2479">
            <v>0.8</v>
          </cell>
          <cell r="H2479">
            <v>-0.7</v>
          </cell>
          <cell r="I2479">
            <v>-0.7</v>
          </cell>
          <cell r="J2479">
            <v>-0.6</v>
          </cell>
          <cell r="K2479">
            <v>0.5</v>
          </cell>
          <cell r="L2479">
            <v>-0.6</v>
          </cell>
          <cell r="M2479">
            <v>-0.9</v>
          </cell>
        </row>
        <row r="2480">
          <cell r="C2480" t="str">
            <v>Sông Đốc MBA T1 (phía 22kV)</v>
          </cell>
          <cell r="D2480">
            <v>431</v>
          </cell>
          <cell r="E2480">
            <v>-2.5</v>
          </cell>
          <cell r="F2480">
            <v>3.9</v>
          </cell>
          <cell r="G2480">
            <v>-2.9</v>
          </cell>
          <cell r="H2480">
            <v>-2.6</v>
          </cell>
          <cell r="I2480">
            <v>-2.5</v>
          </cell>
          <cell r="J2480">
            <v>-3.4</v>
          </cell>
          <cell r="K2480">
            <v>3.3</v>
          </cell>
          <cell r="L2480">
            <v>3.9</v>
          </cell>
          <cell r="M2480">
            <v>3.5</v>
          </cell>
        </row>
        <row r="2481">
          <cell r="C2481" t="str">
            <v>Sông Hậu MBA T2 (phía 110kV)</v>
          </cell>
          <cell r="D2481">
            <v>132</v>
          </cell>
          <cell r="E2481">
            <v>-2</v>
          </cell>
          <cell r="F2481">
            <v>3.7</v>
          </cell>
          <cell r="G2481">
            <v>-2.7</v>
          </cell>
          <cell r="H2481">
            <v>3.1</v>
          </cell>
          <cell r="I2481">
            <v>2.6</v>
          </cell>
          <cell r="J2481">
            <v>3.7</v>
          </cell>
          <cell r="K2481">
            <v>-2.7</v>
          </cell>
          <cell r="L2481">
            <v>-2</v>
          </cell>
          <cell r="M2481">
            <v>-2.2999999999999998</v>
          </cell>
        </row>
        <row r="2482">
          <cell r="C2482" t="str">
            <v>110kV 171 Sông Hậu - 174 Sa Đéc</v>
          </cell>
          <cell r="D2482">
            <v>171</v>
          </cell>
          <cell r="E2482">
            <v>3.5</v>
          </cell>
          <cell r="F2482">
            <v>4.9000000000000004</v>
          </cell>
          <cell r="G2482">
            <v>3.5</v>
          </cell>
          <cell r="H2482">
            <v>3.7</v>
          </cell>
          <cell r="I2482">
            <v>4.0999999999999996</v>
          </cell>
          <cell r="J2482">
            <v>4.0999999999999996</v>
          </cell>
          <cell r="K2482">
            <v>4.9000000000000004</v>
          </cell>
          <cell r="L2482">
            <v>4.3</v>
          </cell>
          <cell r="M2482">
            <v>4.4000000000000004</v>
          </cell>
        </row>
        <row r="2483">
          <cell r="C2483" t="str">
            <v>110kV 173 Sông Hậu - 171 NMĐ Ô Môn</v>
          </cell>
          <cell r="D2483">
            <v>173</v>
          </cell>
          <cell r="E2483">
            <v>0</v>
          </cell>
          <cell r="F2483">
            <v>0</v>
          </cell>
          <cell r="G2483">
            <v>0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</row>
        <row r="2484">
          <cell r="C2484" t="str">
            <v>110kV 174 Sông Hậu - 171 Bình Minh</v>
          </cell>
          <cell r="D2484">
            <v>174</v>
          </cell>
          <cell r="E2484">
            <v>-3.2</v>
          </cell>
          <cell r="F2484">
            <v>-5.2</v>
          </cell>
          <cell r="G2484">
            <v>-3.4</v>
          </cell>
          <cell r="H2484">
            <v>-3.5</v>
          </cell>
          <cell r="I2484">
            <v>-3.6</v>
          </cell>
          <cell r="J2484">
            <v>-4.3</v>
          </cell>
          <cell r="K2484">
            <v>-5.2</v>
          </cell>
          <cell r="L2484">
            <v>5</v>
          </cell>
          <cell r="M2484">
            <v>-3.2</v>
          </cell>
        </row>
        <row r="2485">
          <cell r="C2485" t="str">
            <v>Sông Hậu MBA T2 (phía 22kV)</v>
          </cell>
          <cell r="D2485">
            <v>432</v>
          </cell>
          <cell r="E2485">
            <v>-2.7</v>
          </cell>
          <cell r="F2485">
            <v>5.2</v>
          </cell>
          <cell r="G2485">
            <v>5.2</v>
          </cell>
          <cell r="H2485">
            <v>-3.4</v>
          </cell>
          <cell r="I2485">
            <v>3.1</v>
          </cell>
          <cell r="J2485">
            <v>-2.7</v>
          </cell>
          <cell r="K2485">
            <v>5</v>
          </cell>
          <cell r="L2485">
            <v>4.5999999999999996</v>
          </cell>
          <cell r="M2485">
            <v>4.7</v>
          </cell>
        </row>
        <row r="2486">
          <cell r="C2486" t="str">
            <v>Sông Mây MBA AT3 (phía 110kV)</v>
          </cell>
          <cell r="D2486">
            <v>133</v>
          </cell>
          <cell r="E2486">
            <v>18.399999999999999</v>
          </cell>
          <cell r="F2486">
            <v>-31.6</v>
          </cell>
          <cell r="G2486">
            <v>-30.1</v>
          </cell>
          <cell r="H2486">
            <v>-30.2</v>
          </cell>
          <cell r="I2486">
            <v>-28.2</v>
          </cell>
          <cell r="J2486">
            <v>18.399999999999999</v>
          </cell>
          <cell r="K2486">
            <v>-31.4</v>
          </cell>
          <cell r="L2486">
            <v>-31.6</v>
          </cell>
          <cell r="M2486">
            <v>-28.3</v>
          </cell>
        </row>
        <row r="2487">
          <cell r="C2487" t="str">
            <v>Sông Mây MBA AT4 (phía 110kV)</v>
          </cell>
          <cell r="D2487">
            <v>134</v>
          </cell>
          <cell r="E2487">
            <v>14.9</v>
          </cell>
          <cell r="F2487">
            <v>-37.6</v>
          </cell>
          <cell r="G2487">
            <v>-35.700000000000003</v>
          </cell>
          <cell r="H2487">
            <v>-35.799999999999997</v>
          </cell>
          <cell r="I2487">
            <v>-33.4</v>
          </cell>
          <cell r="J2487">
            <v>14.9</v>
          </cell>
          <cell r="K2487">
            <v>-36.4</v>
          </cell>
          <cell r="L2487">
            <v>-37.6</v>
          </cell>
          <cell r="M2487">
            <v>-34.5</v>
          </cell>
        </row>
        <row r="2488">
          <cell r="C2488" t="str">
            <v>110kV 171 Sông Mây - 172 Bắc Sơn</v>
          </cell>
          <cell r="D2488">
            <v>171</v>
          </cell>
          <cell r="E2488">
            <v>6.6</v>
          </cell>
          <cell r="F2488">
            <v>8.1</v>
          </cell>
          <cell r="G2488">
            <v>8.1</v>
          </cell>
          <cell r="H2488">
            <v>7.7</v>
          </cell>
          <cell r="I2488">
            <v>6.6</v>
          </cell>
          <cell r="J2488">
            <v>-6.8</v>
          </cell>
          <cell r="K2488">
            <v>-7.8</v>
          </cell>
          <cell r="L2488">
            <v>8.1</v>
          </cell>
          <cell r="M2488">
            <v>7.8</v>
          </cell>
        </row>
        <row r="2489">
          <cell r="C2489" t="str">
            <v>110kV 172 Sông Mây - 171 Hố Nai</v>
          </cell>
          <cell r="D2489">
            <v>172</v>
          </cell>
          <cell r="E2489">
            <v>-9.8000000000000007</v>
          </cell>
          <cell r="F2489">
            <v>17.5</v>
          </cell>
          <cell r="G2489">
            <v>16.100000000000001</v>
          </cell>
          <cell r="H2489">
            <v>16.899999999999999</v>
          </cell>
          <cell r="I2489">
            <v>17</v>
          </cell>
          <cell r="J2489">
            <v>-9.8000000000000007</v>
          </cell>
          <cell r="K2489">
            <v>16.399999999999999</v>
          </cell>
          <cell r="L2489">
            <v>17.5</v>
          </cell>
          <cell r="M2489">
            <v>14.7</v>
          </cell>
        </row>
        <row r="2490">
          <cell r="C2490" t="str">
            <v>110kV 173 Sông Mây - 174 Bắc Sơn</v>
          </cell>
          <cell r="D2490">
            <v>173</v>
          </cell>
          <cell r="E2490">
            <v>-9.5</v>
          </cell>
          <cell r="F2490">
            <v>16.8</v>
          </cell>
          <cell r="G2490">
            <v>16.399999999999999</v>
          </cell>
          <cell r="H2490">
            <v>16.3</v>
          </cell>
          <cell r="I2490">
            <v>14.5</v>
          </cell>
          <cell r="J2490">
            <v>-9.5</v>
          </cell>
          <cell r="K2490">
            <v>14.9</v>
          </cell>
          <cell r="L2490">
            <v>16.8</v>
          </cell>
          <cell r="M2490">
            <v>15.7</v>
          </cell>
        </row>
        <row r="2491">
          <cell r="C2491" t="str">
            <v>110kV 175 Sông Mây - 176 Sông Mây - 171 Bàu Xéo</v>
          </cell>
          <cell r="D2491">
            <v>175</v>
          </cell>
          <cell r="E2491">
            <v>0</v>
          </cell>
          <cell r="F2491">
            <v>0</v>
          </cell>
          <cell r="G2491">
            <v>0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</row>
        <row r="2492">
          <cell r="C2492" t="str">
            <v>110kV 176 Sông Mây - 175 Sông Mây - 171 Bàu Xéo</v>
          </cell>
          <cell r="D2492">
            <v>176</v>
          </cell>
          <cell r="E2492">
            <v>-3</v>
          </cell>
          <cell r="F2492">
            <v>10.8</v>
          </cell>
          <cell r="G2492">
            <v>6.1</v>
          </cell>
          <cell r="H2492">
            <v>6.8</v>
          </cell>
          <cell r="I2492">
            <v>5.9</v>
          </cell>
          <cell r="J2492">
            <v>-3</v>
          </cell>
          <cell r="K2492">
            <v>9.3000000000000007</v>
          </cell>
          <cell r="L2492">
            <v>10.7</v>
          </cell>
          <cell r="M2492">
            <v>10.8</v>
          </cell>
        </row>
        <row r="2493">
          <cell r="C2493" t="str">
            <v>110kV 177 Sông Mây - 172 Thống Nhất</v>
          </cell>
          <cell r="D2493">
            <v>177</v>
          </cell>
          <cell r="E2493">
            <v>-8.1</v>
          </cell>
          <cell r="F2493">
            <v>19.8</v>
          </cell>
          <cell r="G2493">
            <v>18.399999999999999</v>
          </cell>
          <cell r="H2493">
            <v>19.8</v>
          </cell>
          <cell r="I2493">
            <v>18.8</v>
          </cell>
          <cell r="J2493">
            <v>-8.1</v>
          </cell>
          <cell r="K2493">
            <v>18.5</v>
          </cell>
          <cell r="L2493">
            <v>16.2</v>
          </cell>
          <cell r="M2493">
            <v>16.399999999999999</v>
          </cell>
        </row>
        <row r="2494">
          <cell r="C2494" t="str">
            <v>Sông Mây MBA AT1 (phía 220kV)</v>
          </cell>
          <cell r="D2494">
            <v>231</v>
          </cell>
          <cell r="E2494">
            <v>-25.6</v>
          </cell>
          <cell r="F2494">
            <v>56.1</v>
          </cell>
          <cell r="G2494">
            <v>-25.6</v>
          </cell>
          <cell r="H2494">
            <v>-36.200000000000003</v>
          </cell>
          <cell r="I2494">
            <v>40.6</v>
          </cell>
          <cell r="J2494">
            <v>47</v>
          </cell>
          <cell r="K2494">
            <v>56.1</v>
          </cell>
          <cell r="L2494">
            <v>-51.1</v>
          </cell>
          <cell r="M2494">
            <v>41.7</v>
          </cell>
        </row>
        <row r="2495">
          <cell r="C2495" t="str">
            <v>Sông Mây MBA AT2 (phía 220kV)</v>
          </cell>
          <cell r="D2495">
            <v>232</v>
          </cell>
          <cell r="E2495">
            <v>33</v>
          </cell>
          <cell r="F2495">
            <v>66.8</v>
          </cell>
          <cell r="G2495">
            <v>33</v>
          </cell>
          <cell r="H2495">
            <v>42.7</v>
          </cell>
          <cell r="I2495">
            <v>50.8</v>
          </cell>
          <cell r="J2495">
            <v>56.8</v>
          </cell>
          <cell r="K2495">
            <v>66.8</v>
          </cell>
          <cell r="L2495">
            <v>-44.1</v>
          </cell>
          <cell r="M2495">
            <v>51.4</v>
          </cell>
        </row>
        <row r="2496">
          <cell r="C2496" t="str">
            <v>Sông Mây MBA AT3 (phía 220kV)</v>
          </cell>
          <cell r="D2496">
            <v>233</v>
          </cell>
          <cell r="E2496">
            <v>-16.100000000000001</v>
          </cell>
          <cell r="F2496">
            <v>49.7</v>
          </cell>
          <cell r="G2496">
            <v>43.9</v>
          </cell>
          <cell r="H2496">
            <v>45.1</v>
          </cell>
          <cell r="I2496">
            <v>40.9</v>
          </cell>
          <cell r="J2496">
            <v>-16.100000000000001</v>
          </cell>
          <cell r="K2496">
            <v>49.7</v>
          </cell>
          <cell r="L2496">
            <v>47.7</v>
          </cell>
          <cell r="M2496">
            <v>45.5</v>
          </cell>
        </row>
        <row r="2497">
          <cell r="C2497" t="str">
            <v>Sông Mây MBA AT4 (phía 220kV)</v>
          </cell>
          <cell r="D2497">
            <v>234</v>
          </cell>
          <cell r="E2497">
            <v>-12.3</v>
          </cell>
          <cell r="F2497">
            <v>55.6</v>
          </cell>
          <cell r="G2497">
            <v>50.7</v>
          </cell>
          <cell r="H2497">
            <v>51.1</v>
          </cell>
          <cell r="I2497">
            <v>47.8</v>
          </cell>
          <cell r="J2497">
            <v>-12.3</v>
          </cell>
          <cell r="K2497">
            <v>55.6</v>
          </cell>
          <cell r="L2497">
            <v>55.1</v>
          </cell>
          <cell r="M2497">
            <v>51.8</v>
          </cell>
        </row>
        <row r="2498">
          <cell r="C2498" t="str">
            <v>220kV 273 Sông Mây - 273 Long Bình</v>
          </cell>
          <cell r="D2498">
            <v>273</v>
          </cell>
          <cell r="E2498">
            <v>13.9</v>
          </cell>
          <cell r="F2498">
            <v>31.9</v>
          </cell>
          <cell r="G2498">
            <v>14</v>
          </cell>
          <cell r="H2498">
            <v>31.9</v>
          </cell>
          <cell r="I2498">
            <v>-14.7</v>
          </cell>
          <cell r="J2498">
            <v>-16</v>
          </cell>
          <cell r="K2498">
            <v>22.1</v>
          </cell>
          <cell r="L2498">
            <v>20.8</v>
          </cell>
          <cell r="M2498">
            <v>13.9</v>
          </cell>
        </row>
        <row r="2499">
          <cell r="C2499" t="str">
            <v>220kV 274 Sông Mây - 274 Bảo Lộc</v>
          </cell>
          <cell r="D2499">
            <v>274</v>
          </cell>
          <cell r="E2499">
            <v>11.4</v>
          </cell>
          <cell r="F2499">
            <v>42.5</v>
          </cell>
          <cell r="G2499">
            <v>31.2</v>
          </cell>
          <cell r="H2499">
            <v>31</v>
          </cell>
          <cell r="I2499">
            <v>35</v>
          </cell>
          <cell r="J2499">
            <v>25.9</v>
          </cell>
          <cell r="K2499">
            <v>11.4</v>
          </cell>
          <cell r="L2499">
            <v>23.9</v>
          </cell>
          <cell r="M2499">
            <v>42.5</v>
          </cell>
        </row>
        <row r="2500">
          <cell r="C2500" t="str">
            <v>220kV 275 Sông Mây - 276 Long Bình</v>
          </cell>
          <cell r="D2500">
            <v>275</v>
          </cell>
          <cell r="E2500">
            <v>-16.8</v>
          </cell>
          <cell r="F2500">
            <v>42.1</v>
          </cell>
          <cell r="G2500">
            <v>17</v>
          </cell>
          <cell r="H2500">
            <v>42.1</v>
          </cell>
          <cell r="I2500">
            <v>-16.8</v>
          </cell>
          <cell r="J2500">
            <v>-24.4</v>
          </cell>
          <cell r="K2500">
            <v>-27.9</v>
          </cell>
          <cell r="L2500">
            <v>25.2</v>
          </cell>
          <cell r="M2500">
            <v>19.600000000000001</v>
          </cell>
        </row>
        <row r="2501">
          <cell r="C2501" t="str">
            <v>220kV 277 Sông Mây - 275 Uyên Hưng</v>
          </cell>
          <cell r="D2501">
            <v>277</v>
          </cell>
          <cell r="E2501">
            <v>-20.7</v>
          </cell>
          <cell r="F2501">
            <v>-39.5</v>
          </cell>
          <cell r="G2501">
            <v>-38.6</v>
          </cell>
          <cell r="H2501">
            <v>-39.5</v>
          </cell>
          <cell r="I2501">
            <v>-27.2</v>
          </cell>
          <cell r="J2501">
            <v>-29.2</v>
          </cell>
          <cell r="K2501">
            <v>-20.7</v>
          </cell>
          <cell r="L2501">
            <v>-21.4</v>
          </cell>
          <cell r="M2501">
            <v>-35.6</v>
          </cell>
        </row>
        <row r="2502">
          <cell r="C2502" t="str">
            <v>220kV 278 Sông Mây - 274 Uyên Hưng</v>
          </cell>
          <cell r="D2502">
            <v>278</v>
          </cell>
          <cell r="E2502">
            <v>-24</v>
          </cell>
          <cell r="F2502">
            <v>-43.5</v>
          </cell>
          <cell r="G2502">
            <v>-42.6</v>
          </cell>
          <cell r="H2502">
            <v>-43.5</v>
          </cell>
          <cell r="I2502">
            <v>-31.7</v>
          </cell>
          <cell r="J2502">
            <v>-33.6</v>
          </cell>
          <cell r="K2502">
            <v>-24</v>
          </cell>
          <cell r="L2502">
            <v>-26</v>
          </cell>
          <cell r="M2502">
            <v>-39.200000000000003</v>
          </cell>
        </row>
        <row r="2503">
          <cell r="C2503" t="str">
            <v>220kV 279 Sông Mây - 271 NMĐ Trị An</v>
          </cell>
          <cell r="D2503">
            <v>279</v>
          </cell>
          <cell r="E2503">
            <v>-61.8</v>
          </cell>
          <cell r="F2503">
            <v>-105.8</v>
          </cell>
          <cell r="G2503">
            <v>-102</v>
          </cell>
          <cell r="H2503">
            <v>-103.6</v>
          </cell>
          <cell r="I2503">
            <v>-105.8</v>
          </cell>
          <cell r="J2503">
            <v>-61.8</v>
          </cell>
          <cell r="K2503">
            <v>-98.8</v>
          </cell>
          <cell r="L2503">
            <v>-95.2</v>
          </cell>
          <cell r="M2503">
            <v>-101.8</v>
          </cell>
        </row>
        <row r="2504">
          <cell r="C2504" t="str">
            <v>Sông Mây MBA AT1 (phía 500kV)</v>
          </cell>
          <cell r="D2504">
            <v>531</v>
          </cell>
          <cell r="E2504">
            <v>-26</v>
          </cell>
          <cell r="F2504">
            <v>111.7</v>
          </cell>
          <cell r="G2504">
            <v>86.6</v>
          </cell>
          <cell r="H2504">
            <v>95.8</v>
          </cell>
          <cell r="I2504">
            <v>72.900000000000006</v>
          </cell>
          <cell r="J2504">
            <v>-26</v>
          </cell>
          <cell r="K2504">
            <v>111.7</v>
          </cell>
          <cell r="L2504">
            <v>102.5</v>
          </cell>
          <cell r="M2504">
            <v>91.3</v>
          </cell>
        </row>
        <row r="2505">
          <cell r="C2505" t="str">
            <v>Sông Mây MBA AT2 (phía 500kV)</v>
          </cell>
          <cell r="D2505">
            <v>532</v>
          </cell>
          <cell r="E2505">
            <v>-34.1</v>
          </cell>
          <cell r="F2505">
            <v>107.8</v>
          </cell>
          <cell r="G2505">
            <v>82.1</v>
          </cell>
          <cell r="H2505">
            <v>90.6</v>
          </cell>
          <cell r="I2505">
            <v>68.099999999999994</v>
          </cell>
          <cell r="J2505">
            <v>-34.1</v>
          </cell>
          <cell r="K2505">
            <v>107.8</v>
          </cell>
          <cell r="L2505">
            <v>98.5</v>
          </cell>
          <cell r="M2505">
            <v>86.7</v>
          </cell>
        </row>
        <row r="2506">
          <cell r="C2506" t="str">
            <v>Sóng Thần MBA T1 (phía 110kV)</v>
          </cell>
          <cell r="D2506">
            <v>131</v>
          </cell>
          <cell r="E2506">
            <v>2.9</v>
          </cell>
          <cell r="F2506">
            <v>16</v>
          </cell>
          <cell r="G2506">
            <v>15.1</v>
          </cell>
          <cell r="H2506">
            <v>16</v>
          </cell>
          <cell r="I2506">
            <v>-8.1</v>
          </cell>
          <cell r="J2506">
            <v>2.9</v>
          </cell>
          <cell r="K2506">
            <v>8.1</v>
          </cell>
          <cell r="L2506">
            <v>8.9</v>
          </cell>
          <cell r="M2506">
            <v>8.6999999999999993</v>
          </cell>
        </row>
        <row r="2507">
          <cell r="C2507" t="str">
            <v>Sóng Thần MBA T2 (phía 110kV)</v>
          </cell>
          <cell r="D2507">
            <v>132</v>
          </cell>
          <cell r="E2507">
            <v>7.5</v>
          </cell>
          <cell r="F2507">
            <v>12.8</v>
          </cell>
          <cell r="G2507">
            <v>12.8</v>
          </cell>
          <cell r="H2507">
            <v>11.6</v>
          </cell>
          <cell r="I2507">
            <v>7.5</v>
          </cell>
          <cell r="J2507">
            <v>-10.199999999999999</v>
          </cell>
          <cell r="K2507">
            <v>8.8000000000000007</v>
          </cell>
          <cell r="L2507">
            <v>7.7</v>
          </cell>
          <cell r="M2507">
            <v>8.4</v>
          </cell>
        </row>
        <row r="2508">
          <cell r="C2508" t="str">
            <v>110kV 171 Sóng Thần - 172 Đồng An</v>
          </cell>
          <cell r="D2508">
            <v>171</v>
          </cell>
          <cell r="E2508">
            <v>4.8</v>
          </cell>
          <cell r="F2508">
            <v>-12.4</v>
          </cell>
          <cell r="G2508">
            <v>-11.6</v>
          </cell>
          <cell r="H2508">
            <v>-12.4</v>
          </cell>
          <cell r="I2508">
            <v>-5.8</v>
          </cell>
          <cell r="J2508">
            <v>4.8</v>
          </cell>
          <cell r="K2508">
            <v>-6.5</v>
          </cell>
          <cell r="L2508">
            <v>-6.3</v>
          </cell>
          <cell r="M2508">
            <v>-7.3</v>
          </cell>
        </row>
        <row r="2509">
          <cell r="C2509" t="str">
            <v>110kV 172 Sóng Thần - 178 Thuận An</v>
          </cell>
          <cell r="D2509">
            <v>172</v>
          </cell>
          <cell r="E2509">
            <v>-5.2</v>
          </cell>
          <cell r="F2509">
            <v>-14.8</v>
          </cell>
          <cell r="G2509">
            <v>-14.8</v>
          </cell>
          <cell r="H2509">
            <v>-13.7</v>
          </cell>
          <cell r="I2509">
            <v>-6.8</v>
          </cell>
          <cell r="J2509">
            <v>-5.2</v>
          </cell>
          <cell r="K2509">
            <v>-9.8000000000000007</v>
          </cell>
          <cell r="L2509">
            <v>-8.1</v>
          </cell>
          <cell r="M2509">
            <v>-8.1999999999999993</v>
          </cell>
        </row>
        <row r="2510">
          <cell r="C2510" t="str">
            <v>Sóng Thần MBA T1 (phía 22kV)</v>
          </cell>
          <cell r="D2510">
            <v>431</v>
          </cell>
          <cell r="E2510">
            <v>2</v>
          </cell>
          <cell r="F2510">
            <v>-11.6</v>
          </cell>
          <cell r="G2510">
            <v>-11</v>
          </cell>
          <cell r="H2510">
            <v>-11.6</v>
          </cell>
          <cell r="I2510">
            <v>9</v>
          </cell>
          <cell r="J2510">
            <v>2</v>
          </cell>
          <cell r="K2510">
            <v>-3.9</v>
          </cell>
          <cell r="L2510">
            <v>7</v>
          </cell>
          <cell r="M2510">
            <v>7.2</v>
          </cell>
        </row>
        <row r="2511">
          <cell r="C2511" t="str">
            <v>Sóng Thần MBA T2 (phía 22kV)</v>
          </cell>
          <cell r="D2511">
            <v>432</v>
          </cell>
          <cell r="E2511">
            <v>5.3</v>
          </cell>
          <cell r="F2511">
            <v>11</v>
          </cell>
          <cell r="G2511">
            <v>-9.3000000000000007</v>
          </cell>
          <cell r="H2511">
            <v>-8.1</v>
          </cell>
          <cell r="I2511">
            <v>7.1</v>
          </cell>
          <cell r="J2511">
            <v>11</v>
          </cell>
          <cell r="K2511">
            <v>5.3</v>
          </cell>
          <cell r="L2511">
            <v>8.8000000000000007</v>
          </cell>
          <cell r="M2511">
            <v>9.4</v>
          </cell>
        </row>
        <row r="2512">
          <cell r="C2512" t="str">
            <v>Sun Steel MBA T1 (phía 110kV)</v>
          </cell>
          <cell r="D2512">
            <v>131</v>
          </cell>
          <cell r="E2512">
            <v>1.2</v>
          </cell>
          <cell r="F2512">
            <v>3.6</v>
          </cell>
          <cell r="G2512">
            <v>3.6</v>
          </cell>
          <cell r="H2512">
            <v>3.4</v>
          </cell>
          <cell r="I2512">
            <v>2.7</v>
          </cell>
          <cell r="J2512">
            <v>1.2</v>
          </cell>
          <cell r="K2512">
            <v>1.8</v>
          </cell>
          <cell r="L2512">
            <v>2.5</v>
          </cell>
          <cell r="M2512">
            <v>2.6</v>
          </cell>
        </row>
        <row r="2513">
          <cell r="C2513" t="str">
            <v>Sun Steel MBA T1 (phía 22kV)</v>
          </cell>
          <cell r="D2513">
            <v>431</v>
          </cell>
          <cell r="E2513">
            <v>-1.1000000000000001</v>
          </cell>
          <cell r="F2513">
            <v>-3.5</v>
          </cell>
          <cell r="G2513">
            <v>-3.5</v>
          </cell>
          <cell r="H2513">
            <v>-3.2</v>
          </cell>
          <cell r="I2513">
            <v>-2.5</v>
          </cell>
          <cell r="J2513">
            <v>-1.1000000000000001</v>
          </cell>
          <cell r="K2513">
            <v>-1.8</v>
          </cell>
          <cell r="L2513">
            <v>-2.5</v>
          </cell>
          <cell r="M2513">
            <v>-2.5</v>
          </cell>
        </row>
        <row r="2514">
          <cell r="C2514" t="str">
            <v>Suối Dộp MBA T1 (phía 110kV)</v>
          </cell>
          <cell r="D2514">
            <v>131</v>
          </cell>
          <cell r="E2514">
            <v>0</v>
          </cell>
          <cell r="F2514">
            <v>2.1</v>
          </cell>
          <cell r="G2514">
            <v>2.1</v>
          </cell>
          <cell r="H2514">
            <v>2</v>
          </cell>
          <cell r="I2514">
            <v>0.9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</row>
        <row r="2515">
          <cell r="C2515" t="str">
            <v>Suối Dộp MBA T2 (phía 110kV)</v>
          </cell>
          <cell r="D2515">
            <v>132</v>
          </cell>
          <cell r="E2515">
            <v>-1.5</v>
          </cell>
          <cell r="F2515">
            <v>3.7</v>
          </cell>
          <cell r="G2515">
            <v>3.7</v>
          </cell>
          <cell r="H2515">
            <v>3.6</v>
          </cell>
          <cell r="I2515">
            <v>-2.4</v>
          </cell>
          <cell r="J2515">
            <v>3.6</v>
          </cell>
          <cell r="K2515">
            <v>2.2999999999999998</v>
          </cell>
          <cell r="L2515">
            <v>2.2999999999999998</v>
          </cell>
          <cell r="M2515">
            <v>-1.5</v>
          </cell>
        </row>
        <row r="2516">
          <cell r="C2516" t="str">
            <v>110kV 172 Suối Dộp - 173 Tây Ninh</v>
          </cell>
          <cell r="D2516">
            <v>172</v>
          </cell>
          <cell r="E2516">
            <v>2.7</v>
          </cell>
          <cell r="F2516">
            <v>-6.4</v>
          </cell>
          <cell r="G2516">
            <v>-6.4</v>
          </cell>
          <cell r="H2516">
            <v>-6.1</v>
          </cell>
          <cell r="I2516">
            <v>-4.5</v>
          </cell>
          <cell r="J2516">
            <v>-4.9000000000000004</v>
          </cell>
          <cell r="K2516">
            <v>-3.6</v>
          </cell>
          <cell r="L2516">
            <v>-3.5</v>
          </cell>
          <cell r="M2516">
            <v>2.7</v>
          </cell>
        </row>
        <row r="2517">
          <cell r="C2517" t="str">
            <v>Suối Dộp MBA T1 (phía 22kV)</v>
          </cell>
          <cell r="D2517">
            <v>431</v>
          </cell>
          <cell r="E2517">
            <v>0</v>
          </cell>
          <cell r="F2517">
            <v>0</v>
          </cell>
          <cell r="G2517">
            <v>0</v>
          </cell>
          <cell r="H2517">
            <v>0</v>
          </cell>
          <cell r="I2517">
            <v>0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</row>
        <row r="2518">
          <cell r="C2518" t="str">
            <v>Suối Dộp MBA T2 (phía 22kV)</v>
          </cell>
          <cell r="D2518">
            <v>432</v>
          </cell>
          <cell r="E2518">
            <v>2.2000000000000002</v>
          </cell>
          <cell r="F2518">
            <v>2.8</v>
          </cell>
          <cell r="G2518">
            <v>-2.6</v>
          </cell>
          <cell r="H2518">
            <v>2.7</v>
          </cell>
          <cell r="I2518">
            <v>2.8</v>
          </cell>
          <cell r="J2518">
            <v>-2.5</v>
          </cell>
          <cell r="K2518">
            <v>2.7</v>
          </cell>
          <cell r="L2518">
            <v>2.2999999999999998</v>
          </cell>
          <cell r="M2518">
            <v>2.2000000000000002</v>
          </cell>
        </row>
        <row r="2519">
          <cell r="C2519" t="str">
            <v>Suối Vàng MBA T2 (phía 110kV)</v>
          </cell>
          <cell r="D2519">
            <v>132</v>
          </cell>
          <cell r="E2519">
            <v>2.2999999999999998</v>
          </cell>
          <cell r="F2519">
            <v>2.9</v>
          </cell>
          <cell r="G2519">
            <v>2.9</v>
          </cell>
          <cell r="H2519">
            <v>2.2999999999999998</v>
          </cell>
          <cell r="I2519">
            <v>2.9</v>
          </cell>
          <cell r="J2519">
            <v>2.9</v>
          </cell>
          <cell r="K2519">
            <v>2.7</v>
          </cell>
          <cell r="L2519">
            <v>2.7</v>
          </cell>
          <cell r="M2519">
            <v>2.2999999999999998</v>
          </cell>
        </row>
        <row r="2520">
          <cell r="C2520" t="str">
            <v>110kV 171 Suối Vàng - 171 NMĐ Đa Nhim</v>
          </cell>
          <cell r="D2520">
            <v>171</v>
          </cell>
          <cell r="E2520">
            <v>6.5</v>
          </cell>
          <cell r="F2520">
            <v>18.2</v>
          </cell>
          <cell r="G2520">
            <v>6.5</v>
          </cell>
          <cell r="H2520">
            <v>7</v>
          </cell>
          <cell r="I2520">
            <v>18.2</v>
          </cell>
          <cell r="J2520">
            <v>13</v>
          </cell>
          <cell r="K2520">
            <v>12.9</v>
          </cell>
          <cell r="L2520">
            <v>7.3</v>
          </cell>
          <cell r="M2520">
            <v>9.6</v>
          </cell>
        </row>
        <row r="2521">
          <cell r="C2521" t="str">
            <v>110kV 172 Suối Vàng - 171 Đà Lạt 2</v>
          </cell>
          <cell r="D2521">
            <v>172</v>
          </cell>
          <cell r="E2521">
            <v>-6.5</v>
          </cell>
          <cell r="F2521">
            <v>-16.5</v>
          </cell>
          <cell r="G2521">
            <v>-7.2</v>
          </cell>
          <cell r="H2521">
            <v>-6.5</v>
          </cell>
          <cell r="I2521">
            <v>-16.5</v>
          </cell>
          <cell r="J2521">
            <v>-12.6</v>
          </cell>
          <cell r="K2521">
            <v>-15.7</v>
          </cell>
          <cell r="L2521">
            <v>-6.9</v>
          </cell>
          <cell r="M2521">
            <v>-7.6</v>
          </cell>
        </row>
        <row r="2522">
          <cell r="C2522" t="str">
            <v>110kV 174 Suối Vàng - 171 NMĐ Yan Tann Sien</v>
          </cell>
          <cell r="D2522">
            <v>174</v>
          </cell>
          <cell r="E2522">
            <v>-2.8</v>
          </cell>
          <cell r="F2522">
            <v>-3</v>
          </cell>
          <cell r="G2522">
            <v>-2.8</v>
          </cell>
          <cell r="H2522">
            <v>-2.8</v>
          </cell>
          <cell r="I2522">
            <v>-2.9</v>
          </cell>
          <cell r="J2522">
            <v>-3</v>
          </cell>
          <cell r="K2522">
            <v>-2.9</v>
          </cell>
          <cell r="L2522">
            <v>-2.8</v>
          </cell>
          <cell r="M2522">
            <v>-2.8</v>
          </cell>
        </row>
        <row r="2523">
          <cell r="C2523" t="str">
            <v>110kV 176 Suối Vàng - 171 NMĐ Krông Nô 2</v>
          </cell>
          <cell r="D2523">
            <v>176</v>
          </cell>
          <cell r="E2523">
            <v>3</v>
          </cell>
          <cell r="F2523">
            <v>6.9</v>
          </cell>
          <cell r="G2523">
            <v>3</v>
          </cell>
          <cell r="H2523">
            <v>3.1</v>
          </cell>
          <cell r="I2523">
            <v>5.5</v>
          </cell>
          <cell r="J2523">
            <v>6.9</v>
          </cell>
          <cell r="K2523">
            <v>3.4</v>
          </cell>
          <cell r="L2523">
            <v>3.3</v>
          </cell>
          <cell r="M2523">
            <v>6.6</v>
          </cell>
        </row>
        <row r="2524">
          <cell r="C2524" t="str">
            <v>Suối Vàng MBA T2 (phía 22kV)</v>
          </cell>
          <cell r="D2524">
            <v>432</v>
          </cell>
          <cell r="E2524">
            <v>-1.7</v>
          </cell>
          <cell r="F2524">
            <v>-2.4</v>
          </cell>
          <cell r="G2524">
            <v>-2.4</v>
          </cell>
          <cell r="H2524">
            <v>-1.7</v>
          </cell>
          <cell r="I2524">
            <v>-2.4</v>
          </cell>
          <cell r="J2524">
            <v>-2.4</v>
          </cell>
          <cell r="K2524">
            <v>-2.2000000000000002</v>
          </cell>
          <cell r="L2524">
            <v>-2.2999999999999998</v>
          </cell>
          <cell r="M2524">
            <v>-1.7</v>
          </cell>
        </row>
        <row r="2525">
          <cell r="C2525" t="str">
            <v>Tam An MBA T1 (phía 110kV)</v>
          </cell>
          <cell r="D2525">
            <v>131</v>
          </cell>
          <cell r="E2525">
            <v>1.3</v>
          </cell>
          <cell r="F2525">
            <v>6.2</v>
          </cell>
          <cell r="G2525">
            <v>5.9</v>
          </cell>
          <cell r="H2525">
            <v>5.7</v>
          </cell>
          <cell r="I2525">
            <v>1.3</v>
          </cell>
          <cell r="J2525">
            <v>-2.6</v>
          </cell>
          <cell r="K2525">
            <v>5.7</v>
          </cell>
          <cell r="L2525">
            <v>6.2</v>
          </cell>
          <cell r="M2525">
            <v>3.1</v>
          </cell>
        </row>
        <row r="2526">
          <cell r="C2526" t="str">
            <v>Tam An MBA T2 (phía 110kV)</v>
          </cell>
          <cell r="D2526">
            <v>132</v>
          </cell>
          <cell r="E2526">
            <v>4.0999999999999996</v>
          </cell>
          <cell r="F2526">
            <v>11.1</v>
          </cell>
          <cell r="G2526">
            <v>11.1</v>
          </cell>
          <cell r="H2526">
            <v>9.6</v>
          </cell>
          <cell r="I2526">
            <v>6.9</v>
          </cell>
          <cell r="J2526">
            <v>4.0999999999999996</v>
          </cell>
          <cell r="K2526">
            <v>9.3000000000000007</v>
          </cell>
          <cell r="L2526">
            <v>9.4</v>
          </cell>
          <cell r="M2526">
            <v>7.5</v>
          </cell>
        </row>
        <row r="2527">
          <cell r="C2527" t="str">
            <v>110kV 171 Tam An - 180 Long Thành</v>
          </cell>
          <cell r="D2527">
            <v>171</v>
          </cell>
          <cell r="E2527">
            <v>0</v>
          </cell>
          <cell r="F2527">
            <v>-16.2</v>
          </cell>
          <cell r="G2527">
            <v>-16.2</v>
          </cell>
          <cell r="H2527">
            <v>-15.5</v>
          </cell>
          <cell r="I2527">
            <v>-10.1</v>
          </cell>
          <cell r="J2527">
            <v>0</v>
          </cell>
          <cell r="K2527">
            <v>-14.6</v>
          </cell>
          <cell r="L2527">
            <v>-15</v>
          </cell>
          <cell r="M2527">
            <v>-11</v>
          </cell>
        </row>
        <row r="2528">
          <cell r="C2528" t="str">
            <v>110kV 172 Tam An - 179 Long Bình</v>
          </cell>
          <cell r="D2528">
            <v>172</v>
          </cell>
          <cell r="E2528">
            <v>-0.4</v>
          </cell>
          <cell r="F2528">
            <v>-452.4</v>
          </cell>
          <cell r="G2528">
            <v>-0.4</v>
          </cell>
          <cell r="H2528">
            <v>-452.4</v>
          </cell>
          <cell r="I2528">
            <v>-0.5</v>
          </cell>
          <cell r="J2528">
            <v>-0.4</v>
          </cell>
          <cell r="K2528">
            <v>-0.5</v>
          </cell>
          <cell r="L2528">
            <v>-0.5</v>
          </cell>
          <cell r="M2528">
            <v>-0.4</v>
          </cell>
        </row>
        <row r="2529">
          <cell r="C2529" t="str">
            <v>Tam An MBA T1 (phía 22kV)</v>
          </cell>
          <cell r="D2529">
            <v>431</v>
          </cell>
          <cell r="E2529">
            <v>1.8</v>
          </cell>
          <cell r="F2529">
            <v>4.5</v>
          </cell>
          <cell r="G2529">
            <v>2.1</v>
          </cell>
          <cell r="H2529">
            <v>3.8</v>
          </cell>
          <cell r="I2529">
            <v>3.7</v>
          </cell>
          <cell r="J2529">
            <v>4.5</v>
          </cell>
          <cell r="K2529">
            <v>1.8</v>
          </cell>
          <cell r="L2529">
            <v>2.5</v>
          </cell>
          <cell r="M2529">
            <v>2.1</v>
          </cell>
        </row>
        <row r="2530">
          <cell r="C2530" t="str">
            <v>Tam An MBA T2 (phía 22kV)</v>
          </cell>
          <cell r="D2530">
            <v>432</v>
          </cell>
          <cell r="E2530">
            <v>1.9</v>
          </cell>
          <cell r="F2530">
            <v>-5.8</v>
          </cell>
          <cell r="G2530">
            <v>-5.8</v>
          </cell>
          <cell r="H2530">
            <v>-4.8</v>
          </cell>
          <cell r="I2530">
            <v>-2.8</v>
          </cell>
          <cell r="J2530">
            <v>1.9</v>
          </cell>
          <cell r="K2530">
            <v>-4.4000000000000004</v>
          </cell>
          <cell r="L2530">
            <v>-4.3</v>
          </cell>
          <cell r="M2530">
            <v>-2.9</v>
          </cell>
        </row>
        <row r="2531">
          <cell r="C2531" t="str">
            <v>Tam Nông MBA T1 (phía 110kV)</v>
          </cell>
          <cell r="D2531">
            <v>131</v>
          </cell>
          <cell r="E2531">
            <v>1</v>
          </cell>
          <cell r="F2531">
            <v>3.4</v>
          </cell>
          <cell r="G2531">
            <v>-2.1</v>
          </cell>
          <cell r="H2531">
            <v>-1.5</v>
          </cell>
          <cell r="I2531">
            <v>-3.3</v>
          </cell>
          <cell r="J2531">
            <v>-1</v>
          </cell>
          <cell r="K2531">
            <v>3.4</v>
          </cell>
          <cell r="L2531">
            <v>3.1</v>
          </cell>
          <cell r="M2531">
            <v>1</v>
          </cell>
        </row>
        <row r="2532">
          <cell r="C2532" t="str">
            <v>Tam Nông MBA T1 (phía 22kV)</v>
          </cell>
          <cell r="D2532">
            <v>431</v>
          </cell>
          <cell r="E2532">
            <v>1.4</v>
          </cell>
          <cell r="F2532">
            <v>3.9</v>
          </cell>
          <cell r="G2532">
            <v>2.7</v>
          </cell>
          <cell r="H2532">
            <v>2.4</v>
          </cell>
          <cell r="I2532">
            <v>3.9</v>
          </cell>
          <cell r="J2532">
            <v>1.4</v>
          </cell>
          <cell r="K2532">
            <v>-2.4</v>
          </cell>
          <cell r="L2532">
            <v>-2.1</v>
          </cell>
          <cell r="M2532">
            <v>1.8</v>
          </cell>
        </row>
        <row r="2533">
          <cell r="C2533" t="str">
            <v>Tam Phước MBA T1 (phía 110kV)</v>
          </cell>
          <cell r="D2533">
            <v>131</v>
          </cell>
          <cell r="E2533">
            <v>-3.8</v>
          </cell>
          <cell r="F2533">
            <v>13.8</v>
          </cell>
          <cell r="G2533">
            <v>12.6</v>
          </cell>
          <cell r="H2533">
            <v>12.3</v>
          </cell>
          <cell r="I2533">
            <v>13.8</v>
          </cell>
          <cell r="J2533">
            <v>-3.8</v>
          </cell>
          <cell r="K2533">
            <v>10.9</v>
          </cell>
          <cell r="L2533">
            <v>11.7</v>
          </cell>
          <cell r="M2533">
            <v>11.9</v>
          </cell>
        </row>
        <row r="2534">
          <cell r="C2534" t="str">
            <v>Tam Phước MBA T2 (phía 110kV)</v>
          </cell>
          <cell r="D2534">
            <v>132</v>
          </cell>
          <cell r="E2534">
            <v>-3.4</v>
          </cell>
          <cell r="F2534">
            <v>8.6999999999999993</v>
          </cell>
          <cell r="G2534">
            <v>7.3</v>
          </cell>
          <cell r="H2534">
            <v>7.3</v>
          </cell>
          <cell r="I2534">
            <v>8.1999999999999993</v>
          </cell>
          <cell r="J2534">
            <v>-3.4</v>
          </cell>
          <cell r="K2534">
            <v>8.3000000000000007</v>
          </cell>
          <cell r="L2534">
            <v>8.6999999999999993</v>
          </cell>
          <cell r="M2534">
            <v>8.6</v>
          </cell>
        </row>
        <row r="2535">
          <cell r="C2535" t="str">
            <v>110kV 171 Tam Phước - 172 An Phước</v>
          </cell>
          <cell r="D2535">
            <v>171</v>
          </cell>
          <cell r="E2535">
            <v>6.8</v>
          </cell>
          <cell r="F2535">
            <v>-21.9</v>
          </cell>
          <cell r="G2535">
            <v>-19.3</v>
          </cell>
          <cell r="H2535">
            <v>-19.600000000000001</v>
          </cell>
          <cell r="I2535">
            <v>-21.9</v>
          </cell>
          <cell r="J2535">
            <v>6.8</v>
          </cell>
          <cell r="K2535">
            <v>-19.899999999999999</v>
          </cell>
          <cell r="L2535">
            <v>-19.8</v>
          </cell>
          <cell r="M2535">
            <v>-19.399999999999999</v>
          </cell>
        </row>
        <row r="2536">
          <cell r="C2536" t="str">
            <v>110kV 172 Tam Phước - 175 Long Bình</v>
          </cell>
          <cell r="D2536">
            <v>172</v>
          </cell>
          <cell r="E2536">
            <v>0</v>
          </cell>
          <cell r="F2536">
            <v>1.4</v>
          </cell>
          <cell r="G2536">
            <v>0</v>
          </cell>
          <cell r="H2536">
            <v>1.4</v>
          </cell>
          <cell r="I2536">
            <v>0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</row>
        <row r="2537">
          <cell r="C2537" t="str">
            <v>Tam Phước MBA T1 (phía 22kV)</v>
          </cell>
          <cell r="D2537">
            <v>431</v>
          </cell>
          <cell r="E2537">
            <v>4.0999999999999996</v>
          </cell>
          <cell r="F2537">
            <v>-8.8000000000000007</v>
          </cell>
          <cell r="G2537">
            <v>-7.9</v>
          </cell>
          <cell r="H2537">
            <v>-8.1</v>
          </cell>
          <cell r="I2537">
            <v>-8.8000000000000007</v>
          </cell>
          <cell r="J2537">
            <v>4.0999999999999996</v>
          </cell>
          <cell r="K2537">
            <v>-6.7</v>
          </cell>
          <cell r="L2537">
            <v>-7</v>
          </cell>
          <cell r="M2537">
            <v>-7.3</v>
          </cell>
        </row>
        <row r="2538">
          <cell r="C2538" t="str">
            <v>Tam Phước MBA T2 (phía 22kV)</v>
          </cell>
          <cell r="D2538">
            <v>432</v>
          </cell>
          <cell r="E2538">
            <v>3.8</v>
          </cell>
          <cell r="F2538">
            <v>7</v>
          </cell>
          <cell r="G2538">
            <v>5.7</v>
          </cell>
          <cell r="H2538">
            <v>6.8</v>
          </cell>
          <cell r="I2538">
            <v>7</v>
          </cell>
          <cell r="J2538">
            <v>3.8</v>
          </cell>
          <cell r="K2538">
            <v>-4.9000000000000004</v>
          </cell>
          <cell r="L2538">
            <v>-5.0999999999999996</v>
          </cell>
          <cell r="M2538">
            <v>7</v>
          </cell>
        </row>
        <row r="2539">
          <cell r="C2539" t="str">
            <v>Tầm Vu MBA T1 (phía 110kV)</v>
          </cell>
          <cell r="D2539">
            <v>131</v>
          </cell>
          <cell r="E2539">
            <v>1</v>
          </cell>
          <cell r="F2539">
            <v>3.8</v>
          </cell>
          <cell r="G2539">
            <v>1</v>
          </cell>
          <cell r="H2539">
            <v>1.1000000000000001</v>
          </cell>
          <cell r="I2539">
            <v>1.2</v>
          </cell>
          <cell r="J2539">
            <v>2</v>
          </cell>
          <cell r="K2539">
            <v>1.3</v>
          </cell>
          <cell r="L2539">
            <v>3.7</v>
          </cell>
          <cell r="M2539">
            <v>3.8</v>
          </cell>
        </row>
        <row r="2540">
          <cell r="C2540" t="str">
            <v>Tầm Vu MBA T2 (phía 110kV)</v>
          </cell>
          <cell r="D2540">
            <v>132</v>
          </cell>
          <cell r="E2540">
            <v>1</v>
          </cell>
          <cell r="F2540">
            <v>2.1</v>
          </cell>
          <cell r="G2540">
            <v>2.1</v>
          </cell>
          <cell r="H2540">
            <v>1</v>
          </cell>
          <cell r="I2540">
            <v>1.2</v>
          </cell>
          <cell r="J2540">
            <v>1.3</v>
          </cell>
          <cell r="K2540">
            <v>1.3</v>
          </cell>
          <cell r="L2540">
            <v>2.1</v>
          </cell>
          <cell r="M2540">
            <v>1.9</v>
          </cell>
        </row>
        <row r="2541">
          <cell r="C2541" t="str">
            <v>110kV 171 Tầm Vu - 172 Mỹ Tho 2</v>
          </cell>
          <cell r="D2541">
            <v>171</v>
          </cell>
          <cell r="E2541">
            <v>-3.5</v>
          </cell>
          <cell r="F2541">
            <v>-5.8</v>
          </cell>
          <cell r="G2541">
            <v>-4.3</v>
          </cell>
          <cell r="H2541">
            <v>-3.5</v>
          </cell>
          <cell r="I2541">
            <v>-3.8</v>
          </cell>
          <cell r="J2541">
            <v>-3.9</v>
          </cell>
          <cell r="K2541">
            <v>-3.9</v>
          </cell>
          <cell r="L2541">
            <v>-5.8</v>
          </cell>
          <cell r="M2541">
            <v>-5.7</v>
          </cell>
        </row>
        <row r="2542">
          <cell r="C2542" t="str">
            <v>110kV 172 Tầm Vu - 173 Long An 2</v>
          </cell>
          <cell r="D2542">
            <v>172</v>
          </cell>
          <cell r="E2542">
            <v>0</v>
          </cell>
          <cell r="F2542">
            <v>0.7</v>
          </cell>
          <cell r="G2542">
            <v>0</v>
          </cell>
          <cell r="H2542">
            <v>0</v>
          </cell>
          <cell r="I2542">
            <v>0</v>
          </cell>
          <cell r="J2542">
            <v>0.7</v>
          </cell>
          <cell r="K2542">
            <v>0</v>
          </cell>
          <cell r="L2542">
            <v>0</v>
          </cell>
          <cell r="M2542">
            <v>0</v>
          </cell>
        </row>
        <row r="2543">
          <cell r="C2543" t="str">
            <v>Tầm Vu MBA T1 (phía 22kV)</v>
          </cell>
          <cell r="D2543">
            <v>431</v>
          </cell>
          <cell r="E2543">
            <v>-1.1000000000000001</v>
          </cell>
          <cell r="F2543">
            <v>-1.7</v>
          </cell>
          <cell r="G2543">
            <v>-1.2</v>
          </cell>
          <cell r="H2543">
            <v>-1.1000000000000001</v>
          </cell>
          <cell r="I2543">
            <v>-1.2</v>
          </cell>
          <cell r="J2543">
            <v>-1.1000000000000001</v>
          </cell>
          <cell r="K2543">
            <v>-1.1000000000000001</v>
          </cell>
          <cell r="L2543">
            <v>-1.6</v>
          </cell>
          <cell r="M2543">
            <v>-1.7</v>
          </cell>
        </row>
        <row r="2544">
          <cell r="C2544" t="str">
            <v>Tầm Vu MBA T2 (phía 22kV)</v>
          </cell>
          <cell r="D2544">
            <v>432</v>
          </cell>
          <cell r="E2544">
            <v>0.5</v>
          </cell>
          <cell r="F2544">
            <v>1.1000000000000001</v>
          </cell>
          <cell r="G2544">
            <v>-1.1000000000000001</v>
          </cell>
          <cell r="H2544">
            <v>1.1000000000000001</v>
          </cell>
          <cell r="I2544">
            <v>0.7</v>
          </cell>
          <cell r="J2544">
            <v>0.8</v>
          </cell>
          <cell r="K2544">
            <v>0.9</v>
          </cell>
          <cell r="L2544">
            <v>0.9</v>
          </cell>
          <cell r="M2544">
            <v>0.5</v>
          </cell>
        </row>
        <row r="2545">
          <cell r="C2545" t="str">
            <v>Tân An MBA T1 (phía 110kV)</v>
          </cell>
          <cell r="D2545">
            <v>131</v>
          </cell>
          <cell r="E2545">
            <v>-2.9</v>
          </cell>
          <cell r="F2545">
            <v>4.2</v>
          </cell>
          <cell r="G2545">
            <v>4.2</v>
          </cell>
          <cell r="H2545">
            <v>-3.6</v>
          </cell>
          <cell r="I2545">
            <v>3.3</v>
          </cell>
          <cell r="J2545">
            <v>-3.9</v>
          </cell>
          <cell r="K2545">
            <v>-2.9</v>
          </cell>
          <cell r="L2545">
            <v>3.5</v>
          </cell>
          <cell r="M2545">
            <v>-3.5</v>
          </cell>
        </row>
        <row r="2546">
          <cell r="C2546" t="str">
            <v>Tân An MBA T2 (phía 110kV)</v>
          </cell>
          <cell r="D2546">
            <v>132</v>
          </cell>
          <cell r="E2546">
            <v>1.4</v>
          </cell>
          <cell r="F2546">
            <v>2.9</v>
          </cell>
          <cell r="G2546">
            <v>2.4</v>
          </cell>
          <cell r="H2546">
            <v>2.9</v>
          </cell>
          <cell r="I2546">
            <v>1.9</v>
          </cell>
          <cell r="J2546">
            <v>1.6</v>
          </cell>
          <cell r="K2546">
            <v>1.8</v>
          </cell>
          <cell r="L2546">
            <v>1.5</v>
          </cell>
          <cell r="M2546">
            <v>1.4</v>
          </cell>
        </row>
        <row r="2547">
          <cell r="C2547" t="str">
            <v>110kV 171 Tân An - 174 Long An 2</v>
          </cell>
          <cell r="D2547">
            <v>171</v>
          </cell>
          <cell r="E2547">
            <v>3</v>
          </cell>
          <cell r="F2547">
            <v>4.7</v>
          </cell>
          <cell r="G2547">
            <v>-4.2</v>
          </cell>
          <cell r="H2547">
            <v>3.5</v>
          </cell>
          <cell r="I2547">
            <v>-3.3</v>
          </cell>
          <cell r="J2547">
            <v>4.7</v>
          </cell>
          <cell r="K2547">
            <v>3</v>
          </cell>
          <cell r="L2547">
            <v>-3.4</v>
          </cell>
          <cell r="M2547">
            <v>3.5</v>
          </cell>
        </row>
        <row r="2548">
          <cell r="C2548" t="str">
            <v>110kV 172 Tân An - 171 Long Giang</v>
          </cell>
          <cell r="D2548">
            <v>172</v>
          </cell>
          <cell r="E2548">
            <v>-1.3</v>
          </cell>
          <cell r="F2548">
            <v>4.9000000000000004</v>
          </cell>
          <cell r="G2548">
            <v>-2.4</v>
          </cell>
          <cell r="H2548">
            <v>-2.8</v>
          </cell>
          <cell r="I2548">
            <v>-1.8</v>
          </cell>
          <cell r="J2548">
            <v>4.9000000000000004</v>
          </cell>
          <cell r="K2548">
            <v>-1.8</v>
          </cell>
          <cell r="L2548">
            <v>-1.4</v>
          </cell>
          <cell r="M2548">
            <v>-1.3</v>
          </cell>
        </row>
        <row r="2549">
          <cell r="C2549" t="str">
            <v>Tân An MBA T1 (phía 22kV)</v>
          </cell>
          <cell r="D2549">
            <v>431</v>
          </cell>
          <cell r="E2549">
            <v>-4.3</v>
          </cell>
          <cell r="F2549">
            <v>5.6</v>
          </cell>
          <cell r="G2549">
            <v>-4.3</v>
          </cell>
          <cell r="H2549">
            <v>4.4000000000000004</v>
          </cell>
          <cell r="I2549">
            <v>4.5</v>
          </cell>
          <cell r="J2549">
            <v>4.7</v>
          </cell>
          <cell r="K2549">
            <v>5</v>
          </cell>
          <cell r="L2549">
            <v>5</v>
          </cell>
          <cell r="M2549">
            <v>5.6</v>
          </cell>
        </row>
        <row r="2550">
          <cell r="C2550" t="str">
            <v>Tân An MBA T2 (phía 22kV)</v>
          </cell>
          <cell r="D2550">
            <v>432</v>
          </cell>
          <cell r="E2550">
            <v>-1.4</v>
          </cell>
          <cell r="F2550">
            <v>-2.5</v>
          </cell>
          <cell r="G2550">
            <v>-2.1</v>
          </cell>
          <cell r="H2550">
            <v>-2.5</v>
          </cell>
          <cell r="I2550">
            <v>-1.6</v>
          </cell>
          <cell r="J2550">
            <v>-1.4</v>
          </cell>
          <cell r="K2550">
            <v>1.6</v>
          </cell>
          <cell r="L2550">
            <v>1.7</v>
          </cell>
          <cell r="M2550">
            <v>1.6</v>
          </cell>
        </row>
        <row r="2551">
          <cell r="C2551" t="str">
            <v>Tân Biên MBA T1 (phía 110kV)</v>
          </cell>
          <cell r="D2551">
            <v>131</v>
          </cell>
          <cell r="E2551">
            <v>-2.7</v>
          </cell>
          <cell r="F2551">
            <v>-4.5999999999999996</v>
          </cell>
          <cell r="G2551">
            <v>-2.9</v>
          </cell>
          <cell r="H2551">
            <v>-4.5999999999999996</v>
          </cell>
          <cell r="I2551">
            <v>-4</v>
          </cell>
          <cell r="J2551">
            <v>-2.7</v>
          </cell>
          <cell r="K2551">
            <v>-3.9</v>
          </cell>
          <cell r="L2551">
            <v>-4.3</v>
          </cell>
          <cell r="M2551">
            <v>4.4000000000000004</v>
          </cell>
        </row>
        <row r="2552">
          <cell r="C2552" t="str">
            <v>Tân Biên MBA T2 (phía 110kV)</v>
          </cell>
          <cell r="D2552">
            <v>132</v>
          </cell>
          <cell r="E2552">
            <v>1.8</v>
          </cell>
          <cell r="F2552">
            <v>3.3</v>
          </cell>
          <cell r="G2552">
            <v>2.4</v>
          </cell>
          <cell r="H2552">
            <v>2.2000000000000002</v>
          </cell>
          <cell r="I2552">
            <v>2.8</v>
          </cell>
          <cell r="J2552">
            <v>3.1</v>
          </cell>
          <cell r="K2552">
            <v>3.3</v>
          </cell>
          <cell r="L2552">
            <v>1.8</v>
          </cell>
          <cell r="M2552">
            <v>2.2999999999999998</v>
          </cell>
        </row>
        <row r="2553">
          <cell r="C2553" t="str">
            <v>110kV 171 Tân Biên - 172 Tân Hưng</v>
          </cell>
          <cell r="D2553">
            <v>171</v>
          </cell>
          <cell r="E2553">
            <v>-2.8</v>
          </cell>
          <cell r="F2553">
            <v>-6.1</v>
          </cell>
          <cell r="G2553">
            <v>-2.8</v>
          </cell>
          <cell r="H2553">
            <v>3.4</v>
          </cell>
          <cell r="I2553">
            <v>3.7</v>
          </cell>
          <cell r="J2553">
            <v>-3.9</v>
          </cell>
          <cell r="K2553">
            <v>3.9</v>
          </cell>
          <cell r="L2553">
            <v>-5</v>
          </cell>
          <cell r="M2553">
            <v>-6.1</v>
          </cell>
        </row>
        <row r="2554">
          <cell r="C2554" t="str">
            <v>Tân Biên MBA T1 (phía 22kV)</v>
          </cell>
          <cell r="D2554">
            <v>431</v>
          </cell>
          <cell r="E2554">
            <v>3.6</v>
          </cell>
          <cell r="F2554">
            <v>5.3</v>
          </cell>
          <cell r="G2554">
            <v>4.0999999999999996</v>
          </cell>
          <cell r="H2554">
            <v>5.3</v>
          </cell>
          <cell r="I2554">
            <v>4.7</v>
          </cell>
          <cell r="J2554">
            <v>3.6</v>
          </cell>
          <cell r="K2554">
            <v>4.9000000000000004</v>
          </cell>
          <cell r="L2554">
            <v>5.2</v>
          </cell>
          <cell r="M2554">
            <v>5</v>
          </cell>
        </row>
        <row r="2555">
          <cell r="C2555" t="str">
            <v>Tân Biên MBA T2 (phía 22kV)</v>
          </cell>
          <cell r="D2555">
            <v>432</v>
          </cell>
          <cell r="E2555">
            <v>-0.9</v>
          </cell>
          <cell r="F2555">
            <v>-2.1</v>
          </cell>
          <cell r="G2555">
            <v>-1.8</v>
          </cell>
          <cell r="H2555">
            <v>-1</v>
          </cell>
          <cell r="I2555">
            <v>-0.9</v>
          </cell>
          <cell r="J2555">
            <v>-2.1</v>
          </cell>
          <cell r="K2555">
            <v>-2.1</v>
          </cell>
          <cell r="L2555">
            <v>1.1000000000000001</v>
          </cell>
          <cell r="M2555">
            <v>-1.5</v>
          </cell>
        </row>
        <row r="2556">
          <cell r="C2556" t="str">
            <v>Tân Bình 1 MBA T1 (phía 110kV)</v>
          </cell>
          <cell r="D2556">
            <v>131</v>
          </cell>
          <cell r="E2556">
            <v>3.2</v>
          </cell>
          <cell r="F2556">
            <v>10.199999999999999</v>
          </cell>
          <cell r="G2556">
            <v>10.199999999999999</v>
          </cell>
          <cell r="H2556">
            <v>9.8000000000000007</v>
          </cell>
          <cell r="I2556">
            <v>9</v>
          </cell>
          <cell r="J2556">
            <v>3.2</v>
          </cell>
          <cell r="K2556">
            <v>9.6999999999999993</v>
          </cell>
          <cell r="L2556">
            <v>9.9</v>
          </cell>
          <cell r="M2556">
            <v>9.6999999999999993</v>
          </cell>
        </row>
        <row r="2557">
          <cell r="C2557" t="str">
            <v>Tân Bình 1 MBA T2 (phía 110kV)</v>
          </cell>
          <cell r="D2557">
            <v>132</v>
          </cell>
          <cell r="E2557">
            <v>4.0999999999999996</v>
          </cell>
          <cell r="F2557">
            <v>12.9</v>
          </cell>
          <cell r="G2557">
            <v>12.9</v>
          </cell>
          <cell r="H2557">
            <v>12.1</v>
          </cell>
          <cell r="I2557">
            <v>11.2</v>
          </cell>
          <cell r="J2557">
            <v>4.0999999999999996</v>
          </cell>
          <cell r="K2557">
            <v>12.3</v>
          </cell>
          <cell r="L2557">
            <v>12.4</v>
          </cell>
          <cell r="M2557">
            <v>11.9</v>
          </cell>
        </row>
        <row r="2558">
          <cell r="C2558" t="str">
            <v>110kV 171 Tân Bình 1 - 171 Tân Bình 3</v>
          </cell>
          <cell r="D2558">
            <v>171</v>
          </cell>
          <cell r="E2558">
            <v>-1.9</v>
          </cell>
          <cell r="F2558">
            <v>-2.1</v>
          </cell>
          <cell r="G2558">
            <v>-2</v>
          </cell>
          <cell r="H2558">
            <v>-2</v>
          </cell>
          <cell r="I2558">
            <v>-1.9</v>
          </cell>
          <cell r="J2558">
            <v>-1.9</v>
          </cell>
          <cell r="K2558">
            <v>-1.9</v>
          </cell>
          <cell r="L2558">
            <v>-2.1</v>
          </cell>
          <cell r="M2558">
            <v>-2</v>
          </cell>
        </row>
        <row r="2559">
          <cell r="C2559" t="str">
            <v>110kV 172 Tân Bình 1 - 173 Hóc Môn - 131 Lưu Động Bà Điểm</v>
          </cell>
          <cell r="D2559">
            <v>172</v>
          </cell>
          <cell r="E2559">
            <v>-5.4</v>
          </cell>
          <cell r="F2559">
            <v>-21.3</v>
          </cell>
          <cell r="G2559">
            <v>-21.3</v>
          </cell>
          <cell r="H2559">
            <v>-20.100000000000001</v>
          </cell>
          <cell r="I2559">
            <v>-18.5</v>
          </cell>
          <cell r="J2559">
            <v>-5.4</v>
          </cell>
          <cell r="K2559">
            <v>-20.399999999999999</v>
          </cell>
          <cell r="L2559">
            <v>-20.6</v>
          </cell>
          <cell r="M2559">
            <v>-19.8</v>
          </cell>
        </row>
        <row r="2560">
          <cell r="C2560" t="str">
            <v>Tân Bình 1 MBA T1 (phía 22kV)</v>
          </cell>
          <cell r="D2560">
            <v>431</v>
          </cell>
          <cell r="E2560">
            <v>-0.8</v>
          </cell>
          <cell r="F2560">
            <v>-3.3</v>
          </cell>
          <cell r="G2560">
            <v>-3.2</v>
          </cell>
          <cell r="H2560">
            <v>-3.2</v>
          </cell>
          <cell r="I2560">
            <v>-2.8</v>
          </cell>
          <cell r="J2560">
            <v>-0.8</v>
          </cell>
          <cell r="K2560">
            <v>-3.1</v>
          </cell>
          <cell r="L2560">
            <v>-3.3</v>
          </cell>
          <cell r="M2560">
            <v>-3.1</v>
          </cell>
        </row>
        <row r="2561">
          <cell r="C2561" t="str">
            <v>Tân Bình 1 MBA T2 (phía 22kV)</v>
          </cell>
          <cell r="D2561">
            <v>432</v>
          </cell>
          <cell r="E2561">
            <v>-1.3</v>
          </cell>
          <cell r="F2561">
            <v>-4.4000000000000004</v>
          </cell>
          <cell r="G2561">
            <v>-4.4000000000000004</v>
          </cell>
          <cell r="H2561">
            <v>-4.0999999999999996</v>
          </cell>
          <cell r="I2561">
            <v>-3.5</v>
          </cell>
          <cell r="J2561">
            <v>-1.3</v>
          </cell>
          <cell r="K2561">
            <v>-4.2</v>
          </cell>
          <cell r="L2561">
            <v>-4.2</v>
          </cell>
          <cell r="M2561">
            <v>-3.8</v>
          </cell>
        </row>
        <row r="2562">
          <cell r="C2562" t="str">
            <v>Tân Bình 2 MBA T1 (phía 110kV)</v>
          </cell>
          <cell r="D2562">
            <v>131</v>
          </cell>
          <cell r="E2562">
            <v>9.3000000000000007</v>
          </cell>
          <cell r="F2562">
            <v>10.1</v>
          </cell>
          <cell r="G2562">
            <v>9.3000000000000007</v>
          </cell>
          <cell r="H2562">
            <v>9.3000000000000007</v>
          </cell>
          <cell r="I2562">
            <v>9.6</v>
          </cell>
          <cell r="J2562">
            <v>10</v>
          </cell>
          <cell r="K2562">
            <v>10.1</v>
          </cell>
          <cell r="L2562">
            <v>10</v>
          </cell>
          <cell r="M2562">
            <v>9.3000000000000007</v>
          </cell>
        </row>
        <row r="2563">
          <cell r="C2563" t="str">
            <v>Tân Bình 2 MBA T2 (phía 110kV)</v>
          </cell>
          <cell r="D2563">
            <v>132</v>
          </cell>
          <cell r="E2563">
            <v>5.8</v>
          </cell>
          <cell r="F2563">
            <v>8.4</v>
          </cell>
          <cell r="G2563">
            <v>8.4</v>
          </cell>
          <cell r="H2563">
            <v>6.9</v>
          </cell>
          <cell r="I2563">
            <v>6.1</v>
          </cell>
          <cell r="J2563">
            <v>5.8</v>
          </cell>
          <cell r="K2563">
            <v>6.8</v>
          </cell>
          <cell r="L2563">
            <v>6.7</v>
          </cell>
          <cell r="M2563">
            <v>6.1</v>
          </cell>
        </row>
        <row r="2564">
          <cell r="C2564" t="str">
            <v>110kV 171 Tân Bình 2 - 171 Bà Quẹo</v>
          </cell>
          <cell r="D2564">
            <v>171</v>
          </cell>
          <cell r="E2564">
            <v>-14.4</v>
          </cell>
          <cell r="F2564">
            <v>-16.899999999999999</v>
          </cell>
          <cell r="G2564">
            <v>-14.6</v>
          </cell>
          <cell r="H2564">
            <v>-14.4</v>
          </cell>
          <cell r="I2564">
            <v>-15.2</v>
          </cell>
          <cell r="J2564">
            <v>-15.8</v>
          </cell>
          <cell r="K2564">
            <v>-16.899999999999999</v>
          </cell>
          <cell r="L2564">
            <v>-15.9</v>
          </cell>
          <cell r="M2564">
            <v>-14.8</v>
          </cell>
        </row>
        <row r="2565">
          <cell r="C2565" t="str">
            <v>110kV 172 Tân Bình 2 - 171 Pou Yuen - 171 Phú Lâm</v>
          </cell>
          <cell r="D2565">
            <v>172</v>
          </cell>
          <cell r="E2565">
            <v>0</v>
          </cell>
          <cell r="F2565">
            <v>0</v>
          </cell>
          <cell r="G2565">
            <v>0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</row>
        <row r="2566">
          <cell r="C2566" t="str">
            <v>Tân Bình 2 MBA T1 (phía 22kV)</v>
          </cell>
          <cell r="D2566">
            <v>431</v>
          </cell>
          <cell r="E2566">
            <v>10.6</v>
          </cell>
          <cell r="F2566">
            <v>11.3</v>
          </cell>
          <cell r="G2566">
            <v>10.7</v>
          </cell>
          <cell r="H2566">
            <v>10.8</v>
          </cell>
          <cell r="I2566">
            <v>10.8</v>
          </cell>
          <cell r="J2566">
            <v>11.2</v>
          </cell>
          <cell r="K2566">
            <v>11.3</v>
          </cell>
          <cell r="L2566">
            <v>11.2</v>
          </cell>
          <cell r="M2566">
            <v>10.6</v>
          </cell>
        </row>
        <row r="2567">
          <cell r="C2567" t="str">
            <v>Tân Bình 2 MBA T2 (phía 22kV)</v>
          </cell>
          <cell r="D2567">
            <v>432</v>
          </cell>
          <cell r="E2567">
            <v>6.2</v>
          </cell>
          <cell r="F2567">
            <v>7.7</v>
          </cell>
          <cell r="G2567">
            <v>6.2</v>
          </cell>
          <cell r="H2567">
            <v>6.3</v>
          </cell>
          <cell r="I2567">
            <v>6.7</v>
          </cell>
          <cell r="J2567">
            <v>6.7</v>
          </cell>
          <cell r="K2567">
            <v>7.7</v>
          </cell>
          <cell r="L2567">
            <v>6.8</v>
          </cell>
          <cell r="M2567">
            <v>6.5</v>
          </cell>
        </row>
        <row r="2568">
          <cell r="C2568" t="str">
            <v>Tân Bình 3 MBA T1 (phía 110kV)</v>
          </cell>
          <cell r="D2568">
            <v>131</v>
          </cell>
          <cell r="E2568">
            <v>-5.9</v>
          </cell>
          <cell r="F2568">
            <v>-6.7</v>
          </cell>
          <cell r="G2568">
            <v>-6.2</v>
          </cell>
          <cell r="H2568">
            <v>-5.9</v>
          </cell>
          <cell r="I2568">
            <v>-6.1</v>
          </cell>
          <cell r="J2568">
            <v>-6.3</v>
          </cell>
          <cell r="K2568">
            <v>-6.7</v>
          </cell>
          <cell r="L2568">
            <v>-6.3</v>
          </cell>
          <cell r="M2568">
            <v>-6.1</v>
          </cell>
        </row>
        <row r="2569">
          <cell r="C2569" t="str">
            <v>Tân Bình 3 MBA T2 (phía 110kV)</v>
          </cell>
          <cell r="D2569">
            <v>132</v>
          </cell>
          <cell r="E2569">
            <v>-4.7</v>
          </cell>
          <cell r="F2569">
            <v>-5.2</v>
          </cell>
          <cell r="G2569">
            <v>-5.0999999999999996</v>
          </cell>
          <cell r="H2569">
            <v>-4.7</v>
          </cell>
          <cell r="I2569">
            <v>-4.9000000000000004</v>
          </cell>
          <cell r="J2569">
            <v>-4.7</v>
          </cell>
          <cell r="K2569">
            <v>-5.0999999999999996</v>
          </cell>
          <cell r="L2569">
            <v>-5.2</v>
          </cell>
          <cell r="M2569">
            <v>-5</v>
          </cell>
        </row>
        <row r="2570">
          <cell r="C2570" t="str">
            <v>110kV 171 Tân Bình 3 - 171 Tân Bình 1</v>
          </cell>
          <cell r="D2570">
            <v>171</v>
          </cell>
          <cell r="E2570">
            <v>0</v>
          </cell>
          <cell r="F2570">
            <v>0</v>
          </cell>
          <cell r="G2570">
            <v>0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</row>
        <row r="2571">
          <cell r="C2571" t="str">
            <v>110kV 172 Tân Bình 3 - 176 Bình Tân</v>
          </cell>
          <cell r="D2571">
            <v>172</v>
          </cell>
          <cell r="E2571">
            <v>12.1</v>
          </cell>
          <cell r="F2571">
            <v>13.3</v>
          </cell>
          <cell r="G2571">
            <v>12.5</v>
          </cell>
          <cell r="H2571">
            <v>12.1</v>
          </cell>
          <cell r="I2571">
            <v>12.3</v>
          </cell>
          <cell r="J2571">
            <v>12.4</v>
          </cell>
          <cell r="K2571">
            <v>13.1</v>
          </cell>
          <cell r="L2571">
            <v>13.3</v>
          </cell>
          <cell r="M2571">
            <v>12.5</v>
          </cell>
        </row>
        <row r="2572">
          <cell r="C2572" t="str">
            <v>Tân Bình 3 MBA T1 (phía 22kV)</v>
          </cell>
          <cell r="D2572">
            <v>431</v>
          </cell>
          <cell r="E2572">
            <v>-5.6</v>
          </cell>
          <cell r="F2572">
            <v>-6.3</v>
          </cell>
          <cell r="G2572">
            <v>-5.8</v>
          </cell>
          <cell r="H2572">
            <v>-5.6</v>
          </cell>
          <cell r="I2572">
            <v>-5.7</v>
          </cell>
          <cell r="J2572">
            <v>-6.2</v>
          </cell>
          <cell r="K2572">
            <v>-6.3</v>
          </cell>
          <cell r="L2572">
            <v>-6.1</v>
          </cell>
          <cell r="M2572">
            <v>-5.8</v>
          </cell>
        </row>
        <row r="2573">
          <cell r="C2573" t="str">
            <v>Tân Bình 3 MBA T2 (phía 22kV)</v>
          </cell>
          <cell r="D2573">
            <v>432</v>
          </cell>
          <cell r="E2573">
            <v>-4.3</v>
          </cell>
          <cell r="F2573">
            <v>-5</v>
          </cell>
          <cell r="G2573">
            <v>-4.8</v>
          </cell>
          <cell r="H2573">
            <v>-4.3</v>
          </cell>
          <cell r="I2573">
            <v>-4.7</v>
          </cell>
          <cell r="J2573">
            <v>-4.5</v>
          </cell>
          <cell r="K2573">
            <v>-4.8</v>
          </cell>
          <cell r="L2573">
            <v>-5</v>
          </cell>
          <cell r="M2573">
            <v>-4.7</v>
          </cell>
        </row>
        <row r="2574">
          <cell r="C2574" t="str">
            <v>Tân Định MBA AT3 (phía 110kV)</v>
          </cell>
          <cell r="D2574">
            <v>133</v>
          </cell>
          <cell r="E2574">
            <v>13.6</v>
          </cell>
          <cell r="F2574">
            <v>-45.5</v>
          </cell>
          <cell r="G2574">
            <v>-31</v>
          </cell>
          <cell r="H2574">
            <v>-39.1</v>
          </cell>
          <cell r="I2574">
            <v>-25.4</v>
          </cell>
          <cell r="J2574">
            <v>13.6</v>
          </cell>
          <cell r="K2574">
            <v>-28.2</v>
          </cell>
          <cell r="L2574">
            <v>-32.700000000000003</v>
          </cell>
          <cell r="M2574">
            <v>-45.5</v>
          </cell>
        </row>
        <row r="2575">
          <cell r="C2575" t="str">
            <v>Tân Định MBA AT4 (phía 110kV)</v>
          </cell>
          <cell r="D2575">
            <v>134</v>
          </cell>
          <cell r="E2575">
            <v>19.3</v>
          </cell>
          <cell r="F2575">
            <v>-25.8</v>
          </cell>
          <cell r="G2575">
            <v>-25.8</v>
          </cell>
          <cell r="H2575">
            <v>25.7</v>
          </cell>
          <cell r="I2575">
            <v>-20.100000000000001</v>
          </cell>
          <cell r="J2575">
            <v>19.3</v>
          </cell>
          <cell r="K2575">
            <v>-23.7</v>
          </cell>
          <cell r="L2575">
            <v>-23.4</v>
          </cell>
          <cell r="M2575">
            <v>-23.4</v>
          </cell>
        </row>
        <row r="2576">
          <cell r="C2576" t="str">
            <v>110kV 173 Tân Định - 172 Vĩnh Trường</v>
          </cell>
          <cell r="D2576">
            <v>173</v>
          </cell>
          <cell r="E2576">
            <v>-10.9</v>
          </cell>
          <cell r="F2576">
            <v>19.600000000000001</v>
          </cell>
          <cell r="G2576">
            <v>18.8</v>
          </cell>
          <cell r="H2576">
            <v>18.8</v>
          </cell>
          <cell r="I2576">
            <v>19.600000000000001</v>
          </cell>
          <cell r="J2576">
            <v>-10.9</v>
          </cell>
          <cell r="K2576">
            <v>16</v>
          </cell>
          <cell r="L2576">
            <v>17.8</v>
          </cell>
          <cell r="M2576">
            <v>17.2</v>
          </cell>
        </row>
        <row r="2577">
          <cell r="C2577" t="str">
            <v>110kV 174 Tân Định - 171 Bàu Bèo</v>
          </cell>
          <cell r="D2577">
            <v>174</v>
          </cell>
          <cell r="E2577">
            <v>6.7</v>
          </cell>
          <cell r="F2577">
            <v>-11.7</v>
          </cell>
          <cell r="G2577">
            <v>8.1</v>
          </cell>
          <cell r="H2577">
            <v>7.3</v>
          </cell>
          <cell r="I2577">
            <v>6.7</v>
          </cell>
          <cell r="J2577">
            <v>-11.7</v>
          </cell>
          <cell r="K2577">
            <v>-9.6</v>
          </cell>
          <cell r="L2577">
            <v>-8.1999999999999993</v>
          </cell>
          <cell r="M2577">
            <v>6.8</v>
          </cell>
        </row>
        <row r="2578">
          <cell r="C2578" t="str">
            <v>110kV 179 Tân Định - 172 Bến Cát</v>
          </cell>
          <cell r="D2578">
            <v>179</v>
          </cell>
          <cell r="E2578">
            <v>-0.8</v>
          </cell>
          <cell r="F2578">
            <v>6.1</v>
          </cell>
          <cell r="G2578">
            <v>-0.8</v>
          </cell>
          <cell r="H2578">
            <v>-0.9</v>
          </cell>
          <cell r="I2578">
            <v>-0.8</v>
          </cell>
          <cell r="J2578">
            <v>6.1</v>
          </cell>
          <cell r="K2578">
            <v>-1</v>
          </cell>
          <cell r="L2578">
            <v>-0.8</v>
          </cell>
          <cell r="M2578">
            <v>-0.8</v>
          </cell>
        </row>
        <row r="2579">
          <cell r="C2579" t="str">
            <v>110kV 180 Tân Định - T55</v>
          </cell>
          <cell r="D2579">
            <v>180</v>
          </cell>
          <cell r="E2579">
            <v>-1.3</v>
          </cell>
          <cell r="F2579">
            <v>-1.4</v>
          </cell>
          <cell r="G2579">
            <v>-1.3</v>
          </cell>
          <cell r="H2579">
            <v>-1.3</v>
          </cell>
          <cell r="I2579">
            <v>-1.4</v>
          </cell>
          <cell r="J2579">
            <v>-1.4</v>
          </cell>
          <cell r="K2579">
            <v>-1.3</v>
          </cell>
          <cell r="L2579">
            <v>-1.3</v>
          </cell>
          <cell r="M2579">
            <v>-1.3</v>
          </cell>
        </row>
        <row r="2580">
          <cell r="C2580" t="str">
            <v>110kV 181 Tân Định - 172 Hòa Lợi</v>
          </cell>
          <cell r="D2580">
            <v>181</v>
          </cell>
          <cell r="E2580">
            <v>9</v>
          </cell>
          <cell r="F2580">
            <v>21.1</v>
          </cell>
          <cell r="G2580">
            <v>16.7</v>
          </cell>
          <cell r="H2580">
            <v>21.1</v>
          </cell>
          <cell r="I2580">
            <v>18.5</v>
          </cell>
          <cell r="J2580">
            <v>9</v>
          </cell>
          <cell r="K2580">
            <v>20.3</v>
          </cell>
          <cell r="L2580">
            <v>16.8</v>
          </cell>
          <cell r="M2580">
            <v>17.7</v>
          </cell>
        </row>
        <row r="2581">
          <cell r="C2581" t="str">
            <v>110kV 182 Tân Định - 171 Hòa Phú</v>
          </cell>
          <cell r="D2581">
            <v>182</v>
          </cell>
          <cell r="E2581">
            <v>-7.5</v>
          </cell>
          <cell r="F2581">
            <v>17.2</v>
          </cell>
          <cell r="G2581">
            <v>17.2</v>
          </cell>
          <cell r="H2581">
            <v>14.7</v>
          </cell>
          <cell r="I2581">
            <v>13.4</v>
          </cell>
          <cell r="J2581">
            <v>-7.5</v>
          </cell>
          <cell r="K2581">
            <v>14.1</v>
          </cell>
          <cell r="L2581">
            <v>16.600000000000001</v>
          </cell>
          <cell r="M2581">
            <v>14.3</v>
          </cell>
        </row>
        <row r="2582">
          <cell r="C2582" t="str">
            <v>Tân Định MBA AT1 (phía 220kV)</v>
          </cell>
          <cell r="D2582">
            <v>231</v>
          </cell>
          <cell r="E2582">
            <v>-38.9</v>
          </cell>
          <cell r="F2582">
            <v>87.9</v>
          </cell>
          <cell r="G2582">
            <v>81.2</v>
          </cell>
          <cell r="H2582">
            <v>87.9</v>
          </cell>
          <cell r="I2582">
            <v>58.1</v>
          </cell>
          <cell r="J2582">
            <v>-38.9</v>
          </cell>
          <cell r="K2582">
            <v>50</v>
          </cell>
          <cell r="L2582">
            <v>73</v>
          </cell>
          <cell r="M2582">
            <v>-75.900000000000006</v>
          </cell>
        </row>
        <row r="2583">
          <cell r="C2583" t="str">
            <v>Tân Định MBA AT2 (phía 220kV)</v>
          </cell>
          <cell r="D2583">
            <v>232</v>
          </cell>
          <cell r="E2583">
            <v>-42.3</v>
          </cell>
          <cell r="F2583">
            <v>-94.3</v>
          </cell>
          <cell r="G2583">
            <v>-91.1</v>
          </cell>
          <cell r="H2583">
            <v>-94.3</v>
          </cell>
          <cell r="I2583">
            <v>-49.2</v>
          </cell>
          <cell r="J2583">
            <v>-42.3</v>
          </cell>
          <cell r="K2583">
            <v>-54.8</v>
          </cell>
          <cell r="L2583">
            <v>-62.1</v>
          </cell>
          <cell r="M2583">
            <v>76.400000000000006</v>
          </cell>
        </row>
        <row r="2584">
          <cell r="C2584" t="str">
            <v>Tân Định MBA AT3 (phía 220kV)</v>
          </cell>
          <cell r="D2584">
            <v>233</v>
          </cell>
          <cell r="E2584">
            <v>26</v>
          </cell>
          <cell r="F2584">
            <v>72.900000000000006</v>
          </cell>
          <cell r="G2584">
            <v>59.7</v>
          </cell>
          <cell r="H2584">
            <v>68.400000000000006</v>
          </cell>
          <cell r="I2584">
            <v>52.5</v>
          </cell>
          <cell r="J2584">
            <v>26</v>
          </cell>
          <cell r="K2584">
            <v>57.1</v>
          </cell>
          <cell r="L2584">
            <v>59.1</v>
          </cell>
          <cell r="M2584">
            <v>72.900000000000006</v>
          </cell>
        </row>
        <row r="2585">
          <cell r="C2585" t="str">
            <v>Tân Định MBA AT4 (phía 220kV)</v>
          </cell>
          <cell r="D2585">
            <v>234</v>
          </cell>
          <cell r="E2585">
            <v>19.899999999999999</v>
          </cell>
          <cell r="F2585">
            <v>54</v>
          </cell>
          <cell r="G2585">
            <v>54</v>
          </cell>
          <cell r="H2585">
            <v>50.5</v>
          </cell>
          <cell r="I2585">
            <v>46.4</v>
          </cell>
          <cell r="J2585">
            <v>19.899999999999999</v>
          </cell>
          <cell r="K2585">
            <v>51.5</v>
          </cell>
          <cell r="L2585">
            <v>51.2</v>
          </cell>
          <cell r="M2585">
            <v>51.6</v>
          </cell>
        </row>
        <row r="2586">
          <cell r="C2586" t="str">
            <v>220kV 271 Tân Định - 275 Củ Chi 2</v>
          </cell>
          <cell r="D2586">
            <v>271</v>
          </cell>
          <cell r="E2586">
            <v>14.5</v>
          </cell>
          <cell r="F2586">
            <v>-54.5</v>
          </cell>
          <cell r="G2586">
            <v>-36.4</v>
          </cell>
          <cell r="H2586">
            <v>-54.5</v>
          </cell>
          <cell r="I2586">
            <v>-16.899999999999999</v>
          </cell>
          <cell r="J2586">
            <v>14.5</v>
          </cell>
          <cell r="K2586">
            <v>-15.1</v>
          </cell>
          <cell r="L2586">
            <v>38.200000000000003</v>
          </cell>
          <cell r="M2586">
            <v>-51</v>
          </cell>
        </row>
        <row r="2587">
          <cell r="C2587" t="str">
            <v>220kV 273 Tân Định - 273 Bình Hòa</v>
          </cell>
          <cell r="D2587">
            <v>273</v>
          </cell>
          <cell r="E2587">
            <v>44.8</v>
          </cell>
          <cell r="F2587">
            <v>-67</v>
          </cell>
          <cell r="G2587">
            <v>52.5</v>
          </cell>
          <cell r="H2587">
            <v>49.5</v>
          </cell>
          <cell r="I2587">
            <v>44.8</v>
          </cell>
          <cell r="J2587">
            <v>-49</v>
          </cell>
          <cell r="K2587">
            <v>-67</v>
          </cell>
          <cell r="L2587">
            <v>-57.6</v>
          </cell>
          <cell r="M2587">
            <v>-58.8</v>
          </cell>
        </row>
        <row r="2588">
          <cell r="C2588" t="str">
            <v>220kV 274 Tân Định - 274 Bình Hòa</v>
          </cell>
          <cell r="D2588">
            <v>274</v>
          </cell>
          <cell r="E2588">
            <v>-38</v>
          </cell>
          <cell r="F2588">
            <v>-69.7</v>
          </cell>
          <cell r="G2588">
            <v>-57.4</v>
          </cell>
          <cell r="H2588">
            <v>-61.3</v>
          </cell>
          <cell r="I2588">
            <v>-44.1</v>
          </cell>
          <cell r="J2588">
            <v>-38</v>
          </cell>
          <cell r="K2588">
            <v>-69.3</v>
          </cell>
          <cell r="L2588">
            <v>-69.7</v>
          </cell>
          <cell r="M2588">
            <v>-56.6</v>
          </cell>
        </row>
        <row r="2589">
          <cell r="C2589" t="str">
            <v>220kV 279 Tân Định - 274 Mỹ Phước</v>
          </cell>
          <cell r="D2589">
            <v>279</v>
          </cell>
          <cell r="E2589">
            <v>0</v>
          </cell>
          <cell r="F2589">
            <v>69.7</v>
          </cell>
          <cell r="G2589">
            <v>-49.1</v>
          </cell>
          <cell r="H2589">
            <v>-37.200000000000003</v>
          </cell>
          <cell r="I2589">
            <v>69.7</v>
          </cell>
          <cell r="J2589">
            <v>-38.5</v>
          </cell>
          <cell r="K2589">
            <v>0</v>
          </cell>
          <cell r="L2589">
            <v>0</v>
          </cell>
          <cell r="M2589">
            <v>0</v>
          </cell>
        </row>
        <row r="2590">
          <cell r="C2590" t="str">
            <v>Tân Định MBA AT1 (phía 500kV)</v>
          </cell>
          <cell r="D2590">
            <v>531</v>
          </cell>
          <cell r="E2590">
            <v>62.7</v>
          </cell>
          <cell r="F2590">
            <v>150.30000000000001</v>
          </cell>
          <cell r="G2590">
            <v>143.1</v>
          </cell>
          <cell r="H2590">
            <v>150.30000000000001</v>
          </cell>
          <cell r="I2590">
            <v>106</v>
          </cell>
          <cell r="J2590">
            <v>62.7</v>
          </cell>
          <cell r="K2590">
            <v>111.7</v>
          </cell>
          <cell r="L2590">
            <v>145.80000000000001</v>
          </cell>
          <cell r="M2590">
            <v>123.4</v>
          </cell>
        </row>
        <row r="2591">
          <cell r="C2591" t="str">
            <v>Tân Định MBA AT2 (phía 500kV)</v>
          </cell>
          <cell r="D2591">
            <v>532</v>
          </cell>
          <cell r="E2591">
            <v>72.099999999999994</v>
          </cell>
          <cell r="F2591">
            <v>158.5</v>
          </cell>
          <cell r="G2591">
            <v>155.30000000000001</v>
          </cell>
          <cell r="H2591">
            <v>158.5</v>
          </cell>
          <cell r="I2591">
            <v>117.7</v>
          </cell>
          <cell r="J2591">
            <v>72.099999999999994</v>
          </cell>
          <cell r="K2591">
            <v>124.2</v>
          </cell>
          <cell r="L2591">
            <v>132.1</v>
          </cell>
          <cell r="M2591">
            <v>110.6</v>
          </cell>
        </row>
        <row r="2592">
          <cell r="C2592" t="str">
            <v>Tân Đông Hiệp MBA T1 (phía 110kV)</v>
          </cell>
          <cell r="D2592">
            <v>131</v>
          </cell>
          <cell r="E2592">
            <v>-4.3</v>
          </cell>
          <cell r="F2592">
            <v>10.7</v>
          </cell>
          <cell r="G2592">
            <v>-5.9</v>
          </cell>
          <cell r="H2592">
            <v>10.7</v>
          </cell>
          <cell r="I2592">
            <v>7.4</v>
          </cell>
          <cell r="J2592">
            <v>-4.3</v>
          </cell>
          <cell r="K2592">
            <v>8.1999999999999993</v>
          </cell>
          <cell r="L2592">
            <v>9.4</v>
          </cell>
          <cell r="M2592">
            <v>8.6999999999999993</v>
          </cell>
        </row>
        <row r="2593">
          <cell r="C2593" t="str">
            <v>Tân Đông Hiệp MBA T2 (phía 110kV)</v>
          </cell>
          <cell r="D2593">
            <v>132</v>
          </cell>
          <cell r="E2593">
            <v>-11.1</v>
          </cell>
          <cell r="F2593">
            <v>-14</v>
          </cell>
          <cell r="G2593">
            <v>-13.7</v>
          </cell>
          <cell r="H2593">
            <v>-13</v>
          </cell>
          <cell r="I2593">
            <v>-11.1</v>
          </cell>
          <cell r="J2593">
            <v>-14</v>
          </cell>
          <cell r="K2593">
            <v>-11.9</v>
          </cell>
          <cell r="L2593">
            <v>-12.8</v>
          </cell>
          <cell r="M2593">
            <v>-13.8</v>
          </cell>
        </row>
        <row r="2594">
          <cell r="C2594" t="str">
            <v>110kV 171 Tân Đông Hiệp - 178 Bình Hòa</v>
          </cell>
          <cell r="D2594">
            <v>171</v>
          </cell>
          <cell r="E2594">
            <v>-8.1999999999999993</v>
          </cell>
          <cell r="F2594">
            <v>15</v>
          </cell>
          <cell r="G2594">
            <v>12.1</v>
          </cell>
          <cell r="H2594">
            <v>-8.1999999999999993</v>
          </cell>
          <cell r="I2594">
            <v>-10</v>
          </cell>
          <cell r="J2594">
            <v>15</v>
          </cell>
          <cell r="K2594">
            <v>10.1</v>
          </cell>
          <cell r="L2594">
            <v>9.9</v>
          </cell>
          <cell r="M2594">
            <v>12.3</v>
          </cell>
        </row>
        <row r="2595">
          <cell r="C2595" t="str">
            <v>110kV 172 Tân Đông Hiệp - 131 Sun Steel</v>
          </cell>
          <cell r="D2595">
            <v>172</v>
          </cell>
          <cell r="E2595">
            <v>0</v>
          </cell>
          <cell r="F2595">
            <v>0</v>
          </cell>
          <cell r="G2595">
            <v>0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</row>
        <row r="2596">
          <cell r="C2596" t="str">
            <v>110kV 173 Tân Đông Hiệp - 171 Thuận Giao</v>
          </cell>
          <cell r="D2596">
            <v>173</v>
          </cell>
          <cell r="E2596">
            <v>0</v>
          </cell>
          <cell r="F2596">
            <v>0</v>
          </cell>
          <cell r="G2596">
            <v>0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</row>
        <row r="2597">
          <cell r="C2597" t="str">
            <v>Tân Đông Hiệp MBA T1 (phía 22kV)</v>
          </cell>
          <cell r="D2597">
            <v>431</v>
          </cell>
          <cell r="E2597">
            <v>4.9000000000000004</v>
          </cell>
          <cell r="F2597">
            <v>8.3000000000000007</v>
          </cell>
          <cell r="G2597">
            <v>7.9</v>
          </cell>
          <cell r="H2597">
            <v>8.3000000000000007</v>
          </cell>
          <cell r="I2597">
            <v>4.9000000000000004</v>
          </cell>
          <cell r="J2597">
            <v>5</v>
          </cell>
          <cell r="K2597">
            <v>8.3000000000000007</v>
          </cell>
          <cell r="L2597">
            <v>8.1999999999999993</v>
          </cell>
          <cell r="M2597">
            <v>-5.9</v>
          </cell>
        </row>
        <row r="2598">
          <cell r="C2598" t="str">
            <v>Tân Đông Hiệp MBA T2 (phía 22kV)</v>
          </cell>
          <cell r="D2598">
            <v>432</v>
          </cell>
          <cell r="E2598">
            <v>12.3</v>
          </cell>
          <cell r="F2598">
            <v>15.1</v>
          </cell>
          <cell r="G2598">
            <v>14.8</v>
          </cell>
          <cell r="H2598">
            <v>14.2</v>
          </cell>
          <cell r="I2598">
            <v>12.3</v>
          </cell>
          <cell r="J2598">
            <v>15.1</v>
          </cell>
          <cell r="K2598">
            <v>12.9</v>
          </cell>
          <cell r="L2598">
            <v>14</v>
          </cell>
          <cell r="M2598">
            <v>15.1</v>
          </cell>
        </row>
        <row r="2599">
          <cell r="C2599" t="str">
            <v>Tân Hiệp MBA T1 (phía 110kV)</v>
          </cell>
          <cell r="D2599">
            <v>131</v>
          </cell>
          <cell r="E2599">
            <v>1.9</v>
          </cell>
          <cell r="F2599">
            <v>11.8</v>
          </cell>
          <cell r="G2599">
            <v>8.8000000000000007</v>
          </cell>
          <cell r="H2599">
            <v>9</v>
          </cell>
          <cell r="I2599">
            <v>8.3000000000000007</v>
          </cell>
          <cell r="J2599">
            <v>1.9</v>
          </cell>
          <cell r="K2599">
            <v>8.4</v>
          </cell>
          <cell r="L2599">
            <v>10.7</v>
          </cell>
          <cell r="M2599">
            <v>11.8</v>
          </cell>
        </row>
        <row r="2600">
          <cell r="C2600" t="str">
            <v>Tân Hiệp MBA T2 (phía 110kV)</v>
          </cell>
          <cell r="D2600">
            <v>132</v>
          </cell>
          <cell r="E2600">
            <v>-3.1</v>
          </cell>
          <cell r="F2600">
            <v>5.5</v>
          </cell>
          <cell r="G2600">
            <v>4.9000000000000004</v>
          </cell>
          <cell r="H2600">
            <v>5.4</v>
          </cell>
          <cell r="I2600">
            <v>5.0999999999999996</v>
          </cell>
          <cell r="J2600">
            <v>-3.1</v>
          </cell>
          <cell r="K2600">
            <v>4.8</v>
          </cell>
          <cell r="L2600">
            <v>5.5</v>
          </cell>
          <cell r="M2600">
            <v>4.8</v>
          </cell>
        </row>
        <row r="2601">
          <cell r="C2601" t="str">
            <v>110kV 171 Tân Hiệp - 177 Cầu Bông</v>
          </cell>
          <cell r="D2601">
            <v>171</v>
          </cell>
          <cell r="E2601">
            <v>7</v>
          </cell>
          <cell r="F2601">
            <v>-25</v>
          </cell>
          <cell r="G2601">
            <v>-23.3</v>
          </cell>
          <cell r="H2601">
            <v>-23.2</v>
          </cell>
          <cell r="I2601">
            <v>-22.2</v>
          </cell>
          <cell r="J2601">
            <v>7</v>
          </cell>
          <cell r="K2601">
            <v>-21.2</v>
          </cell>
          <cell r="L2601">
            <v>-24.5</v>
          </cell>
          <cell r="M2601">
            <v>-25</v>
          </cell>
        </row>
        <row r="2602">
          <cell r="C2602" t="str">
            <v>110kV 172 Tân Hiệp - 171 Đông Thạnh</v>
          </cell>
          <cell r="D2602">
            <v>172</v>
          </cell>
          <cell r="E2602">
            <v>-3</v>
          </cell>
          <cell r="F2602">
            <v>9.6999999999999993</v>
          </cell>
          <cell r="G2602">
            <v>9.3000000000000007</v>
          </cell>
          <cell r="H2602">
            <v>9.5</v>
          </cell>
          <cell r="I2602">
            <v>9.1999999999999993</v>
          </cell>
          <cell r="J2602">
            <v>-3</v>
          </cell>
          <cell r="K2602">
            <v>8.5</v>
          </cell>
          <cell r="L2602">
            <v>8.9</v>
          </cell>
          <cell r="M2602">
            <v>9.6999999999999993</v>
          </cell>
        </row>
        <row r="2603">
          <cell r="C2603" t="str">
            <v>Tân Hiệp MBA T1 (phía 22kV)</v>
          </cell>
          <cell r="D2603">
            <v>431</v>
          </cell>
          <cell r="E2603">
            <v>2.4</v>
          </cell>
          <cell r="F2603">
            <v>-6.7</v>
          </cell>
          <cell r="G2603">
            <v>-6.1</v>
          </cell>
          <cell r="H2603">
            <v>-5.8</v>
          </cell>
          <cell r="I2603">
            <v>-5.4</v>
          </cell>
          <cell r="J2603">
            <v>2.4</v>
          </cell>
          <cell r="K2603">
            <v>-5.3</v>
          </cell>
          <cell r="L2603">
            <v>-6.3</v>
          </cell>
          <cell r="M2603">
            <v>-6.7</v>
          </cell>
        </row>
        <row r="2604">
          <cell r="C2604" t="str">
            <v>Tân Hiệp MBA T2 (phía 22kV)</v>
          </cell>
          <cell r="D2604">
            <v>432</v>
          </cell>
          <cell r="E2604">
            <v>3.4</v>
          </cell>
          <cell r="F2604">
            <v>4.3</v>
          </cell>
          <cell r="G2604">
            <v>3.5</v>
          </cell>
          <cell r="H2604">
            <v>-3.7</v>
          </cell>
          <cell r="I2604">
            <v>3.5</v>
          </cell>
          <cell r="J2604">
            <v>4.0999999999999996</v>
          </cell>
          <cell r="K2604">
            <v>4.3</v>
          </cell>
          <cell r="L2604">
            <v>-3.8</v>
          </cell>
          <cell r="M2604">
            <v>3.4</v>
          </cell>
        </row>
        <row r="2605">
          <cell r="C2605" t="str">
            <v>Tân Hòa MBA T1 (phía 110kV)</v>
          </cell>
          <cell r="D2605">
            <v>131</v>
          </cell>
          <cell r="E2605">
            <v>-4.7</v>
          </cell>
          <cell r="F2605">
            <v>6.4</v>
          </cell>
          <cell r="G2605">
            <v>6.3</v>
          </cell>
          <cell r="H2605">
            <v>-4.7</v>
          </cell>
          <cell r="I2605">
            <v>-4.8</v>
          </cell>
          <cell r="J2605">
            <v>-6.3</v>
          </cell>
          <cell r="K2605">
            <v>6.3</v>
          </cell>
          <cell r="L2605">
            <v>6.4</v>
          </cell>
          <cell r="M2605">
            <v>5.4</v>
          </cell>
        </row>
        <row r="2606">
          <cell r="C2606" t="str">
            <v>Tân Hòa MBA T2 (phía 110kV)</v>
          </cell>
          <cell r="D2606">
            <v>132</v>
          </cell>
          <cell r="E2606">
            <v>-3.6</v>
          </cell>
          <cell r="F2606">
            <v>9.9</v>
          </cell>
          <cell r="G2606">
            <v>9.9</v>
          </cell>
          <cell r="H2606">
            <v>9.6</v>
          </cell>
          <cell r="I2606">
            <v>7.5</v>
          </cell>
          <cell r="J2606">
            <v>-3.6</v>
          </cell>
          <cell r="K2606">
            <v>8.6</v>
          </cell>
          <cell r="L2606">
            <v>9.6</v>
          </cell>
          <cell r="M2606">
            <v>9.5</v>
          </cell>
        </row>
        <row r="2607">
          <cell r="C2607" t="str">
            <v>110kV 171 Tân Hòa - 172 Thạnh Phú</v>
          </cell>
          <cell r="D2607">
            <v>171</v>
          </cell>
          <cell r="E2607">
            <v>0.1</v>
          </cell>
          <cell r="F2607">
            <v>0.1</v>
          </cell>
          <cell r="G2607">
            <v>0.1</v>
          </cell>
          <cell r="H2607">
            <v>0.1</v>
          </cell>
          <cell r="I2607">
            <v>0.1</v>
          </cell>
          <cell r="J2607">
            <v>0.1</v>
          </cell>
          <cell r="K2607">
            <v>0.1</v>
          </cell>
          <cell r="L2607">
            <v>0.1</v>
          </cell>
          <cell r="M2607">
            <v>0.1</v>
          </cell>
        </row>
        <row r="2608">
          <cell r="C2608" t="str">
            <v>110kV 172 Tân Hòa - 171 Bắc Sơn</v>
          </cell>
          <cell r="D2608">
            <v>172</v>
          </cell>
          <cell r="E2608">
            <v>10.6</v>
          </cell>
          <cell r="F2608">
            <v>-15.4</v>
          </cell>
          <cell r="G2608">
            <v>-15.4</v>
          </cell>
          <cell r="H2608">
            <v>-13.7</v>
          </cell>
          <cell r="I2608">
            <v>-11.1</v>
          </cell>
          <cell r="J2608">
            <v>10.6</v>
          </cell>
          <cell r="K2608">
            <v>-14.5</v>
          </cell>
          <cell r="L2608">
            <v>-15.1</v>
          </cell>
          <cell r="M2608">
            <v>-14.3</v>
          </cell>
        </row>
        <row r="2609">
          <cell r="C2609" t="str">
            <v>110kV 173 Tân Hòa - 173 NMĐ Trị An</v>
          </cell>
          <cell r="D2609">
            <v>173</v>
          </cell>
          <cell r="E2609">
            <v>-0.7</v>
          </cell>
          <cell r="F2609">
            <v>-0.7</v>
          </cell>
          <cell r="G2609">
            <v>-0.7</v>
          </cell>
          <cell r="H2609">
            <v>-0.7</v>
          </cell>
          <cell r="I2609">
            <v>-0.7</v>
          </cell>
          <cell r="J2609">
            <v>-0.7</v>
          </cell>
          <cell r="K2609">
            <v>-0.7</v>
          </cell>
          <cell r="L2609">
            <v>-0.7</v>
          </cell>
          <cell r="M2609">
            <v>-0.7</v>
          </cell>
        </row>
        <row r="2610">
          <cell r="C2610" t="str">
            <v>Tân Hòa MBA T1 (phía 22kV)</v>
          </cell>
          <cell r="D2610">
            <v>431</v>
          </cell>
          <cell r="E2610">
            <v>5.6</v>
          </cell>
          <cell r="F2610">
            <v>7.4</v>
          </cell>
          <cell r="G2610">
            <v>6.5</v>
          </cell>
          <cell r="H2610">
            <v>5.8</v>
          </cell>
          <cell r="I2610">
            <v>7.4</v>
          </cell>
          <cell r="J2610">
            <v>7.2</v>
          </cell>
          <cell r="K2610">
            <v>7.1</v>
          </cell>
          <cell r="L2610">
            <v>7.2</v>
          </cell>
          <cell r="M2610">
            <v>5.6</v>
          </cell>
        </row>
        <row r="2611">
          <cell r="C2611" t="str">
            <v>Tân Hòa MBA T2 (phía 22kV)</v>
          </cell>
          <cell r="D2611">
            <v>432</v>
          </cell>
          <cell r="E2611">
            <v>4.7</v>
          </cell>
          <cell r="F2611">
            <v>-6.6</v>
          </cell>
          <cell r="G2611">
            <v>-6.6</v>
          </cell>
          <cell r="H2611">
            <v>-6</v>
          </cell>
          <cell r="I2611">
            <v>-4.7</v>
          </cell>
          <cell r="J2611">
            <v>4.7</v>
          </cell>
          <cell r="K2611">
            <v>5.4</v>
          </cell>
          <cell r="L2611">
            <v>-6.2</v>
          </cell>
          <cell r="M2611">
            <v>-6.3</v>
          </cell>
        </row>
        <row r="2612">
          <cell r="C2612" t="str">
            <v>Tân Hưng MBA T1 (phía 110kV)</v>
          </cell>
          <cell r="D2612">
            <v>131</v>
          </cell>
          <cell r="E2612">
            <v>3.5</v>
          </cell>
          <cell r="F2612">
            <v>-5.9</v>
          </cell>
          <cell r="G2612">
            <v>-5.3</v>
          </cell>
          <cell r="H2612">
            <v>-5</v>
          </cell>
          <cell r="I2612">
            <v>-5.9</v>
          </cell>
          <cell r="J2612">
            <v>4.3</v>
          </cell>
          <cell r="K2612">
            <v>3.5</v>
          </cell>
          <cell r="L2612">
            <v>-4.4000000000000004</v>
          </cell>
          <cell r="M2612">
            <v>-5.0999999999999996</v>
          </cell>
        </row>
        <row r="2613">
          <cell r="C2613" t="str">
            <v>Tân Hưng MBA T2 (phía 110kV)</v>
          </cell>
          <cell r="D2613">
            <v>132</v>
          </cell>
          <cell r="E2613">
            <v>-2.5</v>
          </cell>
          <cell r="F2613">
            <v>-4.5</v>
          </cell>
          <cell r="G2613">
            <v>-2.5</v>
          </cell>
          <cell r="H2613">
            <v>-4.5</v>
          </cell>
          <cell r="I2613">
            <v>-4</v>
          </cell>
          <cell r="J2613">
            <v>-2.6</v>
          </cell>
          <cell r="K2613">
            <v>-4.3</v>
          </cell>
          <cell r="L2613">
            <v>-3.7</v>
          </cell>
          <cell r="M2613">
            <v>-3.2</v>
          </cell>
        </row>
        <row r="2614">
          <cell r="C2614" t="str">
            <v>110kV 171 Tân Hưng - 171 trạm cắt Tây Ninh 1</v>
          </cell>
          <cell r="D2614">
            <v>171</v>
          </cell>
          <cell r="E2614">
            <v>6.7</v>
          </cell>
          <cell r="F2614">
            <v>11.1</v>
          </cell>
          <cell r="G2614">
            <v>7.2</v>
          </cell>
          <cell r="H2614">
            <v>10.199999999999999</v>
          </cell>
          <cell r="I2614">
            <v>9.3000000000000007</v>
          </cell>
          <cell r="J2614">
            <v>-7.8</v>
          </cell>
          <cell r="K2614">
            <v>6.7</v>
          </cell>
          <cell r="L2614">
            <v>-9.5</v>
          </cell>
          <cell r="M2614">
            <v>11.1</v>
          </cell>
        </row>
        <row r="2615">
          <cell r="C2615" t="str">
            <v>110kV 172 Tân Hưng - 171 Tân Biên</v>
          </cell>
          <cell r="D2615">
            <v>172</v>
          </cell>
          <cell r="E2615">
            <v>2.9</v>
          </cell>
          <cell r="F2615">
            <v>6.2</v>
          </cell>
          <cell r="G2615">
            <v>2.9</v>
          </cell>
          <cell r="H2615">
            <v>-3.6</v>
          </cell>
          <cell r="I2615">
            <v>-4</v>
          </cell>
          <cell r="J2615">
            <v>4.5</v>
          </cell>
          <cell r="K2615">
            <v>-4.0999999999999996</v>
          </cell>
          <cell r="L2615">
            <v>5.7</v>
          </cell>
          <cell r="M2615">
            <v>6.2</v>
          </cell>
        </row>
        <row r="2616">
          <cell r="C2616" t="str">
            <v>Tân Hưng MBA T1 (phía 22kV)</v>
          </cell>
          <cell r="D2616">
            <v>431</v>
          </cell>
          <cell r="E2616">
            <v>-1.8</v>
          </cell>
          <cell r="F2616">
            <v>6.7</v>
          </cell>
          <cell r="G2616">
            <v>6.2</v>
          </cell>
          <cell r="H2616">
            <v>6.3</v>
          </cell>
          <cell r="I2616">
            <v>6.7</v>
          </cell>
          <cell r="J2616">
            <v>-2.1</v>
          </cell>
          <cell r="K2616">
            <v>-1.8</v>
          </cell>
          <cell r="L2616">
            <v>5.0999999999999996</v>
          </cell>
          <cell r="M2616">
            <v>6.3</v>
          </cell>
        </row>
        <row r="2617">
          <cell r="C2617" t="str">
            <v>Tân Hưng MBA T2 (phía 22kV)</v>
          </cell>
          <cell r="D2617">
            <v>432</v>
          </cell>
          <cell r="E2617">
            <v>3.8</v>
          </cell>
          <cell r="F2617">
            <v>5.3</v>
          </cell>
          <cell r="G2617">
            <v>3.8</v>
          </cell>
          <cell r="H2617">
            <v>5.3</v>
          </cell>
          <cell r="I2617">
            <v>5.2</v>
          </cell>
          <cell r="J2617">
            <v>4.2</v>
          </cell>
          <cell r="K2617">
            <v>5.3</v>
          </cell>
          <cell r="L2617">
            <v>4.5999999999999996</v>
          </cell>
          <cell r="M2617">
            <v>5</v>
          </cell>
        </row>
        <row r="2618">
          <cell r="C2618" t="str">
            <v>Tân Hưng Tụ Bù Ngang 101</v>
          </cell>
          <cell r="D2618" t="str">
            <v>T101</v>
          </cell>
          <cell r="E2618">
            <v>0</v>
          </cell>
          <cell r="F2618">
            <v>0</v>
          </cell>
          <cell r="G2618">
            <v>0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</row>
        <row r="2619">
          <cell r="C2619" t="str">
            <v>Tân Hưng Tây MBA T1 (phía 110kV)</v>
          </cell>
          <cell r="D2619">
            <v>131</v>
          </cell>
          <cell r="E2619">
            <v>1</v>
          </cell>
          <cell r="F2619">
            <v>1.5</v>
          </cell>
          <cell r="G2619">
            <v>1.5</v>
          </cell>
          <cell r="H2619">
            <v>1</v>
          </cell>
          <cell r="I2619">
            <v>1.3</v>
          </cell>
          <cell r="J2619">
            <v>1</v>
          </cell>
          <cell r="K2619">
            <v>1.2</v>
          </cell>
          <cell r="L2619">
            <v>1</v>
          </cell>
          <cell r="M2619">
            <v>1.1000000000000001</v>
          </cell>
        </row>
        <row r="2620">
          <cell r="C2620" t="str">
            <v>Tân Hưng Tây MBA T1 (phía 22kV)</v>
          </cell>
          <cell r="D2620">
            <v>431</v>
          </cell>
          <cell r="E2620">
            <v>1.8</v>
          </cell>
          <cell r="F2620">
            <v>1.9</v>
          </cell>
          <cell r="G2620">
            <v>1.8</v>
          </cell>
          <cell r="H2620">
            <v>1.8</v>
          </cell>
          <cell r="I2620">
            <v>1.8</v>
          </cell>
          <cell r="J2620">
            <v>1.9</v>
          </cell>
          <cell r="K2620">
            <v>-1.9</v>
          </cell>
          <cell r="L2620">
            <v>1.9</v>
          </cell>
          <cell r="M2620">
            <v>1.9</v>
          </cell>
        </row>
        <row r="2621">
          <cell r="C2621" t="str">
            <v>Tân Hương MBA T1 (phía 110kV)</v>
          </cell>
          <cell r="D2621">
            <v>131</v>
          </cell>
          <cell r="E2621">
            <v>2.5</v>
          </cell>
          <cell r="F2621">
            <v>-4.3</v>
          </cell>
          <cell r="G2621">
            <v>3</v>
          </cell>
          <cell r="H2621">
            <v>2.7</v>
          </cell>
          <cell r="I2621">
            <v>3.1</v>
          </cell>
          <cell r="J2621">
            <v>2.5</v>
          </cell>
          <cell r="K2621">
            <v>2.5</v>
          </cell>
          <cell r="L2621">
            <v>3.4</v>
          </cell>
          <cell r="M2621">
            <v>-4.3</v>
          </cell>
        </row>
        <row r="2622">
          <cell r="C2622" t="str">
            <v>Tân Hương MBA T2 (phía 110kV)</v>
          </cell>
          <cell r="D2622">
            <v>132</v>
          </cell>
          <cell r="E2622">
            <v>-2.8</v>
          </cell>
          <cell r="F2622">
            <v>-7.9</v>
          </cell>
          <cell r="G2622">
            <v>-2.8</v>
          </cell>
          <cell r="H2622">
            <v>-3.5</v>
          </cell>
          <cell r="I2622">
            <v>-4.0999999999999996</v>
          </cell>
          <cell r="J2622">
            <v>-4.4000000000000004</v>
          </cell>
          <cell r="K2622">
            <v>-3.9</v>
          </cell>
          <cell r="L2622">
            <v>3.6</v>
          </cell>
          <cell r="M2622">
            <v>-7.9</v>
          </cell>
        </row>
        <row r="2623">
          <cell r="C2623" t="str">
            <v>110kV 171 Tân Hương - 172 Long An</v>
          </cell>
          <cell r="D2623">
            <v>171</v>
          </cell>
          <cell r="E2623">
            <v>0.2</v>
          </cell>
          <cell r="F2623">
            <v>0.2</v>
          </cell>
          <cell r="G2623">
            <v>0.2</v>
          </cell>
          <cell r="H2623">
            <v>0.2</v>
          </cell>
          <cell r="I2623">
            <v>0.2</v>
          </cell>
          <cell r="J2623">
            <v>0.2</v>
          </cell>
          <cell r="K2623">
            <v>0.2</v>
          </cell>
          <cell r="L2623">
            <v>0.2</v>
          </cell>
          <cell r="M2623">
            <v>0.2</v>
          </cell>
        </row>
        <row r="2624">
          <cell r="C2624" t="str">
            <v xml:space="preserve">110kV 172 Tân Hương - 181 Mỹ Tho 2 </v>
          </cell>
          <cell r="D2624">
            <v>172</v>
          </cell>
          <cell r="E2624">
            <v>-3.6</v>
          </cell>
          <cell r="F2624">
            <v>10.5</v>
          </cell>
          <cell r="G2624">
            <v>4.2</v>
          </cell>
          <cell r="H2624">
            <v>-3.6</v>
          </cell>
          <cell r="I2624">
            <v>5.4</v>
          </cell>
          <cell r="J2624">
            <v>5.6</v>
          </cell>
          <cell r="K2624">
            <v>5.4</v>
          </cell>
          <cell r="L2624">
            <v>-3.8</v>
          </cell>
          <cell r="M2624">
            <v>10.5</v>
          </cell>
        </row>
        <row r="2625">
          <cell r="C2625" t="str">
            <v>Tân Hương MBA T1 (phía 22kV)</v>
          </cell>
          <cell r="D2625">
            <v>431</v>
          </cell>
          <cell r="E2625">
            <v>-3.9</v>
          </cell>
          <cell r="F2625">
            <v>-6.7</v>
          </cell>
          <cell r="G2625">
            <v>-4.4000000000000004</v>
          </cell>
          <cell r="H2625">
            <v>-3.9</v>
          </cell>
          <cell r="I2625">
            <v>-4.2</v>
          </cell>
          <cell r="J2625">
            <v>-4.2</v>
          </cell>
          <cell r="K2625">
            <v>-4.3</v>
          </cell>
          <cell r="L2625">
            <v>-5.7</v>
          </cell>
          <cell r="M2625">
            <v>-6.7</v>
          </cell>
        </row>
        <row r="2626">
          <cell r="C2626" t="str">
            <v>Tân Hương MBA T2 (phía 22kV)</v>
          </cell>
          <cell r="D2626">
            <v>432</v>
          </cell>
          <cell r="E2626">
            <v>3.8</v>
          </cell>
          <cell r="F2626">
            <v>9.1999999999999993</v>
          </cell>
          <cell r="G2626">
            <v>3.8</v>
          </cell>
          <cell r="H2626">
            <v>5.5</v>
          </cell>
          <cell r="I2626">
            <v>5.2</v>
          </cell>
          <cell r="J2626">
            <v>4.4000000000000004</v>
          </cell>
          <cell r="K2626">
            <v>5.6</v>
          </cell>
          <cell r="L2626">
            <v>5.2</v>
          </cell>
          <cell r="M2626">
            <v>9.1999999999999993</v>
          </cell>
        </row>
        <row r="2627">
          <cell r="C2627" t="str">
            <v>Tân Mai MBA T1 (phía 110kV)</v>
          </cell>
          <cell r="D2627">
            <v>131</v>
          </cell>
          <cell r="E2627">
            <v>-1.8</v>
          </cell>
          <cell r="F2627">
            <v>-2.9</v>
          </cell>
          <cell r="G2627">
            <v>-2.4</v>
          </cell>
          <cell r="H2627">
            <v>-2.6</v>
          </cell>
          <cell r="I2627">
            <v>-2.6</v>
          </cell>
          <cell r="J2627">
            <v>-1.8</v>
          </cell>
          <cell r="K2627">
            <v>2.9</v>
          </cell>
          <cell r="L2627">
            <v>-2.9</v>
          </cell>
          <cell r="M2627">
            <v>-2.2000000000000002</v>
          </cell>
        </row>
        <row r="2628">
          <cell r="C2628" t="str">
            <v>Tân Mai MBA T2 (phía 110kV)</v>
          </cell>
          <cell r="D2628">
            <v>132</v>
          </cell>
          <cell r="E2628">
            <v>-1.3</v>
          </cell>
          <cell r="F2628">
            <v>2</v>
          </cell>
          <cell r="G2628">
            <v>1.8</v>
          </cell>
          <cell r="H2628">
            <v>2</v>
          </cell>
          <cell r="I2628">
            <v>1.5</v>
          </cell>
          <cell r="J2628">
            <v>-1.3</v>
          </cell>
          <cell r="K2628">
            <v>-1.6</v>
          </cell>
          <cell r="L2628">
            <v>1.5</v>
          </cell>
          <cell r="M2628">
            <v>-1.5</v>
          </cell>
        </row>
        <row r="2629">
          <cell r="C2629" t="str">
            <v>110kV 171 Tân Mai - 171 Biên Hòa</v>
          </cell>
          <cell r="D2629">
            <v>171</v>
          </cell>
          <cell r="E2629">
            <v>0.1</v>
          </cell>
          <cell r="F2629">
            <v>0.1</v>
          </cell>
          <cell r="G2629">
            <v>0.1</v>
          </cell>
          <cell r="H2629">
            <v>0.1</v>
          </cell>
          <cell r="I2629">
            <v>0.1</v>
          </cell>
          <cell r="J2629">
            <v>0.1</v>
          </cell>
          <cell r="K2629">
            <v>0.1</v>
          </cell>
          <cell r="L2629">
            <v>0.1</v>
          </cell>
          <cell r="M2629">
            <v>0.1</v>
          </cell>
        </row>
        <row r="2630">
          <cell r="C2630" t="str">
            <v>110kV 172 Tân Mai - 173 Long Bình</v>
          </cell>
          <cell r="D2630">
            <v>172</v>
          </cell>
          <cell r="E2630">
            <v>2.8</v>
          </cell>
          <cell r="F2630">
            <v>5.9</v>
          </cell>
          <cell r="G2630">
            <v>3.2</v>
          </cell>
          <cell r="H2630">
            <v>2.8</v>
          </cell>
          <cell r="I2630">
            <v>3</v>
          </cell>
          <cell r="J2630">
            <v>4.7</v>
          </cell>
          <cell r="K2630">
            <v>5.9</v>
          </cell>
          <cell r="L2630">
            <v>3.2</v>
          </cell>
          <cell r="M2630">
            <v>3</v>
          </cell>
        </row>
        <row r="2631">
          <cell r="C2631" t="str">
            <v>110kV 173 Tân Mai - 173 Đồng Nai</v>
          </cell>
          <cell r="D2631">
            <v>173</v>
          </cell>
          <cell r="E2631">
            <v>0.3</v>
          </cell>
          <cell r="F2631">
            <v>0.3</v>
          </cell>
          <cell r="G2631">
            <v>0.3</v>
          </cell>
          <cell r="H2631">
            <v>0.3</v>
          </cell>
          <cell r="I2631">
            <v>0.3</v>
          </cell>
          <cell r="J2631">
            <v>0.3</v>
          </cell>
          <cell r="K2631">
            <v>0.3</v>
          </cell>
          <cell r="L2631">
            <v>0.3</v>
          </cell>
          <cell r="M2631">
            <v>0.3</v>
          </cell>
        </row>
        <row r="2632">
          <cell r="C2632" t="str">
            <v>Tân Mai MBA T1 (phía 22kV)</v>
          </cell>
          <cell r="D2632">
            <v>431</v>
          </cell>
          <cell r="E2632">
            <v>2.1</v>
          </cell>
          <cell r="F2632">
            <v>3.4</v>
          </cell>
          <cell r="G2632">
            <v>3.1</v>
          </cell>
          <cell r="H2632">
            <v>3.4</v>
          </cell>
          <cell r="I2632">
            <v>3.3</v>
          </cell>
          <cell r="J2632">
            <v>2.1</v>
          </cell>
          <cell r="K2632">
            <v>2.2000000000000002</v>
          </cell>
          <cell r="L2632">
            <v>3.2</v>
          </cell>
          <cell r="M2632">
            <v>2.9</v>
          </cell>
        </row>
        <row r="2633">
          <cell r="C2633" t="str">
            <v>Tân Mai MBA T2 (phía 22kV)</v>
          </cell>
          <cell r="D2633">
            <v>432</v>
          </cell>
          <cell r="E2633">
            <v>1</v>
          </cell>
          <cell r="F2633">
            <v>2.1</v>
          </cell>
          <cell r="G2633">
            <v>-1.3</v>
          </cell>
          <cell r="H2633">
            <v>-1.5</v>
          </cell>
          <cell r="I2633">
            <v>1.9</v>
          </cell>
          <cell r="J2633">
            <v>1.9</v>
          </cell>
          <cell r="K2633">
            <v>2.1</v>
          </cell>
          <cell r="L2633">
            <v>1</v>
          </cell>
          <cell r="M2633">
            <v>2</v>
          </cell>
        </row>
        <row r="2634">
          <cell r="C2634" t="str">
            <v>Tân Phú MBA T1 (phía 110kV)</v>
          </cell>
          <cell r="D2634">
            <v>131</v>
          </cell>
          <cell r="E2634">
            <v>0</v>
          </cell>
          <cell r="F2634">
            <v>-2</v>
          </cell>
          <cell r="G2634">
            <v>-2</v>
          </cell>
          <cell r="H2634">
            <v>-1</v>
          </cell>
          <cell r="I2634">
            <v>1</v>
          </cell>
          <cell r="J2634">
            <v>0</v>
          </cell>
          <cell r="K2634">
            <v>-1</v>
          </cell>
          <cell r="L2634">
            <v>0</v>
          </cell>
          <cell r="M2634">
            <v>0</v>
          </cell>
        </row>
        <row r="2635">
          <cell r="C2635" t="str">
            <v>Tân Phú MBA T2 (phía 110kV)</v>
          </cell>
          <cell r="D2635">
            <v>132</v>
          </cell>
          <cell r="E2635">
            <v>-0.9</v>
          </cell>
          <cell r="F2635">
            <v>-1</v>
          </cell>
          <cell r="G2635">
            <v>-1</v>
          </cell>
          <cell r="H2635">
            <v>-1</v>
          </cell>
          <cell r="I2635">
            <v>-1</v>
          </cell>
          <cell r="J2635">
            <v>-0.9</v>
          </cell>
          <cell r="K2635">
            <v>-1</v>
          </cell>
          <cell r="L2635">
            <v>-1</v>
          </cell>
          <cell r="M2635">
            <v>-0.9</v>
          </cell>
        </row>
        <row r="2636">
          <cell r="C2636" t="str">
            <v>110kV 171 Tân Phú - 172 Định Quán</v>
          </cell>
          <cell r="D2636">
            <v>171</v>
          </cell>
          <cell r="E2636">
            <v>0</v>
          </cell>
          <cell r="F2636">
            <v>0</v>
          </cell>
          <cell r="G2636">
            <v>0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</row>
        <row r="2637">
          <cell r="C2637" t="str">
            <v>110kV 172 Tân Phú - 172 Đạ Tẻh</v>
          </cell>
          <cell r="D2637">
            <v>172</v>
          </cell>
          <cell r="E2637">
            <v>0</v>
          </cell>
          <cell r="F2637">
            <v>0</v>
          </cell>
          <cell r="G2637">
            <v>0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</row>
        <row r="2638">
          <cell r="C2638" t="str">
            <v>Tân Phú MBA T1 (phía 22kV)</v>
          </cell>
          <cell r="D2638">
            <v>431</v>
          </cell>
          <cell r="E2638">
            <v>1</v>
          </cell>
          <cell r="F2638">
            <v>2</v>
          </cell>
          <cell r="G2638">
            <v>2</v>
          </cell>
          <cell r="H2638">
            <v>2</v>
          </cell>
          <cell r="I2638">
            <v>1</v>
          </cell>
          <cell r="J2638">
            <v>1</v>
          </cell>
          <cell r="K2638">
            <v>1</v>
          </cell>
          <cell r="L2638">
            <v>1</v>
          </cell>
          <cell r="M2638">
            <v>1</v>
          </cell>
        </row>
        <row r="2639">
          <cell r="C2639" t="str">
            <v>Tân Phú MBA T2 (phía 22kV)</v>
          </cell>
          <cell r="D2639">
            <v>432</v>
          </cell>
          <cell r="E2639">
            <v>1</v>
          </cell>
          <cell r="F2639">
            <v>1.1000000000000001</v>
          </cell>
          <cell r="G2639">
            <v>1.1000000000000001</v>
          </cell>
          <cell r="H2639">
            <v>1.1000000000000001</v>
          </cell>
          <cell r="I2639">
            <v>1.1000000000000001</v>
          </cell>
          <cell r="J2639">
            <v>1.1000000000000001</v>
          </cell>
          <cell r="K2639">
            <v>1.1000000000000001</v>
          </cell>
          <cell r="L2639">
            <v>1.1000000000000001</v>
          </cell>
          <cell r="M2639">
            <v>1</v>
          </cell>
        </row>
        <row r="2640">
          <cell r="C2640" t="str">
            <v>Tân Quy MBA T1 (phía 110kV)</v>
          </cell>
          <cell r="D2640">
            <v>131</v>
          </cell>
          <cell r="E2640">
            <v>2.2000000000000002</v>
          </cell>
          <cell r="F2640">
            <v>6.5</v>
          </cell>
          <cell r="G2640">
            <v>6.5</v>
          </cell>
          <cell r="H2640">
            <v>6.3</v>
          </cell>
          <cell r="I2640">
            <v>5.2</v>
          </cell>
          <cell r="J2640">
            <v>2.2000000000000002</v>
          </cell>
          <cell r="K2640">
            <v>5.8</v>
          </cell>
          <cell r="L2640">
            <v>6</v>
          </cell>
          <cell r="M2640">
            <v>6.3</v>
          </cell>
        </row>
        <row r="2641">
          <cell r="C2641" t="str">
            <v>Tân Quy MBA T2 (phía 110kV)</v>
          </cell>
          <cell r="D2641">
            <v>132</v>
          </cell>
          <cell r="E2641">
            <v>1.6</v>
          </cell>
          <cell r="F2641">
            <v>11.1</v>
          </cell>
          <cell r="G2641">
            <v>10.4</v>
          </cell>
          <cell r="H2641">
            <v>10.3</v>
          </cell>
          <cell r="I2641">
            <v>11.1</v>
          </cell>
          <cell r="J2641">
            <v>1.6</v>
          </cell>
          <cell r="K2641">
            <v>10</v>
          </cell>
          <cell r="L2641">
            <v>9</v>
          </cell>
          <cell r="M2641">
            <v>8.9</v>
          </cell>
        </row>
        <row r="2642">
          <cell r="C2642" t="str">
            <v>110kV 171 Tân Quy - 171 Cầu Bông</v>
          </cell>
          <cell r="D2642">
            <v>171</v>
          </cell>
          <cell r="E2642">
            <v>-1.9</v>
          </cell>
          <cell r="F2642">
            <v>-16</v>
          </cell>
          <cell r="G2642">
            <v>-16</v>
          </cell>
          <cell r="H2642">
            <v>-15.3</v>
          </cell>
          <cell r="I2642">
            <v>-15.2</v>
          </cell>
          <cell r="J2642">
            <v>-1.9</v>
          </cell>
          <cell r="K2642">
            <v>-15.2</v>
          </cell>
          <cell r="L2642">
            <v>-14.3</v>
          </cell>
          <cell r="M2642">
            <v>-14.4</v>
          </cell>
        </row>
        <row r="2643">
          <cell r="C2643" t="str">
            <v>110kV 172 Tân Quy - 172 Đông Nam - 171 Gò Đậu</v>
          </cell>
          <cell r="D2643">
            <v>172</v>
          </cell>
          <cell r="E2643">
            <v>-0.3</v>
          </cell>
          <cell r="F2643">
            <v>-0.3</v>
          </cell>
          <cell r="G2643">
            <v>-0.3</v>
          </cell>
          <cell r="H2643">
            <v>-0.3</v>
          </cell>
          <cell r="I2643">
            <v>-0.3</v>
          </cell>
          <cell r="J2643">
            <v>-0.3</v>
          </cell>
          <cell r="K2643">
            <v>-0.3</v>
          </cell>
          <cell r="L2643">
            <v>-0.3</v>
          </cell>
          <cell r="M2643">
            <v>-0.3</v>
          </cell>
        </row>
        <row r="2644">
          <cell r="C2644" t="str">
            <v>Tân Quy MBA T1 (phía 22kV)</v>
          </cell>
          <cell r="D2644">
            <v>431</v>
          </cell>
          <cell r="E2644">
            <v>0.6</v>
          </cell>
          <cell r="F2644">
            <v>-2</v>
          </cell>
          <cell r="G2644">
            <v>-2</v>
          </cell>
          <cell r="H2644">
            <v>-1.7</v>
          </cell>
          <cell r="I2644">
            <v>-1.5</v>
          </cell>
          <cell r="J2644">
            <v>0.6</v>
          </cell>
          <cell r="K2644">
            <v>-1.6</v>
          </cell>
          <cell r="L2644">
            <v>-1.8</v>
          </cell>
          <cell r="M2644">
            <v>-1.8</v>
          </cell>
        </row>
        <row r="2645">
          <cell r="C2645" t="str">
            <v>Tân Quy MBA T2 (phía 22kV)</v>
          </cell>
          <cell r="D2645">
            <v>432</v>
          </cell>
          <cell r="E2645">
            <v>2.7</v>
          </cell>
          <cell r="F2645">
            <v>-7</v>
          </cell>
          <cell r="G2645">
            <v>-6.5</v>
          </cell>
          <cell r="H2645">
            <v>-6.4</v>
          </cell>
          <cell r="I2645">
            <v>-7</v>
          </cell>
          <cell r="J2645">
            <v>2.7</v>
          </cell>
          <cell r="K2645">
            <v>-6.3</v>
          </cell>
          <cell r="L2645">
            <v>-5.6</v>
          </cell>
          <cell r="M2645">
            <v>-5.6</v>
          </cell>
        </row>
        <row r="2646">
          <cell r="C2646" t="str">
            <v>Tân Sơn Nhất  MBA T1 (phía 110kV)</v>
          </cell>
          <cell r="D2646">
            <v>131</v>
          </cell>
          <cell r="E2646">
            <v>3</v>
          </cell>
          <cell r="F2646">
            <v>9.5</v>
          </cell>
          <cell r="G2646">
            <v>8.9</v>
          </cell>
          <cell r="H2646">
            <v>9</v>
          </cell>
          <cell r="I2646">
            <v>6.1</v>
          </cell>
          <cell r="J2646">
            <v>3</v>
          </cell>
          <cell r="K2646">
            <v>9.4</v>
          </cell>
          <cell r="L2646">
            <v>9.4</v>
          </cell>
          <cell r="M2646">
            <v>9.5</v>
          </cell>
        </row>
        <row r="2647">
          <cell r="C2647" t="str">
            <v>Tân Sơn Nhất  MBA T2 (phía 110kV)</v>
          </cell>
          <cell r="D2647">
            <v>132</v>
          </cell>
          <cell r="E2647">
            <v>-0.4</v>
          </cell>
          <cell r="F2647">
            <v>-0.4</v>
          </cell>
          <cell r="G2647">
            <v>-0.4</v>
          </cell>
          <cell r="H2647">
            <v>-0.4</v>
          </cell>
          <cell r="I2647">
            <v>-0.4</v>
          </cell>
          <cell r="J2647">
            <v>-0.4</v>
          </cell>
          <cell r="K2647">
            <v>-0.4</v>
          </cell>
          <cell r="L2647">
            <v>-0.4</v>
          </cell>
          <cell r="M2647">
            <v>-0.4</v>
          </cell>
        </row>
        <row r="2648">
          <cell r="C2648" t="str">
            <v>110kV 171 Tân Sơn Nhất - 171 Bình Lợi</v>
          </cell>
          <cell r="D2648">
            <v>171</v>
          </cell>
          <cell r="E2648">
            <v>-4.4000000000000004</v>
          </cell>
          <cell r="F2648">
            <v>-10.5</v>
          </cell>
          <cell r="G2648">
            <v>-10.5</v>
          </cell>
          <cell r="H2648">
            <v>-7.5</v>
          </cell>
          <cell r="I2648">
            <v>-7.3</v>
          </cell>
          <cell r="J2648">
            <v>-4.4000000000000004</v>
          </cell>
          <cell r="K2648">
            <v>-7.8</v>
          </cell>
          <cell r="L2648">
            <v>-8.6</v>
          </cell>
          <cell r="M2648">
            <v>-9</v>
          </cell>
        </row>
        <row r="2649">
          <cell r="C2649" t="str">
            <v>110kV 172 Tân Sơn Nhất - (171-8) Xa Lộ</v>
          </cell>
          <cell r="D2649">
            <v>172</v>
          </cell>
          <cell r="E2649">
            <v>-5.2</v>
          </cell>
          <cell r="F2649">
            <v>-8.8000000000000007</v>
          </cell>
          <cell r="G2649">
            <v>-8.3000000000000007</v>
          </cell>
          <cell r="H2649">
            <v>-8.3000000000000007</v>
          </cell>
          <cell r="I2649">
            <v>-5.3</v>
          </cell>
          <cell r="J2649">
            <v>-5.2</v>
          </cell>
          <cell r="K2649">
            <v>-8.3000000000000007</v>
          </cell>
          <cell r="L2649">
            <v>-8.6999999999999993</v>
          </cell>
          <cell r="M2649">
            <v>-8.8000000000000007</v>
          </cell>
        </row>
        <row r="2650">
          <cell r="C2650" t="str">
            <v>Tân Sơn Nhất MBA T1 (phía 22kV)</v>
          </cell>
          <cell r="D2650">
            <v>431</v>
          </cell>
          <cell r="E2650">
            <v>3.4</v>
          </cell>
          <cell r="F2650">
            <v>-5.4</v>
          </cell>
          <cell r="G2650">
            <v>-5.4</v>
          </cell>
          <cell r="H2650">
            <v>-5.0999999999999996</v>
          </cell>
          <cell r="I2650">
            <v>3.4</v>
          </cell>
          <cell r="J2650">
            <v>3.5</v>
          </cell>
          <cell r="K2650">
            <v>-4.8</v>
          </cell>
          <cell r="L2650">
            <v>-4.5999999999999996</v>
          </cell>
          <cell r="M2650">
            <v>-4.7</v>
          </cell>
        </row>
        <row r="2651">
          <cell r="C2651" t="str">
            <v>Tân Sơn Nhất MBA T2 (phía 22kV)</v>
          </cell>
          <cell r="D2651">
            <v>432</v>
          </cell>
          <cell r="E2651">
            <v>-3</v>
          </cell>
          <cell r="F2651">
            <v>-4.0999999999999996</v>
          </cell>
          <cell r="G2651">
            <v>-3</v>
          </cell>
          <cell r="H2651">
            <v>-3</v>
          </cell>
          <cell r="I2651">
            <v>-3</v>
          </cell>
          <cell r="J2651">
            <v>-3</v>
          </cell>
          <cell r="K2651">
            <v>-3</v>
          </cell>
          <cell r="L2651">
            <v>-4.0999999999999996</v>
          </cell>
          <cell r="M2651">
            <v>-4</v>
          </cell>
        </row>
        <row r="2652">
          <cell r="C2652" t="str">
            <v>Tân Tạo MBA T1 (phía 110kV)</v>
          </cell>
          <cell r="D2652">
            <v>131</v>
          </cell>
          <cell r="E2652">
            <v>-4.5999999999999996</v>
          </cell>
          <cell r="F2652">
            <v>12.2</v>
          </cell>
          <cell r="G2652">
            <v>11.4</v>
          </cell>
          <cell r="H2652">
            <v>11.6</v>
          </cell>
          <cell r="I2652">
            <v>10.1</v>
          </cell>
          <cell r="J2652">
            <v>-4.5999999999999996</v>
          </cell>
          <cell r="K2652">
            <v>10.199999999999999</v>
          </cell>
          <cell r="L2652">
            <v>12.2</v>
          </cell>
          <cell r="M2652">
            <v>11.1</v>
          </cell>
        </row>
        <row r="2653">
          <cell r="C2653" t="str">
            <v>Tân Tạo MBA T2 (phía 110kV)</v>
          </cell>
          <cell r="D2653">
            <v>132</v>
          </cell>
          <cell r="E2653">
            <v>4.2</v>
          </cell>
          <cell r="F2653">
            <v>12.4</v>
          </cell>
          <cell r="G2653">
            <v>12.4</v>
          </cell>
          <cell r="H2653">
            <v>12.3</v>
          </cell>
          <cell r="I2653">
            <v>11.1</v>
          </cell>
          <cell r="J2653">
            <v>4.2</v>
          </cell>
          <cell r="K2653">
            <v>12.3</v>
          </cell>
          <cell r="L2653">
            <v>11</v>
          </cell>
          <cell r="M2653">
            <v>11.2</v>
          </cell>
        </row>
        <row r="2654">
          <cell r="C2654" t="str">
            <v>110kV 171 Tân Tạo - 177 Tân Túc</v>
          </cell>
          <cell r="D2654">
            <v>171</v>
          </cell>
          <cell r="E2654">
            <v>0</v>
          </cell>
          <cell r="F2654">
            <v>0</v>
          </cell>
          <cell r="G2654">
            <v>0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</row>
        <row r="2655">
          <cell r="C2655" t="str">
            <v>110kV 172 Tân Tạo - 178 Phú Lâm</v>
          </cell>
          <cell r="D2655">
            <v>172</v>
          </cell>
          <cell r="E2655">
            <v>5.3</v>
          </cell>
          <cell r="F2655">
            <v>-23.4</v>
          </cell>
          <cell r="G2655">
            <v>-23.1</v>
          </cell>
          <cell r="H2655">
            <v>-23.4</v>
          </cell>
          <cell r="I2655">
            <v>-20.7</v>
          </cell>
          <cell r="J2655">
            <v>5.3</v>
          </cell>
          <cell r="K2655">
            <v>-22.1</v>
          </cell>
          <cell r="L2655">
            <v>-22.5</v>
          </cell>
          <cell r="M2655">
            <v>-22</v>
          </cell>
        </row>
        <row r="2656">
          <cell r="C2656" t="str">
            <v>Tân Tạo MBA T1 (phía 22kV)</v>
          </cell>
          <cell r="D2656">
            <v>431</v>
          </cell>
          <cell r="E2656">
            <v>-3.3</v>
          </cell>
          <cell r="F2656">
            <v>-3.7</v>
          </cell>
          <cell r="G2656">
            <v>-3.6</v>
          </cell>
          <cell r="H2656">
            <v>-3.4</v>
          </cell>
          <cell r="I2656">
            <v>-3.3</v>
          </cell>
          <cell r="J2656">
            <v>3.5</v>
          </cell>
          <cell r="K2656">
            <v>3.6</v>
          </cell>
          <cell r="L2656">
            <v>-3.7</v>
          </cell>
          <cell r="M2656">
            <v>-3.7</v>
          </cell>
        </row>
        <row r="2657">
          <cell r="C2657" t="str">
            <v>Tân Tạo MBA T2 (phía 22kV)</v>
          </cell>
          <cell r="D2657">
            <v>432</v>
          </cell>
          <cell r="E2657">
            <v>-3.4</v>
          </cell>
          <cell r="F2657">
            <v>-7.6</v>
          </cell>
          <cell r="G2657">
            <v>-7.1</v>
          </cell>
          <cell r="H2657">
            <v>-7.4</v>
          </cell>
          <cell r="I2657">
            <v>-7.3</v>
          </cell>
          <cell r="J2657">
            <v>-3.4</v>
          </cell>
          <cell r="K2657">
            <v>-7.6</v>
          </cell>
          <cell r="L2657">
            <v>-7.1</v>
          </cell>
          <cell r="M2657">
            <v>-7.3</v>
          </cell>
        </row>
        <row r="2658">
          <cell r="C2658" t="str">
            <v>Tân Tập MBA T1 (phía 110kV)</v>
          </cell>
          <cell r="D2658">
            <v>131</v>
          </cell>
          <cell r="E2658">
            <v>-1.8</v>
          </cell>
          <cell r="F2658">
            <v>-2.7</v>
          </cell>
          <cell r="G2658">
            <v>-2.7</v>
          </cell>
          <cell r="H2658">
            <v>-1.9</v>
          </cell>
          <cell r="I2658">
            <v>-2.5</v>
          </cell>
          <cell r="J2658">
            <v>-2</v>
          </cell>
          <cell r="K2658">
            <v>-1.8</v>
          </cell>
          <cell r="L2658">
            <v>-1.9</v>
          </cell>
          <cell r="M2658">
            <v>-2</v>
          </cell>
        </row>
        <row r="2659">
          <cell r="C2659" t="str">
            <v>Tân Tập MBA T1 (phía 22kV)</v>
          </cell>
          <cell r="D2659">
            <v>431</v>
          </cell>
          <cell r="E2659">
            <v>2</v>
          </cell>
          <cell r="F2659">
            <v>2.8</v>
          </cell>
          <cell r="G2659">
            <v>2.8</v>
          </cell>
          <cell r="H2659">
            <v>2</v>
          </cell>
          <cell r="I2659">
            <v>2.7</v>
          </cell>
          <cell r="J2659">
            <v>2.1</v>
          </cell>
          <cell r="K2659">
            <v>2</v>
          </cell>
          <cell r="L2659">
            <v>2</v>
          </cell>
          <cell r="M2659">
            <v>2.1</v>
          </cell>
        </row>
        <row r="2660">
          <cell r="C2660" t="str">
            <v>Tân Thành MBA AT1 (phía 110kV)</v>
          </cell>
          <cell r="D2660">
            <v>131</v>
          </cell>
          <cell r="E2660">
            <v>-26.7</v>
          </cell>
          <cell r="F2660">
            <v>-58.7</v>
          </cell>
          <cell r="G2660">
            <v>-36.9</v>
          </cell>
          <cell r="H2660">
            <v>-58.7</v>
          </cell>
          <cell r="I2660">
            <v>-36.1</v>
          </cell>
          <cell r="J2660">
            <v>-26.7</v>
          </cell>
          <cell r="K2660">
            <v>-49.4</v>
          </cell>
          <cell r="L2660">
            <v>-37.5</v>
          </cell>
          <cell r="M2660">
            <v>-40.200000000000003</v>
          </cell>
        </row>
        <row r="2661">
          <cell r="C2661" t="str">
            <v>Tân Thành MBA AT2 (phía 110kV)</v>
          </cell>
          <cell r="D2661">
            <v>132</v>
          </cell>
          <cell r="E2661">
            <v>-20.9</v>
          </cell>
          <cell r="F2661">
            <v>-58.7</v>
          </cell>
          <cell r="G2661">
            <v>-36.9</v>
          </cell>
          <cell r="H2661">
            <v>-58.7</v>
          </cell>
          <cell r="I2661">
            <v>-36.9</v>
          </cell>
          <cell r="J2661">
            <v>-20.9</v>
          </cell>
          <cell r="K2661">
            <v>-50</v>
          </cell>
          <cell r="L2661">
            <v>-39.200000000000003</v>
          </cell>
          <cell r="M2661">
            <v>-39.1</v>
          </cell>
        </row>
        <row r="2662">
          <cell r="C2662" t="str">
            <v>Tân Thành MBA AT3 (phía 110kV)</v>
          </cell>
          <cell r="D2662">
            <v>133</v>
          </cell>
          <cell r="E2662">
            <v>-25.7</v>
          </cell>
          <cell r="F2662">
            <v>-66.3</v>
          </cell>
          <cell r="G2662">
            <v>-40.1</v>
          </cell>
          <cell r="H2662">
            <v>-66.3</v>
          </cell>
          <cell r="I2662">
            <v>-42.3</v>
          </cell>
          <cell r="J2662">
            <v>-25.7</v>
          </cell>
          <cell r="K2662">
            <v>-54.5</v>
          </cell>
          <cell r="L2662">
            <v>-43.4</v>
          </cell>
          <cell r="M2662">
            <v>-45.1</v>
          </cell>
        </row>
        <row r="2663">
          <cell r="C2663" t="str">
            <v>110kV 171 Tân Thành - 171 Fuco</v>
          </cell>
          <cell r="D2663">
            <v>171</v>
          </cell>
          <cell r="E2663">
            <v>6.9</v>
          </cell>
          <cell r="F2663">
            <v>26.8</v>
          </cell>
          <cell r="G2663">
            <v>11.5</v>
          </cell>
          <cell r="H2663">
            <v>26.8</v>
          </cell>
          <cell r="I2663">
            <v>11.1</v>
          </cell>
          <cell r="J2663">
            <v>8.3000000000000007</v>
          </cell>
          <cell r="K2663">
            <v>9.5</v>
          </cell>
          <cell r="L2663">
            <v>9.6</v>
          </cell>
          <cell r="M2663">
            <v>6.9</v>
          </cell>
        </row>
        <row r="2664">
          <cell r="C2664" t="str">
            <v>110kV 172 Tân Thành - 171 Posco</v>
          </cell>
          <cell r="D2664">
            <v>172</v>
          </cell>
          <cell r="E2664">
            <v>3.3</v>
          </cell>
          <cell r="F2664">
            <v>5</v>
          </cell>
          <cell r="G2664">
            <v>3.3</v>
          </cell>
          <cell r="H2664">
            <v>4.9000000000000004</v>
          </cell>
          <cell r="I2664">
            <v>4.5999999999999996</v>
          </cell>
          <cell r="J2664">
            <v>4.2</v>
          </cell>
          <cell r="K2664">
            <v>4.4000000000000004</v>
          </cell>
          <cell r="L2664">
            <v>5</v>
          </cell>
          <cell r="M2664">
            <v>4.8</v>
          </cell>
        </row>
        <row r="2665">
          <cell r="C2665" t="str">
            <v>110kV 173 Tân Thành - 173 Hyosung Vina Chemicals</v>
          </cell>
          <cell r="D2665">
            <v>173</v>
          </cell>
          <cell r="E2665">
            <v>2.1</v>
          </cell>
          <cell r="F2665">
            <v>6.4</v>
          </cell>
          <cell r="G2665">
            <v>3</v>
          </cell>
          <cell r="H2665">
            <v>4</v>
          </cell>
          <cell r="I2665">
            <v>2.7</v>
          </cell>
          <cell r="J2665">
            <v>2.1</v>
          </cell>
          <cell r="K2665">
            <v>3.6</v>
          </cell>
          <cell r="L2665">
            <v>6.4</v>
          </cell>
          <cell r="M2665">
            <v>4.4000000000000004</v>
          </cell>
        </row>
        <row r="2666">
          <cell r="C2666" t="str">
            <v>110kV 174 Tân Thành - 171 Thị Vải</v>
          </cell>
          <cell r="D2666">
            <v>174</v>
          </cell>
          <cell r="E2666">
            <v>2.1</v>
          </cell>
          <cell r="F2666">
            <v>8</v>
          </cell>
          <cell r="G2666">
            <v>4.7</v>
          </cell>
          <cell r="H2666">
            <v>5.2</v>
          </cell>
          <cell r="I2666">
            <v>3</v>
          </cell>
          <cell r="J2666">
            <v>2.1</v>
          </cell>
          <cell r="K2666">
            <v>4.5999999999999996</v>
          </cell>
          <cell r="L2666">
            <v>8</v>
          </cell>
          <cell r="M2666">
            <v>5</v>
          </cell>
        </row>
        <row r="2667">
          <cell r="C2667" t="str">
            <v>110kV 175 Tân Thành - 171 Tôn Hoa Sen</v>
          </cell>
          <cell r="D2667">
            <v>175</v>
          </cell>
          <cell r="E2667">
            <v>12.5</v>
          </cell>
          <cell r="F2667">
            <v>45</v>
          </cell>
          <cell r="G2667">
            <v>30.3</v>
          </cell>
          <cell r="H2667">
            <v>45</v>
          </cell>
          <cell r="I2667">
            <v>34.1</v>
          </cell>
          <cell r="J2667">
            <v>12.5</v>
          </cell>
          <cell r="K2667">
            <v>42.3</v>
          </cell>
          <cell r="L2667">
            <v>33.4</v>
          </cell>
          <cell r="M2667">
            <v>37</v>
          </cell>
        </row>
        <row r="2668">
          <cell r="C2668" t="str">
            <v>110kV 176 Tân Thành - 172 Pomina 2</v>
          </cell>
          <cell r="D2668">
            <v>176</v>
          </cell>
          <cell r="E2668">
            <v>9.5</v>
          </cell>
          <cell r="F2668">
            <v>43.4</v>
          </cell>
          <cell r="G2668">
            <v>28.3</v>
          </cell>
          <cell r="H2668">
            <v>43.4</v>
          </cell>
          <cell r="I2668">
            <v>30.5</v>
          </cell>
          <cell r="J2668">
            <v>9.5</v>
          </cell>
          <cell r="K2668">
            <v>38.299999999999997</v>
          </cell>
          <cell r="L2668">
            <v>29.5</v>
          </cell>
          <cell r="M2668">
            <v>35.200000000000003</v>
          </cell>
        </row>
        <row r="2669">
          <cell r="C2669" t="str">
            <v>110kV 177 Tân Thành - 172 Pomina</v>
          </cell>
          <cell r="D2669">
            <v>177</v>
          </cell>
          <cell r="E2669">
            <v>36.4</v>
          </cell>
          <cell r="F2669">
            <v>68.099999999999994</v>
          </cell>
          <cell r="G2669">
            <v>42.7</v>
          </cell>
          <cell r="H2669">
            <v>68.099999999999994</v>
          </cell>
          <cell r="I2669">
            <v>40.299999999999997</v>
          </cell>
          <cell r="J2669">
            <v>36.4</v>
          </cell>
          <cell r="K2669">
            <v>50.7</v>
          </cell>
          <cell r="L2669">
            <v>61.4</v>
          </cell>
          <cell r="M2669">
            <v>53.6</v>
          </cell>
        </row>
        <row r="2670">
          <cell r="C2670" t="str">
            <v>110kV 178 Tân Thành - 172 Linde Gas</v>
          </cell>
          <cell r="D2670">
            <v>178</v>
          </cell>
          <cell r="E2670">
            <v>18.399999999999999</v>
          </cell>
          <cell r="F2670">
            <v>32.5</v>
          </cell>
          <cell r="G2670">
            <v>26.4</v>
          </cell>
          <cell r="H2670">
            <v>31.7</v>
          </cell>
          <cell r="I2670">
            <v>27.6</v>
          </cell>
          <cell r="J2670">
            <v>18.399999999999999</v>
          </cell>
          <cell r="K2670">
            <v>30.5</v>
          </cell>
          <cell r="L2670">
            <v>24.7</v>
          </cell>
          <cell r="M2670">
            <v>32.5</v>
          </cell>
        </row>
        <row r="2671">
          <cell r="C2671" t="str">
            <v>110kV 180 Tân Thành - 171 Thanh Bình</v>
          </cell>
          <cell r="D2671">
            <v>180</v>
          </cell>
          <cell r="E2671">
            <v>-1.3</v>
          </cell>
          <cell r="F2671">
            <v>3.4</v>
          </cell>
          <cell r="G2671">
            <v>3.1</v>
          </cell>
          <cell r="H2671">
            <v>2.4</v>
          </cell>
          <cell r="I2671">
            <v>1.9</v>
          </cell>
          <cell r="J2671">
            <v>-1.3</v>
          </cell>
          <cell r="K2671">
            <v>3.4</v>
          </cell>
          <cell r="L2671">
            <v>2.6</v>
          </cell>
          <cell r="M2671">
            <v>2.4</v>
          </cell>
        </row>
        <row r="2672">
          <cell r="C2672" t="str">
            <v>110kV 181 Tân Thành - 172 Thanh Bình</v>
          </cell>
          <cell r="D2672">
            <v>181</v>
          </cell>
          <cell r="E2672">
            <v>-0.7</v>
          </cell>
          <cell r="F2672">
            <v>3.8</v>
          </cell>
          <cell r="G2672">
            <v>3.5</v>
          </cell>
          <cell r="H2672">
            <v>3.2</v>
          </cell>
          <cell r="I2672">
            <v>2.4</v>
          </cell>
          <cell r="J2672">
            <v>-0.7</v>
          </cell>
          <cell r="K2672">
            <v>3.8</v>
          </cell>
          <cell r="L2672">
            <v>3.2</v>
          </cell>
          <cell r="M2672">
            <v>2.9</v>
          </cell>
        </row>
        <row r="2673">
          <cell r="C2673" t="str">
            <v>Tân Thành MBA AT1 (phía 220kV)</v>
          </cell>
          <cell r="D2673">
            <v>231</v>
          </cell>
          <cell r="E2673">
            <v>29.7</v>
          </cell>
          <cell r="F2673">
            <v>68.5</v>
          </cell>
          <cell r="G2673">
            <v>42.9</v>
          </cell>
          <cell r="H2673">
            <v>68.5</v>
          </cell>
          <cell r="I2673">
            <v>40.9</v>
          </cell>
          <cell r="J2673">
            <v>29.7</v>
          </cell>
          <cell r="K2673">
            <v>56.5</v>
          </cell>
          <cell r="L2673">
            <v>44.5</v>
          </cell>
          <cell r="M2673">
            <v>45.7</v>
          </cell>
        </row>
        <row r="2674">
          <cell r="C2674" t="str">
            <v>Tân Thành MBA AT2 (phía 220kV)</v>
          </cell>
          <cell r="D2674">
            <v>232</v>
          </cell>
          <cell r="E2674">
            <v>29.9</v>
          </cell>
          <cell r="F2674">
            <v>67.400000000000006</v>
          </cell>
          <cell r="G2674">
            <v>41.5</v>
          </cell>
          <cell r="H2674">
            <v>67.400000000000006</v>
          </cell>
          <cell r="I2674">
            <v>42</v>
          </cell>
          <cell r="J2674">
            <v>29.9</v>
          </cell>
          <cell r="K2674">
            <v>56.2</v>
          </cell>
          <cell r="L2674">
            <v>44.7</v>
          </cell>
          <cell r="M2674">
            <v>44.6</v>
          </cell>
        </row>
        <row r="2675">
          <cell r="C2675" t="str">
            <v>Tân Thành MBA AT3 (phía 220kV)</v>
          </cell>
          <cell r="D2675">
            <v>233</v>
          </cell>
          <cell r="E2675">
            <v>32.6</v>
          </cell>
          <cell r="F2675">
            <v>73.7</v>
          </cell>
          <cell r="G2675">
            <v>45.5</v>
          </cell>
          <cell r="H2675">
            <v>73.7</v>
          </cell>
          <cell r="I2675">
            <v>47</v>
          </cell>
          <cell r="J2675">
            <v>32.6</v>
          </cell>
          <cell r="K2675">
            <v>62.3</v>
          </cell>
          <cell r="L2675">
            <v>48.2</v>
          </cell>
          <cell r="M2675">
            <v>50.8</v>
          </cell>
        </row>
        <row r="2676">
          <cell r="C2676" t="str">
            <v>220kV 271 Tân Thành - 271 NMĐ Phú Mỹ 1</v>
          </cell>
          <cell r="D2676">
            <v>271</v>
          </cell>
          <cell r="E2676">
            <v>-64</v>
          </cell>
          <cell r="F2676">
            <v>-124.2</v>
          </cell>
          <cell r="G2676">
            <v>-84.1</v>
          </cell>
          <cell r="H2676">
            <v>-110.1</v>
          </cell>
          <cell r="I2676">
            <v>-70.3</v>
          </cell>
          <cell r="J2676">
            <v>-78.2</v>
          </cell>
          <cell r="K2676">
            <v>-109.3</v>
          </cell>
          <cell r="L2676">
            <v>-64</v>
          </cell>
          <cell r="M2676">
            <v>-124.2</v>
          </cell>
        </row>
        <row r="2677">
          <cell r="C2677" t="str">
            <v>220kV 272 Tân Thành - 273 Vũng Tàu 2</v>
          </cell>
          <cell r="D2677">
            <v>272</v>
          </cell>
          <cell r="E2677">
            <v>-12.3</v>
          </cell>
          <cell r="F2677">
            <v>40.299999999999997</v>
          </cell>
          <cell r="G2677">
            <v>-21.2</v>
          </cell>
          <cell r="H2677">
            <v>-12.3</v>
          </cell>
          <cell r="I2677">
            <v>19.5</v>
          </cell>
          <cell r="J2677">
            <v>26.9</v>
          </cell>
          <cell r="K2677">
            <v>40.299999999999997</v>
          </cell>
          <cell r="L2677">
            <v>-19.3</v>
          </cell>
          <cell r="M2677">
            <v>38</v>
          </cell>
        </row>
        <row r="2678">
          <cell r="C2678" t="str">
            <v>220kV 273 Tân Thành - 272 NMĐ Phú Mỹ 1</v>
          </cell>
          <cell r="D2678">
            <v>273</v>
          </cell>
          <cell r="E2678">
            <v>-63.5</v>
          </cell>
          <cell r="F2678">
            <v>-122.3</v>
          </cell>
          <cell r="G2678">
            <v>-83.3</v>
          </cell>
          <cell r="H2678">
            <v>-109.5</v>
          </cell>
          <cell r="I2678">
            <v>-70.099999999999994</v>
          </cell>
          <cell r="J2678">
            <v>-77.599999999999994</v>
          </cell>
          <cell r="K2678">
            <v>-108.8</v>
          </cell>
          <cell r="L2678">
            <v>-63.5</v>
          </cell>
          <cell r="M2678">
            <v>-122.3</v>
          </cell>
        </row>
        <row r="2679">
          <cell r="C2679" t="str">
            <v>220kV 274 Tân Thành - 272 NMĐ Bà Rịa</v>
          </cell>
          <cell r="D2679">
            <v>274</v>
          </cell>
          <cell r="E2679">
            <v>21.7</v>
          </cell>
          <cell r="F2679">
            <v>55.6</v>
          </cell>
          <cell r="G2679">
            <v>28.8</v>
          </cell>
          <cell r="H2679">
            <v>28.8</v>
          </cell>
          <cell r="I2679">
            <v>31</v>
          </cell>
          <cell r="J2679">
            <v>48.5</v>
          </cell>
          <cell r="K2679">
            <v>55.6</v>
          </cell>
          <cell r="L2679">
            <v>21.7</v>
          </cell>
          <cell r="M2679">
            <v>49.7</v>
          </cell>
        </row>
        <row r="2680">
          <cell r="C2680" t="str">
            <v>220kV 275 Tân Thành - 271 CHÂU ĐỨC 2</v>
          </cell>
          <cell r="D2680">
            <v>275</v>
          </cell>
          <cell r="E2680">
            <v>-19.399999999999999</v>
          </cell>
          <cell r="F2680">
            <v>28.3</v>
          </cell>
          <cell r="G2680">
            <v>28.3</v>
          </cell>
          <cell r="H2680">
            <v>21.3</v>
          </cell>
          <cell r="I2680">
            <v>23.7</v>
          </cell>
          <cell r="J2680">
            <v>-21.9</v>
          </cell>
          <cell r="K2680">
            <v>-19.399999999999999</v>
          </cell>
          <cell r="L2680">
            <v>-19.7</v>
          </cell>
          <cell r="M2680">
            <v>25.4</v>
          </cell>
        </row>
        <row r="2681">
          <cell r="C2681" t="str">
            <v>220kV 276 Tân Thành - 275 Hàm Tân 2</v>
          </cell>
          <cell r="D2681">
            <v>276</v>
          </cell>
          <cell r="E2681">
            <v>-13.5</v>
          </cell>
          <cell r="F2681">
            <v>34.9</v>
          </cell>
          <cell r="G2681">
            <v>34.9</v>
          </cell>
          <cell r="H2681">
            <v>27.1</v>
          </cell>
          <cell r="I2681">
            <v>32.4</v>
          </cell>
          <cell r="J2681">
            <v>16</v>
          </cell>
          <cell r="K2681">
            <v>15.5</v>
          </cell>
          <cell r="L2681">
            <v>-13.5</v>
          </cell>
          <cell r="M2681">
            <v>31.4</v>
          </cell>
        </row>
        <row r="2682">
          <cell r="C2682" t="str">
            <v>110kV 171 Tân Thạnh - 174 Cai Lậy</v>
          </cell>
          <cell r="D2682">
            <v>171</v>
          </cell>
          <cell r="E2682">
            <v>8.3000000000000007</v>
          </cell>
          <cell r="F2682">
            <v>-23</v>
          </cell>
          <cell r="G2682">
            <v>-15.6</v>
          </cell>
          <cell r="H2682">
            <v>-10.199999999999999</v>
          </cell>
          <cell r="I2682">
            <v>-17.100000000000001</v>
          </cell>
          <cell r="J2682">
            <v>-13.9</v>
          </cell>
          <cell r="K2682">
            <v>-10.6</v>
          </cell>
          <cell r="L2682">
            <v>-23</v>
          </cell>
          <cell r="M2682">
            <v>8.3000000000000007</v>
          </cell>
        </row>
        <row r="2683">
          <cell r="C2683" t="str">
            <v>110kV 172 Tân Thạnh - 171 Mộc Hóa</v>
          </cell>
          <cell r="D2683">
            <v>172</v>
          </cell>
          <cell r="E2683">
            <v>-1.7</v>
          </cell>
          <cell r="F2683">
            <v>-3.8</v>
          </cell>
          <cell r="G2683">
            <v>-3.4</v>
          </cell>
          <cell r="H2683">
            <v>-1.7</v>
          </cell>
          <cell r="I2683">
            <v>-3.6</v>
          </cell>
          <cell r="J2683">
            <v>-3.5</v>
          </cell>
          <cell r="K2683">
            <v>-3.8</v>
          </cell>
          <cell r="L2683">
            <v>-3.3</v>
          </cell>
          <cell r="M2683">
            <v>-3.4</v>
          </cell>
        </row>
        <row r="2684">
          <cell r="C2684" t="str">
            <v>110kV 173 Tân Thạnh - 171 Thạnh Hóa</v>
          </cell>
          <cell r="D2684">
            <v>173</v>
          </cell>
          <cell r="E2684">
            <v>5.0999999999999996</v>
          </cell>
          <cell r="F2684">
            <v>24.1</v>
          </cell>
          <cell r="G2684">
            <v>17.2</v>
          </cell>
          <cell r="H2684">
            <v>12.7</v>
          </cell>
          <cell r="I2684">
            <v>19.2</v>
          </cell>
          <cell r="J2684">
            <v>17.3</v>
          </cell>
          <cell r="K2684">
            <v>12</v>
          </cell>
          <cell r="L2684">
            <v>24.1</v>
          </cell>
          <cell r="M2684">
            <v>5.0999999999999996</v>
          </cell>
        </row>
        <row r="2685">
          <cell r="C2685" t="str">
            <v>Tân Thuận MBA T1 (phía 110kV)</v>
          </cell>
          <cell r="D2685">
            <v>131</v>
          </cell>
          <cell r="E2685">
            <v>1.7</v>
          </cell>
          <cell r="F2685">
            <v>6.1</v>
          </cell>
          <cell r="G2685">
            <v>5.8</v>
          </cell>
          <cell r="H2685">
            <v>6.1</v>
          </cell>
          <cell r="I2685">
            <v>4.9000000000000004</v>
          </cell>
          <cell r="J2685">
            <v>1.7</v>
          </cell>
          <cell r="K2685">
            <v>5.6</v>
          </cell>
          <cell r="L2685">
            <v>5.9</v>
          </cell>
          <cell r="M2685">
            <v>6</v>
          </cell>
        </row>
        <row r="2686">
          <cell r="C2686" t="str">
            <v>Tân Thuận MBA T2 (phía 110kV)</v>
          </cell>
          <cell r="D2686">
            <v>132</v>
          </cell>
          <cell r="E2686">
            <v>3.4</v>
          </cell>
          <cell r="F2686">
            <v>6.2</v>
          </cell>
          <cell r="G2686">
            <v>5.6</v>
          </cell>
          <cell r="H2686">
            <v>6.2</v>
          </cell>
          <cell r="I2686">
            <v>5.7</v>
          </cell>
          <cell r="J2686">
            <v>3.4</v>
          </cell>
          <cell r="K2686">
            <v>5.5</v>
          </cell>
          <cell r="L2686">
            <v>5.9</v>
          </cell>
          <cell r="M2686">
            <v>5.7</v>
          </cell>
        </row>
        <row r="2687">
          <cell r="C2687" t="str">
            <v>Tân Thuận MBA T3 (phía 110kV)</v>
          </cell>
          <cell r="D2687">
            <v>133</v>
          </cell>
          <cell r="E2687">
            <v>-10</v>
          </cell>
          <cell r="F2687">
            <v>-19.2</v>
          </cell>
          <cell r="G2687">
            <v>-19.2</v>
          </cell>
          <cell r="H2687">
            <v>-19</v>
          </cell>
          <cell r="I2687">
            <v>-16.899999999999999</v>
          </cell>
          <cell r="J2687">
            <v>-10</v>
          </cell>
          <cell r="K2687">
            <v>-19</v>
          </cell>
          <cell r="L2687">
            <v>-19.100000000000001</v>
          </cell>
          <cell r="M2687">
            <v>-18.899999999999999</v>
          </cell>
        </row>
        <row r="2688">
          <cell r="C2688" t="str">
            <v>Tân Thuận MBA T4 (phía 110kV)</v>
          </cell>
          <cell r="D2688">
            <v>134</v>
          </cell>
          <cell r="E2688">
            <v>1.7</v>
          </cell>
          <cell r="F2688">
            <v>9.1999999999999993</v>
          </cell>
          <cell r="G2688">
            <v>9</v>
          </cell>
          <cell r="H2688">
            <v>8.6999999999999993</v>
          </cell>
          <cell r="I2688">
            <v>8.4</v>
          </cell>
          <cell r="J2688">
            <v>1.7</v>
          </cell>
          <cell r="K2688">
            <v>9.1999999999999993</v>
          </cell>
          <cell r="L2688">
            <v>8.9</v>
          </cell>
          <cell r="M2688">
            <v>8.6999999999999993</v>
          </cell>
        </row>
        <row r="2689">
          <cell r="C2689" t="str">
            <v>110kV 171 Tân Thuận - 171 NMĐ Hiệp Phước</v>
          </cell>
          <cell r="D2689">
            <v>171</v>
          </cell>
          <cell r="E2689">
            <v>-5</v>
          </cell>
          <cell r="F2689">
            <v>-24</v>
          </cell>
          <cell r="G2689">
            <v>-23.5</v>
          </cell>
          <cell r="H2689">
            <v>-24</v>
          </cell>
          <cell r="I2689">
            <v>-19.399999999999999</v>
          </cell>
          <cell r="J2689">
            <v>-5</v>
          </cell>
          <cell r="K2689">
            <v>-22.6</v>
          </cell>
          <cell r="L2689">
            <v>-23.2</v>
          </cell>
          <cell r="M2689">
            <v>-22.4</v>
          </cell>
        </row>
        <row r="2690">
          <cell r="C2690" t="str">
            <v>110kV 172 Tân Thuận - 171 Phú Mỹ Hưng</v>
          </cell>
          <cell r="D2690">
            <v>172</v>
          </cell>
          <cell r="E2690">
            <v>-5.2</v>
          </cell>
          <cell r="F2690">
            <v>-10.4</v>
          </cell>
          <cell r="G2690">
            <v>-10.1</v>
          </cell>
          <cell r="H2690">
            <v>-10.4</v>
          </cell>
          <cell r="I2690">
            <v>-9.9</v>
          </cell>
          <cell r="J2690">
            <v>-5.2</v>
          </cell>
          <cell r="K2690">
            <v>-9.9</v>
          </cell>
          <cell r="L2690">
            <v>-10.3</v>
          </cell>
          <cell r="M2690">
            <v>-10.4</v>
          </cell>
        </row>
        <row r="2691">
          <cell r="C2691" t="str">
            <v>Tân Thuận MBA T1 (phía 22kV)</v>
          </cell>
          <cell r="D2691">
            <v>431</v>
          </cell>
          <cell r="E2691">
            <v>-1.2</v>
          </cell>
          <cell r="F2691">
            <v>-4.5</v>
          </cell>
          <cell r="G2691">
            <v>-4.3</v>
          </cell>
          <cell r="H2691">
            <v>-4.4000000000000004</v>
          </cell>
          <cell r="I2691">
            <v>-3.7</v>
          </cell>
          <cell r="J2691">
            <v>-1.2</v>
          </cell>
          <cell r="K2691">
            <v>-4.2</v>
          </cell>
          <cell r="L2691">
            <v>-4.4000000000000004</v>
          </cell>
          <cell r="M2691">
            <v>-4.5</v>
          </cell>
        </row>
        <row r="2692">
          <cell r="C2692" t="str">
            <v>Tân Thuận MBA T2 (phía 22kV)</v>
          </cell>
          <cell r="D2692">
            <v>432</v>
          </cell>
          <cell r="E2692">
            <v>-2.9</v>
          </cell>
          <cell r="F2692">
            <v>-5.2</v>
          </cell>
          <cell r="G2692">
            <v>-4.7</v>
          </cell>
          <cell r="H2692">
            <v>-5.2</v>
          </cell>
          <cell r="I2692">
            <v>-4.8</v>
          </cell>
          <cell r="J2692">
            <v>-2.9</v>
          </cell>
          <cell r="K2692">
            <v>-4.7</v>
          </cell>
          <cell r="L2692">
            <v>-5</v>
          </cell>
          <cell r="M2692">
            <v>-4.9000000000000004</v>
          </cell>
        </row>
        <row r="2693">
          <cell r="C2693" t="str">
            <v>Tân Thuận MBA T3 (phía 22kV)</v>
          </cell>
          <cell r="D2693">
            <v>433</v>
          </cell>
          <cell r="E2693">
            <v>-2.1</v>
          </cell>
          <cell r="F2693">
            <v>-9.1999999999999993</v>
          </cell>
          <cell r="G2693">
            <v>-9.1999999999999993</v>
          </cell>
          <cell r="H2693">
            <v>-9.1999999999999993</v>
          </cell>
          <cell r="I2693">
            <v>-7.8</v>
          </cell>
          <cell r="J2693">
            <v>-2.1</v>
          </cell>
          <cell r="K2693">
            <v>-8.6</v>
          </cell>
          <cell r="L2693">
            <v>-8.9</v>
          </cell>
          <cell r="M2693">
            <v>-8.6</v>
          </cell>
        </row>
        <row r="2694">
          <cell r="C2694" t="str">
            <v>Tân Thuận MBA T4 (phía 22kV)</v>
          </cell>
          <cell r="D2694">
            <v>434</v>
          </cell>
          <cell r="E2694">
            <v>1.8</v>
          </cell>
          <cell r="F2694">
            <v>-7.6</v>
          </cell>
          <cell r="G2694">
            <v>-7.5</v>
          </cell>
          <cell r="H2694">
            <v>-7.2</v>
          </cell>
          <cell r="I2694">
            <v>-6.6</v>
          </cell>
          <cell r="J2694">
            <v>1.8</v>
          </cell>
          <cell r="K2694">
            <v>-7.6</v>
          </cell>
          <cell r="L2694">
            <v>-7.4</v>
          </cell>
          <cell r="M2694">
            <v>-7.1</v>
          </cell>
        </row>
        <row r="2695">
          <cell r="C2695" t="str">
            <v>Tân Túc MBA T1 (phía 110kV)</v>
          </cell>
          <cell r="D2695">
            <v>131</v>
          </cell>
          <cell r="E2695">
            <v>-5.3</v>
          </cell>
          <cell r="F2695">
            <v>-6.1</v>
          </cell>
          <cell r="G2695">
            <v>-6.1</v>
          </cell>
          <cell r="H2695">
            <v>-5.9</v>
          </cell>
          <cell r="I2695">
            <v>-5.4</v>
          </cell>
          <cell r="J2695">
            <v>-5.9</v>
          </cell>
          <cell r="K2695">
            <v>-5.7</v>
          </cell>
          <cell r="L2695">
            <v>-5.3</v>
          </cell>
          <cell r="M2695">
            <v>-5.7</v>
          </cell>
        </row>
        <row r="2696">
          <cell r="C2696" t="str">
            <v>Tân Túc MBA T2 (phía 110kV)</v>
          </cell>
          <cell r="D2696">
            <v>132</v>
          </cell>
          <cell r="E2696">
            <v>2.2999999999999998</v>
          </cell>
          <cell r="F2696">
            <v>6.7</v>
          </cell>
          <cell r="G2696">
            <v>5</v>
          </cell>
          <cell r="H2696">
            <v>-5.3</v>
          </cell>
          <cell r="I2696">
            <v>4.9000000000000004</v>
          </cell>
          <cell r="J2696">
            <v>-2.4</v>
          </cell>
          <cell r="K2696">
            <v>6.7</v>
          </cell>
          <cell r="L2696">
            <v>6.4</v>
          </cell>
          <cell r="M2696">
            <v>2.2999999999999998</v>
          </cell>
        </row>
        <row r="2697">
          <cell r="C2697" t="str">
            <v>110kV 176 Tân Túc - 172 Long Hiệp</v>
          </cell>
          <cell r="D2697">
            <v>176</v>
          </cell>
          <cell r="E2697">
            <v>7.7</v>
          </cell>
          <cell r="F2697">
            <v>9.1999999999999993</v>
          </cell>
          <cell r="G2697">
            <v>-8.8000000000000007</v>
          </cell>
          <cell r="H2697">
            <v>8.6999999999999993</v>
          </cell>
          <cell r="I2697">
            <v>8.9</v>
          </cell>
          <cell r="J2697">
            <v>9.1999999999999993</v>
          </cell>
          <cell r="K2697">
            <v>8.5</v>
          </cell>
          <cell r="L2697">
            <v>7.7</v>
          </cell>
          <cell r="M2697">
            <v>7.9</v>
          </cell>
        </row>
        <row r="2698">
          <cell r="C2698" t="str">
            <v>110kV 177 Tân Túc - 171 Tân Tạo</v>
          </cell>
          <cell r="D2698">
            <v>177</v>
          </cell>
          <cell r="E2698">
            <v>0</v>
          </cell>
          <cell r="F2698">
            <v>0</v>
          </cell>
          <cell r="G2698">
            <v>0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</row>
        <row r="2699">
          <cell r="C2699" t="str">
            <v>Tân Túc MBA T1 (phía 22kV)</v>
          </cell>
          <cell r="D2699">
            <v>431</v>
          </cell>
          <cell r="E2699">
            <v>5.6</v>
          </cell>
          <cell r="F2699">
            <v>7</v>
          </cell>
          <cell r="G2699">
            <v>6.8</v>
          </cell>
          <cell r="H2699">
            <v>7</v>
          </cell>
          <cell r="I2699">
            <v>6.5</v>
          </cell>
          <cell r="J2699">
            <v>5.8</v>
          </cell>
          <cell r="K2699">
            <v>5.7</v>
          </cell>
          <cell r="L2699">
            <v>5.6</v>
          </cell>
          <cell r="M2699">
            <v>6.2</v>
          </cell>
        </row>
        <row r="2700">
          <cell r="C2700" t="str">
            <v>Tân Túc MBA T2 (phía 22kV)</v>
          </cell>
          <cell r="D2700">
            <v>432</v>
          </cell>
          <cell r="E2700">
            <v>1.8</v>
          </cell>
          <cell r="F2700">
            <v>5.9</v>
          </cell>
          <cell r="G2700">
            <v>-3.8</v>
          </cell>
          <cell r="H2700">
            <v>5.9</v>
          </cell>
          <cell r="I2700">
            <v>-3.9</v>
          </cell>
          <cell r="J2700">
            <v>2.7</v>
          </cell>
          <cell r="K2700">
            <v>-4.9000000000000004</v>
          </cell>
          <cell r="L2700">
            <v>-5.3</v>
          </cell>
          <cell r="M2700">
            <v>1.8</v>
          </cell>
        </row>
        <row r="2701">
          <cell r="C2701" t="str">
            <v>Tân Uyên MBA T1 (phía 110kV)</v>
          </cell>
          <cell r="D2701">
            <v>131</v>
          </cell>
          <cell r="E2701">
            <v>9.3000000000000007</v>
          </cell>
          <cell r="F2701">
            <v>13.6</v>
          </cell>
          <cell r="G2701">
            <v>10.6</v>
          </cell>
          <cell r="H2701">
            <v>13.6</v>
          </cell>
          <cell r="I2701">
            <v>9.9</v>
          </cell>
          <cell r="J2701">
            <v>9.3000000000000007</v>
          </cell>
          <cell r="K2701">
            <v>11.9</v>
          </cell>
          <cell r="L2701">
            <v>11.3</v>
          </cell>
          <cell r="M2701">
            <v>11</v>
          </cell>
        </row>
        <row r="2702">
          <cell r="C2702" t="str">
            <v>Tân Uyên MBA T2 (phía 110kV)</v>
          </cell>
          <cell r="D2702">
            <v>132</v>
          </cell>
          <cell r="E2702">
            <v>8.4</v>
          </cell>
          <cell r="F2702">
            <v>-11.8</v>
          </cell>
          <cell r="G2702">
            <v>-9.6999999999999993</v>
          </cell>
          <cell r="H2702">
            <v>8.4</v>
          </cell>
          <cell r="I2702">
            <v>9.6</v>
          </cell>
          <cell r="J2702">
            <v>-11.8</v>
          </cell>
          <cell r="K2702">
            <v>-10.199999999999999</v>
          </cell>
          <cell r="L2702">
            <v>8.8000000000000007</v>
          </cell>
          <cell r="M2702">
            <v>-9</v>
          </cell>
        </row>
        <row r="2703">
          <cell r="C2703" t="str">
            <v>110kV 171 Tân Uyên - 178 Uyên Hưng</v>
          </cell>
          <cell r="D2703">
            <v>171</v>
          </cell>
          <cell r="E2703">
            <v>11.5</v>
          </cell>
          <cell r="F2703">
            <v>-22.5</v>
          </cell>
          <cell r="G2703">
            <v>-20.9</v>
          </cell>
          <cell r="H2703">
            <v>-22.5</v>
          </cell>
          <cell r="I2703">
            <v>-20.100000000000001</v>
          </cell>
          <cell r="J2703">
            <v>11.5</v>
          </cell>
          <cell r="K2703">
            <v>-20.9</v>
          </cell>
          <cell r="L2703">
            <v>-20.3</v>
          </cell>
          <cell r="M2703">
            <v>-20.2</v>
          </cell>
        </row>
        <row r="2704">
          <cell r="C2704" t="str">
            <v>110kV 172 Tân Uyên - 171 Khánh Bình</v>
          </cell>
          <cell r="D2704">
            <v>172</v>
          </cell>
          <cell r="E2704">
            <v>-7.5</v>
          </cell>
          <cell r="F2704">
            <v>13.4</v>
          </cell>
          <cell r="G2704">
            <v>12.8</v>
          </cell>
          <cell r="H2704">
            <v>13.4</v>
          </cell>
          <cell r="I2704">
            <v>12</v>
          </cell>
          <cell r="J2704">
            <v>-7.5</v>
          </cell>
          <cell r="K2704">
            <v>11.8</v>
          </cell>
          <cell r="L2704">
            <v>10.7</v>
          </cell>
          <cell r="M2704">
            <v>11.8</v>
          </cell>
        </row>
        <row r="2705">
          <cell r="C2705" t="str">
            <v>110kV 174 Tân Uyên - 179 Uyên Hưng</v>
          </cell>
          <cell r="D2705">
            <v>174</v>
          </cell>
          <cell r="E2705">
            <v>4.5</v>
          </cell>
          <cell r="F2705">
            <v>-10.7</v>
          </cell>
          <cell r="G2705">
            <v>-9.6999999999999993</v>
          </cell>
          <cell r="H2705">
            <v>-10.7</v>
          </cell>
          <cell r="I2705">
            <v>-9.6999999999999993</v>
          </cell>
          <cell r="J2705">
            <v>4.5</v>
          </cell>
          <cell r="K2705">
            <v>-9.6999999999999993</v>
          </cell>
          <cell r="L2705">
            <v>-9.3000000000000007</v>
          </cell>
          <cell r="M2705">
            <v>-9.5</v>
          </cell>
        </row>
        <row r="2706">
          <cell r="C2706" t="str">
            <v>Tân Uyên MBA T1 (phía 22kV)</v>
          </cell>
          <cell r="D2706">
            <v>431</v>
          </cell>
          <cell r="E2706">
            <v>-7.3</v>
          </cell>
          <cell r="F2706">
            <v>11</v>
          </cell>
          <cell r="G2706">
            <v>11</v>
          </cell>
          <cell r="H2706">
            <v>8.9</v>
          </cell>
          <cell r="I2706">
            <v>10.3</v>
          </cell>
          <cell r="J2706">
            <v>-7.3</v>
          </cell>
          <cell r="K2706">
            <v>7.9</v>
          </cell>
          <cell r="L2706">
            <v>8.5</v>
          </cell>
          <cell r="M2706">
            <v>10.199999999999999</v>
          </cell>
        </row>
        <row r="2707">
          <cell r="C2707" t="str">
            <v>Tân Uyên MBA T2 (phía 22kV)</v>
          </cell>
          <cell r="D2707">
            <v>432</v>
          </cell>
          <cell r="E2707">
            <v>9.9</v>
          </cell>
          <cell r="F2707">
            <v>13.4</v>
          </cell>
          <cell r="G2707">
            <v>11.4</v>
          </cell>
          <cell r="H2707">
            <v>9.9</v>
          </cell>
          <cell r="I2707">
            <v>10.6</v>
          </cell>
          <cell r="J2707">
            <v>13.4</v>
          </cell>
          <cell r="K2707">
            <v>11.3</v>
          </cell>
          <cell r="L2707">
            <v>10</v>
          </cell>
          <cell r="M2707">
            <v>11.2</v>
          </cell>
        </row>
        <row r="2708">
          <cell r="C2708" t="str">
            <v>Tân Uyên 500 MBA AT5 (phía 110kV)</v>
          </cell>
          <cell r="D2708">
            <v>135</v>
          </cell>
          <cell r="E2708">
            <v>0</v>
          </cell>
          <cell r="F2708">
            <v>1.9</v>
          </cell>
          <cell r="G2708">
            <v>1.2</v>
          </cell>
          <cell r="H2708">
            <v>1.9</v>
          </cell>
          <cell r="I2708">
            <v>1.2</v>
          </cell>
          <cell r="J2708">
            <v>1.2</v>
          </cell>
          <cell r="K2708">
            <v>1.2</v>
          </cell>
          <cell r="L2708">
            <v>1.2</v>
          </cell>
          <cell r="M2708">
            <v>0</v>
          </cell>
        </row>
        <row r="2709">
          <cell r="C2709" t="str">
            <v>Tân Uyên 500 MBA AT6 (phía 110kV)</v>
          </cell>
          <cell r="D2709">
            <v>136</v>
          </cell>
          <cell r="E2709">
            <v>0</v>
          </cell>
          <cell r="F2709">
            <v>-1.8</v>
          </cell>
          <cell r="G2709">
            <v>-1.1000000000000001</v>
          </cell>
          <cell r="H2709">
            <v>-1.8</v>
          </cell>
          <cell r="I2709">
            <v>-1.1000000000000001</v>
          </cell>
          <cell r="J2709">
            <v>-1.1000000000000001</v>
          </cell>
          <cell r="K2709">
            <v>-1.1000000000000001</v>
          </cell>
          <cell r="L2709">
            <v>-1.1000000000000001</v>
          </cell>
          <cell r="M2709">
            <v>0</v>
          </cell>
        </row>
        <row r="2710">
          <cell r="C2710" t="str">
            <v>Tân Uyên 500 MBA AT1 (phía 220kV)</v>
          </cell>
          <cell r="D2710">
            <v>231</v>
          </cell>
          <cell r="E2710">
            <v>-41.9</v>
          </cell>
          <cell r="F2710">
            <v>-97.4</v>
          </cell>
          <cell r="G2710">
            <v>-71.8</v>
          </cell>
          <cell r="H2710">
            <v>-78.7</v>
          </cell>
          <cell r="I2710">
            <v>-69.400000000000006</v>
          </cell>
          <cell r="J2710">
            <v>-41.9</v>
          </cell>
          <cell r="K2710">
            <v>-91.4</v>
          </cell>
          <cell r="L2710">
            <v>-97.4</v>
          </cell>
          <cell r="M2710">
            <v>-84.4</v>
          </cell>
        </row>
        <row r="2711">
          <cell r="C2711" t="str">
            <v>Tân Uyên 500 MBA AT2 (phía 220kV)</v>
          </cell>
          <cell r="D2711">
            <v>232</v>
          </cell>
          <cell r="E2711">
            <v>-54</v>
          </cell>
          <cell r="F2711">
            <v>-113.4</v>
          </cell>
          <cell r="G2711">
            <v>-88</v>
          </cell>
          <cell r="H2711">
            <v>-92.9</v>
          </cell>
          <cell r="I2711">
            <v>-83.3</v>
          </cell>
          <cell r="J2711">
            <v>-54</v>
          </cell>
          <cell r="K2711">
            <v>-107.2</v>
          </cell>
          <cell r="L2711">
            <v>-113.4</v>
          </cell>
          <cell r="M2711">
            <v>-99.2</v>
          </cell>
        </row>
        <row r="2712">
          <cell r="C2712" t="str">
            <v>Tân Uyên 500 MBA AT5 (phía 220kV)</v>
          </cell>
          <cell r="D2712">
            <v>235</v>
          </cell>
          <cell r="E2712">
            <v>0.1</v>
          </cell>
          <cell r="F2712">
            <v>-1.8</v>
          </cell>
          <cell r="G2712">
            <v>-1.1000000000000001</v>
          </cell>
          <cell r="H2712">
            <v>-1.8</v>
          </cell>
          <cell r="I2712">
            <v>-1.1000000000000001</v>
          </cell>
          <cell r="J2712">
            <v>-1.1000000000000001</v>
          </cell>
          <cell r="K2712">
            <v>-1.1000000000000001</v>
          </cell>
          <cell r="L2712">
            <v>-1.1000000000000001</v>
          </cell>
          <cell r="M2712">
            <v>0.1</v>
          </cell>
        </row>
        <row r="2713">
          <cell r="C2713" t="str">
            <v>Tân Uyên 500 MBA AT6 (phía 220kV)</v>
          </cell>
          <cell r="D2713">
            <v>236</v>
          </cell>
          <cell r="E2713">
            <v>0</v>
          </cell>
          <cell r="F2713">
            <v>1.9</v>
          </cell>
          <cell r="G2713">
            <v>1.2</v>
          </cell>
          <cell r="H2713">
            <v>1.9</v>
          </cell>
          <cell r="I2713">
            <v>1.2</v>
          </cell>
          <cell r="J2713">
            <v>1.2</v>
          </cell>
          <cell r="K2713">
            <v>1.2</v>
          </cell>
          <cell r="L2713">
            <v>1.2</v>
          </cell>
          <cell r="M2713">
            <v>0</v>
          </cell>
        </row>
        <row r="2714">
          <cell r="C2714" t="str">
            <v>220kV 274 Tân Uyên 500 - 273 Thuận An</v>
          </cell>
          <cell r="D2714">
            <v>274</v>
          </cell>
          <cell r="E2714">
            <v>50.5</v>
          </cell>
          <cell r="F2714">
            <v>107.9</v>
          </cell>
          <cell r="G2714">
            <v>80.900000000000006</v>
          </cell>
          <cell r="H2714">
            <v>88.1</v>
          </cell>
          <cell r="I2714">
            <v>78.3</v>
          </cell>
          <cell r="J2714">
            <v>50.5</v>
          </cell>
          <cell r="K2714">
            <v>101.7</v>
          </cell>
          <cell r="L2714">
            <v>107.9</v>
          </cell>
          <cell r="M2714">
            <v>95.7</v>
          </cell>
        </row>
        <row r="2715">
          <cell r="C2715" t="str">
            <v>220kV 275 Tân Uyên 500 - 272 Thuận An</v>
          </cell>
          <cell r="D2715">
            <v>275</v>
          </cell>
          <cell r="E2715">
            <v>46</v>
          </cell>
          <cell r="F2715">
            <v>102.7</v>
          </cell>
          <cell r="G2715">
            <v>78.400000000000006</v>
          </cell>
          <cell r="H2715">
            <v>83.8</v>
          </cell>
          <cell r="I2715">
            <v>76.400000000000006</v>
          </cell>
          <cell r="J2715">
            <v>46</v>
          </cell>
          <cell r="K2715">
            <v>98.3</v>
          </cell>
          <cell r="L2715">
            <v>102.7</v>
          </cell>
          <cell r="M2715">
            <v>89.5</v>
          </cell>
        </row>
        <row r="2716">
          <cell r="C2716" t="str">
            <v>Tân Uyên 500 MBA AT1 (phía 500kV)</v>
          </cell>
          <cell r="D2716">
            <v>531</v>
          </cell>
          <cell r="E2716">
            <v>50.6</v>
          </cell>
          <cell r="F2716">
            <v>118.6</v>
          </cell>
          <cell r="G2716">
            <v>100.2</v>
          </cell>
          <cell r="H2716">
            <v>104</v>
          </cell>
          <cell r="I2716">
            <v>93.3</v>
          </cell>
          <cell r="J2716">
            <v>50.6</v>
          </cell>
          <cell r="K2716">
            <v>113.9</v>
          </cell>
          <cell r="L2716">
            <v>118.6</v>
          </cell>
          <cell r="M2716">
            <v>107.9</v>
          </cell>
        </row>
        <row r="2717">
          <cell r="C2717" t="str">
            <v>Tân Uyên 500 MBA AT2 (phía 500kV)</v>
          </cell>
          <cell r="D2717">
            <v>532</v>
          </cell>
          <cell r="E2717">
            <v>63.7</v>
          </cell>
          <cell r="F2717">
            <v>136.5</v>
          </cell>
          <cell r="G2717">
            <v>115.9</v>
          </cell>
          <cell r="H2717">
            <v>120.8</v>
          </cell>
          <cell r="I2717">
            <v>109.1</v>
          </cell>
          <cell r="J2717">
            <v>63.7</v>
          </cell>
          <cell r="K2717">
            <v>131.1</v>
          </cell>
          <cell r="L2717">
            <v>136.5</v>
          </cell>
          <cell r="M2717">
            <v>124.2</v>
          </cell>
        </row>
        <row r="2718">
          <cell r="C2718" t="str">
            <v>Tăng Nhơn Phú MBA T1 (phía 110kV)</v>
          </cell>
          <cell r="D2718">
            <v>131</v>
          </cell>
          <cell r="E2718">
            <v>6.6</v>
          </cell>
          <cell r="F2718">
            <v>9.6999999999999993</v>
          </cell>
          <cell r="G2718">
            <v>9.6999999999999993</v>
          </cell>
          <cell r="H2718">
            <v>9.1999999999999993</v>
          </cell>
          <cell r="I2718">
            <v>7.2</v>
          </cell>
          <cell r="J2718">
            <v>6.6</v>
          </cell>
          <cell r="K2718">
            <v>9.5</v>
          </cell>
          <cell r="L2718">
            <v>9.6</v>
          </cell>
          <cell r="M2718">
            <v>8.6999999999999993</v>
          </cell>
        </row>
        <row r="2719">
          <cell r="C2719" t="str">
            <v>Tăng Nhơn Phú MBA T2 (phía 110kV)</v>
          </cell>
          <cell r="D2719">
            <v>132</v>
          </cell>
          <cell r="E2719">
            <v>0.9</v>
          </cell>
          <cell r="F2719">
            <v>3.3</v>
          </cell>
          <cell r="G2719">
            <v>3</v>
          </cell>
          <cell r="H2719">
            <v>3.3</v>
          </cell>
          <cell r="I2719">
            <v>2.2999999999999998</v>
          </cell>
          <cell r="J2719">
            <v>0.9</v>
          </cell>
          <cell r="K2719">
            <v>3</v>
          </cell>
          <cell r="L2719">
            <v>3</v>
          </cell>
          <cell r="M2719">
            <v>3</v>
          </cell>
        </row>
        <row r="2720">
          <cell r="C2720" t="str">
            <v>110kV 172 Tăng Nhơn Phú - 174 Công Nghệ Cao</v>
          </cell>
          <cell r="D2720">
            <v>172</v>
          </cell>
          <cell r="E2720">
            <v>17.100000000000001</v>
          </cell>
          <cell r="F2720">
            <v>46.3</v>
          </cell>
          <cell r="G2720">
            <v>43</v>
          </cell>
          <cell r="H2720">
            <v>45.6</v>
          </cell>
          <cell r="I2720">
            <v>44.2</v>
          </cell>
          <cell r="J2720">
            <v>17.100000000000001</v>
          </cell>
          <cell r="K2720">
            <v>45.6</v>
          </cell>
          <cell r="L2720">
            <v>45.4</v>
          </cell>
          <cell r="M2720">
            <v>46.3</v>
          </cell>
        </row>
        <row r="2721">
          <cell r="C2721" t="str">
            <v>110kV 173 Tăng Nhơn Phú - 172 Thủ Đức Đông - 172 Cát Lái</v>
          </cell>
          <cell r="D2721">
            <v>173</v>
          </cell>
          <cell r="E2721">
            <v>-22.4</v>
          </cell>
          <cell r="F2721">
            <v>-56.9</v>
          </cell>
          <cell r="G2721">
            <v>-55.3</v>
          </cell>
          <cell r="H2721">
            <v>-53.3</v>
          </cell>
          <cell r="I2721">
            <v>-52.3</v>
          </cell>
          <cell r="J2721">
            <v>-22.4</v>
          </cell>
          <cell r="K2721">
            <v>-55.4</v>
          </cell>
          <cell r="L2721">
            <v>-56.1</v>
          </cell>
          <cell r="M2721">
            <v>-56.9</v>
          </cell>
        </row>
        <row r="2722">
          <cell r="C2722" t="str">
            <v>110kV 174 Tăng Nhơn Phú - (172-7) Intel</v>
          </cell>
          <cell r="D2722">
            <v>174</v>
          </cell>
          <cell r="E2722">
            <v>-0.5</v>
          </cell>
          <cell r="F2722">
            <v>-2.1</v>
          </cell>
          <cell r="G2722">
            <v>-0.5</v>
          </cell>
          <cell r="H2722">
            <v>-1.6</v>
          </cell>
          <cell r="I2722">
            <v>-1.1000000000000001</v>
          </cell>
          <cell r="J2722">
            <v>-1.1000000000000001</v>
          </cell>
          <cell r="K2722">
            <v>-2.1</v>
          </cell>
          <cell r="L2722">
            <v>-2.1</v>
          </cell>
          <cell r="M2722">
            <v>-2.1</v>
          </cell>
        </row>
        <row r="2723">
          <cell r="C2723" t="str">
            <v>Tăng Nhơn Phú MBA T1 (phía 22kV)</v>
          </cell>
          <cell r="D2723">
            <v>431</v>
          </cell>
          <cell r="E2723">
            <v>-3.9</v>
          </cell>
          <cell r="F2723">
            <v>-6.6</v>
          </cell>
          <cell r="G2723">
            <v>-6.6</v>
          </cell>
          <cell r="H2723">
            <v>-6.5</v>
          </cell>
          <cell r="I2723">
            <v>-4.7</v>
          </cell>
          <cell r="J2723">
            <v>-3.9</v>
          </cell>
          <cell r="K2723">
            <v>-6.3</v>
          </cell>
          <cell r="L2723">
            <v>-6.4</v>
          </cell>
          <cell r="M2723">
            <v>-6.1</v>
          </cell>
        </row>
        <row r="2724">
          <cell r="C2724" t="str">
            <v>Tăng Nhơn Phú MBA T2 (phía 22kV)</v>
          </cell>
          <cell r="D2724">
            <v>432</v>
          </cell>
          <cell r="E2724">
            <v>0.7</v>
          </cell>
          <cell r="F2724">
            <v>-2.2999999999999998</v>
          </cell>
          <cell r="G2724">
            <v>-2.1</v>
          </cell>
          <cell r="H2724">
            <v>-1.6</v>
          </cell>
          <cell r="I2724">
            <v>-1.3</v>
          </cell>
          <cell r="J2724">
            <v>0.7</v>
          </cell>
          <cell r="K2724">
            <v>-2.2000000000000002</v>
          </cell>
          <cell r="L2724">
            <v>-2.2999999999999998</v>
          </cell>
          <cell r="M2724">
            <v>-2.2999999999999998</v>
          </cell>
        </row>
        <row r="2725">
          <cell r="C2725" t="str">
            <v>Tao Đàn MBA AT1 (phía 110kV)</v>
          </cell>
          <cell r="D2725">
            <v>131</v>
          </cell>
          <cell r="E2725">
            <v>23.1</v>
          </cell>
          <cell r="F2725">
            <v>26.4</v>
          </cell>
          <cell r="G2725">
            <v>25.4</v>
          </cell>
          <cell r="H2725">
            <v>24.1</v>
          </cell>
          <cell r="I2725">
            <v>24.9</v>
          </cell>
          <cell r="J2725">
            <v>23.1</v>
          </cell>
          <cell r="K2725">
            <v>25.4</v>
          </cell>
          <cell r="L2725">
            <v>26.4</v>
          </cell>
          <cell r="M2725">
            <v>25.4</v>
          </cell>
        </row>
        <row r="2726">
          <cell r="C2726" t="str">
            <v>Tao Đàn MBA AT2 (phía 110kV)</v>
          </cell>
          <cell r="D2726">
            <v>132</v>
          </cell>
          <cell r="E2726">
            <v>18.8</v>
          </cell>
          <cell r="F2726">
            <v>-28.8</v>
          </cell>
          <cell r="G2726">
            <v>-26.5</v>
          </cell>
          <cell r="H2726">
            <v>-28.8</v>
          </cell>
          <cell r="I2726">
            <v>20.7</v>
          </cell>
          <cell r="J2726">
            <v>18.8</v>
          </cell>
          <cell r="K2726">
            <v>-24.9</v>
          </cell>
          <cell r="L2726">
            <v>-24.4</v>
          </cell>
          <cell r="M2726">
            <v>20.6</v>
          </cell>
        </row>
        <row r="2727">
          <cell r="C2727" t="str">
            <v>Tao Đàn MBA T3 (phía 110kV)</v>
          </cell>
          <cell r="D2727">
            <v>133</v>
          </cell>
          <cell r="E2727">
            <v>5</v>
          </cell>
          <cell r="F2727">
            <v>12.9</v>
          </cell>
          <cell r="G2727">
            <v>11.7</v>
          </cell>
          <cell r="H2727">
            <v>12.3</v>
          </cell>
          <cell r="I2727">
            <v>6.4</v>
          </cell>
          <cell r="J2727">
            <v>5</v>
          </cell>
          <cell r="K2727">
            <v>12.1</v>
          </cell>
          <cell r="L2727">
            <v>12.9</v>
          </cell>
          <cell r="M2727">
            <v>10</v>
          </cell>
        </row>
        <row r="2728">
          <cell r="C2728" t="str">
            <v>Tao Đàn MBA T4 (phía 110kV)</v>
          </cell>
          <cell r="D2728">
            <v>134</v>
          </cell>
          <cell r="E2728">
            <v>1.5</v>
          </cell>
          <cell r="F2728">
            <v>2.1</v>
          </cell>
          <cell r="G2728">
            <v>2.1</v>
          </cell>
          <cell r="H2728">
            <v>1.9</v>
          </cell>
          <cell r="I2728">
            <v>-1.7</v>
          </cell>
          <cell r="J2728">
            <v>-1.9</v>
          </cell>
          <cell r="K2728">
            <v>-1.7</v>
          </cell>
          <cell r="L2728">
            <v>1.9</v>
          </cell>
          <cell r="M2728">
            <v>1.5</v>
          </cell>
        </row>
        <row r="2729">
          <cell r="C2729" t="str">
            <v>110kV 173 Tao Đàn - 171 Bến Thành</v>
          </cell>
          <cell r="D2729">
            <v>173</v>
          </cell>
          <cell r="E2729">
            <v>0</v>
          </cell>
          <cell r="F2729">
            <v>-2</v>
          </cell>
          <cell r="G2729">
            <v>0</v>
          </cell>
          <cell r="H2729">
            <v>0</v>
          </cell>
          <cell r="I2729">
            <v>-0.6</v>
          </cell>
          <cell r="J2729">
            <v>-2</v>
          </cell>
          <cell r="K2729">
            <v>0</v>
          </cell>
          <cell r="L2729">
            <v>0</v>
          </cell>
          <cell r="M2729">
            <v>0</v>
          </cell>
        </row>
        <row r="2730">
          <cell r="C2730" t="str">
            <v>110kV 174 Tao Đàn - 172 Bến Thành</v>
          </cell>
          <cell r="D2730">
            <v>174</v>
          </cell>
          <cell r="E2730">
            <v>0</v>
          </cell>
          <cell r="F2730">
            <v>0</v>
          </cell>
          <cell r="G2730">
            <v>0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</row>
        <row r="2731">
          <cell r="C2731" t="str">
            <v>110kV 175 Tao Đàn - 172 Hòa Hưng</v>
          </cell>
          <cell r="D2731">
            <v>175</v>
          </cell>
          <cell r="E2731">
            <v>-10.199999999999999</v>
          </cell>
          <cell r="F2731">
            <v>-11</v>
          </cell>
          <cell r="G2731">
            <v>-10.199999999999999</v>
          </cell>
          <cell r="H2731">
            <v>-10.199999999999999</v>
          </cell>
          <cell r="I2731">
            <v>-10.3</v>
          </cell>
          <cell r="J2731">
            <v>-10.3</v>
          </cell>
          <cell r="K2731">
            <v>-10.4</v>
          </cell>
          <cell r="L2731">
            <v>-11</v>
          </cell>
          <cell r="M2731">
            <v>-10.3</v>
          </cell>
        </row>
        <row r="2732">
          <cell r="C2732" t="str">
            <v>110kV 176 Tao Đàn - 172 Trường Đua</v>
          </cell>
          <cell r="D2732">
            <v>176</v>
          </cell>
          <cell r="E2732">
            <v>-12.5</v>
          </cell>
          <cell r="F2732">
            <v>-14.6</v>
          </cell>
          <cell r="G2732">
            <v>-12.9</v>
          </cell>
          <cell r="H2732">
            <v>-12.5</v>
          </cell>
          <cell r="I2732">
            <v>-13.2</v>
          </cell>
          <cell r="J2732">
            <v>-13.5</v>
          </cell>
          <cell r="K2732">
            <v>-13.6</v>
          </cell>
          <cell r="L2732">
            <v>-14.6</v>
          </cell>
          <cell r="M2732">
            <v>-13.3</v>
          </cell>
        </row>
        <row r="2733">
          <cell r="C2733" t="str">
            <v>110kV 177 Tao Đàn - 171 Thị Nghè</v>
          </cell>
          <cell r="D2733">
            <v>177</v>
          </cell>
          <cell r="E2733">
            <v>-5.0999999999999996</v>
          </cell>
          <cell r="F2733">
            <v>-5.5</v>
          </cell>
          <cell r="G2733">
            <v>-5.0999999999999996</v>
          </cell>
          <cell r="H2733">
            <v>-5.0999999999999996</v>
          </cell>
          <cell r="I2733">
            <v>-5.0999999999999996</v>
          </cell>
          <cell r="J2733">
            <v>-5.2</v>
          </cell>
          <cell r="K2733">
            <v>-5.4</v>
          </cell>
          <cell r="L2733">
            <v>-5.5</v>
          </cell>
          <cell r="M2733">
            <v>-5.0999999999999996</v>
          </cell>
        </row>
        <row r="2734">
          <cell r="C2734" t="str">
            <v>110kV 178 Tao Đàn - 172 Thị Nghè</v>
          </cell>
          <cell r="D2734">
            <v>178</v>
          </cell>
          <cell r="E2734">
            <v>-4.4000000000000004</v>
          </cell>
          <cell r="F2734">
            <v>-4.8</v>
          </cell>
          <cell r="G2734">
            <v>-4.5999999999999996</v>
          </cell>
          <cell r="H2734">
            <v>-4.4000000000000004</v>
          </cell>
          <cell r="I2734">
            <v>-4.5</v>
          </cell>
          <cell r="J2734">
            <v>-4.4000000000000004</v>
          </cell>
          <cell r="K2734">
            <v>-4.7</v>
          </cell>
          <cell r="L2734">
            <v>-4.8</v>
          </cell>
          <cell r="M2734">
            <v>-4.5</v>
          </cell>
        </row>
        <row r="2735">
          <cell r="C2735" t="str">
            <v>110kV 180 Tao Đàn - 172 Đa Kao</v>
          </cell>
          <cell r="D2735">
            <v>180</v>
          </cell>
          <cell r="E2735">
            <v>-9.1999999999999993</v>
          </cell>
          <cell r="F2735">
            <v>-9.8000000000000007</v>
          </cell>
          <cell r="G2735">
            <v>-9.6</v>
          </cell>
          <cell r="H2735">
            <v>-9.3000000000000007</v>
          </cell>
          <cell r="I2735">
            <v>-9.1999999999999993</v>
          </cell>
          <cell r="J2735">
            <v>-9.8000000000000007</v>
          </cell>
          <cell r="K2735">
            <v>-9.3000000000000007</v>
          </cell>
          <cell r="L2735">
            <v>-9.8000000000000007</v>
          </cell>
          <cell r="M2735">
            <v>-9.1999999999999993</v>
          </cell>
        </row>
        <row r="2736">
          <cell r="C2736" t="str">
            <v>Tao Đàn MBA AT1 (phía 220kV)</v>
          </cell>
          <cell r="D2736">
            <v>231</v>
          </cell>
          <cell r="E2736">
            <v>-18.100000000000001</v>
          </cell>
          <cell r="F2736">
            <v>42.2</v>
          </cell>
          <cell r="G2736">
            <v>39.9</v>
          </cell>
          <cell r="H2736">
            <v>42.2</v>
          </cell>
          <cell r="I2736">
            <v>22.3</v>
          </cell>
          <cell r="J2736">
            <v>-18.100000000000001</v>
          </cell>
          <cell r="K2736">
            <v>36.6</v>
          </cell>
          <cell r="L2736">
            <v>35.4</v>
          </cell>
          <cell r="M2736">
            <v>27.7</v>
          </cell>
        </row>
        <row r="2737">
          <cell r="C2737" t="str">
            <v>Tao Đàn MBA AT2 (phía 220kV)</v>
          </cell>
          <cell r="D2737">
            <v>232</v>
          </cell>
          <cell r="E2737">
            <v>17.600000000000001</v>
          </cell>
          <cell r="F2737">
            <v>47.3</v>
          </cell>
          <cell r="G2737">
            <v>44.6</v>
          </cell>
          <cell r="H2737">
            <v>47.3</v>
          </cell>
          <cell r="I2737">
            <v>25.3</v>
          </cell>
          <cell r="J2737">
            <v>17.600000000000001</v>
          </cell>
          <cell r="K2737">
            <v>41.2</v>
          </cell>
          <cell r="L2737">
            <v>40.200000000000003</v>
          </cell>
          <cell r="M2737">
            <v>31.7</v>
          </cell>
        </row>
        <row r="2738">
          <cell r="C2738" t="str">
            <v>220kV 272 Tao Đàn - 278 Nhà Bè</v>
          </cell>
          <cell r="D2738">
            <v>272</v>
          </cell>
          <cell r="E2738">
            <v>22</v>
          </cell>
          <cell r="F2738">
            <v>-48.6</v>
          </cell>
          <cell r="G2738">
            <v>-48.6</v>
          </cell>
          <cell r="H2738">
            <v>-46.3</v>
          </cell>
          <cell r="I2738">
            <v>32.700000000000003</v>
          </cell>
          <cell r="J2738">
            <v>22</v>
          </cell>
          <cell r="K2738">
            <v>-38.299999999999997</v>
          </cell>
          <cell r="L2738">
            <v>-30.5</v>
          </cell>
          <cell r="M2738">
            <v>24.7</v>
          </cell>
        </row>
        <row r="2739">
          <cell r="C2739" t="str">
            <v>220kV 273 Tao Đàn - 277 Nhà Bè</v>
          </cell>
          <cell r="D2739">
            <v>273</v>
          </cell>
          <cell r="E2739">
            <v>25.7</v>
          </cell>
          <cell r="F2739">
            <v>-39.700000000000003</v>
          </cell>
          <cell r="G2739">
            <v>-39.700000000000003</v>
          </cell>
          <cell r="H2739">
            <v>-34.1</v>
          </cell>
          <cell r="I2739">
            <v>-35.9</v>
          </cell>
          <cell r="J2739">
            <v>25.7</v>
          </cell>
          <cell r="K2739">
            <v>-30.6</v>
          </cell>
          <cell r="L2739">
            <v>-37.5</v>
          </cell>
          <cell r="M2739">
            <v>-33.299999999999997</v>
          </cell>
        </row>
        <row r="2740">
          <cell r="C2740" t="str">
            <v>Tao Đàn MBA T3 (phía 22kV)</v>
          </cell>
          <cell r="D2740">
            <v>433</v>
          </cell>
          <cell r="E2740">
            <v>-0.6</v>
          </cell>
          <cell r="F2740">
            <v>-1.9</v>
          </cell>
          <cell r="G2740">
            <v>-1.8</v>
          </cell>
          <cell r="H2740">
            <v>-1.9</v>
          </cell>
          <cell r="I2740">
            <v>-1.3</v>
          </cell>
          <cell r="J2740">
            <v>-0.6</v>
          </cell>
          <cell r="K2740">
            <v>-1.7</v>
          </cell>
          <cell r="L2740">
            <v>-1.9</v>
          </cell>
          <cell r="M2740">
            <v>-1.7</v>
          </cell>
        </row>
        <row r="2741">
          <cell r="C2741" t="str">
            <v>Tao Đàn MBA T4 (phía 22kV)</v>
          </cell>
          <cell r="D2741">
            <v>434</v>
          </cell>
          <cell r="E2741">
            <v>-0.7</v>
          </cell>
          <cell r="F2741">
            <v>-1</v>
          </cell>
          <cell r="G2741">
            <v>-1</v>
          </cell>
          <cell r="H2741">
            <v>-0.8</v>
          </cell>
          <cell r="I2741">
            <v>-0.8</v>
          </cell>
          <cell r="J2741">
            <v>-0.7</v>
          </cell>
          <cell r="K2741">
            <v>-1</v>
          </cell>
          <cell r="L2741">
            <v>-1</v>
          </cell>
          <cell r="M2741">
            <v>-0.9</v>
          </cell>
        </row>
        <row r="2742">
          <cell r="C2742" t="str">
            <v>Tây Ninh MBA T1 (phía 110kV)</v>
          </cell>
          <cell r="D2742">
            <v>131</v>
          </cell>
          <cell r="E2742">
            <v>2.5</v>
          </cell>
          <cell r="F2742">
            <v>5.4</v>
          </cell>
          <cell r="G2742">
            <v>5.4</v>
          </cell>
          <cell r="H2742">
            <v>4.4000000000000004</v>
          </cell>
          <cell r="I2742">
            <v>2.5</v>
          </cell>
          <cell r="J2742">
            <v>2.9</v>
          </cell>
          <cell r="K2742">
            <v>4.5999999999999996</v>
          </cell>
          <cell r="L2742">
            <v>-4.5</v>
          </cell>
          <cell r="M2742">
            <v>3.8</v>
          </cell>
        </row>
        <row r="2743">
          <cell r="C2743" t="str">
            <v>Tây Ninh MBA T2 (phía 110kV)</v>
          </cell>
          <cell r="D2743">
            <v>132</v>
          </cell>
          <cell r="E2743">
            <v>2.5</v>
          </cell>
          <cell r="F2743">
            <v>-6.8</v>
          </cell>
          <cell r="G2743">
            <v>4</v>
          </cell>
          <cell r="H2743">
            <v>-5.4</v>
          </cell>
          <cell r="I2743">
            <v>-6.8</v>
          </cell>
          <cell r="J2743">
            <v>3.3</v>
          </cell>
          <cell r="K2743">
            <v>3.5</v>
          </cell>
          <cell r="L2743">
            <v>2.9</v>
          </cell>
          <cell r="M2743">
            <v>2.5</v>
          </cell>
        </row>
        <row r="2744">
          <cell r="C2744" t="str">
            <v>110kV 171 Tây Ninh - 179 Tây Ninh 2</v>
          </cell>
          <cell r="D2744">
            <v>171</v>
          </cell>
          <cell r="E2744">
            <v>2.2000000000000002</v>
          </cell>
          <cell r="F2744">
            <v>-6.6</v>
          </cell>
          <cell r="G2744">
            <v>-6.6</v>
          </cell>
          <cell r="H2744">
            <v>-4</v>
          </cell>
          <cell r="I2744">
            <v>5.7</v>
          </cell>
          <cell r="J2744">
            <v>-4</v>
          </cell>
          <cell r="K2744">
            <v>-4.4000000000000004</v>
          </cell>
          <cell r="L2744">
            <v>-4.2</v>
          </cell>
          <cell r="M2744">
            <v>2.2000000000000002</v>
          </cell>
        </row>
        <row r="2745">
          <cell r="C2745" t="str">
            <v>110kV 172 Tây Ninh - 180 Tây Ninh 2</v>
          </cell>
          <cell r="D2745">
            <v>172</v>
          </cell>
          <cell r="E2745">
            <v>-2.5</v>
          </cell>
          <cell r="F2745">
            <v>-7</v>
          </cell>
          <cell r="G2745">
            <v>-7</v>
          </cell>
          <cell r="H2745">
            <v>-4.4000000000000004</v>
          </cell>
          <cell r="I2745">
            <v>5.5</v>
          </cell>
          <cell r="J2745">
            <v>-4.2</v>
          </cell>
          <cell r="K2745">
            <v>-4.9000000000000004</v>
          </cell>
          <cell r="L2745">
            <v>-4.5</v>
          </cell>
          <cell r="M2745">
            <v>-2.5</v>
          </cell>
        </row>
        <row r="2746">
          <cell r="C2746" t="str">
            <v>110kV 173 Tây Ninh - 172 Suối Dộp</v>
          </cell>
          <cell r="D2746">
            <v>173</v>
          </cell>
          <cell r="E2746">
            <v>-3.3</v>
          </cell>
          <cell r="F2746">
            <v>6.4</v>
          </cell>
          <cell r="G2746">
            <v>6.4</v>
          </cell>
          <cell r="H2746">
            <v>6.3</v>
          </cell>
          <cell r="I2746">
            <v>4.3</v>
          </cell>
          <cell r="J2746">
            <v>4.9000000000000004</v>
          </cell>
          <cell r="K2746">
            <v>3.4</v>
          </cell>
          <cell r="L2746">
            <v>-3.3</v>
          </cell>
          <cell r="M2746">
            <v>-3.4</v>
          </cell>
        </row>
        <row r="2747">
          <cell r="C2747" t="str">
            <v>110kV 174 Tây Ninh - 172 Thạnh Đức</v>
          </cell>
          <cell r="D2747">
            <v>174</v>
          </cell>
          <cell r="E2747">
            <v>-1.4</v>
          </cell>
          <cell r="F2747">
            <v>-1.4</v>
          </cell>
          <cell r="G2747">
            <v>-1.4</v>
          </cell>
          <cell r="H2747">
            <v>-1.4</v>
          </cell>
          <cell r="I2747">
            <v>-1.4</v>
          </cell>
          <cell r="J2747">
            <v>-1.4</v>
          </cell>
          <cell r="K2747">
            <v>-1.4</v>
          </cell>
          <cell r="L2747">
            <v>-1.4</v>
          </cell>
          <cell r="M2747">
            <v>-1.4</v>
          </cell>
        </row>
        <row r="2748">
          <cell r="C2748" t="str">
            <v>Tây Ninh MBA T1 (phía 22kV)</v>
          </cell>
          <cell r="D2748">
            <v>431</v>
          </cell>
          <cell r="E2748">
            <v>1.8</v>
          </cell>
          <cell r="F2748">
            <v>5.9</v>
          </cell>
          <cell r="G2748">
            <v>-3.1</v>
          </cell>
          <cell r="H2748">
            <v>-2.5</v>
          </cell>
          <cell r="I2748">
            <v>1.8</v>
          </cell>
          <cell r="J2748">
            <v>2.4</v>
          </cell>
          <cell r="K2748">
            <v>-2.8</v>
          </cell>
          <cell r="L2748">
            <v>5.9</v>
          </cell>
          <cell r="M2748">
            <v>-2.2000000000000002</v>
          </cell>
        </row>
        <row r="2749">
          <cell r="C2749" t="str">
            <v>Tây Ninh MBA T2 (phía 22kV)</v>
          </cell>
          <cell r="D2749">
            <v>432</v>
          </cell>
          <cell r="E2749">
            <v>-1.4</v>
          </cell>
          <cell r="F2749">
            <v>7.9</v>
          </cell>
          <cell r="G2749">
            <v>-2.6</v>
          </cell>
          <cell r="H2749">
            <v>6.9</v>
          </cell>
          <cell r="I2749">
            <v>7.9</v>
          </cell>
          <cell r="J2749">
            <v>-1.4</v>
          </cell>
          <cell r="K2749">
            <v>-2.2999999999999998</v>
          </cell>
          <cell r="L2749">
            <v>-1.7</v>
          </cell>
          <cell r="M2749">
            <v>-1.7</v>
          </cell>
        </row>
        <row r="2750">
          <cell r="C2750" t="str">
            <v>Tây Ninh 2 MBA AT1 (phía 110kV)</v>
          </cell>
          <cell r="D2750">
            <v>131</v>
          </cell>
          <cell r="E2750">
            <v>29.9</v>
          </cell>
          <cell r="F2750">
            <v>60.2</v>
          </cell>
          <cell r="G2750">
            <v>53.3</v>
          </cell>
          <cell r="H2750">
            <v>60.2</v>
          </cell>
          <cell r="I2750">
            <v>59.8</v>
          </cell>
          <cell r="J2750">
            <v>29.9</v>
          </cell>
          <cell r="K2750">
            <v>54.9</v>
          </cell>
          <cell r="L2750">
            <v>54.9</v>
          </cell>
          <cell r="M2750">
            <v>57.2</v>
          </cell>
        </row>
        <row r="2751">
          <cell r="C2751" t="str">
            <v>Tây Ninh 2 MBA AT2 (phía 110kV)</v>
          </cell>
          <cell r="D2751">
            <v>132</v>
          </cell>
          <cell r="E2751">
            <v>29.9</v>
          </cell>
          <cell r="F2751">
            <v>60.1</v>
          </cell>
          <cell r="G2751">
            <v>53.8</v>
          </cell>
          <cell r="H2751">
            <v>60.1</v>
          </cell>
          <cell r="I2751">
            <v>59</v>
          </cell>
          <cell r="J2751">
            <v>29.9</v>
          </cell>
          <cell r="K2751">
            <v>55.1</v>
          </cell>
          <cell r="L2751">
            <v>55.3</v>
          </cell>
          <cell r="M2751">
            <v>57</v>
          </cell>
        </row>
        <row r="2752">
          <cell r="C2752" t="str">
            <v>110kV 171 Tây Ninh 2 - 172 Hòa Thành</v>
          </cell>
          <cell r="D2752">
            <v>171</v>
          </cell>
          <cell r="E2752">
            <v>23</v>
          </cell>
          <cell r="F2752">
            <v>35.1</v>
          </cell>
          <cell r="G2752">
            <v>31.8</v>
          </cell>
          <cell r="H2752">
            <v>26.7</v>
          </cell>
          <cell r="I2752">
            <v>28.6</v>
          </cell>
          <cell r="J2752">
            <v>23</v>
          </cell>
          <cell r="K2752">
            <v>30.7</v>
          </cell>
          <cell r="L2752">
            <v>35.1</v>
          </cell>
          <cell r="M2752">
            <v>30.3</v>
          </cell>
        </row>
        <row r="2753">
          <cell r="C2753" t="str">
            <v>110kV 172 Tây Ninh 2 - 171 Dầu Tiếng</v>
          </cell>
          <cell r="D2753">
            <v>172</v>
          </cell>
          <cell r="E2753">
            <v>-5.6</v>
          </cell>
          <cell r="F2753">
            <v>-7.5</v>
          </cell>
          <cell r="G2753">
            <v>-6.9</v>
          </cell>
          <cell r="H2753">
            <v>-5.6</v>
          </cell>
          <cell r="I2753">
            <v>-6.9</v>
          </cell>
          <cell r="J2753">
            <v>-7.5</v>
          </cell>
          <cell r="K2753">
            <v>-6.5</v>
          </cell>
          <cell r="L2753">
            <v>-7.3</v>
          </cell>
          <cell r="M2753">
            <v>-6.2</v>
          </cell>
        </row>
        <row r="2754">
          <cell r="C2754" t="str">
            <v>110kV 173 Tây Ninh 2 - 173 Bình Long</v>
          </cell>
          <cell r="D2754">
            <v>173</v>
          </cell>
          <cell r="E2754">
            <v>0</v>
          </cell>
          <cell r="F2754">
            <v>0</v>
          </cell>
          <cell r="G2754">
            <v>0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</row>
        <row r="2755">
          <cell r="C2755" t="str">
            <v>110kV 174 Tây Ninh 2 - 171 NMĐ Bourbon</v>
          </cell>
          <cell r="D2755">
            <v>174</v>
          </cell>
          <cell r="E2755">
            <v>-8.6</v>
          </cell>
          <cell r="F2755">
            <v>14.2</v>
          </cell>
          <cell r="G2755">
            <v>-8.6</v>
          </cell>
          <cell r="H2755">
            <v>-11.3</v>
          </cell>
          <cell r="I2755">
            <v>-10.3</v>
          </cell>
          <cell r="J2755">
            <v>10.8</v>
          </cell>
          <cell r="K2755">
            <v>9.1</v>
          </cell>
          <cell r="L2755">
            <v>14.2</v>
          </cell>
          <cell r="M2755">
            <v>13.7</v>
          </cell>
        </row>
        <row r="2756">
          <cell r="C2756" t="str">
            <v>110kV 179 Tây Ninh 2 - 171 Tây Ninh</v>
          </cell>
          <cell r="D2756">
            <v>179</v>
          </cell>
          <cell r="E2756">
            <v>-2.5</v>
          </cell>
          <cell r="F2756">
            <v>6.3</v>
          </cell>
          <cell r="G2756">
            <v>6.3</v>
          </cell>
          <cell r="H2756">
            <v>3.8</v>
          </cell>
          <cell r="I2756">
            <v>-5.9</v>
          </cell>
          <cell r="J2756">
            <v>3.8</v>
          </cell>
          <cell r="K2756">
            <v>4.0999999999999996</v>
          </cell>
          <cell r="L2756">
            <v>3.9</v>
          </cell>
          <cell r="M2756">
            <v>-2.5</v>
          </cell>
        </row>
        <row r="2757">
          <cell r="C2757" t="str">
            <v>110kV 180 Tây Ninh 2 - 172 Tây Ninh</v>
          </cell>
          <cell r="D2757">
            <v>180</v>
          </cell>
          <cell r="E2757">
            <v>2.2999999999999998</v>
          </cell>
          <cell r="F2757">
            <v>6.7</v>
          </cell>
          <cell r="G2757">
            <v>6.7</v>
          </cell>
          <cell r="H2757">
            <v>4.3</v>
          </cell>
          <cell r="I2757">
            <v>-5.6</v>
          </cell>
          <cell r="J2757">
            <v>4.0999999999999996</v>
          </cell>
          <cell r="K2757">
            <v>4.5</v>
          </cell>
          <cell r="L2757">
            <v>4.3</v>
          </cell>
          <cell r="M2757">
            <v>2.2999999999999998</v>
          </cell>
        </row>
        <row r="2758">
          <cell r="C2758" t="str">
            <v>Tây Ninh 2 MBA AT1 (phía 220kV)</v>
          </cell>
          <cell r="D2758">
            <v>231</v>
          </cell>
          <cell r="E2758">
            <v>23.6</v>
          </cell>
          <cell r="F2758">
            <v>-50.7</v>
          </cell>
          <cell r="G2758">
            <v>-43.7</v>
          </cell>
          <cell r="H2758">
            <v>-50.7</v>
          </cell>
          <cell r="I2758">
            <v>-48.2</v>
          </cell>
          <cell r="J2758">
            <v>23.6</v>
          </cell>
          <cell r="K2758">
            <v>-48.7</v>
          </cell>
          <cell r="L2758">
            <v>-48.8</v>
          </cell>
          <cell r="M2758">
            <v>-46.7</v>
          </cell>
        </row>
        <row r="2759">
          <cell r="C2759" t="str">
            <v>Tây Ninh 2 MBA AT2 (phía 220kV)</v>
          </cell>
          <cell r="D2759">
            <v>232</v>
          </cell>
          <cell r="E2759">
            <v>24</v>
          </cell>
          <cell r="F2759">
            <v>-49.3</v>
          </cell>
          <cell r="G2759">
            <v>-43.5</v>
          </cell>
          <cell r="H2759">
            <v>-49.3</v>
          </cell>
          <cell r="I2759">
            <v>-48.3</v>
          </cell>
          <cell r="J2759">
            <v>24</v>
          </cell>
          <cell r="K2759">
            <v>-47.6</v>
          </cell>
          <cell r="L2759">
            <v>-49.1</v>
          </cell>
          <cell r="M2759">
            <v>-46.4</v>
          </cell>
        </row>
        <row r="2760">
          <cell r="C2760" t="str">
            <v>220kV 271 Tây Ninh 2 - 275 Trảng Bàng 2</v>
          </cell>
          <cell r="D2760">
            <v>271</v>
          </cell>
          <cell r="E2760">
            <v>19.2</v>
          </cell>
          <cell r="F2760">
            <v>-29.9</v>
          </cell>
          <cell r="G2760">
            <v>23.3</v>
          </cell>
          <cell r="H2760">
            <v>22.6</v>
          </cell>
          <cell r="I2760">
            <v>19.2</v>
          </cell>
          <cell r="J2760">
            <v>-26.9</v>
          </cell>
          <cell r="K2760">
            <v>-23.8</v>
          </cell>
          <cell r="L2760">
            <v>-29.9</v>
          </cell>
          <cell r="M2760">
            <v>-28.3</v>
          </cell>
        </row>
        <row r="2761">
          <cell r="C2761" t="str">
            <v>220kV 272 Tây Ninh 2 - 274 Trảng Bàng 2</v>
          </cell>
          <cell r="D2761">
            <v>272</v>
          </cell>
          <cell r="E2761">
            <v>19.2</v>
          </cell>
          <cell r="F2761">
            <v>-29.9</v>
          </cell>
          <cell r="G2761">
            <v>23.2</v>
          </cell>
          <cell r="H2761">
            <v>22.7</v>
          </cell>
          <cell r="I2761">
            <v>19.2</v>
          </cell>
          <cell r="J2761">
            <v>-27</v>
          </cell>
          <cell r="K2761">
            <v>-24</v>
          </cell>
          <cell r="L2761">
            <v>-29.9</v>
          </cell>
          <cell r="M2761">
            <v>-28.5</v>
          </cell>
        </row>
        <row r="2762">
          <cell r="C2762" t="str">
            <v>220kV 273 Tây Ninh 2 - 273 NMĐ MT Dầu Tiếng 1</v>
          </cell>
          <cell r="D2762">
            <v>273</v>
          </cell>
          <cell r="E2762">
            <v>25.2</v>
          </cell>
          <cell r="F2762">
            <v>43.5</v>
          </cell>
          <cell r="G2762">
            <v>34.6</v>
          </cell>
          <cell r="H2762">
            <v>38.5</v>
          </cell>
          <cell r="I2762">
            <v>32.4</v>
          </cell>
          <cell r="J2762">
            <v>25.2</v>
          </cell>
          <cell r="K2762">
            <v>38</v>
          </cell>
          <cell r="L2762">
            <v>38.4</v>
          </cell>
          <cell r="M2762">
            <v>43.5</v>
          </cell>
        </row>
        <row r="2763">
          <cell r="C2763" t="str">
            <v>220kV 274 Tây Ninh 2 - 271 NMĐ MT Dầu Tiếng 1</v>
          </cell>
          <cell r="D2763">
            <v>274</v>
          </cell>
          <cell r="E2763">
            <v>26.1</v>
          </cell>
          <cell r="F2763">
            <v>43.6</v>
          </cell>
          <cell r="G2763">
            <v>34.799999999999997</v>
          </cell>
          <cell r="H2763">
            <v>38.200000000000003</v>
          </cell>
          <cell r="I2763">
            <v>34.200000000000003</v>
          </cell>
          <cell r="J2763">
            <v>26.1</v>
          </cell>
          <cell r="K2763">
            <v>37.9</v>
          </cell>
          <cell r="L2763">
            <v>39.299999999999997</v>
          </cell>
          <cell r="M2763">
            <v>43.6</v>
          </cell>
        </row>
        <row r="2764">
          <cell r="C2764" t="str">
            <v>Tham Lương MBA T1 (phía 110kV)</v>
          </cell>
          <cell r="D2764">
            <v>131</v>
          </cell>
          <cell r="E2764">
            <v>-3</v>
          </cell>
          <cell r="F2764">
            <v>-4.3</v>
          </cell>
          <cell r="G2764">
            <v>3.6</v>
          </cell>
          <cell r="H2764">
            <v>3.6</v>
          </cell>
          <cell r="I2764">
            <v>3.4</v>
          </cell>
          <cell r="J2764">
            <v>-3.6</v>
          </cell>
          <cell r="K2764">
            <v>-4.3</v>
          </cell>
          <cell r="L2764">
            <v>-3.2</v>
          </cell>
          <cell r="M2764">
            <v>-3</v>
          </cell>
        </row>
        <row r="2765">
          <cell r="C2765" t="str">
            <v>Tham Lương MBA T2 (phía 110kV)</v>
          </cell>
          <cell r="D2765">
            <v>132</v>
          </cell>
          <cell r="E2765">
            <v>-3.6</v>
          </cell>
          <cell r="F2765">
            <v>9.4</v>
          </cell>
          <cell r="G2765">
            <v>9.4</v>
          </cell>
          <cell r="H2765">
            <v>9</v>
          </cell>
          <cell r="I2765">
            <v>8.6</v>
          </cell>
          <cell r="J2765">
            <v>-3.6</v>
          </cell>
          <cell r="K2765">
            <v>9</v>
          </cell>
          <cell r="L2765">
            <v>9.1</v>
          </cell>
          <cell r="M2765">
            <v>8.1999999999999993</v>
          </cell>
        </row>
        <row r="2766">
          <cell r="C2766" t="str">
            <v>110kV 171 Tham Lương - 172 Hóc Môn</v>
          </cell>
          <cell r="D2766">
            <v>171</v>
          </cell>
          <cell r="E2766">
            <v>7.3</v>
          </cell>
          <cell r="F2766">
            <v>-29.3</v>
          </cell>
          <cell r="G2766">
            <v>-29.3</v>
          </cell>
          <cell r="H2766">
            <v>-28.5</v>
          </cell>
          <cell r="I2766">
            <v>-26.5</v>
          </cell>
          <cell r="J2766">
            <v>7.3</v>
          </cell>
          <cell r="K2766">
            <v>-28.2</v>
          </cell>
          <cell r="L2766">
            <v>-26.9</v>
          </cell>
          <cell r="M2766">
            <v>-25.7</v>
          </cell>
        </row>
        <row r="2767">
          <cell r="C2767" t="str">
            <v>110kV 172 Tham Lương - 171 Vĩnh Lộc</v>
          </cell>
          <cell r="D2767">
            <v>172</v>
          </cell>
          <cell r="E2767">
            <v>4.8</v>
          </cell>
          <cell r="F2767">
            <v>16.5</v>
          </cell>
          <cell r="G2767">
            <v>16.5</v>
          </cell>
          <cell r="H2767">
            <v>16.100000000000001</v>
          </cell>
          <cell r="I2767">
            <v>15.1</v>
          </cell>
          <cell r="J2767">
            <v>4.8</v>
          </cell>
          <cell r="K2767">
            <v>16.100000000000001</v>
          </cell>
          <cell r="L2767">
            <v>15</v>
          </cell>
          <cell r="M2767">
            <v>14.6</v>
          </cell>
        </row>
        <row r="2768">
          <cell r="C2768" t="str">
            <v>Tham Lương MBA T1 (phía 22kV)</v>
          </cell>
          <cell r="D2768">
            <v>431</v>
          </cell>
          <cell r="E2768">
            <v>4.0999999999999996</v>
          </cell>
          <cell r="F2768">
            <v>5.3</v>
          </cell>
          <cell r="G2768">
            <v>4.2</v>
          </cell>
          <cell r="H2768">
            <v>4.0999999999999996</v>
          </cell>
          <cell r="I2768">
            <v>4.4000000000000004</v>
          </cell>
          <cell r="J2768">
            <v>4.7</v>
          </cell>
          <cell r="K2768">
            <v>5.3</v>
          </cell>
          <cell r="L2768">
            <v>4.4000000000000004</v>
          </cell>
          <cell r="M2768">
            <v>4.3</v>
          </cell>
        </row>
        <row r="2769">
          <cell r="C2769" t="str">
            <v>Tham Lương MBA T2 (phía 22kV)</v>
          </cell>
          <cell r="D2769">
            <v>432</v>
          </cell>
          <cell r="E2769">
            <v>4.7</v>
          </cell>
          <cell r="F2769">
            <v>6</v>
          </cell>
          <cell r="G2769">
            <v>-5.3</v>
          </cell>
          <cell r="H2769">
            <v>-4.9000000000000004</v>
          </cell>
          <cell r="I2769">
            <v>-4.7</v>
          </cell>
          <cell r="J2769">
            <v>4.8</v>
          </cell>
          <cell r="K2769">
            <v>6</v>
          </cell>
          <cell r="L2769">
            <v>5</v>
          </cell>
          <cell r="M2769">
            <v>4.7</v>
          </cell>
        </row>
        <row r="2770">
          <cell r="C2770" t="str">
            <v>Thắng Hải MBA T1 (phía 110kV)</v>
          </cell>
          <cell r="D2770">
            <v>131</v>
          </cell>
          <cell r="E2770">
            <v>1.2</v>
          </cell>
          <cell r="F2770">
            <v>1.4</v>
          </cell>
          <cell r="G2770">
            <v>1.4</v>
          </cell>
          <cell r="H2770">
            <v>1.3</v>
          </cell>
          <cell r="I2770">
            <v>1.3</v>
          </cell>
          <cell r="J2770">
            <v>1.4</v>
          </cell>
          <cell r="K2770">
            <v>1.2</v>
          </cell>
          <cell r="L2770">
            <v>1.2</v>
          </cell>
          <cell r="M2770">
            <v>1.3</v>
          </cell>
        </row>
        <row r="2771">
          <cell r="C2771" t="str">
            <v>110kV 171 Thắng Hải - 172 NMĐ MT Sơn Mỹ 3.1</v>
          </cell>
          <cell r="D2771">
            <v>171</v>
          </cell>
          <cell r="E2771">
            <v>-3.3</v>
          </cell>
          <cell r="F2771">
            <v>-7.6</v>
          </cell>
          <cell r="G2771">
            <v>-5.9</v>
          </cell>
          <cell r="H2771">
            <v>-4.8</v>
          </cell>
          <cell r="I2771">
            <v>-7.6</v>
          </cell>
          <cell r="J2771">
            <v>-3.3</v>
          </cell>
          <cell r="K2771">
            <v>5.8</v>
          </cell>
          <cell r="L2771">
            <v>5.6</v>
          </cell>
          <cell r="M2771">
            <v>5.0999999999999996</v>
          </cell>
        </row>
        <row r="2772">
          <cell r="C2772" t="str">
            <v>110kV 172 Thắng Hải - 172 Xuyên Mộc</v>
          </cell>
          <cell r="D2772">
            <v>172</v>
          </cell>
          <cell r="E2772">
            <v>-3.8</v>
          </cell>
          <cell r="F2772">
            <v>6.7</v>
          </cell>
          <cell r="G2772">
            <v>-4.8</v>
          </cell>
          <cell r="H2772">
            <v>-4.4000000000000004</v>
          </cell>
          <cell r="I2772">
            <v>6.7</v>
          </cell>
          <cell r="J2772">
            <v>-3.8</v>
          </cell>
          <cell r="K2772">
            <v>-6</v>
          </cell>
          <cell r="L2772">
            <v>-5.8</v>
          </cell>
          <cell r="M2772">
            <v>-5.2</v>
          </cell>
        </row>
        <row r="2773">
          <cell r="C2773" t="str">
            <v>Thắng Hải MBA T1 (phía 22kV)</v>
          </cell>
          <cell r="D2773">
            <v>431</v>
          </cell>
          <cell r="E2773">
            <v>-1.1000000000000001</v>
          </cell>
          <cell r="F2773">
            <v>-1.3</v>
          </cell>
          <cell r="G2773">
            <v>-1.3</v>
          </cell>
          <cell r="H2773">
            <v>-1.2</v>
          </cell>
          <cell r="I2773">
            <v>-1.2</v>
          </cell>
          <cell r="J2773">
            <v>-1.3</v>
          </cell>
          <cell r="K2773">
            <v>-1.1000000000000001</v>
          </cell>
          <cell r="L2773">
            <v>-1.1000000000000001</v>
          </cell>
          <cell r="M2773">
            <v>-1.2</v>
          </cell>
        </row>
        <row r="2774">
          <cell r="C2774" t="str">
            <v>Thắng Tam MBA T1 (phía 110kV)</v>
          </cell>
          <cell r="D2774">
            <v>131</v>
          </cell>
          <cell r="E2774">
            <v>3.2</v>
          </cell>
          <cell r="F2774">
            <v>5</v>
          </cell>
          <cell r="G2774">
            <v>4.4000000000000004</v>
          </cell>
          <cell r="H2774">
            <v>4.5999999999999996</v>
          </cell>
          <cell r="I2774">
            <v>5</v>
          </cell>
          <cell r="J2774">
            <v>3.7</v>
          </cell>
          <cell r="K2774">
            <v>3.8</v>
          </cell>
          <cell r="L2774">
            <v>3.6</v>
          </cell>
          <cell r="M2774">
            <v>3.2</v>
          </cell>
        </row>
        <row r="2775">
          <cell r="C2775" t="str">
            <v>Thắng Tam MBA T2 (phía 110kV)</v>
          </cell>
          <cell r="D2775">
            <v>132</v>
          </cell>
          <cell r="E2775">
            <v>3.3</v>
          </cell>
          <cell r="F2775">
            <v>5</v>
          </cell>
          <cell r="G2775">
            <v>3.9</v>
          </cell>
          <cell r="H2775">
            <v>4</v>
          </cell>
          <cell r="I2775">
            <v>5</v>
          </cell>
          <cell r="J2775">
            <v>4.2</v>
          </cell>
          <cell r="K2775">
            <v>3.5</v>
          </cell>
          <cell r="L2775">
            <v>3.3</v>
          </cell>
          <cell r="M2775">
            <v>3.3</v>
          </cell>
        </row>
        <row r="2776">
          <cell r="C2776" t="str">
            <v>110kV 171 Thắng Tam - 172 Vũng Tàu</v>
          </cell>
          <cell r="D2776">
            <v>171</v>
          </cell>
          <cell r="E2776">
            <v>-1.1000000000000001</v>
          </cell>
          <cell r="F2776">
            <v>-2.1</v>
          </cell>
          <cell r="G2776">
            <v>-1.2</v>
          </cell>
          <cell r="H2776">
            <v>-1.7</v>
          </cell>
          <cell r="I2776">
            <v>-2.1</v>
          </cell>
          <cell r="J2776">
            <v>-2.1</v>
          </cell>
          <cell r="K2776">
            <v>-1.4</v>
          </cell>
          <cell r="L2776">
            <v>1.2</v>
          </cell>
          <cell r="M2776">
            <v>-1.1000000000000001</v>
          </cell>
        </row>
        <row r="2777">
          <cell r="C2777" t="str">
            <v>110kV 172 Thắng Tam - 179 Vũng Tàu 2</v>
          </cell>
          <cell r="D2777">
            <v>172</v>
          </cell>
          <cell r="E2777">
            <v>-6</v>
          </cell>
          <cell r="F2777">
            <v>-9</v>
          </cell>
          <cell r="G2777">
            <v>-8.3000000000000007</v>
          </cell>
          <cell r="H2777">
            <v>-8.6</v>
          </cell>
          <cell r="I2777">
            <v>-9</v>
          </cell>
          <cell r="J2777">
            <v>-6</v>
          </cell>
          <cell r="K2777">
            <v>-7.5</v>
          </cell>
          <cell r="L2777">
            <v>-6.8</v>
          </cell>
          <cell r="M2777">
            <v>-6.6</v>
          </cell>
        </row>
        <row r="2778">
          <cell r="C2778" t="str">
            <v>Thắng Tam MBA T1 (phía 22kV)</v>
          </cell>
          <cell r="D2778">
            <v>431</v>
          </cell>
          <cell r="E2778">
            <v>-2.5</v>
          </cell>
          <cell r="F2778">
            <v>-3.6</v>
          </cell>
          <cell r="G2778">
            <v>-3.3</v>
          </cell>
          <cell r="H2778">
            <v>-3.4</v>
          </cell>
          <cell r="I2778">
            <v>-3.6</v>
          </cell>
          <cell r="J2778">
            <v>-2.6</v>
          </cell>
          <cell r="K2778">
            <v>-3</v>
          </cell>
          <cell r="L2778">
            <v>-2.8</v>
          </cell>
          <cell r="M2778">
            <v>-2.5</v>
          </cell>
        </row>
        <row r="2779">
          <cell r="C2779" t="str">
            <v>Thắng Tam MBA T2 (phía 22kV)</v>
          </cell>
          <cell r="D2779">
            <v>432</v>
          </cell>
          <cell r="E2779">
            <v>-2.2000000000000002</v>
          </cell>
          <cell r="F2779">
            <v>-3.1</v>
          </cell>
          <cell r="G2779">
            <v>-2.6</v>
          </cell>
          <cell r="H2779">
            <v>-2.7</v>
          </cell>
          <cell r="I2779">
            <v>-3.1</v>
          </cell>
          <cell r="J2779">
            <v>-2.7</v>
          </cell>
          <cell r="K2779">
            <v>-2.4</v>
          </cell>
          <cell r="L2779">
            <v>-2.2000000000000002</v>
          </cell>
          <cell r="M2779">
            <v>-2.2999999999999998</v>
          </cell>
        </row>
        <row r="2780">
          <cell r="C2780" t="str">
            <v>Thanh Bình MBA T1 (phía 110kV)</v>
          </cell>
          <cell r="D2780">
            <v>131</v>
          </cell>
          <cell r="E2780">
            <v>2</v>
          </cell>
          <cell r="F2780">
            <v>7.4</v>
          </cell>
          <cell r="G2780">
            <v>7.4</v>
          </cell>
          <cell r="H2780">
            <v>5.5</v>
          </cell>
          <cell r="I2780">
            <v>5.9</v>
          </cell>
          <cell r="J2780">
            <v>2</v>
          </cell>
          <cell r="K2780">
            <v>6.9</v>
          </cell>
          <cell r="L2780">
            <v>6.1</v>
          </cell>
          <cell r="M2780">
            <v>5.6</v>
          </cell>
        </row>
        <row r="2781">
          <cell r="C2781" t="str">
            <v>110kV 171 Thanh Bình - 180 Tân Thành</v>
          </cell>
          <cell r="D2781">
            <v>171</v>
          </cell>
          <cell r="E2781">
            <v>-1</v>
          </cell>
          <cell r="F2781">
            <v>-3.5</v>
          </cell>
          <cell r="G2781">
            <v>-3.5</v>
          </cell>
          <cell r="H2781">
            <v>-2.2999999999999998</v>
          </cell>
          <cell r="I2781">
            <v>-2.8</v>
          </cell>
          <cell r="J2781">
            <v>-1</v>
          </cell>
          <cell r="K2781">
            <v>-3.3</v>
          </cell>
          <cell r="L2781">
            <v>-2.8</v>
          </cell>
          <cell r="M2781">
            <v>-2.5</v>
          </cell>
        </row>
        <row r="2782">
          <cell r="C2782" t="str">
            <v>110kV 172 Thanh Bình - 181 Tân Thành</v>
          </cell>
          <cell r="D2782">
            <v>172</v>
          </cell>
          <cell r="E2782">
            <v>-0.9</v>
          </cell>
          <cell r="F2782">
            <v>-3.9</v>
          </cell>
          <cell r="G2782">
            <v>-3.9</v>
          </cell>
          <cell r="H2782">
            <v>-3.1</v>
          </cell>
          <cell r="I2782">
            <v>-3.1</v>
          </cell>
          <cell r="J2782">
            <v>-0.9</v>
          </cell>
          <cell r="K2782">
            <v>-3.6</v>
          </cell>
          <cell r="L2782">
            <v>-3.5</v>
          </cell>
          <cell r="M2782">
            <v>-3.1</v>
          </cell>
        </row>
        <row r="2783">
          <cell r="C2783" t="str">
            <v>Thanh Bình MBA T1 (phía 22kV)</v>
          </cell>
          <cell r="D2783">
            <v>431</v>
          </cell>
          <cell r="E2783">
            <v>2.5</v>
          </cell>
          <cell r="F2783">
            <v>-4.5999999999999996</v>
          </cell>
          <cell r="G2783">
            <v>-4.5999999999999996</v>
          </cell>
          <cell r="H2783">
            <v>-2.8</v>
          </cell>
          <cell r="I2783">
            <v>-3</v>
          </cell>
          <cell r="J2783">
            <v>2.5</v>
          </cell>
          <cell r="K2783">
            <v>-4.0999999999999996</v>
          </cell>
          <cell r="L2783">
            <v>-3.8</v>
          </cell>
          <cell r="M2783">
            <v>-3.3</v>
          </cell>
        </row>
        <row r="2784">
          <cell r="C2784" t="str">
            <v>Thành Công MBA T1 (phía 110kV)</v>
          </cell>
          <cell r="D2784">
            <v>131</v>
          </cell>
          <cell r="E2784">
            <v>-4.4000000000000004</v>
          </cell>
          <cell r="F2784">
            <v>5.7</v>
          </cell>
          <cell r="G2784">
            <v>-4.9000000000000004</v>
          </cell>
          <cell r="H2784">
            <v>-5</v>
          </cell>
          <cell r="I2784">
            <v>-5.2</v>
          </cell>
          <cell r="J2784">
            <v>5</v>
          </cell>
          <cell r="K2784">
            <v>5.7</v>
          </cell>
          <cell r="L2784">
            <v>-4.4000000000000004</v>
          </cell>
          <cell r="M2784">
            <v>-4.5999999999999996</v>
          </cell>
        </row>
        <row r="2785">
          <cell r="C2785" t="str">
            <v>110kV 171 Thành Công - 172 NMĐ MT TTC1</v>
          </cell>
          <cell r="D2785">
            <v>171</v>
          </cell>
          <cell r="E2785">
            <v>-31.1</v>
          </cell>
          <cell r="F2785">
            <v>-41.2</v>
          </cell>
          <cell r="G2785">
            <v>-32.1</v>
          </cell>
          <cell r="H2785">
            <v>-41.2</v>
          </cell>
          <cell r="I2785">
            <v>-34.700000000000003</v>
          </cell>
          <cell r="J2785">
            <v>-31.1</v>
          </cell>
          <cell r="K2785">
            <v>-33.200000000000003</v>
          </cell>
          <cell r="L2785">
            <v>-38.4</v>
          </cell>
          <cell r="M2785">
            <v>-37.6</v>
          </cell>
        </row>
        <row r="2786">
          <cell r="C2786" t="str">
            <v>110kV 172 Thành Công - 173 Trảng Bàng 2</v>
          </cell>
          <cell r="D2786">
            <v>172</v>
          </cell>
          <cell r="E2786">
            <v>28.1</v>
          </cell>
          <cell r="F2786">
            <v>41.6</v>
          </cell>
          <cell r="G2786">
            <v>32.799999999999997</v>
          </cell>
          <cell r="H2786">
            <v>37.6</v>
          </cell>
          <cell r="I2786">
            <v>36.299999999999997</v>
          </cell>
          <cell r="J2786">
            <v>28.1</v>
          </cell>
          <cell r="K2786">
            <v>32.799999999999997</v>
          </cell>
          <cell r="L2786">
            <v>36.1</v>
          </cell>
          <cell r="M2786">
            <v>41.6</v>
          </cell>
        </row>
        <row r="2787">
          <cell r="C2787" t="str">
            <v>Thành Công MBA T1 (phía 22kV)</v>
          </cell>
          <cell r="D2787">
            <v>431</v>
          </cell>
          <cell r="E2787">
            <v>-4.3</v>
          </cell>
          <cell r="F2787">
            <v>6</v>
          </cell>
          <cell r="G2787">
            <v>5.7</v>
          </cell>
          <cell r="H2787">
            <v>6</v>
          </cell>
          <cell r="I2787">
            <v>6</v>
          </cell>
          <cell r="J2787">
            <v>-4.3</v>
          </cell>
          <cell r="K2787">
            <v>-4.8</v>
          </cell>
          <cell r="L2787">
            <v>5.4</v>
          </cell>
          <cell r="M2787">
            <v>5.5</v>
          </cell>
        </row>
        <row r="2788">
          <cell r="C2788" t="str">
            <v>Thanh Đa MBA T1 (phía 110kV)</v>
          </cell>
          <cell r="D2788">
            <v>131</v>
          </cell>
          <cell r="E2788">
            <v>0</v>
          </cell>
          <cell r="F2788">
            <v>5.0999999999999996</v>
          </cell>
          <cell r="G2788">
            <v>0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0.2</v>
          </cell>
          <cell r="M2788">
            <v>5.0999999999999996</v>
          </cell>
        </row>
        <row r="2789">
          <cell r="C2789" t="str">
            <v>Thanh Đa MBA T2 (phía 110kV)</v>
          </cell>
          <cell r="D2789">
            <v>132</v>
          </cell>
          <cell r="E2789">
            <v>3.2</v>
          </cell>
          <cell r="F2789">
            <v>9.6999999999999993</v>
          </cell>
          <cell r="G2789">
            <v>9.6999999999999993</v>
          </cell>
          <cell r="H2789">
            <v>9.6999999999999993</v>
          </cell>
          <cell r="I2789">
            <v>7.9</v>
          </cell>
          <cell r="J2789">
            <v>7.4</v>
          </cell>
          <cell r="K2789">
            <v>6.8</v>
          </cell>
          <cell r="L2789">
            <v>8.1</v>
          </cell>
          <cell r="M2789">
            <v>3.2</v>
          </cell>
        </row>
        <row r="2790">
          <cell r="C2790" t="str">
            <v>110kV 171 Thanh Đa - 171 Bình Triệu</v>
          </cell>
          <cell r="D2790">
            <v>171</v>
          </cell>
          <cell r="E2790">
            <v>0</v>
          </cell>
          <cell r="F2790">
            <v>-20.3</v>
          </cell>
          <cell r="G2790">
            <v>0</v>
          </cell>
          <cell r="H2790">
            <v>0</v>
          </cell>
          <cell r="I2790">
            <v>0.1</v>
          </cell>
          <cell r="J2790">
            <v>-20.3</v>
          </cell>
          <cell r="K2790">
            <v>0</v>
          </cell>
          <cell r="L2790">
            <v>-0.4</v>
          </cell>
          <cell r="M2790">
            <v>-5</v>
          </cell>
        </row>
        <row r="2791">
          <cell r="C2791" t="str">
            <v>110kV 172 Thanh Đa - 173 Thủ Đức</v>
          </cell>
          <cell r="D2791">
            <v>172</v>
          </cell>
          <cell r="E2791">
            <v>-8.4</v>
          </cell>
          <cell r="F2791">
            <v>-8.4</v>
          </cell>
          <cell r="G2791">
            <v>-8.4</v>
          </cell>
          <cell r="H2791">
            <v>-8.4</v>
          </cell>
          <cell r="I2791">
            <v>-8.4</v>
          </cell>
          <cell r="J2791">
            <v>-8.4</v>
          </cell>
          <cell r="K2791">
            <v>-8.4</v>
          </cell>
          <cell r="L2791">
            <v>-8.4</v>
          </cell>
          <cell r="M2791">
            <v>-8.4</v>
          </cell>
        </row>
        <row r="2792">
          <cell r="C2792" t="str">
            <v>Thanh Đa MBA T1 (phía 22kV)</v>
          </cell>
          <cell r="D2792">
            <v>431</v>
          </cell>
          <cell r="E2792">
            <v>0</v>
          </cell>
          <cell r="F2792">
            <v>-1.6</v>
          </cell>
          <cell r="G2792">
            <v>0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-1.6</v>
          </cell>
        </row>
        <row r="2793">
          <cell r="C2793" t="str">
            <v>Thanh Đa MBA T2 (phía 22kV)</v>
          </cell>
          <cell r="D2793">
            <v>432</v>
          </cell>
          <cell r="E2793">
            <v>1</v>
          </cell>
          <cell r="F2793">
            <v>3.4</v>
          </cell>
          <cell r="G2793">
            <v>3.4</v>
          </cell>
          <cell r="H2793">
            <v>3.3</v>
          </cell>
          <cell r="I2793">
            <v>2.7</v>
          </cell>
          <cell r="J2793">
            <v>2.5</v>
          </cell>
          <cell r="K2793">
            <v>2.2999999999999998</v>
          </cell>
          <cell r="L2793">
            <v>2.8</v>
          </cell>
          <cell r="M2793">
            <v>1</v>
          </cell>
        </row>
        <row r="2794">
          <cell r="C2794" t="str">
            <v>Thạnh Đông MBA T1 (phía 110kV)</v>
          </cell>
          <cell r="D2794">
            <v>131</v>
          </cell>
          <cell r="E2794">
            <v>1.7</v>
          </cell>
          <cell r="F2794">
            <v>3.2</v>
          </cell>
          <cell r="G2794">
            <v>2.2000000000000002</v>
          </cell>
          <cell r="H2794">
            <v>2.9</v>
          </cell>
          <cell r="I2794">
            <v>2.9</v>
          </cell>
          <cell r="J2794">
            <v>2.1</v>
          </cell>
          <cell r="K2794">
            <v>1.7</v>
          </cell>
          <cell r="L2794">
            <v>3</v>
          </cell>
          <cell r="M2794">
            <v>3.2</v>
          </cell>
        </row>
        <row r="2795">
          <cell r="C2795" t="str">
            <v>110kV 171 Thạnh Đông - 132 Thoại Sơn</v>
          </cell>
          <cell r="D2795">
            <v>171</v>
          </cell>
          <cell r="E2795">
            <v>1.3</v>
          </cell>
          <cell r="F2795">
            <v>3.1</v>
          </cell>
          <cell r="G2795">
            <v>1.3</v>
          </cell>
          <cell r="H2795">
            <v>2.6</v>
          </cell>
          <cell r="I2795">
            <v>2.5</v>
          </cell>
          <cell r="J2795">
            <v>1.5</v>
          </cell>
          <cell r="K2795">
            <v>1.4</v>
          </cell>
          <cell r="L2795">
            <v>2.4</v>
          </cell>
          <cell r="M2795">
            <v>3.1</v>
          </cell>
        </row>
        <row r="2796">
          <cell r="C2796" t="str">
            <v>110kV 172 Thạnh Đông - 175 Rạch Giá 2</v>
          </cell>
          <cell r="D2796">
            <v>172</v>
          </cell>
          <cell r="E2796">
            <v>2</v>
          </cell>
          <cell r="F2796">
            <v>-3.4</v>
          </cell>
          <cell r="G2796">
            <v>2</v>
          </cell>
          <cell r="H2796">
            <v>-2.8</v>
          </cell>
          <cell r="I2796">
            <v>-3.3</v>
          </cell>
          <cell r="J2796">
            <v>-2.2999999999999998</v>
          </cell>
          <cell r="K2796">
            <v>-2.4</v>
          </cell>
          <cell r="L2796">
            <v>-2.6</v>
          </cell>
          <cell r="M2796">
            <v>-3.4</v>
          </cell>
        </row>
        <row r="2797">
          <cell r="C2797" t="str">
            <v>110kV 173 Thạnh Đông - 176 Rạch Giá 2</v>
          </cell>
          <cell r="D2797">
            <v>173</v>
          </cell>
          <cell r="E2797">
            <v>-3.4</v>
          </cell>
          <cell r="F2797">
            <v>-5.5</v>
          </cell>
          <cell r="G2797">
            <v>-3.4</v>
          </cell>
          <cell r="H2797">
            <v>-4.8</v>
          </cell>
          <cell r="I2797">
            <v>-5.2</v>
          </cell>
          <cell r="J2797">
            <v>-4.2</v>
          </cell>
          <cell r="K2797">
            <v>-4.2</v>
          </cell>
          <cell r="L2797">
            <v>-4.5999999999999996</v>
          </cell>
          <cell r="M2797">
            <v>-5.5</v>
          </cell>
        </row>
        <row r="2798">
          <cell r="C2798" t="str">
            <v>110kV 174 Thạnh Đông - 171 Vĩnh Thạnh</v>
          </cell>
          <cell r="D2798">
            <v>174</v>
          </cell>
          <cell r="E2798">
            <v>2</v>
          </cell>
          <cell r="F2798">
            <v>4.5999999999999996</v>
          </cell>
          <cell r="G2798">
            <v>2</v>
          </cell>
          <cell r="H2798">
            <v>3</v>
          </cell>
          <cell r="I2798">
            <v>4.4000000000000004</v>
          </cell>
          <cell r="J2798">
            <v>3.6</v>
          </cell>
          <cell r="K2798">
            <v>4.5999999999999996</v>
          </cell>
          <cell r="L2798">
            <v>3.5</v>
          </cell>
          <cell r="M2798">
            <v>3.3</v>
          </cell>
        </row>
        <row r="2799">
          <cell r="C2799" t="str">
            <v>Thạnh Đông MBA T1 (phía 22kV)</v>
          </cell>
          <cell r="D2799">
            <v>431</v>
          </cell>
          <cell r="E2799">
            <v>1.9</v>
          </cell>
          <cell r="F2799">
            <v>-2.2999999999999998</v>
          </cell>
          <cell r="G2799">
            <v>2.2999999999999998</v>
          </cell>
          <cell r="H2799">
            <v>2</v>
          </cell>
          <cell r="I2799">
            <v>-2</v>
          </cell>
          <cell r="J2799">
            <v>1.9</v>
          </cell>
          <cell r="K2799">
            <v>1.9</v>
          </cell>
          <cell r="L2799">
            <v>2.2000000000000002</v>
          </cell>
          <cell r="M2799">
            <v>-2.2999999999999998</v>
          </cell>
        </row>
        <row r="2800">
          <cell r="C2800" t="str">
            <v>Thạnh Đức MBA T1 (phía 110kV)</v>
          </cell>
          <cell r="D2800">
            <v>131</v>
          </cell>
          <cell r="E2800">
            <v>-1.3</v>
          </cell>
          <cell r="F2800">
            <v>-4.3</v>
          </cell>
          <cell r="G2800">
            <v>-4.3</v>
          </cell>
          <cell r="H2800">
            <v>1.8</v>
          </cell>
          <cell r="I2800">
            <v>-4</v>
          </cell>
          <cell r="J2800">
            <v>-1.7</v>
          </cell>
          <cell r="K2800">
            <v>2.2999999999999998</v>
          </cell>
          <cell r="L2800">
            <v>1.8</v>
          </cell>
          <cell r="M2800">
            <v>-1.3</v>
          </cell>
        </row>
        <row r="2801">
          <cell r="C2801" t="str">
            <v>Thạnh Đức MBA T2 (phía 110kV)</v>
          </cell>
          <cell r="D2801">
            <v>132</v>
          </cell>
          <cell r="E2801">
            <v>-2.2999999999999998</v>
          </cell>
          <cell r="F2801">
            <v>-2.8</v>
          </cell>
          <cell r="G2801">
            <v>-2.4</v>
          </cell>
          <cell r="H2801">
            <v>2.5</v>
          </cell>
          <cell r="I2801">
            <v>2.7</v>
          </cell>
          <cell r="J2801">
            <v>-2.2999999999999998</v>
          </cell>
          <cell r="K2801">
            <v>-2.7</v>
          </cell>
          <cell r="L2801">
            <v>-2.6</v>
          </cell>
          <cell r="M2801">
            <v>-2.8</v>
          </cell>
        </row>
        <row r="2802">
          <cell r="C2802" t="str">
            <v>110kV 171 Thạnh Đức - 171 Bến Cầu</v>
          </cell>
          <cell r="D2802">
            <v>171</v>
          </cell>
          <cell r="E2802">
            <v>4</v>
          </cell>
          <cell r="F2802">
            <v>5.9</v>
          </cell>
          <cell r="G2802">
            <v>5.9</v>
          </cell>
          <cell r="H2802">
            <v>-4</v>
          </cell>
          <cell r="I2802">
            <v>4.7</v>
          </cell>
          <cell r="J2802">
            <v>4</v>
          </cell>
          <cell r="K2802">
            <v>4.8</v>
          </cell>
          <cell r="L2802">
            <v>4</v>
          </cell>
          <cell r="M2802">
            <v>4</v>
          </cell>
        </row>
        <row r="2803">
          <cell r="C2803" t="str">
            <v>110kV 172 Thạnh Đức - 174 Tây Ninh</v>
          </cell>
          <cell r="D2803">
            <v>172</v>
          </cell>
          <cell r="E2803">
            <v>0</v>
          </cell>
          <cell r="F2803">
            <v>0</v>
          </cell>
          <cell r="G2803">
            <v>0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</row>
        <row r="2804">
          <cell r="C2804" t="str">
            <v>Thạnh Đức MBA T1 (phía 22kV)</v>
          </cell>
          <cell r="D2804">
            <v>431</v>
          </cell>
          <cell r="E2804">
            <v>1.4</v>
          </cell>
          <cell r="F2804">
            <v>4.8</v>
          </cell>
          <cell r="G2804">
            <v>4.8</v>
          </cell>
          <cell r="H2804">
            <v>1.4</v>
          </cell>
          <cell r="I2804">
            <v>4.4000000000000004</v>
          </cell>
          <cell r="J2804">
            <v>1.9</v>
          </cell>
          <cell r="K2804">
            <v>2</v>
          </cell>
          <cell r="L2804">
            <v>1.7</v>
          </cell>
          <cell r="M2804">
            <v>1.5</v>
          </cell>
        </row>
        <row r="2805">
          <cell r="C2805" t="str">
            <v>Thạnh Đức MBA T2 (phía 22kV)</v>
          </cell>
          <cell r="D2805">
            <v>432</v>
          </cell>
          <cell r="E2805">
            <v>3.2</v>
          </cell>
          <cell r="F2805">
            <v>3.9</v>
          </cell>
          <cell r="G2805">
            <v>3.9</v>
          </cell>
          <cell r="H2805">
            <v>3.5</v>
          </cell>
          <cell r="I2805">
            <v>3.2</v>
          </cell>
          <cell r="J2805">
            <v>3.2</v>
          </cell>
          <cell r="K2805">
            <v>3.5</v>
          </cell>
          <cell r="L2805">
            <v>3.4</v>
          </cell>
          <cell r="M2805">
            <v>3.6</v>
          </cell>
        </row>
        <row r="2806">
          <cell r="C2806" t="str">
            <v>Thạnh Hóa MBA T1 (phía 110kV)</v>
          </cell>
          <cell r="D2806">
            <v>131</v>
          </cell>
          <cell r="E2806">
            <v>3.3</v>
          </cell>
          <cell r="F2806">
            <v>5.6</v>
          </cell>
          <cell r="G2806">
            <v>5.6</v>
          </cell>
          <cell r="H2806">
            <v>3.6</v>
          </cell>
          <cell r="I2806">
            <v>4.9000000000000004</v>
          </cell>
          <cell r="J2806">
            <v>3.7</v>
          </cell>
          <cell r="K2806">
            <v>4</v>
          </cell>
          <cell r="L2806">
            <v>3.7</v>
          </cell>
          <cell r="M2806">
            <v>3.3</v>
          </cell>
        </row>
        <row r="2807">
          <cell r="C2807" t="str">
            <v>Thạnh Hóa MBA T2 (phía 110kV)</v>
          </cell>
          <cell r="D2807">
            <v>132</v>
          </cell>
          <cell r="E2807">
            <v>0</v>
          </cell>
          <cell r="F2807">
            <v>0</v>
          </cell>
          <cell r="G2807">
            <v>0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</row>
        <row r="2808">
          <cell r="C2808" t="str">
            <v>110kV 171 Thạnh Hóa - 173 Tân Thành</v>
          </cell>
          <cell r="D2808">
            <v>171</v>
          </cell>
          <cell r="E2808">
            <v>-5.7</v>
          </cell>
          <cell r="F2808">
            <v>-21.6</v>
          </cell>
          <cell r="G2808">
            <v>-15.6</v>
          </cell>
          <cell r="H2808">
            <v>-11.2</v>
          </cell>
          <cell r="I2808">
            <v>-18.2</v>
          </cell>
          <cell r="J2808">
            <v>-16.399999999999999</v>
          </cell>
          <cell r="K2808">
            <v>-10.7</v>
          </cell>
          <cell r="L2808">
            <v>-21.6</v>
          </cell>
          <cell r="M2808">
            <v>-5.7</v>
          </cell>
        </row>
        <row r="2809">
          <cell r="C2809" t="str">
            <v>110kV 173 Thạnh Hóa - 172 NMĐ MT GAIA</v>
          </cell>
          <cell r="D2809">
            <v>173</v>
          </cell>
          <cell r="E2809">
            <v>0.6</v>
          </cell>
          <cell r="F2809">
            <v>0.9</v>
          </cell>
          <cell r="G2809">
            <v>0.9</v>
          </cell>
          <cell r="H2809">
            <v>0.8</v>
          </cell>
          <cell r="I2809">
            <v>0.8</v>
          </cell>
          <cell r="J2809">
            <v>0.8</v>
          </cell>
          <cell r="K2809">
            <v>0.8</v>
          </cell>
          <cell r="L2809">
            <v>0.8</v>
          </cell>
          <cell r="M2809">
            <v>0.6</v>
          </cell>
        </row>
        <row r="2810">
          <cell r="C2810" t="str">
            <v>Thạnh Hóa MBA T1 (phía 22kV)</v>
          </cell>
          <cell r="D2810">
            <v>431</v>
          </cell>
          <cell r="E2810">
            <v>-1.5</v>
          </cell>
          <cell r="F2810">
            <v>3.9</v>
          </cell>
          <cell r="G2810">
            <v>-2.9</v>
          </cell>
          <cell r="H2810">
            <v>1.9</v>
          </cell>
          <cell r="I2810">
            <v>3.4</v>
          </cell>
          <cell r="J2810">
            <v>-1.5</v>
          </cell>
          <cell r="K2810">
            <v>3.9</v>
          </cell>
          <cell r="L2810">
            <v>3.5</v>
          </cell>
          <cell r="M2810">
            <v>3.6</v>
          </cell>
        </row>
        <row r="2811">
          <cell r="C2811" t="str">
            <v>Thạnh Hóa MBA T2 (phía 22kV)</v>
          </cell>
          <cell r="D2811">
            <v>432</v>
          </cell>
          <cell r="E2811">
            <v>0</v>
          </cell>
          <cell r="F2811">
            <v>0</v>
          </cell>
          <cell r="G2811">
            <v>0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</row>
        <row r="2812">
          <cell r="C2812" t="str">
            <v>Thạnh Hưng MBA T1 (phía 110kV)</v>
          </cell>
          <cell r="D2812">
            <v>131</v>
          </cell>
          <cell r="E2812">
            <v>-3.2</v>
          </cell>
          <cell r="F2812">
            <v>5.9</v>
          </cell>
          <cell r="G2812">
            <v>4.3</v>
          </cell>
          <cell r="H2812">
            <v>5.4</v>
          </cell>
          <cell r="I2812">
            <v>5</v>
          </cell>
          <cell r="J2812">
            <v>-3.2</v>
          </cell>
          <cell r="K2812">
            <v>5.9</v>
          </cell>
          <cell r="L2812">
            <v>-3.7</v>
          </cell>
          <cell r="M2812">
            <v>3.8</v>
          </cell>
        </row>
        <row r="2813">
          <cell r="C2813" t="str">
            <v>Thạnh Hưng MBA T2 (phía 110kV)</v>
          </cell>
          <cell r="D2813">
            <v>132</v>
          </cell>
          <cell r="E2813">
            <v>2.1</v>
          </cell>
          <cell r="F2813">
            <v>-5.7</v>
          </cell>
          <cell r="G2813">
            <v>-4.7</v>
          </cell>
          <cell r="H2813">
            <v>-3.3</v>
          </cell>
          <cell r="I2813">
            <v>2.1</v>
          </cell>
          <cell r="J2813">
            <v>-5.7</v>
          </cell>
          <cell r="K2813">
            <v>-3.7</v>
          </cell>
          <cell r="L2813">
            <v>-3.6</v>
          </cell>
          <cell r="M2813">
            <v>-4</v>
          </cell>
        </row>
        <row r="2814">
          <cell r="C2814" t="str">
            <v>110kV 171 Thạnh Hưng - 172 An Hòa</v>
          </cell>
          <cell r="D2814">
            <v>171</v>
          </cell>
          <cell r="E2814">
            <v>-1.6</v>
          </cell>
          <cell r="F2814">
            <v>-2.1</v>
          </cell>
          <cell r="G2814">
            <v>-1.6</v>
          </cell>
          <cell r="H2814">
            <v>-1.6</v>
          </cell>
          <cell r="I2814">
            <v>-1.6</v>
          </cell>
          <cell r="J2814">
            <v>-2.1</v>
          </cell>
          <cell r="K2814">
            <v>-1.6</v>
          </cell>
          <cell r="L2814">
            <v>-1.6</v>
          </cell>
          <cell r="M2814">
            <v>-1.6</v>
          </cell>
        </row>
        <row r="2815">
          <cell r="C2815" t="str">
            <v>110kV 172 Thạnh Hưng - 172 Cao Lãnh 2</v>
          </cell>
          <cell r="D2815">
            <v>172</v>
          </cell>
          <cell r="E2815">
            <v>8.5</v>
          </cell>
          <cell r="F2815">
            <v>11.7</v>
          </cell>
          <cell r="G2815">
            <v>10.1</v>
          </cell>
          <cell r="H2815">
            <v>8.6999999999999993</v>
          </cell>
          <cell r="I2815">
            <v>8.6999999999999993</v>
          </cell>
          <cell r="J2815">
            <v>11.7</v>
          </cell>
          <cell r="K2815">
            <v>9.6</v>
          </cell>
          <cell r="L2815">
            <v>9.4</v>
          </cell>
          <cell r="M2815">
            <v>8.5</v>
          </cell>
        </row>
        <row r="2816">
          <cell r="C2816" t="str">
            <v>110kV 174 Thạnh Hưng - 171 Chợ Mới</v>
          </cell>
          <cell r="D2816">
            <v>174</v>
          </cell>
          <cell r="E2816">
            <v>-4.5999999999999996</v>
          </cell>
          <cell r="F2816">
            <v>9.6</v>
          </cell>
          <cell r="G2816">
            <v>-4.8</v>
          </cell>
          <cell r="H2816">
            <v>-4.9000000000000004</v>
          </cell>
          <cell r="I2816">
            <v>-4.9000000000000004</v>
          </cell>
          <cell r="J2816">
            <v>9.6</v>
          </cell>
          <cell r="K2816">
            <v>-5.0999999999999996</v>
          </cell>
          <cell r="L2816">
            <v>-4.5999999999999996</v>
          </cell>
          <cell r="M2816">
            <v>-4.7</v>
          </cell>
        </row>
        <row r="2817">
          <cell r="C2817" t="str">
            <v>Thạnh Hưng MBA T1 (phía 22kV)</v>
          </cell>
          <cell r="D2817">
            <v>431</v>
          </cell>
          <cell r="E2817">
            <v>3.3</v>
          </cell>
          <cell r="F2817">
            <v>5.4</v>
          </cell>
          <cell r="G2817">
            <v>5.3</v>
          </cell>
          <cell r="H2817">
            <v>3.9</v>
          </cell>
          <cell r="I2817">
            <v>3.7</v>
          </cell>
          <cell r="J2817">
            <v>3.8</v>
          </cell>
          <cell r="K2817">
            <v>-3.5</v>
          </cell>
          <cell r="L2817">
            <v>5.4</v>
          </cell>
          <cell r="M2817">
            <v>3.3</v>
          </cell>
        </row>
        <row r="2818">
          <cell r="C2818" t="str">
            <v>Thạnh Hưng MBA T2 (phía 22kV)</v>
          </cell>
          <cell r="D2818">
            <v>432</v>
          </cell>
          <cell r="E2818">
            <v>3.2</v>
          </cell>
          <cell r="F2818">
            <v>6.7</v>
          </cell>
          <cell r="G2818">
            <v>5.4</v>
          </cell>
          <cell r="H2818">
            <v>4.2</v>
          </cell>
          <cell r="I2818">
            <v>3.2</v>
          </cell>
          <cell r="J2818">
            <v>6.7</v>
          </cell>
          <cell r="K2818">
            <v>4.5999999999999996</v>
          </cell>
          <cell r="L2818">
            <v>4.4000000000000004</v>
          </cell>
          <cell r="M2818">
            <v>5.5</v>
          </cell>
        </row>
        <row r="2819">
          <cell r="C2819" t="str">
            <v>Thạnh Lộc MBA T1 (phía 110kV)</v>
          </cell>
          <cell r="D2819">
            <v>131</v>
          </cell>
          <cell r="E2819">
            <v>-3.8</v>
          </cell>
          <cell r="F2819">
            <v>7.8</v>
          </cell>
          <cell r="G2819">
            <v>7.8</v>
          </cell>
          <cell r="H2819">
            <v>7.8</v>
          </cell>
          <cell r="I2819">
            <v>5.7</v>
          </cell>
          <cell r="J2819">
            <v>-3.8</v>
          </cell>
          <cell r="K2819">
            <v>7.8</v>
          </cell>
          <cell r="L2819">
            <v>6.8</v>
          </cell>
          <cell r="M2819">
            <v>7.2</v>
          </cell>
        </row>
        <row r="2820">
          <cell r="C2820" t="str">
            <v>Thạnh Lộc MBA T2 (phía 110kV)</v>
          </cell>
          <cell r="D2820">
            <v>132</v>
          </cell>
          <cell r="E2820">
            <v>-3.6</v>
          </cell>
          <cell r="F2820">
            <v>-4.4000000000000004</v>
          </cell>
          <cell r="G2820">
            <v>-4.0999999999999996</v>
          </cell>
          <cell r="H2820">
            <v>-4</v>
          </cell>
          <cell r="I2820">
            <v>-3.9</v>
          </cell>
          <cell r="J2820">
            <v>-3.6</v>
          </cell>
          <cell r="K2820">
            <v>-4.4000000000000004</v>
          </cell>
          <cell r="L2820">
            <v>-4.2</v>
          </cell>
          <cell r="M2820">
            <v>-4</v>
          </cell>
        </row>
        <row r="2821">
          <cell r="C2821" t="str">
            <v>110kV 171 Thạnh Lộc - 174 Hóc Môn</v>
          </cell>
          <cell r="D2821">
            <v>171</v>
          </cell>
          <cell r="E2821">
            <v>27.4</v>
          </cell>
          <cell r="F2821">
            <v>-46.7</v>
          </cell>
          <cell r="G2821">
            <v>-45.2</v>
          </cell>
          <cell r="H2821">
            <v>-44.8</v>
          </cell>
          <cell r="I2821">
            <v>-38.200000000000003</v>
          </cell>
          <cell r="J2821">
            <v>27.4</v>
          </cell>
          <cell r="K2821">
            <v>-46.7</v>
          </cell>
          <cell r="L2821">
            <v>-43.9</v>
          </cell>
          <cell r="M2821">
            <v>-36.9</v>
          </cell>
        </row>
        <row r="2822">
          <cell r="C2822" t="str">
            <v>110kV 172 Thạnh Lộc - 179 Hiệp Bình Phước</v>
          </cell>
          <cell r="D2822">
            <v>172</v>
          </cell>
          <cell r="E2822">
            <v>29.8</v>
          </cell>
          <cell r="F2822">
            <v>42.6</v>
          </cell>
          <cell r="G2822">
            <v>42.6</v>
          </cell>
          <cell r="H2822">
            <v>39.700000000000003</v>
          </cell>
          <cell r="I2822">
            <v>35.299999999999997</v>
          </cell>
          <cell r="J2822">
            <v>29.8</v>
          </cell>
          <cell r="K2822">
            <v>41.5</v>
          </cell>
          <cell r="L2822">
            <v>42</v>
          </cell>
          <cell r="M2822">
            <v>32.1</v>
          </cell>
        </row>
        <row r="2823">
          <cell r="C2823" t="str">
            <v>Thạnh Lộc MBA T1 (phía 22kV)</v>
          </cell>
          <cell r="D2823">
            <v>431</v>
          </cell>
          <cell r="E2823">
            <v>4.5</v>
          </cell>
          <cell r="F2823">
            <v>5.4</v>
          </cell>
          <cell r="G2823">
            <v>4.5</v>
          </cell>
          <cell r="H2823">
            <v>4.5</v>
          </cell>
          <cell r="I2823">
            <v>5.4</v>
          </cell>
          <cell r="J2823">
            <v>5.4</v>
          </cell>
          <cell r="K2823">
            <v>5.2</v>
          </cell>
          <cell r="L2823">
            <v>4.8</v>
          </cell>
          <cell r="M2823">
            <v>4.5</v>
          </cell>
        </row>
        <row r="2824">
          <cell r="C2824" t="str">
            <v>Thạnh Lộc MBA T2 (phía 22kV)</v>
          </cell>
          <cell r="D2824">
            <v>432</v>
          </cell>
          <cell r="E2824">
            <v>5.5</v>
          </cell>
          <cell r="F2824">
            <v>5.8</v>
          </cell>
          <cell r="G2824">
            <v>5.8</v>
          </cell>
          <cell r="H2824">
            <v>5.5</v>
          </cell>
          <cell r="I2824">
            <v>5.6</v>
          </cell>
          <cell r="J2824">
            <v>5.7</v>
          </cell>
          <cell r="K2824">
            <v>5.8</v>
          </cell>
          <cell r="L2824">
            <v>5.8</v>
          </cell>
          <cell r="M2824">
            <v>5.7</v>
          </cell>
        </row>
        <row r="2825">
          <cell r="C2825" t="str">
            <v>Thạnh Phú MBA T1 (phía 110kV)</v>
          </cell>
          <cell r="D2825">
            <v>131</v>
          </cell>
          <cell r="E2825">
            <v>-5.3</v>
          </cell>
          <cell r="F2825">
            <v>11.9</v>
          </cell>
          <cell r="G2825">
            <v>11.7</v>
          </cell>
          <cell r="H2825">
            <v>11.7</v>
          </cell>
          <cell r="I2825">
            <v>10.4</v>
          </cell>
          <cell r="J2825">
            <v>-5.3</v>
          </cell>
          <cell r="K2825">
            <v>11.9</v>
          </cell>
          <cell r="L2825">
            <v>11.3</v>
          </cell>
          <cell r="M2825">
            <v>11.3</v>
          </cell>
        </row>
        <row r="2826">
          <cell r="C2826" t="str">
            <v>Thạnh Phú MBA T2 (phía 110kV)</v>
          </cell>
          <cell r="D2826">
            <v>132</v>
          </cell>
          <cell r="E2826">
            <v>3.3</v>
          </cell>
          <cell r="F2826">
            <v>12.4</v>
          </cell>
          <cell r="G2826">
            <v>12.1</v>
          </cell>
          <cell r="H2826">
            <v>12.4</v>
          </cell>
          <cell r="I2826">
            <v>11</v>
          </cell>
          <cell r="J2826">
            <v>3.3</v>
          </cell>
          <cell r="K2826">
            <v>10.199999999999999</v>
          </cell>
          <cell r="L2826">
            <v>11.4</v>
          </cell>
          <cell r="M2826">
            <v>11.3</v>
          </cell>
        </row>
        <row r="2827">
          <cell r="C2827" t="str">
            <v>110kV 171 Thạnh Phú - 172 NMĐ Trị An</v>
          </cell>
          <cell r="D2827">
            <v>171</v>
          </cell>
          <cell r="E2827">
            <v>-6.6</v>
          </cell>
          <cell r="F2827">
            <v>-23.7</v>
          </cell>
          <cell r="G2827">
            <v>-23.3</v>
          </cell>
          <cell r="H2827">
            <v>-23.7</v>
          </cell>
          <cell r="I2827">
            <v>-20.6</v>
          </cell>
          <cell r="J2827">
            <v>-6.6</v>
          </cell>
          <cell r="K2827">
            <v>-20.9</v>
          </cell>
          <cell r="L2827">
            <v>-21.6</v>
          </cell>
          <cell r="M2827">
            <v>-22.1</v>
          </cell>
        </row>
        <row r="2828">
          <cell r="C2828" t="str">
            <v>110kV 172 Thạnh Phú - 171 Tân Hòa</v>
          </cell>
          <cell r="D2828">
            <v>172</v>
          </cell>
          <cell r="E2828">
            <v>-1.7</v>
          </cell>
          <cell r="F2828">
            <v>-2.4</v>
          </cell>
          <cell r="G2828">
            <v>-2.2999999999999998</v>
          </cell>
          <cell r="H2828">
            <v>-1.8</v>
          </cell>
          <cell r="I2828">
            <v>-2.4</v>
          </cell>
          <cell r="J2828">
            <v>-1.8</v>
          </cell>
          <cell r="K2828">
            <v>-2.2999999999999998</v>
          </cell>
          <cell r="L2828">
            <v>-1.7</v>
          </cell>
          <cell r="M2828">
            <v>-1.8</v>
          </cell>
        </row>
        <row r="2829">
          <cell r="C2829" t="str">
            <v>Thạnh Phú MBA T1 (phía 22kV)</v>
          </cell>
          <cell r="D2829">
            <v>431</v>
          </cell>
          <cell r="E2829">
            <v>6.3</v>
          </cell>
          <cell r="F2829">
            <v>9</v>
          </cell>
          <cell r="G2829">
            <v>9</v>
          </cell>
          <cell r="H2829">
            <v>7.3</v>
          </cell>
          <cell r="I2829">
            <v>7.9</v>
          </cell>
          <cell r="J2829">
            <v>6.3</v>
          </cell>
          <cell r="K2829">
            <v>-7.8</v>
          </cell>
          <cell r="L2829">
            <v>-7.3</v>
          </cell>
          <cell r="M2829">
            <v>-7.3</v>
          </cell>
        </row>
        <row r="2830">
          <cell r="C2830" t="str">
            <v>Thạnh Phú MBA T2 (phía 22kV)</v>
          </cell>
          <cell r="D2830">
            <v>432</v>
          </cell>
          <cell r="E2830">
            <v>-1.8</v>
          </cell>
          <cell r="F2830">
            <v>-7.8</v>
          </cell>
          <cell r="G2830">
            <v>-7.8</v>
          </cell>
          <cell r="H2830">
            <v>-7.8</v>
          </cell>
          <cell r="I2830">
            <v>-6.8</v>
          </cell>
          <cell r="J2830">
            <v>-1.8</v>
          </cell>
          <cell r="K2830">
            <v>-6.3</v>
          </cell>
          <cell r="L2830">
            <v>-6.8</v>
          </cell>
          <cell r="M2830">
            <v>-7</v>
          </cell>
        </row>
        <row r="2831">
          <cell r="C2831" t="str">
            <v>Thạnh Trị MBA T1 (phía 110kV)</v>
          </cell>
          <cell r="D2831">
            <v>131</v>
          </cell>
          <cell r="E2831">
            <v>1.6</v>
          </cell>
          <cell r="F2831">
            <v>3.1</v>
          </cell>
          <cell r="G2831">
            <v>3.1</v>
          </cell>
          <cell r="H2831">
            <v>1.6</v>
          </cell>
          <cell r="I2831">
            <v>2.7</v>
          </cell>
          <cell r="J2831">
            <v>2.4</v>
          </cell>
          <cell r="K2831">
            <v>-1.7</v>
          </cell>
          <cell r="L2831">
            <v>-1.9</v>
          </cell>
          <cell r="M2831">
            <v>1.8</v>
          </cell>
        </row>
        <row r="2832">
          <cell r="C2832" t="str">
            <v>110kV 171 Thạnh Trị - 172 Sóc Trăng 2</v>
          </cell>
          <cell r="D2832">
            <v>171</v>
          </cell>
          <cell r="E2832">
            <v>-3.8</v>
          </cell>
          <cell r="F2832">
            <v>-16.2</v>
          </cell>
          <cell r="G2832">
            <v>-3.8</v>
          </cell>
          <cell r="H2832">
            <v>-8</v>
          </cell>
          <cell r="I2832">
            <v>-9.5</v>
          </cell>
          <cell r="J2832">
            <v>-16.2</v>
          </cell>
          <cell r="K2832">
            <v>-13.9</v>
          </cell>
          <cell r="L2832">
            <v>-13</v>
          </cell>
          <cell r="M2832">
            <v>-6.9</v>
          </cell>
        </row>
        <row r="2833">
          <cell r="C2833" t="str">
            <v>110kV 172 Thạnh Trị - 172 Vĩnh Trạch Đông</v>
          </cell>
          <cell r="D2833">
            <v>172</v>
          </cell>
          <cell r="E2833">
            <v>4.5</v>
          </cell>
          <cell r="F2833">
            <v>17</v>
          </cell>
          <cell r="G2833">
            <v>4.5</v>
          </cell>
          <cell r="H2833">
            <v>9.3000000000000007</v>
          </cell>
          <cell r="I2833">
            <v>10.3</v>
          </cell>
          <cell r="J2833">
            <v>17</v>
          </cell>
          <cell r="K2833">
            <v>14.7</v>
          </cell>
          <cell r="L2833">
            <v>13.3</v>
          </cell>
          <cell r="M2833">
            <v>6.9</v>
          </cell>
        </row>
        <row r="2834">
          <cell r="C2834" t="str">
            <v>Thạnh Trị MBA T1 (phía 22kV)</v>
          </cell>
          <cell r="D2834">
            <v>431</v>
          </cell>
          <cell r="E2834">
            <v>2.5</v>
          </cell>
          <cell r="F2834">
            <v>2.8</v>
          </cell>
          <cell r="G2834">
            <v>-2.5</v>
          </cell>
          <cell r="H2834">
            <v>2.5</v>
          </cell>
          <cell r="I2834">
            <v>2.8</v>
          </cell>
          <cell r="J2834">
            <v>2.8</v>
          </cell>
          <cell r="K2834">
            <v>2.5</v>
          </cell>
          <cell r="L2834">
            <v>2.6</v>
          </cell>
          <cell r="M2834">
            <v>2.6</v>
          </cell>
        </row>
        <row r="2835">
          <cell r="C2835" t="str">
            <v>Thảo Điền MBA T1 (phía 110kV)</v>
          </cell>
          <cell r="D2835">
            <v>131</v>
          </cell>
          <cell r="E2835">
            <v>-3.3</v>
          </cell>
          <cell r="F2835">
            <v>-3.6</v>
          </cell>
          <cell r="G2835">
            <v>-3.4</v>
          </cell>
          <cell r="H2835">
            <v>-3.3</v>
          </cell>
          <cell r="I2835">
            <v>-3.6</v>
          </cell>
          <cell r="J2835">
            <v>-3.4</v>
          </cell>
          <cell r="K2835">
            <v>-3.6</v>
          </cell>
          <cell r="L2835">
            <v>-3.3</v>
          </cell>
          <cell r="M2835">
            <v>-3.4</v>
          </cell>
        </row>
        <row r="2836">
          <cell r="C2836" t="str">
            <v>Thảo Điền MBA T2 (phía 110kV)</v>
          </cell>
          <cell r="D2836">
            <v>132</v>
          </cell>
          <cell r="E2836">
            <v>3.4</v>
          </cell>
          <cell r="F2836">
            <v>5.2</v>
          </cell>
          <cell r="G2836">
            <v>4.4000000000000004</v>
          </cell>
          <cell r="H2836">
            <v>5.2</v>
          </cell>
          <cell r="I2836">
            <v>4.2</v>
          </cell>
          <cell r="J2836">
            <v>3.6</v>
          </cell>
          <cell r="K2836">
            <v>4.4000000000000004</v>
          </cell>
          <cell r="L2836">
            <v>4.2</v>
          </cell>
          <cell r="M2836">
            <v>3.4</v>
          </cell>
        </row>
        <row r="2837">
          <cell r="C2837" t="str">
            <v>110kV 171 Thảo Điền - 171 An Khánh - 173 Xa Lộ</v>
          </cell>
          <cell r="D2837">
            <v>171</v>
          </cell>
          <cell r="E2837">
            <v>5.0999999999999996</v>
          </cell>
          <cell r="F2837">
            <v>7</v>
          </cell>
          <cell r="G2837">
            <v>6.5</v>
          </cell>
          <cell r="H2837">
            <v>6.8</v>
          </cell>
          <cell r="I2837">
            <v>-5.0999999999999996</v>
          </cell>
          <cell r="J2837">
            <v>-5.0999999999999996</v>
          </cell>
          <cell r="K2837">
            <v>6.6</v>
          </cell>
          <cell r="L2837">
            <v>7</v>
          </cell>
          <cell r="M2837">
            <v>5.0999999999999996</v>
          </cell>
        </row>
        <row r="2838">
          <cell r="C2838" t="str">
            <v>110kV 172 Thảo Điền - 177 Thủ Đức</v>
          </cell>
          <cell r="D2838">
            <v>172</v>
          </cell>
          <cell r="E2838">
            <v>9</v>
          </cell>
          <cell r="F2838">
            <v>-11.3</v>
          </cell>
          <cell r="G2838">
            <v>-10.199999999999999</v>
          </cell>
          <cell r="H2838">
            <v>-11.3</v>
          </cell>
          <cell r="I2838">
            <v>9.3000000000000007</v>
          </cell>
          <cell r="J2838">
            <v>9.3000000000000007</v>
          </cell>
          <cell r="K2838">
            <v>-10</v>
          </cell>
          <cell r="L2838">
            <v>10.199999999999999</v>
          </cell>
          <cell r="M2838">
            <v>9</v>
          </cell>
        </row>
        <row r="2839">
          <cell r="C2839" t="str">
            <v>Thảo Điền MBA T1 (phía 22kV)</v>
          </cell>
          <cell r="D2839">
            <v>431</v>
          </cell>
          <cell r="E2839">
            <v>-3.9</v>
          </cell>
          <cell r="F2839">
            <v>-4.2</v>
          </cell>
          <cell r="G2839">
            <v>-4.0999999999999996</v>
          </cell>
          <cell r="H2839">
            <v>-4.0999999999999996</v>
          </cell>
          <cell r="I2839">
            <v>-4.2</v>
          </cell>
          <cell r="J2839">
            <v>-3.9</v>
          </cell>
          <cell r="K2839">
            <v>-4</v>
          </cell>
          <cell r="L2839">
            <v>-4</v>
          </cell>
          <cell r="M2839">
            <v>-4.0999999999999996</v>
          </cell>
        </row>
        <row r="2840">
          <cell r="C2840" t="str">
            <v>Thảo Điền MBA T2 (phía 22kV)</v>
          </cell>
          <cell r="D2840">
            <v>432</v>
          </cell>
          <cell r="E2840">
            <v>2.2000000000000002</v>
          </cell>
          <cell r="F2840">
            <v>3.6</v>
          </cell>
          <cell r="G2840">
            <v>3.1</v>
          </cell>
          <cell r="H2840">
            <v>3.6</v>
          </cell>
          <cell r="I2840">
            <v>2.5</v>
          </cell>
          <cell r="J2840">
            <v>2.2000000000000002</v>
          </cell>
          <cell r="K2840">
            <v>3.1</v>
          </cell>
          <cell r="L2840">
            <v>2.9</v>
          </cell>
          <cell r="M2840">
            <v>3</v>
          </cell>
        </row>
        <row r="2841">
          <cell r="C2841" t="str">
            <v>Tháp Chàm MBA T1 (phía 110kV)</v>
          </cell>
          <cell r="D2841">
            <v>131</v>
          </cell>
          <cell r="E2841">
            <v>1.9</v>
          </cell>
          <cell r="F2841">
            <v>-2.7</v>
          </cell>
          <cell r="G2841">
            <v>2</v>
          </cell>
          <cell r="H2841">
            <v>2.5</v>
          </cell>
          <cell r="I2841">
            <v>1.9</v>
          </cell>
          <cell r="J2841">
            <v>-2.1</v>
          </cell>
          <cell r="K2841">
            <v>-2.6</v>
          </cell>
          <cell r="L2841">
            <v>-2.7</v>
          </cell>
          <cell r="M2841">
            <v>-2</v>
          </cell>
        </row>
        <row r="2842">
          <cell r="C2842" t="str">
            <v>Tháp Chàm MBA T2 (phía 110kV)</v>
          </cell>
          <cell r="D2842">
            <v>132</v>
          </cell>
          <cell r="E2842">
            <v>-1.5</v>
          </cell>
          <cell r="F2842">
            <v>-1.9</v>
          </cell>
          <cell r="G2842">
            <v>-1.6</v>
          </cell>
          <cell r="H2842">
            <v>-1.5</v>
          </cell>
          <cell r="I2842">
            <v>-1.6</v>
          </cell>
          <cell r="J2842">
            <v>-1.7</v>
          </cell>
          <cell r="K2842">
            <v>-1.9</v>
          </cell>
          <cell r="L2842">
            <v>-1.8</v>
          </cell>
          <cell r="M2842">
            <v>-1.8</v>
          </cell>
        </row>
        <row r="2843">
          <cell r="C2843" t="str">
            <v>110kV 171 Tháp Chàm - 174 Tháp Chàm 2</v>
          </cell>
          <cell r="D2843">
            <v>171</v>
          </cell>
          <cell r="E2843">
            <v>3.4</v>
          </cell>
          <cell r="F2843">
            <v>7.9</v>
          </cell>
          <cell r="G2843">
            <v>7.9</v>
          </cell>
          <cell r="H2843">
            <v>3.4</v>
          </cell>
          <cell r="I2843">
            <v>6.3</v>
          </cell>
          <cell r="J2843">
            <v>4.9000000000000004</v>
          </cell>
          <cell r="K2843">
            <v>4.0999999999999996</v>
          </cell>
          <cell r="L2843">
            <v>4</v>
          </cell>
          <cell r="M2843">
            <v>5.7</v>
          </cell>
        </row>
        <row r="2844">
          <cell r="C2844" t="str">
            <v>110kV 172 Tháp Chàm - 172 NMĐ MT Mỹ Sơn</v>
          </cell>
          <cell r="D2844">
            <v>172</v>
          </cell>
          <cell r="E2844">
            <v>-2</v>
          </cell>
          <cell r="F2844">
            <v>-8.3000000000000007</v>
          </cell>
          <cell r="G2844">
            <v>-8.3000000000000007</v>
          </cell>
          <cell r="H2844">
            <v>-4.8</v>
          </cell>
          <cell r="I2844">
            <v>-5.0999999999999996</v>
          </cell>
          <cell r="J2844">
            <v>-3</v>
          </cell>
          <cell r="K2844">
            <v>-2</v>
          </cell>
          <cell r="L2844">
            <v>-3</v>
          </cell>
          <cell r="M2844">
            <v>-6.5</v>
          </cell>
        </row>
        <row r="2845">
          <cell r="C2845" t="str">
            <v>110kV 174 Tháp Chàm - 172 Ninh Thuận 1</v>
          </cell>
          <cell r="D2845">
            <v>174</v>
          </cell>
          <cell r="E2845">
            <v>-1.1000000000000001</v>
          </cell>
          <cell r="F2845">
            <v>4</v>
          </cell>
          <cell r="G2845">
            <v>2.8</v>
          </cell>
          <cell r="H2845">
            <v>2.7</v>
          </cell>
          <cell r="I2845">
            <v>-2.1</v>
          </cell>
          <cell r="J2845">
            <v>-1.9</v>
          </cell>
          <cell r="K2845">
            <v>-1.1000000000000001</v>
          </cell>
          <cell r="L2845">
            <v>-1.9</v>
          </cell>
          <cell r="M2845">
            <v>4</v>
          </cell>
        </row>
        <row r="2846">
          <cell r="C2846" t="str">
            <v>Tháp Chàm MBA T1 (phía 22kV)</v>
          </cell>
          <cell r="D2846">
            <v>431</v>
          </cell>
          <cell r="E2846">
            <v>1.9</v>
          </cell>
          <cell r="F2846">
            <v>3.3</v>
          </cell>
          <cell r="G2846">
            <v>2.2000000000000002</v>
          </cell>
          <cell r="H2846">
            <v>2.6</v>
          </cell>
          <cell r="I2846">
            <v>1.9</v>
          </cell>
          <cell r="J2846">
            <v>2.5</v>
          </cell>
          <cell r="K2846">
            <v>3.3</v>
          </cell>
          <cell r="L2846">
            <v>3.3</v>
          </cell>
          <cell r="M2846">
            <v>2.7</v>
          </cell>
        </row>
        <row r="2847">
          <cell r="C2847" t="str">
            <v>Tháp Chàm MBA T2 (phía 22kV)</v>
          </cell>
          <cell r="D2847">
            <v>432</v>
          </cell>
          <cell r="E2847">
            <v>1.8</v>
          </cell>
          <cell r="F2847">
            <v>2.1</v>
          </cell>
          <cell r="G2847">
            <v>1.8</v>
          </cell>
          <cell r="H2847">
            <v>1.8</v>
          </cell>
          <cell r="I2847">
            <v>1.8</v>
          </cell>
          <cell r="J2847">
            <v>1.9</v>
          </cell>
          <cell r="K2847">
            <v>2.1</v>
          </cell>
          <cell r="L2847">
            <v>2.1</v>
          </cell>
          <cell r="M2847">
            <v>2</v>
          </cell>
        </row>
        <row r="2848">
          <cell r="C2848" t="str">
            <v>Tháp Chàm 2 MBA AT1 (phía 110kV)</v>
          </cell>
          <cell r="D2848">
            <v>131</v>
          </cell>
          <cell r="E2848">
            <v>7</v>
          </cell>
          <cell r="F2848">
            <v>-12.1</v>
          </cell>
          <cell r="G2848">
            <v>7</v>
          </cell>
          <cell r="H2848">
            <v>-11.5</v>
          </cell>
          <cell r="I2848">
            <v>-11.8</v>
          </cell>
          <cell r="J2848">
            <v>-12.1</v>
          </cell>
          <cell r="K2848">
            <v>8.5</v>
          </cell>
          <cell r="L2848">
            <v>8.9</v>
          </cell>
          <cell r="M2848">
            <v>10.5</v>
          </cell>
        </row>
        <row r="2849">
          <cell r="C2849" t="str">
            <v>Tháp Chàm 2 MBA AT2 (phía 110kV)</v>
          </cell>
          <cell r="D2849">
            <v>132</v>
          </cell>
          <cell r="E2849">
            <v>6</v>
          </cell>
          <cell r="F2849">
            <v>-13.6</v>
          </cell>
          <cell r="G2849">
            <v>-13.6</v>
          </cell>
          <cell r="H2849">
            <v>-7.8</v>
          </cell>
          <cell r="I2849">
            <v>6</v>
          </cell>
          <cell r="J2849">
            <v>6.8</v>
          </cell>
          <cell r="K2849">
            <v>9.1</v>
          </cell>
          <cell r="L2849">
            <v>9.1</v>
          </cell>
          <cell r="M2849">
            <v>10.6</v>
          </cell>
        </row>
        <row r="2850">
          <cell r="C2850" t="str">
            <v>110kV 173 Tháp Chàm 2 - 173 NMĐ MT CMX</v>
          </cell>
          <cell r="D2850">
            <v>173</v>
          </cell>
          <cell r="E2850">
            <v>-2.2999999999999998</v>
          </cell>
          <cell r="F2850">
            <v>9.1999999999999993</v>
          </cell>
          <cell r="G2850">
            <v>9.1999999999999993</v>
          </cell>
          <cell r="H2850">
            <v>6.4</v>
          </cell>
          <cell r="I2850">
            <v>4.0999999999999996</v>
          </cell>
          <cell r="J2850">
            <v>2.8</v>
          </cell>
          <cell r="K2850">
            <v>-2.2999999999999998</v>
          </cell>
          <cell r="L2850">
            <v>-3.3</v>
          </cell>
          <cell r="M2850">
            <v>3.1</v>
          </cell>
        </row>
        <row r="2851">
          <cell r="C2851" t="str">
            <v>110kV 174 Tháp Chàm 2 - 171 Tháp Chàm</v>
          </cell>
          <cell r="D2851">
            <v>174</v>
          </cell>
          <cell r="E2851">
            <v>-3</v>
          </cell>
          <cell r="F2851">
            <v>-7.2</v>
          </cell>
          <cell r="G2851">
            <v>-7.2</v>
          </cell>
          <cell r="H2851">
            <v>-3</v>
          </cell>
          <cell r="I2851">
            <v>-5.2</v>
          </cell>
          <cell r="J2851">
            <v>-4.7</v>
          </cell>
          <cell r="K2851">
            <v>-3.9</v>
          </cell>
          <cell r="L2851">
            <v>-3.8</v>
          </cell>
          <cell r="M2851">
            <v>-3.9</v>
          </cell>
        </row>
        <row r="2852">
          <cell r="C2852" t="str">
            <v>110kV 175 Tháp Chàm 2 - 172 NMĐ Gió Đầm Nại</v>
          </cell>
          <cell r="D2852">
            <v>175</v>
          </cell>
          <cell r="E2852">
            <v>-3.8</v>
          </cell>
          <cell r="F2852">
            <v>-7.2</v>
          </cell>
          <cell r="G2852">
            <v>-4.3</v>
          </cell>
          <cell r="H2852">
            <v>5.4</v>
          </cell>
          <cell r="I2852">
            <v>6.2</v>
          </cell>
          <cell r="J2852">
            <v>-3.8</v>
          </cell>
          <cell r="K2852">
            <v>-5.4</v>
          </cell>
          <cell r="L2852">
            <v>-5.4</v>
          </cell>
          <cell r="M2852">
            <v>-7.2</v>
          </cell>
        </row>
        <row r="2853">
          <cell r="C2853" t="str">
            <v>110kV 176 Tháp Chàm 2 - 172 Cam Ranh</v>
          </cell>
          <cell r="D2853">
            <v>176</v>
          </cell>
          <cell r="E2853">
            <v>-3.8</v>
          </cell>
          <cell r="F2853">
            <v>10</v>
          </cell>
          <cell r="G2853">
            <v>-4.2</v>
          </cell>
          <cell r="H2853">
            <v>10</v>
          </cell>
          <cell r="I2853">
            <v>7.7</v>
          </cell>
          <cell r="J2853">
            <v>9</v>
          </cell>
          <cell r="K2853">
            <v>-4.3</v>
          </cell>
          <cell r="L2853">
            <v>-3.8</v>
          </cell>
          <cell r="M2853">
            <v>8</v>
          </cell>
        </row>
        <row r="2854">
          <cell r="C2854" t="str">
            <v>110kV 177 Tháp Chàm 2 - 171 NMĐ Gió Trung Nam</v>
          </cell>
          <cell r="D2854">
            <v>177</v>
          </cell>
          <cell r="E2854">
            <v>-0.4</v>
          </cell>
          <cell r="F2854">
            <v>-0.4</v>
          </cell>
          <cell r="G2854">
            <v>-0.4</v>
          </cell>
          <cell r="H2854">
            <v>-0.4</v>
          </cell>
          <cell r="I2854">
            <v>-0.4</v>
          </cell>
          <cell r="J2854">
            <v>-0.4</v>
          </cell>
          <cell r="K2854">
            <v>-0.4</v>
          </cell>
          <cell r="L2854">
            <v>-0.4</v>
          </cell>
          <cell r="M2854">
            <v>-0.4</v>
          </cell>
        </row>
        <row r="2855">
          <cell r="C2855" t="str">
            <v>110kV 178 Tháp Chàm 2 - 172 NMĐ Gió Trung Nam</v>
          </cell>
          <cell r="D2855">
            <v>178</v>
          </cell>
          <cell r="E2855">
            <v>-0.6</v>
          </cell>
          <cell r="F2855">
            <v>-1</v>
          </cell>
          <cell r="G2855">
            <v>-0.6</v>
          </cell>
          <cell r="H2855">
            <v>-1</v>
          </cell>
          <cell r="I2855">
            <v>-0.6</v>
          </cell>
          <cell r="J2855">
            <v>-0.6</v>
          </cell>
          <cell r="K2855">
            <v>-0.6</v>
          </cell>
          <cell r="L2855">
            <v>-0.6</v>
          </cell>
          <cell r="M2855">
            <v>-0.6</v>
          </cell>
        </row>
        <row r="2856">
          <cell r="C2856" t="str">
            <v>Tháp Chàm 2 MBA AT1 (phía 220kV)</v>
          </cell>
          <cell r="D2856">
            <v>231</v>
          </cell>
          <cell r="E2856">
            <v>6.4</v>
          </cell>
          <cell r="F2856">
            <v>14.5</v>
          </cell>
          <cell r="G2856">
            <v>6.4</v>
          </cell>
          <cell r="H2856">
            <v>13.8</v>
          </cell>
          <cell r="I2856">
            <v>14.3</v>
          </cell>
          <cell r="J2856">
            <v>14.5</v>
          </cell>
          <cell r="K2856">
            <v>-7.5</v>
          </cell>
          <cell r="L2856">
            <v>-8.1999999999999993</v>
          </cell>
          <cell r="M2856">
            <v>13</v>
          </cell>
        </row>
        <row r="2857">
          <cell r="C2857" t="str">
            <v>Tháp Chàm 2 MBA AT2 (phía 220kV)</v>
          </cell>
          <cell r="D2857">
            <v>232</v>
          </cell>
          <cell r="E2857">
            <v>-6.3</v>
          </cell>
          <cell r="F2857">
            <v>17.600000000000001</v>
          </cell>
          <cell r="G2857">
            <v>17.600000000000001</v>
          </cell>
          <cell r="H2857">
            <v>14.8</v>
          </cell>
          <cell r="I2857">
            <v>11.3</v>
          </cell>
          <cell r="J2857">
            <v>-6.3</v>
          </cell>
          <cell r="K2857">
            <v>-7.7</v>
          </cell>
          <cell r="L2857">
            <v>-8.1</v>
          </cell>
          <cell r="M2857">
            <v>-9.9</v>
          </cell>
        </row>
        <row r="2858">
          <cell r="C2858" t="str">
            <v>220kV 273 Tháp Chàm 2 - 271 NMĐ MT Phước Thái 1</v>
          </cell>
          <cell r="D2858">
            <v>273</v>
          </cell>
          <cell r="E2858">
            <v>8.3000000000000007</v>
          </cell>
          <cell r="F2858">
            <v>18.2</v>
          </cell>
          <cell r="G2858">
            <v>18.2</v>
          </cell>
          <cell r="H2858">
            <v>12.5</v>
          </cell>
          <cell r="I2858">
            <v>8.3000000000000007</v>
          </cell>
          <cell r="J2858">
            <v>12.7</v>
          </cell>
          <cell r="K2858">
            <v>11.4</v>
          </cell>
          <cell r="L2858">
            <v>-10.6</v>
          </cell>
          <cell r="M2858">
            <v>11.8</v>
          </cell>
        </row>
        <row r="2859">
          <cell r="C2859" t="str">
            <v>220kV 274 Tháp Chàm 2 - 271 NMĐ MT Mỹ Sơn HLV</v>
          </cell>
          <cell r="D2859">
            <v>274</v>
          </cell>
          <cell r="E2859">
            <v>13.3</v>
          </cell>
          <cell r="F2859">
            <v>-33.9</v>
          </cell>
          <cell r="G2859">
            <v>-33.9</v>
          </cell>
          <cell r="H2859">
            <v>-19</v>
          </cell>
          <cell r="I2859">
            <v>-17.8</v>
          </cell>
          <cell r="J2859">
            <v>-15.9</v>
          </cell>
          <cell r="K2859">
            <v>19.899999999999999</v>
          </cell>
          <cell r="L2859">
            <v>13.3</v>
          </cell>
          <cell r="M2859">
            <v>-22.4</v>
          </cell>
        </row>
        <row r="2860">
          <cell r="C2860" t="str">
            <v>220kV 275 Tháp Chàm 2 - 272 NMĐ Đa Nhim</v>
          </cell>
          <cell r="D2860">
            <v>275</v>
          </cell>
          <cell r="E2860">
            <v>9.5</v>
          </cell>
          <cell r="F2860">
            <v>25.7</v>
          </cell>
          <cell r="G2860">
            <v>19</v>
          </cell>
          <cell r="H2860">
            <v>9.5</v>
          </cell>
          <cell r="I2860">
            <v>25.7</v>
          </cell>
          <cell r="J2860">
            <v>24.2</v>
          </cell>
          <cell r="K2860">
            <v>24.6</v>
          </cell>
          <cell r="L2860">
            <v>12.5</v>
          </cell>
          <cell r="M2860">
            <v>15.8</v>
          </cell>
        </row>
        <row r="2861">
          <cell r="C2861" t="str">
            <v>220kV 276 Tháp Chàm 2 - 274 NMĐ MT Xuân Thiện Thuận Bắc GĐ1</v>
          </cell>
          <cell r="D2861">
            <v>276</v>
          </cell>
          <cell r="E2861">
            <v>8.1999999999999993</v>
          </cell>
          <cell r="F2861">
            <v>-37.6</v>
          </cell>
          <cell r="G2861">
            <v>-37.6</v>
          </cell>
          <cell r="H2861">
            <v>-19.2</v>
          </cell>
          <cell r="I2861">
            <v>-21.3</v>
          </cell>
          <cell r="J2861">
            <v>-24.2</v>
          </cell>
          <cell r="K2861">
            <v>-27</v>
          </cell>
          <cell r="L2861">
            <v>8.1999999999999993</v>
          </cell>
          <cell r="M2861">
            <v>-16.100000000000001</v>
          </cell>
        </row>
        <row r="2862">
          <cell r="C2862" t="str">
            <v>220kV 279 Tháp Chàm 2 - 274 NMĐ MT Trung Nam</v>
          </cell>
          <cell r="D2862">
            <v>279</v>
          </cell>
          <cell r="E2862">
            <v>-2.7</v>
          </cell>
          <cell r="F2862">
            <v>29.5</v>
          </cell>
          <cell r="G2862">
            <v>22.8</v>
          </cell>
          <cell r="H2862">
            <v>12</v>
          </cell>
          <cell r="I2862">
            <v>20.6</v>
          </cell>
          <cell r="J2862">
            <v>27</v>
          </cell>
          <cell r="K2862">
            <v>-2.7</v>
          </cell>
          <cell r="L2862">
            <v>18</v>
          </cell>
          <cell r="M2862">
            <v>29.5</v>
          </cell>
        </row>
        <row r="2863">
          <cell r="C2863" t="str">
            <v>Tháp Mười MBA T1 (phía 110kV)</v>
          </cell>
          <cell r="D2863">
            <v>131</v>
          </cell>
          <cell r="E2863">
            <v>1.9</v>
          </cell>
          <cell r="F2863">
            <v>4</v>
          </cell>
          <cell r="G2863">
            <v>3.1</v>
          </cell>
          <cell r="H2863">
            <v>4</v>
          </cell>
          <cell r="I2863">
            <v>3.9</v>
          </cell>
          <cell r="J2863">
            <v>1.9</v>
          </cell>
          <cell r="K2863">
            <v>3.1</v>
          </cell>
          <cell r="L2863">
            <v>-2.6</v>
          </cell>
          <cell r="M2863">
            <v>2.7</v>
          </cell>
        </row>
        <row r="2864">
          <cell r="C2864" t="str">
            <v>110kV 171 Tháp Mười - 175 Cao Lãnh 2</v>
          </cell>
          <cell r="D2864">
            <v>171</v>
          </cell>
          <cell r="E2864">
            <v>2.5</v>
          </cell>
          <cell r="F2864">
            <v>3.8</v>
          </cell>
          <cell r="G2864">
            <v>-2.7</v>
          </cell>
          <cell r="H2864">
            <v>-3.7</v>
          </cell>
          <cell r="I2864">
            <v>3.7</v>
          </cell>
          <cell r="J2864">
            <v>2.8</v>
          </cell>
          <cell r="K2864">
            <v>-3.7</v>
          </cell>
          <cell r="L2864">
            <v>2.5</v>
          </cell>
          <cell r="M2864">
            <v>3.8</v>
          </cell>
        </row>
        <row r="2865">
          <cell r="C2865" t="str">
            <v>110kV 172 Tháp Mười - 131 Tam Nông</v>
          </cell>
          <cell r="D2865">
            <v>172</v>
          </cell>
          <cell r="E2865">
            <v>-2</v>
          </cell>
          <cell r="F2865">
            <v>-4.4000000000000004</v>
          </cell>
          <cell r="G2865">
            <v>-3.1</v>
          </cell>
          <cell r="H2865">
            <v>-2.5</v>
          </cell>
          <cell r="I2865">
            <v>-4.4000000000000004</v>
          </cell>
          <cell r="J2865">
            <v>-2.2000000000000002</v>
          </cell>
          <cell r="K2865">
            <v>2.5</v>
          </cell>
          <cell r="L2865">
            <v>2.2000000000000002</v>
          </cell>
          <cell r="M2865">
            <v>-2</v>
          </cell>
        </row>
        <row r="2866">
          <cell r="C2866" t="str">
            <v>Tháp Mười MBA T1 (phía 22kV)</v>
          </cell>
          <cell r="D2866">
            <v>431</v>
          </cell>
          <cell r="E2866">
            <v>2.8</v>
          </cell>
          <cell r="F2866">
            <v>4</v>
          </cell>
          <cell r="G2866">
            <v>2.9</v>
          </cell>
          <cell r="H2866">
            <v>-3.2</v>
          </cell>
          <cell r="I2866">
            <v>-3.1</v>
          </cell>
          <cell r="J2866">
            <v>2.8</v>
          </cell>
          <cell r="K2866">
            <v>4</v>
          </cell>
          <cell r="L2866">
            <v>3.5</v>
          </cell>
          <cell r="M2866">
            <v>3.5</v>
          </cell>
        </row>
        <row r="2867">
          <cell r="C2867" t="str">
            <v>Thép Miền Nam MBA T1 (phía 110kV)</v>
          </cell>
          <cell r="D2867">
            <v>131</v>
          </cell>
          <cell r="E2867">
            <v>22.6</v>
          </cell>
          <cell r="F2867">
            <v>41</v>
          </cell>
          <cell r="G2867">
            <v>31.3</v>
          </cell>
          <cell r="H2867">
            <v>39.200000000000003</v>
          </cell>
          <cell r="I2867">
            <v>28.7</v>
          </cell>
          <cell r="J2867">
            <v>35</v>
          </cell>
          <cell r="K2867">
            <v>41</v>
          </cell>
          <cell r="L2867">
            <v>28.8</v>
          </cell>
          <cell r="M2867">
            <v>22.6</v>
          </cell>
        </row>
        <row r="2868">
          <cell r="C2868" t="str">
            <v>Thép Miền Nam MBA T2 (phía 110kV)</v>
          </cell>
          <cell r="D2868">
            <v>132</v>
          </cell>
          <cell r="E2868">
            <v>2.6</v>
          </cell>
          <cell r="F2868">
            <v>4.5999999999999996</v>
          </cell>
          <cell r="G2868">
            <v>2.6</v>
          </cell>
          <cell r="H2868">
            <v>-3.8</v>
          </cell>
          <cell r="I2868">
            <v>4.5999999999999996</v>
          </cell>
          <cell r="J2868">
            <v>-4.3</v>
          </cell>
          <cell r="K2868">
            <v>4.3</v>
          </cell>
          <cell r="L2868">
            <v>4.0999999999999996</v>
          </cell>
          <cell r="M2868">
            <v>4.0999999999999996</v>
          </cell>
        </row>
        <row r="2869">
          <cell r="C2869" t="str">
            <v>110kV 171 Thép Miền Nam - 172 Vina Kyoei</v>
          </cell>
          <cell r="D2869">
            <v>171</v>
          </cell>
          <cell r="E2869">
            <v>22</v>
          </cell>
          <cell r="F2869">
            <v>38.1</v>
          </cell>
          <cell r="G2869">
            <v>29.6</v>
          </cell>
          <cell r="H2869">
            <v>38.1</v>
          </cell>
          <cell r="I2869">
            <v>30</v>
          </cell>
          <cell r="J2869">
            <v>22</v>
          </cell>
          <cell r="K2869">
            <v>37.1</v>
          </cell>
          <cell r="L2869">
            <v>28.5</v>
          </cell>
          <cell r="M2869">
            <v>30.6</v>
          </cell>
        </row>
        <row r="2870">
          <cell r="C2870" t="str">
            <v>110kV 172 Thép Miền Nam - 171 Pomina</v>
          </cell>
          <cell r="D2870">
            <v>172</v>
          </cell>
          <cell r="E2870">
            <v>-26.7</v>
          </cell>
          <cell r="F2870">
            <v>-54.3</v>
          </cell>
          <cell r="G2870">
            <v>-35.5</v>
          </cell>
          <cell r="H2870">
            <v>-47.8</v>
          </cell>
          <cell r="I2870">
            <v>-40.200000000000003</v>
          </cell>
          <cell r="J2870">
            <v>-26.7</v>
          </cell>
          <cell r="K2870">
            <v>-54.3</v>
          </cell>
          <cell r="L2870">
            <v>-39.799999999999997</v>
          </cell>
          <cell r="M2870">
            <v>-40.799999999999997</v>
          </cell>
        </row>
        <row r="2871">
          <cell r="C2871" t="str">
            <v>Thép Miền Nam MBA T1 (phía 35kV)</v>
          </cell>
          <cell r="D2871">
            <v>331</v>
          </cell>
          <cell r="E2871">
            <v>-19.399999999999999</v>
          </cell>
          <cell r="F2871">
            <v>-32.700000000000003</v>
          </cell>
          <cell r="G2871">
            <v>-32.700000000000003</v>
          </cell>
          <cell r="H2871">
            <v>-28.5</v>
          </cell>
          <cell r="I2871">
            <v>-25.9</v>
          </cell>
          <cell r="J2871">
            <v>-31.7</v>
          </cell>
          <cell r="K2871">
            <v>-27.1</v>
          </cell>
          <cell r="L2871">
            <v>-31.3</v>
          </cell>
          <cell r="M2871">
            <v>-19.399999999999999</v>
          </cell>
        </row>
        <row r="2872">
          <cell r="C2872" t="str">
            <v>Thép Miền Nam MBA T2 (phía 22kV)</v>
          </cell>
          <cell r="D2872">
            <v>432</v>
          </cell>
          <cell r="E2872">
            <v>-2.5</v>
          </cell>
          <cell r="F2872">
            <v>4.5</v>
          </cell>
          <cell r="G2872">
            <v>-2.5</v>
          </cell>
          <cell r="H2872">
            <v>3.9</v>
          </cell>
          <cell r="I2872">
            <v>4.2</v>
          </cell>
          <cell r="J2872">
            <v>4.5</v>
          </cell>
          <cell r="K2872">
            <v>3.5</v>
          </cell>
          <cell r="L2872">
            <v>-4.3</v>
          </cell>
          <cell r="M2872">
            <v>4</v>
          </cell>
        </row>
        <row r="2873">
          <cell r="C2873" t="str">
            <v>110kV 171 Thép Tuệ Minh - 172 Đất Cuốc</v>
          </cell>
          <cell r="D2873">
            <v>171</v>
          </cell>
          <cell r="E2873">
            <v>5</v>
          </cell>
          <cell r="F2873">
            <v>-15</v>
          </cell>
          <cell r="G2873">
            <v>-10.6</v>
          </cell>
          <cell r="H2873">
            <v>-13.2</v>
          </cell>
          <cell r="I2873">
            <v>-14.5</v>
          </cell>
          <cell r="J2873">
            <v>-13.5</v>
          </cell>
          <cell r="K2873">
            <v>-15</v>
          </cell>
          <cell r="L2873">
            <v>-8.3000000000000007</v>
          </cell>
          <cell r="M2873">
            <v>5</v>
          </cell>
        </row>
        <row r="2874">
          <cell r="C2874" t="str">
            <v>110kV 172 Thép Tuệ Minh - 176 Uyên Hưng</v>
          </cell>
          <cell r="D2874">
            <v>172</v>
          </cell>
          <cell r="E2874">
            <v>-5.9</v>
          </cell>
          <cell r="F2874">
            <v>-21</v>
          </cell>
          <cell r="G2874">
            <v>-14.1</v>
          </cell>
          <cell r="H2874">
            <v>-11.6</v>
          </cell>
          <cell r="I2874">
            <v>-21</v>
          </cell>
          <cell r="J2874">
            <v>-9.3000000000000007</v>
          </cell>
          <cell r="K2874">
            <v>-13.2</v>
          </cell>
          <cell r="L2874">
            <v>-7.7</v>
          </cell>
          <cell r="M2874">
            <v>-5.9</v>
          </cell>
        </row>
        <row r="2875">
          <cell r="C2875" t="str">
            <v>Thép Tuệ Minh MBA T1 (phía 22kV)</v>
          </cell>
          <cell r="D2875">
            <v>431</v>
          </cell>
          <cell r="E2875">
            <v>-3.6</v>
          </cell>
          <cell r="F2875">
            <v>-14.1</v>
          </cell>
          <cell r="G2875">
            <v>-11</v>
          </cell>
          <cell r="H2875">
            <v>-14.1</v>
          </cell>
          <cell r="I2875">
            <v>-8.4</v>
          </cell>
          <cell r="J2875">
            <v>-9.6999999999999993</v>
          </cell>
          <cell r="K2875">
            <v>-9</v>
          </cell>
          <cell r="L2875">
            <v>-9.6</v>
          </cell>
          <cell r="M2875">
            <v>-3.6</v>
          </cell>
        </row>
        <row r="2876">
          <cell r="C2876" t="str">
            <v>Thép Tuệ Minh MBA T2 (phía 22kV)</v>
          </cell>
          <cell r="D2876">
            <v>432</v>
          </cell>
          <cell r="E2876">
            <v>-5.4</v>
          </cell>
          <cell r="F2876">
            <v>-27</v>
          </cell>
          <cell r="G2876">
            <v>-13.6</v>
          </cell>
          <cell r="H2876">
            <v>-9.4</v>
          </cell>
          <cell r="I2876">
            <v>-27</v>
          </cell>
          <cell r="J2876">
            <v>-12.8</v>
          </cell>
          <cell r="K2876">
            <v>-18.3</v>
          </cell>
          <cell r="L2876">
            <v>-7.8</v>
          </cell>
          <cell r="M2876">
            <v>-5.4</v>
          </cell>
        </row>
        <row r="2877">
          <cell r="C2877" t="str">
            <v>110kV 171 Thép Việt - 178 NMĐ Phú Mỹ 1</v>
          </cell>
          <cell r="D2877">
            <v>171</v>
          </cell>
          <cell r="E2877">
            <v>12.2</v>
          </cell>
          <cell r="F2877">
            <v>39.200000000000003</v>
          </cell>
          <cell r="G2877">
            <v>32.9</v>
          </cell>
          <cell r="H2877">
            <v>37.5</v>
          </cell>
          <cell r="I2877">
            <v>25.3</v>
          </cell>
          <cell r="J2877">
            <v>12.2</v>
          </cell>
          <cell r="K2877">
            <v>37</v>
          </cell>
          <cell r="L2877">
            <v>23.4</v>
          </cell>
          <cell r="M2877">
            <v>39.200000000000003</v>
          </cell>
        </row>
        <row r="2878">
          <cell r="C2878" t="str">
            <v>110kV 172 Thép Việt - 172 Tôn Hoa Sen</v>
          </cell>
          <cell r="D2878">
            <v>172</v>
          </cell>
          <cell r="E2878">
            <v>7.6</v>
          </cell>
          <cell r="F2878">
            <v>-37.4</v>
          </cell>
          <cell r="G2878">
            <v>-24.8</v>
          </cell>
          <cell r="H2878">
            <v>-37.4</v>
          </cell>
          <cell r="I2878">
            <v>-26</v>
          </cell>
          <cell r="J2878">
            <v>7.6</v>
          </cell>
          <cell r="K2878">
            <v>-31.9</v>
          </cell>
          <cell r="L2878">
            <v>-21.2</v>
          </cell>
          <cell r="M2878">
            <v>-28</v>
          </cell>
        </row>
        <row r="2879">
          <cell r="C2879" t="str">
            <v>Thép Việt MBA T1 (phía 35kV)</v>
          </cell>
          <cell r="D2879">
            <v>331</v>
          </cell>
          <cell r="E2879">
            <v>-0.1</v>
          </cell>
          <cell r="F2879">
            <v>-13.1</v>
          </cell>
          <cell r="G2879">
            <v>-12.8</v>
          </cell>
          <cell r="H2879">
            <v>-12.6</v>
          </cell>
          <cell r="I2879">
            <v>-0.1</v>
          </cell>
          <cell r="J2879">
            <v>-12.3</v>
          </cell>
          <cell r="K2879">
            <v>-13.1</v>
          </cell>
          <cell r="L2879">
            <v>-12.9</v>
          </cell>
          <cell r="M2879">
            <v>-12.7</v>
          </cell>
        </row>
        <row r="2880">
          <cell r="C2880" t="str">
            <v>Thép Việt MBA T2 (phía 22kV)</v>
          </cell>
          <cell r="D2880">
            <v>432</v>
          </cell>
          <cell r="E2880">
            <v>-1.9</v>
          </cell>
          <cell r="F2880">
            <v>-4.5</v>
          </cell>
          <cell r="G2880">
            <v>-4.4000000000000004</v>
          </cell>
          <cell r="H2880">
            <v>-4.5</v>
          </cell>
          <cell r="I2880">
            <v>-2.2999999999999998</v>
          </cell>
          <cell r="J2880">
            <v>1.9</v>
          </cell>
          <cell r="K2880">
            <v>2</v>
          </cell>
          <cell r="L2880">
            <v>-1.9</v>
          </cell>
          <cell r="M2880">
            <v>-4.4000000000000004</v>
          </cell>
        </row>
        <row r="2881">
          <cell r="C2881" t="str">
            <v>Thị Nghè MBA T1 (phía 110kV)</v>
          </cell>
          <cell r="D2881">
            <v>131</v>
          </cell>
          <cell r="E2881">
            <v>0</v>
          </cell>
          <cell r="F2881">
            <v>0</v>
          </cell>
          <cell r="G2881">
            <v>0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</row>
        <row r="2882">
          <cell r="C2882" t="str">
            <v>Thị Nghè MBA T2 (phía 110kV)</v>
          </cell>
          <cell r="D2882">
            <v>132</v>
          </cell>
          <cell r="E2882">
            <v>0</v>
          </cell>
          <cell r="F2882">
            <v>0</v>
          </cell>
          <cell r="G2882">
            <v>0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</row>
        <row r="2883">
          <cell r="C2883" t="str">
            <v>110kV 171 Thị Nghè - 177 Tao Đàn</v>
          </cell>
          <cell r="D2883">
            <v>171</v>
          </cell>
          <cell r="E2883">
            <v>-5</v>
          </cell>
          <cell r="F2883">
            <v>-9.6</v>
          </cell>
          <cell r="G2883">
            <v>-8.9</v>
          </cell>
          <cell r="H2883">
            <v>-9.6</v>
          </cell>
          <cell r="I2883">
            <v>-6.7</v>
          </cell>
          <cell r="J2883">
            <v>-5</v>
          </cell>
          <cell r="K2883">
            <v>-9.1999999999999993</v>
          </cell>
          <cell r="L2883">
            <v>-9.1</v>
          </cell>
          <cell r="M2883">
            <v>-7.8</v>
          </cell>
        </row>
        <row r="2884">
          <cell r="C2884" t="str">
            <v>110kV 172 Thị Nghè - 178 Tao Đàn</v>
          </cell>
          <cell r="D2884">
            <v>172</v>
          </cell>
          <cell r="E2884">
            <v>-5.7</v>
          </cell>
          <cell r="F2884">
            <v>-10.7</v>
          </cell>
          <cell r="G2884">
            <v>-10</v>
          </cell>
          <cell r="H2884">
            <v>-10.7</v>
          </cell>
          <cell r="I2884">
            <v>-7.7</v>
          </cell>
          <cell r="J2884">
            <v>-5.7</v>
          </cell>
          <cell r="K2884">
            <v>-10.5</v>
          </cell>
          <cell r="L2884">
            <v>-10.3</v>
          </cell>
          <cell r="M2884">
            <v>-8.8000000000000007</v>
          </cell>
        </row>
        <row r="2885">
          <cell r="C2885" t="str">
            <v>Thị Nghè MBA T1 (phía 22kV)</v>
          </cell>
          <cell r="D2885">
            <v>431</v>
          </cell>
          <cell r="E2885">
            <v>-4</v>
          </cell>
          <cell r="F2885">
            <v>-5</v>
          </cell>
          <cell r="G2885">
            <v>-4.5</v>
          </cell>
          <cell r="H2885">
            <v>-5</v>
          </cell>
          <cell r="I2885">
            <v>-4.5</v>
          </cell>
          <cell r="J2885">
            <v>-4</v>
          </cell>
          <cell r="K2885">
            <v>-5</v>
          </cell>
          <cell r="L2885">
            <v>-5</v>
          </cell>
          <cell r="M2885">
            <v>-4</v>
          </cell>
        </row>
        <row r="2886">
          <cell r="C2886" t="str">
            <v>Thị Nghè MBA T2 (phía 22kV)</v>
          </cell>
          <cell r="D2886">
            <v>432</v>
          </cell>
          <cell r="E2886">
            <v>-2.8</v>
          </cell>
          <cell r="F2886">
            <v>-7.6</v>
          </cell>
          <cell r="G2886">
            <v>-6.5</v>
          </cell>
          <cell r="H2886">
            <v>-7.6</v>
          </cell>
          <cell r="I2886">
            <v>-4.3</v>
          </cell>
          <cell r="J2886">
            <v>-2.8</v>
          </cell>
          <cell r="K2886">
            <v>-6.4</v>
          </cell>
          <cell r="L2886">
            <v>-6.2</v>
          </cell>
          <cell r="M2886">
            <v>-5.9</v>
          </cell>
        </row>
        <row r="2887">
          <cell r="C2887" t="str">
            <v>Thị Vải MBA T1 (phía 110kV)</v>
          </cell>
          <cell r="D2887">
            <v>131</v>
          </cell>
          <cell r="E2887">
            <v>4</v>
          </cell>
          <cell r="F2887">
            <v>12.4</v>
          </cell>
          <cell r="G2887">
            <v>8.6999999999999993</v>
          </cell>
          <cell r="H2887">
            <v>9</v>
          </cell>
          <cell r="I2887">
            <v>5.3</v>
          </cell>
          <cell r="J2887">
            <v>4</v>
          </cell>
          <cell r="K2887">
            <v>7.9</v>
          </cell>
          <cell r="L2887">
            <v>12.4</v>
          </cell>
          <cell r="M2887">
            <v>8.9</v>
          </cell>
        </row>
        <row r="2888">
          <cell r="C2888" t="str">
            <v>110kV 171 Thị Vải - 174 Tân Thành</v>
          </cell>
          <cell r="D2888">
            <v>171</v>
          </cell>
          <cell r="E2888">
            <v>-2.8</v>
          </cell>
          <cell r="F2888">
            <v>-8.1999999999999993</v>
          </cell>
          <cell r="G2888">
            <v>-5</v>
          </cell>
          <cell r="H2888">
            <v>-5.3</v>
          </cell>
          <cell r="I2888">
            <v>-4</v>
          </cell>
          <cell r="J2888">
            <v>-2.8</v>
          </cell>
          <cell r="K2888">
            <v>-4.4000000000000004</v>
          </cell>
          <cell r="L2888">
            <v>-8.1999999999999993</v>
          </cell>
          <cell r="M2888">
            <v>-5.3</v>
          </cell>
        </row>
        <row r="2889">
          <cell r="C2889" t="str">
            <v>110kV 172 Thị Vải - 172 Hyosung Vina Chemicals</v>
          </cell>
          <cell r="D2889">
            <v>172</v>
          </cell>
          <cell r="E2889">
            <v>1.3</v>
          </cell>
          <cell r="F2889">
            <v>-5</v>
          </cell>
          <cell r="G2889">
            <v>-3.6</v>
          </cell>
          <cell r="H2889">
            <v>-3</v>
          </cell>
          <cell r="I2889">
            <v>-2</v>
          </cell>
          <cell r="J2889">
            <v>1.3</v>
          </cell>
          <cell r="K2889">
            <v>-2.8</v>
          </cell>
          <cell r="L2889">
            <v>-5</v>
          </cell>
          <cell r="M2889">
            <v>-2.9</v>
          </cell>
        </row>
        <row r="2890">
          <cell r="C2890" t="str">
            <v>Thị Vải MBA T1 (phía 22kV)</v>
          </cell>
          <cell r="D2890">
            <v>431</v>
          </cell>
          <cell r="E2890">
            <v>3.1</v>
          </cell>
          <cell r="F2890">
            <v>-9.3000000000000007</v>
          </cell>
          <cell r="G2890">
            <v>-5.7</v>
          </cell>
          <cell r="H2890">
            <v>-5.7</v>
          </cell>
          <cell r="I2890">
            <v>5.3</v>
          </cell>
          <cell r="J2890">
            <v>3.1</v>
          </cell>
          <cell r="K2890">
            <v>-5.0999999999999996</v>
          </cell>
          <cell r="L2890">
            <v>-9.3000000000000007</v>
          </cell>
          <cell r="M2890">
            <v>-5</v>
          </cell>
        </row>
        <row r="2891">
          <cell r="C2891" t="str">
            <v>Thoại Sơn MBA T1 (phía 110kV)</v>
          </cell>
          <cell r="D2891">
            <v>131</v>
          </cell>
          <cell r="E2891">
            <v>0</v>
          </cell>
          <cell r="F2891">
            <v>0</v>
          </cell>
          <cell r="G2891">
            <v>0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</row>
        <row r="2892">
          <cell r="C2892" t="str">
            <v>Thoại Sơn MBA T2 (phía 110kV)</v>
          </cell>
          <cell r="D2892">
            <v>132</v>
          </cell>
          <cell r="E2892">
            <v>2.4</v>
          </cell>
          <cell r="F2892">
            <v>4</v>
          </cell>
          <cell r="G2892">
            <v>2.4</v>
          </cell>
          <cell r="H2892">
            <v>3.5</v>
          </cell>
          <cell r="I2892">
            <v>3.5</v>
          </cell>
          <cell r="J2892">
            <v>2.5</v>
          </cell>
          <cell r="K2892">
            <v>2.5</v>
          </cell>
          <cell r="L2892">
            <v>3.3</v>
          </cell>
          <cell r="M2892">
            <v>4</v>
          </cell>
        </row>
        <row r="2893">
          <cell r="C2893" t="str">
            <v>Thoại Sơn MBA T1 (phía 22kV)</v>
          </cell>
          <cell r="D2893">
            <v>431</v>
          </cell>
          <cell r="E2893">
            <v>0</v>
          </cell>
          <cell r="F2893">
            <v>0</v>
          </cell>
          <cell r="G2893">
            <v>0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</row>
        <row r="2894">
          <cell r="C2894" t="str">
            <v>Thoại Sơn MBA T2 (phía 22kV)</v>
          </cell>
          <cell r="D2894">
            <v>432</v>
          </cell>
          <cell r="E2894">
            <v>-1.4</v>
          </cell>
          <cell r="F2894">
            <v>-2.7</v>
          </cell>
          <cell r="G2894">
            <v>-1.4</v>
          </cell>
          <cell r="H2894">
            <v>-2.4</v>
          </cell>
          <cell r="I2894">
            <v>-2.4</v>
          </cell>
          <cell r="J2894">
            <v>-1.7</v>
          </cell>
          <cell r="K2894">
            <v>-1.6</v>
          </cell>
          <cell r="L2894">
            <v>-2.1</v>
          </cell>
          <cell r="M2894">
            <v>-2.7</v>
          </cell>
        </row>
        <row r="2895">
          <cell r="C2895" t="str">
            <v>Thới Hòa MBA T1 (phía 110kV)</v>
          </cell>
          <cell r="D2895">
            <v>131</v>
          </cell>
          <cell r="E2895">
            <v>-5.8</v>
          </cell>
          <cell r="F2895">
            <v>8.9</v>
          </cell>
          <cell r="G2895">
            <v>8.1</v>
          </cell>
          <cell r="H2895">
            <v>8.9</v>
          </cell>
          <cell r="I2895">
            <v>8.9</v>
          </cell>
          <cell r="J2895">
            <v>-5.8</v>
          </cell>
          <cell r="K2895">
            <v>7.7</v>
          </cell>
          <cell r="L2895">
            <v>7.9</v>
          </cell>
          <cell r="M2895">
            <v>7.9</v>
          </cell>
        </row>
        <row r="2896">
          <cell r="C2896" t="str">
            <v>Thới Hòa MBA T2 (phía 110kV)</v>
          </cell>
          <cell r="D2896">
            <v>132</v>
          </cell>
          <cell r="E2896">
            <v>6.1</v>
          </cell>
          <cell r="F2896">
            <v>7.6</v>
          </cell>
          <cell r="G2896">
            <v>7.6</v>
          </cell>
          <cell r="H2896">
            <v>7.4</v>
          </cell>
          <cell r="I2896">
            <v>6.1</v>
          </cell>
          <cell r="J2896">
            <v>-6.4</v>
          </cell>
          <cell r="K2896">
            <v>7.2</v>
          </cell>
          <cell r="L2896">
            <v>6.8</v>
          </cell>
          <cell r="M2896">
            <v>7.1</v>
          </cell>
        </row>
        <row r="2897">
          <cell r="C2897" t="str">
            <v>110kV 171 Thới Hòa - 176 Mỹ Phước</v>
          </cell>
          <cell r="D2897">
            <v>171</v>
          </cell>
          <cell r="E2897">
            <v>5.9</v>
          </cell>
          <cell r="F2897">
            <v>-8.6999999999999993</v>
          </cell>
          <cell r="G2897">
            <v>-7.9</v>
          </cell>
          <cell r="H2897">
            <v>-8.6999999999999993</v>
          </cell>
          <cell r="I2897">
            <v>-8</v>
          </cell>
          <cell r="J2897">
            <v>5.9</v>
          </cell>
          <cell r="K2897">
            <v>-7.4</v>
          </cell>
          <cell r="L2897">
            <v>-7.5</v>
          </cell>
          <cell r="M2897">
            <v>-7.6</v>
          </cell>
        </row>
        <row r="2898">
          <cell r="C2898" t="str">
            <v>110kV 172 Thới Hòa - 172 Hòa Thuận</v>
          </cell>
          <cell r="D2898">
            <v>172</v>
          </cell>
          <cell r="E2898">
            <v>-5.8</v>
          </cell>
          <cell r="F2898">
            <v>-7.3</v>
          </cell>
          <cell r="G2898">
            <v>-7.3</v>
          </cell>
          <cell r="H2898">
            <v>-7.1</v>
          </cell>
          <cell r="I2898">
            <v>-5.8</v>
          </cell>
          <cell r="J2898">
            <v>6.5</v>
          </cell>
          <cell r="K2898">
            <v>-6.9</v>
          </cell>
          <cell r="L2898">
            <v>-6.5</v>
          </cell>
          <cell r="M2898">
            <v>-6.9</v>
          </cell>
        </row>
        <row r="2899">
          <cell r="C2899" t="str">
            <v>Thới Hòa MBA T1 (phía 22kV)</v>
          </cell>
          <cell r="D2899">
            <v>431</v>
          </cell>
          <cell r="E2899">
            <v>5.7</v>
          </cell>
          <cell r="F2899">
            <v>7.9</v>
          </cell>
          <cell r="G2899">
            <v>6.5</v>
          </cell>
          <cell r="H2899">
            <v>6.4</v>
          </cell>
          <cell r="I2899">
            <v>6.3</v>
          </cell>
          <cell r="J2899">
            <v>7.6</v>
          </cell>
          <cell r="K2899">
            <v>5.9</v>
          </cell>
          <cell r="L2899">
            <v>7.9</v>
          </cell>
          <cell r="M2899">
            <v>5.7</v>
          </cell>
        </row>
        <row r="2900">
          <cell r="C2900" t="str">
            <v>Thới Hòa MBA T2 (phía 22kV)</v>
          </cell>
          <cell r="D2900">
            <v>432</v>
          </cell>
          <cell r="E2900">
            <v>3.7</v>
          </cell>
          <cell r="F2900">
            <v>8.1999999999999993</v>
          </cell>
          <cell r="G2900">
            <v>5.2</v>
          </cell>
          <cell r="H2900">
            <v>3.7</v>
          </cell>
          <cell r="I2900">
            <v>5.9</v>
          </cell>
          <cell r="J2900">
            <v>8.1999999999999993</v>
          </cell>
          <cell r="K2900">
            <v>3.7</v>
          </cell>
          <cell r="L2900">
            <v>3.8</v>
          </cell>
          <cell r="M2900">
            <v>4.7</v>
          </cell>
        </row>
        <row r="2901">
          <cell r="C2901" t="str">
            <v>Thới Lai MBA T1 (phía 110kV)</v>
          </cell>
          <cell r="D2901">
            <v>131</v>
          </cell>
          <cell r="E2901">
            <v>-3.4</v>
          </cell>
          <cell r="F2901">
            <v>-4.5999999999999996</v>
          </cell>
          <cell r="G2901">
            <v>-3.4</v>
          </cell>
          <cell r="H2901">
            <v>-3.6</v>
          </cell>
          <cell r="I2901">
            <v>-4.4000000000000004</v>
          </cell>
          <cell r="J2901">
            <v>-4.3</v>
          </cell>
          <cell r="K2901">
            <v>-4.5</v>
          </cell>
          <cell r="L2901">
            <v>-4.0999999999999996</v>
          </cell>
          <cell r="M2901">
            <v>-4.5999999999999996</v>
          </cell>
        </row>
        <row r="2902">
          <cell r="C2902" t="str">
            <v>Thới Lai MBA T1 (phía 22kV)</v>
          </cell>
          <cell r="D2902">
            <v>431</v>
          </cell>
          <cell r="E2902">
            <v>4</v>
          </cell>
          <cell r="F2902">
            <v>5.2</v>
          </cell>
          <cell r="G2902">
            <v>4</v>
          </cell>
          <cell r="H2902">
            <v>4.2</v>
          </cell>
          <cell r="I2902">
            <v>5.0999999999999996</v>
          </cell>
          <cell r="J2902">
            <v>4.8</v>
          </cell>
          <cell r="K2902">
            <v>5.0999999999999996</v>
          </cell>
          <cell r="L2902">
            <v>4.7</v>
          </cell>
          <cell r="M2902">
            <v>5.2</v>
          </cell>
        </row>
        <row r="2903">
          <cell r="C2903" t="str">
            <v>Thới Thuận MBA T1 (phía 110kV)</v>
          </cell>
          <cell r="D2903">
            <v>131</v>
          </cell>
          <cell r="E2903">
            <v>-4.5</v>
          </cell>
          <cell r="F2903">
            <v>6</v>
          </cell>
          <cell r="G2903">
            <v>4.5</v>
          </cell>
          <cell r="H2903">
            <v>4.5</v>
          </cell>
          <cell r="I2903">
            <v>5</v>
          </cell>
          <cell r="J2903">
            <v>-4.5</v>
          </cell>
          <cell r="K2903">
            <v>6</v>
          </cell>
          <cell r="L2903">
            <v>4.5999999999999996</v>
          </cell>
          <cell r="M2903">
            <v>4.9000000000000004</v>
          </cell>
        </row>
        <row r="2904">
          <cell r="C2904" t="str">
            <v>110kV 171 Thới Thuận - 171 Long Xuyên</v>
          </cell>
          <cell r="D2904">
            <v>171</v>
          </cell>
          <cell r="E2904">
            <v>3.1</v>
          </cell>
          <cell r="F2904">
            <v>-6.3</v>
          </cell>
          <cell r="G2904">
            <v>3.1</v>
          </cell>
          <cell r="H2904">
            <v>3.4</v>
          </cell>
          <cell r="I2904">
            <v>3.1</v>
          </cell>
          <cell r="J2904">
            <v>-5.2</v>
          </cell>
          <cell r="K2904">
            <v>-6.3</v>
          </cell>
          <cell r="L2904">
            <v>-4.3</v>
          </cell>
          <cell r="M2904">
            <v>-4.0999999999999996</v>
          </cell>
        </row>
        <row r="2905">
          <cell r="C2905" t="str">
            <v>110kV 172 Thới Thuận - 175 Thốt Nốt 2 - 172-7 Thốt Nốt</v>
          </cell>
          <cell r="D2905">
            <v>172</v>
          </cell>
          <cell r="E2905">
            <v>-6.9</v>
          </cell>
          <cell r="F2905">
            <v>-11.4</v>
          </cell>
          <cell r="G2905">
            <v>-11.4</v>
          </cell>
          <cell r="H2905">
            <v>-9.5</v>
          </cell>
          <cell r="I2905">
            <v>-9.5</v>
          </cell>
          <cell r="J2905">
            <v>9.6999999999999993</v>
          </cell>
          <cell r="K2905">
            <v>10.7</v>
          </cell>
          <cell r="L2905">
            <v>-7.4</v>
          </cell>
          <cell r="M2905">
            <v>-6.9</v>
          </cell>
        </row>
        <row r="2906">
          <cell r="C2906" t="str">
            <v>Thới Thuận MBA T1 (phía 22kV)</v>
          </cell>
          <cell r="D2906">
            <v>431</v>
          </cell>
          <cell r="E2906">
            <v>-3</v>
          </cell>
          <cell r="F2906">
            <v>4.5</v>
          </cell>
          <cell r="G2906">
            <v>-3.4</v>
          </cell>
          <cell r="H2906">
            <v>-3</v>
          </cell>
          <cell r="I2906">
            <v>-3.6</v>
          </cell>
          <cell r="J2906">
            <v>4.5</v>
          </cell>
          <cell r="K2906">
            <v>3.1</v>
          </cell>
          <cell r="L2906">
            <v>-3.1</v>
          </cell>
          <cell r="M2906">
            <v>-3.6</v>
          </cell>
        </row>
        <row r="2907">
          <cell r="C2907" t="str">
            <v>Thống Nhất MBA T1 (phía 110kV)</v>
          </cell>
          <cell r="D2907">
            <v>131</v>
          </cell>
          <cell r="E2907">
            <v>4.5</v>
          </cell>
          <cell r="F2907">
            <v>9.3000000000000007</v>
          </cell>
          <cell r="G2907">
            <v>4.8</v>
          </cell>
          <cell r="H2907">
            <v>8.1</v>
          </cell>
          <cell r="I2907">
            <v>6.5</v>
          </cell>
          <cell r="J2907">
            <v>4.5</v>
          </cell>
          <cell r="K2907">
            <v>9.3000000000000007</v>
          </cell>
          <cell r="L2907">
            <v>7.9</v>
          </cell>
          <cell r="M2907">
            <v>5.7</v>
          </cell>
        </row>
        <row r="2908">
          <cell r="C2908" t="str">
            <v>Thống Nhất MBA T2 (phía 110kV)</v>
          </cell>
          <cell r="D2908">
            <v>132</v>
          </cell>
          <cell r="E2908">
            <v>-3.6</v>
          </cell>
          <cell r="F2908">
            <v>8.9</v>
          </cell>
          <cell r="G2908">
            <v>8.9</v>
          </cell>
          <cell r="H2908">
            <v>7.4</v>
          </cell>
          <cell r="I2908">
            <v>8.8000000000000007</v>
          </cell>
          <cell r="J2908">
            <v>-7.1</v>
          </cell>
          <cell r="K2908">
            <v>-6.7</v>
          </cell>
          <cell r="L2908">
            <v>-3.6</v>
          </cell>
          <cell r="M2908">
            <v>4.9000000000000004</v>
          </cell>
        </row>
        <row r="2909">
          <cell r="C2909" t="str">
            <v>110kV 171 Thống Nhất - 172 Loteco</v>
          </cell>
          <cell r="D2909">
            <v>171</v>
          </cell>
          <cell r="E2909">
            <v>-2.6</v>
          </cell>
          <cell r="F2909">
            <v>5.9</v>
          </cell>
          <cell r="G2909">
            <v>4</v>
          </cell>
          <cell r="H2909">
            <v>4.9000000000000004</v>
          </cell>
          <cell r="I2909">
            <v>4.0999999999999996</v>
          </cell>
          <cell r="J2909">
            <v>-2.6</v>
          </cell>
          <cell r="K2909">
            <v>5.6</v>
          </cell>
          <cell r="L2909">
            <v>5.3</v>
          </cell>
          <cell r="M2909">
            <v>5.9</v>
          </cell>
        </row>
        <row r="2910">
          <cell r="C2910" t="str">
            <v>110kV 172 Thống Nhất - 177 Sông Mây</v>
          </cell>
          <cell r="D2910">
            <v>172</v>
          </cell>
          <cell r="E2910">
            <v>7.6</v>
          </cell>
          <cell r="F2910">
            <v>-19.2</v>
          </cell>
          <cell r="G2910">
            <v>-17.8</v>
          </cell>
          <cell r="H2910">
            <v>-19.2</v>
          </cell>
          <cell r="I2910">
            <v>-18.8</v>
          </cell>
          <cell r="J2910">
            <v>7.6</v>
          </cell>
          <cell r="K2910">
            <v>-18.7</v>
          </cell>
          <cell r="L2910">
            <v>-16.600000000000001</v>
          </cell>
          <cell r="M2910">
            <v>-15.5</v>
          </cell>
        </row>
        <row r="2911">
          <cell r="C2911" t="str">
            <v>Thống Nhất MBA T1 (phía 22kV)</v>
          </cell>
          <cell r="D2911">
            <v>431</v>
          </cell>
          <cell r="E2911">
            <v>-2.9</v>
          </cell>
          <cell r="F2911">
            <v>5.4</v>
          </cell>
          <cell r="G2911">
            <v>4.4000000000000004</v>
          </cell>
          <cell r="H2911">
            <v>4.5</v>
          </cell>
          <cell r="I2911">
            <v>4</v>
          </cell>
          <cell r="J2911">
            <v>-2.9</v>
          </cell>
          <cell r="K2911">
            <v>-4.9000000000000004</v>
          </cell>
          <cell r="L2911">
            <v>4.8</v>
          </cell>
          <cell r="M2911">
            <v>5.4</v>
          </cell>
        </row>
        <row r="2912">
          <cell r="C2912" t="str">
            <v>Thống Nhất MBA T2 (phía 22kV)</v>
          </cell>
          <cell r="D2912">
            <v>432</v>
          </cell>
          <cell r="E2912">
            <v>4.8</v>
          </cell>
          <cell r="F2912">
            <v>8.1</v>
          </cell>
          <cell r="G2912">
            <v>6.2</v>
          </cell>
          <cell r="H2912">
            <v>5.3</v>
          </cell>
          <cell r="I2912">
            <v>5.7</v>
          </cell>
          <cell r="J2912">
            <v>8.1</v>
          </cell>
          <cell r="K2912">
            <v>7.3</v>
          </cell>
          <cell r="L2912">
            <v>4.8</v>
          </cell>
          <cell r="M2912">
            <v>5</v>
          </cell>
        </row>
        <row r="2913">
          <cell r="C2913" t="str">
            <v>Thốt Nốt MBA T1 (phía 110kV)</v>
          </cell>
          <cell r="D2913">
            <v>131</v>
          </cell>
          <cell r="E2913">
            <v>-2</v>
          </cell>
          <cell r="F2913">
            <v>-2.9</v>
          </cell>
          <cell r="G2913">
            <v>2.4</v>
          </cell>
          <cell r="H2913">
            <v>2.8</v>
          </cell>
          <cell r="I2913">
            <v>-2</v>
          </cell>
          <cell r="J2913">
            <v>2.8</v>
          </cell>
          <cell r="K2913">
            <v>-2.9</v>
          </cell>
          <cell r="L2913">
            <v>-2.4</v>
          </cell>
          <cell r="M2913">
            <v>-2.7</v>
          </cell>
        </row>
        <row r="2914">
          <cell r="C2914" t="str">
            <v>Thốt Nốt MBA T2 (phía 110kV)</v>
          </cell>
          <cell r="D2914">
            <v>132</v>
          </cell>
          <cell r="E2914">
            <v>1.4</v>
          </cell>
          <cell r="F2914">
            <v>2.2000000000000002</v>
          </cell>
          <cell r="G2914">
            <v>1.4</v>
          </cell>
          <cell r="H2914">
            <v>-2</v>
          </cell>
          <cell r="I2914">
            <v>1.7</v>
          </cell>
          <cell r="J2914">
            <v>2.2000000000000002</v>
          </cell>
          <cell r="K2914">
            <v>-1.9</v>
          </cell>
          <cell r="L2914">
            <v>1.9</v>
          </cell>
          <cell r="M2914">
            <v>-1.9</v>
          </cell>
        </row>
        <row r="2915">
          <cell r="C2915" t="str">
            <v>Thốt Nốt MBA T1 (phía 22kV)</v>
          </cell>
          <cell r="D2915">
            <v>431</v>
          </cell>
          <cell r="E2915">
            <v>2.8</v>
          </cell>
          <cell r="F2915">
            <v>3.6</v>
          </cell>
          <cell r="G2915">
            <v>3.3</v>
          </cell>
          <cell r="H2915">
            <v>2.8</v>
          </cell>
          <cell r="I2915">
            <v>3.1</v>
          </cell>
          <cell r="J2915">
            <v>3.2</v>
          </cell>
          <cell r="K2915">
            <v>3.6</v>
          </cell>
          <cell r="L2915">
            <v>3.3</v>
          </cell>
          <cell r="M2915">
            <v>3.3</v>
          </cell>
        </row>
        <row r="2916">
          <cell r="C2916" t="str">
            <v>Thốt Nốt MBA T2 (phía 22kV)</v>
          </cell>
          <cell r="D2916">
            <v>432</v>
          </cell>
          <cell r="E2916">
            <v>2.1</v>
          </cell>
          <cell r="F2916">
            <v>2.7</v>
          </cell>
          <cell r="G2916">
            <v>2.2999999999999998</v>
          </cell>
          <cell r="H2916">
            <v>2.5</v>
          </cell>
          <cell r="I2916">
            <v>2.2999999999999998</v>
          </cell>
          <cell r="J2916">
            <v>2.1</v>
          </cell>
          <cell r="K2916">
            <v>2.6</v>
          </cell>
          <cell r="L2916">
            <v>2.4</v>
          </cell>
          <cell r="M2916">
            <v>2.7</v>
          </cell>
        </row>
        <row r="2917">
          <cell r="C2917" t="str">
            <v>Thốt Nốt 2 MBA AT1 (phía 110kV)</v>
          </cell>
          <cell r="D2917">
            <v>131</v>
          </cell>
          <cell r="E2917">
            <v>-5.7</v>
          </cell>
          <cell r="F2917">
            <v>39.299999999999997</v>
          </cell>
          <cell r="G2917">
            <v>39.299999999999997</v>
          </cell>
          <cell r="H2917">
            <v>-7.7</v>
          </cell>
          <cell r="I2917">
            <v>-7.3</v>
          </cell>
          <cell r="J2917">
            <v>9.5</v>
          </cell>
          <cell r="K2917">
            <v>11.2</v>
          </cell>
          <cell r="L2917">
            <v>35.5</v>
          </cell>
          <cell r="M2917">
            <v>-5.7</v>
          </cell>
        </row>
        <row r="2918">
          <cell r="C2918" t="str">
            <v>Thốt Nốt 2 MBA AT2 (phía 110kV)</v>
          </cell>
          <cell r="D2918">
            <v>132</v>
          </cell>
          <cell r="E2918">
            <v>-4</v>
          </cell>
          <cell r="F2918">
            <v>24.1</v>
          </cell>
          <cell r="G2918">
            <v>23.7</v>
          </cell>
          <cell r="H2918">
            <v>-9.6</v>
          </cell>
          <cell r="I2918">
            <v>-4</v>
          </cell>
          <cell r="J2918">
            <v>5.3</v>
          </cell>
          <cell r="K2918">
            <v>7.6</v>
          </cell>
          <cell r="L2918">
            <v>24.1</v>
          </cell>
          <cell r="M2918">
            <v>5.3</v>
          </cell>
        </row>
        <row r="2919">
          <cell r="C2919" t="str">
            <v>110kV 171 Thốt Nốt 2 - 171 Phát Thanh Nam Bộ</v>
          </cell>
          <cell r="D2919">
            <v>171</v>
          </cell>
          <cell r="E2919">
            <v>-0.9</v>
          </cell>
          <cell r="F2919">
            <v>-0.9</v>
          </cell>
          <cell r="G2919">
            <v>-0.9</v>
          </cell>
          <cell r="H2919">
            <v>-0.9</v>
          </cell>
          <cell r="I2919">
            <v>-0.9</v>
          </cell>
          <cell r="J2919">
            <v>-0.9</v>
          </cell>
          <cell r="K2919">
            <v>-0.9</v>
          </cell>
          <cell r="L2919">
            <v>-0.9</v>
          </cell>
          <cell r="M2919">
            <v>-0.9</v>
          </cell>
        </row>
        <row r="2920">
          <cell r="C2920" t="str">
            <v>110kV 175 Thốt Nốt 2 - 172 Thới Thuận - 172-7 Thốt Nốt</v>
          </cell>
          <cell r="D2920">
            <v>175</v>
          </cell>
          <cell r="E2920">
            <v>7.5</v>
          </cell>
          <cell r="F2920">
            <v>-15.7</v>
          </cell>
          <cell r="G2920">
            <v>13.5</v>
          </cell>
          <cell r="H2920">
            <v>12.3</v>
          </cell>
          <cell r="I2920">
            <v>10.7</v>
          </cell>
          <cell r="J2920">
            <v>-13.3</v>
          </cell>
          <cell r="K2920">
            <v>-15.7</v>
          </cell>
          <cell r="L2920">
            <v>-8.8000000000000007</v>
          </cell>
          <cell r="M2920">
            <v>7.5</v>
          </cell>
        </row>
        <row r="2921">
          <cell r="C2921" t="str">
            <v>Thốt Nốt 2 MBA AT1 (phía 220kV)</v>
          </cell>
          <cell r="D2921">
            <v>231</v>
          </cell>
          <cell r="E2921">
            <v>-7.5</v>
          </cell>
          <cell r="F2921">
            <v>-35.299999999999997</v>
          </cell>
          <cell r="G2921">
            <v>-35.299999999999997</v>
          </cell>
          <cell r="H2921">
            <v>10.9</v>
          </cell>
          <cell r="I2921">
            <v>10.5</v>
          </cell>
          <cell r="J2921">
            <v>-7.5</v>
          </cell>
          <cell r="K2921">
            <v>-9.1</v>
          </cell>
          <cell r="L2921">
            <v>-32</v>
          </cell>
          <cell r="M2921">
            <v>9.1999999999999993</v>
          </cell>
        </row>
        <row r="2922">
          <cell r="C2922" t="str">
            <v>Thốt Nốt 2 MBA AT2 (phía 220kV)</v>
          </cell>
          <cell r="D2922">
            <v>232</v>
          </cell>
          <cell r="E2922">
            <v>4.7</v>
          </cell>
          <cell r="F2922">
            <v>-20.7</v>
          </cell>
          <cell r="G2922">
            <v>-20.6</v>
          </cell>
          <cell r="H2922">
            <v>12.6</v>
          </cell>
          <cell r="I2922">
            <v>7.3</v>
          </cell>
          <cell r="J2922">
            <v>4.7</v>
          </cell>
          <cell r="K2922">
            <v>-6.1</v>
          </cell>
          <cell r="L2922">
            <v>-20.7</v>
          </cell>
          <cell r="M2922">
            <v>6.2</v>
          </cell>
        </row>
        <row r="2923">
          <cell r="C2923" t="str">
            <v>220kV 271 Thốt Nốt 2 - 276 NMĐ Ô Môn</v>
          </cell>
          <cell r="D2923">
            <v>271</v>
          </cell>
          <cell r="E2923">
            <v>17.8</v>
          </cell>
          <cell r="F2923">
            <v>35.200000000000003</v>
          </cell>
          <cell r="G2923">
            <v>35.200000000000003</v>
          </cell>
          <cell r="H2923">
            <v>17.8</v>
          </cell>
          <cell r="I2923">
            <v>21.2</v>
          </cell>
          <cell r="J2923">
            <v>24.4</v>
          </cell>
          <cell r="K2923">
            <v>27</v>
          </cell>
          <cell r="L2923">
            <v>29.4</v>
          </cell>
          <cell r="M2923">
            <v>25.7</v>
          </cell>
        </row>
        <row r="2924">
          <cell r="C2924" t="str">
            <v>220kV 272 Thốt Nốt 2 - 275 NMĐ Ô Môn</v>
          </cell>
          <cell r="D2924">
            <v>272</v>
          </cell>
          <cell r="E2924">
            <v>17.899999999999999</v>
          </cell>
          <cell r="F2924">
            <v>34.6</v>
          </cell>
          <cell r="G2924">
            <v>34.6</v>
          </cell>
          <cell r="H2924">
            <v>17.899999999999999</v>
          </cell>
          <cell r="I2924">
            <v>21.6</v>
          </cell>
          <cell r="J2924">
            <v>24.3</v>
          </cell>
          <cell r="K2924">
            <v>26.9</v>
          </cell>
          <cell r="L2924">
            <v>29.4</v>
          </cell>
          <cell r="M2924">
            <v>25.7</v>
          </cell>
        </row>
        <row r="2925">
          <cell r="C2925" t="str">
            <v>220kV 273 Thốt Nốt 2 - 271 Rạch Giá 2</v>
          </cell>
          <cell r="D2925">
            <v>273</v>
          </cell>
          <cell r="E2925">
            <v>6.4</v>
          </cell>
          <cell r="F2925">
            <v>-30.2</v>
          </cell>
          <cell r="G2925">
            <v>-27.8</v>
          </cell>
          <cell r="H2925">
            <v>-30.2</v>
          </cell>
          <cell r="I2925">
            <v>-13.9</v>
          </cell>
          <cell r="J2925">
            <v>6.4</v>
          </cell>
          <cell r="K2925">
            <v>-29.2</v>
          </cell>
          <cell r="L2925">
            <v>-24.9</v>
          </cell>
          <cell r="M2925">
            <v>-17.8</v>
          </cell>
        </row>
        <row r="2926">
          <cell r="C2926" t="str">
            <v>220kV 274 Thốt Nốt 2 - 272 Châu Đốc 2</v>
          </cell>
          <cell r="D2926">
            <v>274</v>
          </cell>
          <cell r="E2926">
            <v>-25</v>
          </cell>
          <cell r="F2926">
            <v>-37.200000000000003</v>
          </cell>
          <cell r="G2926">
            <v>-34.700000000000003</v>
          </cell>
          <cell r="H2926">
            <v>-25</v>
          </cell>
          <cell r="I2926">
            <v>-31.3</v>
          </cell>
          <cell r="J2926">
            <v>-32.1</v>
          </cell>
          <cell r="K2926">
            <v>-37.200000000000003</v>
          </cell>
          <cell r="L2926">
            <v>-34.200000000000003</v>
          </cell>
          <cell r="M2926">
            <v>-35.4</v>
          </cell>
        </row>
        <row r="2927">
          <cell r="C2927" t="str">
            <v>220kV 275 Thốt Nốt 2 - 271 Long Xuyên 2</v>
          </cell>
          <cell r="D2927">
            <v>275</v>
          </cell>
          <cell r="E2927">
            <v>-26</v>
          </cell>
          <cell r="F2927">
            <v>-42</v>
          </cell>
          <cell r="G2927">
            <v>-35.700000000000003</v>
          </cell>
          <cell r="H2927">
            <v>-26</v>
          </cell>
          <cell r="I2927">
            <v>-33.200000000000003</v>
          </cell>
          <cell r="J2927">
            <v>-34.1</v>
          </cell>
          <cell r="K2927">
            <v>-42</v>
          </cell>
          <cell r="L2927">
            <v>-36</v>
          </cell>
          <cell r="M2927">
            <v>-35.4</v>
          </cell>
        </row>
        <row r="2928">
          <cell r="C2928" t="str">
            <v>220kV 276 Thốt Nốt 2 - 274 Cao Lãnh 2</v>
          </cell>
          <cell r="D2928">
            <v>276</v>
          </cell>
          <cell r="E2928">
            <v>16.2</v>
          </cell>
          <cell r="F2928">
            <v>23.7</v>
          </cell>
          <cell r="G2928">
            <v>23.7</v>
          </cell>
          <cell r="H2928">
            <v>23.2</v>
          </cell>
          <cell r="I2928">
            <v>16.2</v>
          </cell>
          <cell r="J2928">
            <v>20.399999999999999</v>
          </cell>
          <cell r="K2928">
            <v>20.399999999999999</v>
          </cell>
          <cell r="L2928">
            <v>21.2</v>
          </cell>
          <cell r="M2928">
            <v>17.8</v>
          </cell>
        </row>
        <row r="2929">
          <cell r="C2929" t="str">
            <v>220kV 277 Thốt Nốt 2 - 273 Cao Lãnh 2</v>
          </cell>
          <cell r="D2929">
            <v>277</v>
          </cell>
          <cell r="E2929">
            <v>16.3</v>
          </cell>
          <cell r="F2929">
            <v>23.9</v>
          </cell>
          <cell r="G2929">
            <v>23.9</v>
          </cell>
          <cell r="H2929">
            <v>22.9</v>
          </cell>
          <cell r="I2929">
            <v>16.3</v>
          </cell>
          <cell r="J2929">
            <v>20.2</v>
          </cell>
          <cell r="K2929">
            <v>21.1</v>
          </cell>
          <cell r="L2929">
            <v>21.2</v>
          </cell>
          <cell r="M2929">
            <v>18.7</v>
          </cell>
        </row>
        <row r="2930">
          <cell r="C2930" t="str">
            <v>Thốt Nốt 2 Tụ Bù Ngang 101</v>
          </cell>
          <cell r="D2930" t="str">
            <v>T101</v>
          </cell>
          <cell r="E2930">
            <v>0</v>
          </cell>
          <cell r="F2930">
            <v>-58.3</v>
          </cell>
          <cell r="G2930">
            <v>-57.5</v>
          </cell>
          <cell r="H2930">
            <v>0</v>
          </cell>
          <cell r="I2930">
            <v>0</v>
          </cell>
          <cell r="J2930">
            <v>0</v>
          </cell>
          <cell r="K2930">
            <v>0</v>
          </cell>
          <cell r="L2930">
            <v>-58.3</v>
          </cell>
          <cell r="M2930">
            <v>0</v>
          </cell>
        </row>
        <row r="2931">
          <cell r="C2931" t="str">
            <v>Thủ Đức MBA AT1 (phía 110kV)</v>
          </cell>
          <cell r="D2931">
            <v>131</v>
          </cell>
          <cell r="E2931">
            <v>14.1</v>
          </cell>
          <cell r="F2931">
            <v>37.700000000000003</v>
          </cell>
          <cell r="G2931">
            <v>14.9</v>
          </cell>
          <cell r="H2931">
            <v>17.899999999999999</v>
          </cell>
          <cell r="I2931">
            <v>17.600000000000001</v>
          </cell>
          <cell r="J2931">
            <v>14.1</v>
          </cell>
          <cell r="K2931">
            <v>17.899999999999999</v>
          </cell>
          <cell r="L2931">
            <v>14.3</v>
          </cell>
          <cell r="M2931">
            <v>37.700000000000003</v>
          </cell>
        </row>
        <row r="2932">
          <cell r="C2932" t="str">
            <v>Thủ Đức MBA AT2 (phía 110kV)</v>
          </cell>
          <cell r="D2932">
            <v>132</v>
          </cell>
          <cell r="E2932">
            <v>12.1</v>
          </cell>
          <cell r="F2932">
            <v>-18.3</v>
          </cell>
          <cell r="G2932">
            <v>12.2</v>
          </cell>
          <cell r="H2932">
            <v>-18.3</v>
          </cell>
          <cell r="I2932">
            <v>14.1</v>
          </cell>
          <cell r="J2932">
            <v>12.1</v>
          </cell>
          <cell r="K2932">
            <v>15.6</v>
          </cell>
          <cell r="L2932">
            <v>12.8</v>
          </cell>
          <cell r="M2932">
            <v>13.2</v>
          </cell>
        </row>
        <row r="2933">
          <cell r="C2933" t="str">
            <v>Thủ Đức MBA AT3 (phía 110kV)</v>
          </cell>
          <cell r="D2933">
            <v>133</v>
          </cell>
          <cell r="E2933">
            <v>13.7</v>
          </cell>
          <cell r="F2933">
            <v>23.7</v>
          </cell>
          <cell r="G2933">
            <v>14.1</v>
          </cell>
          <cell r="H2933">
            <v>17.5</v>
          </cell>
          <cell r="I2933">
            <v>17.399999999999999</v>
          </cell>
          <cell r="J2933">
            <v>13.7</v>
          </cell>
          <cell r="K2933">
            <v>17.100000000000001</v>
          </cell>
          <cell r="L2933">
            <v>13.8</v>
          </cell>
          <cell r="M2933">
            <v>23.7</v>
          </cell>
        </row>
        <row r="2934">
          <cell r="C2934" t="str">
            <v>Thủ Đức MBA T4 (phía 110kV)</v>
          </cell>
          <cell r="D2934">
            <v>134</v>
          </cell>
          <cell r="E2934">
            <v>2.1</v>
          </cell>
          <cell r="F2934">
            <v>4.5</v>
          </cell>
          <cell r="G2934">
            <v>4.5</v>
          </cell>
          <cell r="H2934">
            <v>-2.6</v>
          </cell>
          <cell r="I2934">
            <v>-3.9</v>
          </cell>
          <cell r="J2934">
            <v>-3.4</v>
          </cell>
          <cell r="K2934">
            <v>-2.9</v>
          </cell>
          <cell r="L2934">
            <v>3.3</v>
          </cell>
          <cell r="M2934">
            <v>2.1</v>
          </cell>
        </row>
        <row r="2935">
          <cell r="C2935" t="str">
            <v>Thủ Đức MBA T5 (phía 110kV)</v>
          </cell>
          <cell r="D2935">
            <v>135</v>
          </cell>
          <cell r="E2935">
            <v>2.6</v>
          </cell>
          <cell r="F2935">
            <v>6.6</v>
          </cell>
          <cell r="G2935">
            <v>2.6</v>
          </cell>
          <cell r="H2935">
            <v>4.5</v>
          </cell>
          <cell r="I2935">
            <v>5.8</v>
          </cell>
          <cell r="J2935">
            <v>4.2</v>
          </cell>
          <cell r="K2935">
            <v>6.6</v>
          </cell>
          <cell r="L2935">
            <v>4.5999999999999996</v>
          </cell>
          <cell r="M2935">
            <v>4.8</v>
          </cell>
        </row>
        <row r="2936">
          <cell r="C2936" t="str">
            <v>110kV 171 Thủ Đức - 171 Linh Trung 2</v>
          </cell>
          <cell r="D2936">
            <v>171</v>
          </cell>
          <cell r="E2936">
            <v>-0.3</v>
          </cell>
          <cell r="F2936">
            <v>-0.4</v>
          </cell>
          <cell r="G2936">
            <v>-0.3</v>
          </cell>
          <cell r="H2936">
            <v>-0.4</v>
          </cell>
          <cell r="I2936">
            <v>-0.4</v>
          </cell>
          <cell r="J2936">
            <v>-0.4</v>
          </cell>
          <cell r="K2936">
            <v>-0.4</v>
          </cell>
          <cell r="L2936">
            <v>-0.3</v>
          </cell>
          <cell r="M2936">
            <v>-0.4</v>
          </cell>
        </row>
        <row r="2937">
          <cell r="C2937" t="str">
            <v>110kV 172 Thủ Đức - 172 Hiệp Bình Phước</v>
          </cell>
          <cell r="D2937">
            <v>172</v>
          </cell>
          <cell r="E2937">
            <v>-1.4</v>
          </cell>
          <cell r="F2937">
            <v>-1.4</v>
          </cell>
          <cell r="G2937">
            <v>-1.4</v>
          </cell>
          <cell r="H2937">
            <v>-1.4</v>
          </cell>
          <cell r="I2937">
            <v>-1.4</v>
          </cell>
          <cell r="J2937">
            <v>-1.4</v>
          </cell>
          <cell r="K2937">
            <v>-1.4</v>
          </cell>
          <cell r="L2937">
            <v>-1.4</v>
          </cell>
          <cell r="M2937">
            <v>-1.4</v>
          </cell>
        </row>
        <row r="2938">
          <cell r="C2938" t="str">
            <v>110kV 173 Thủ Đức - 172 Thanh Đa</v>
          </cell>
          <cell r="D2938">
            <v>173</v>
          </cell>
          <cell r="E2938">
            <v>2.6</v>
          </cell>
          <cell r="F2938">
            <v>9.5</v>
          </cell>
          <cell r="G2938">
            <v>9.5</v>
          </cell>
          <cell r="H2938">
            <v>9.5</v>
          </cell>
          <cell r="I2938">
            <v>7.6</v>
          </cell>
          <cell r="J2938">
            <v>7.2</v>
          </cell>
          <cell r="K2938">
            <v>6.6</v>
          </cell>
          <cell r="L2938">
            <v>7.9</v>
          </cell>
          <cell r="M2938">
            <v>2.6</v>
          </cell>
        </row>
        <row r="2939">
          <cell r="C2939" t="str">
            <v>110kV 174 Thủ Đức - 172 NMĐ Thủ Đức</v>
          </cell>
          <cell r="D2939">
            <v>174</v>
          </cell>
          <cell r="E2939">
            <v>0.6</v>
          </cell>
          <cell r="F2939">
            <v>3.8</v>
          </cell>
          <cell r="G2939">
            <v>2.1</v>
          </cell>
          <cell r="H2939">
            <v>3.8</v>
          </cell>
          <cell r="I2939">
            <v>2.4</v>
          </cell>
          <cell r="J2939">
            <v>0.6</v>
          </cell>
          <cell r="K2939">
            <v>2.1</v>
          </cell>
          <cell r="L2939">
            <v>1.9</v>
          </cell>
          <cell r="M2939">
            <v>2.2000000000000002</v>
          </cell>
        </row>
        <row r="2940">
          <cell r="C2940" t="str">
            <v>110kV 175 Thủ Đức - 171 NMĐ Thủ Đức</v>
          </cell>
          <cell r="D2940">
            <v>175</v>
          </cell>
          <cell r="E2940">
            <v>-0.8</v>
          </cell>
          <cell r="F2940">
            <v>-3.8</v>
          </cell>
          <cell r="G2940">
            <v>-2.4</v>
          </cell>
          <cell r="H2940">
            <v>-3.8</v>
          </cell>
          <cell r="I2940">
            <v>-2.6</v>
          </cell>
          <cell r="J2940">
            <v>-0.8</v>
          </cell>
          <cell r="K2940">
            <v>-2.2999999999999998</v>
          </cell>
          <cell r="L2940">
            <v>-2.1</v>
          </cell>
          <cell r="M2940">
            <v>-2.4</v>
          </cell>
        </row>
        <row r="2941">
          <cell r="C2941" t="str">
            <v>110kV 176 Thủ Đức - 172 Xa Lộ - 171 Vikimco</v>
          </cell>
          <cell r="D2941">
            <v>176</v>
          </cell>
          <cell r="E2941">
            <v>9.1999999999999993</v>
          </cell>
          <cell r="F2941">
            <v>21.6</v>
          </cell>
          <cell r="G2941">
            <v>18.3</v>
          </cell>
          <cell r="H2941">
            <v>21.6</v>
          </cell>
          <cell r="I2941">
            <v>13.2</v>
          </cell>
          <cell r="J2941">
            <v>9.1999999999999993</v>
          </cell>
          <cell r="K2941">
            <v>13.5</v>
          </cell>
          <cell r="L2941">
            <v>15.3</v>
          </cell>
          <cell r="M2941">
            <v>16</v>
          </cell>
        </row>
        <row r="2942">
          <cell r="C2942" t="str">
            <v>110kV 177 Thủ Đức - 172 Thảo Điền</v>
          </cell>
          <cell r="D2942">
            <v>177</v>
          </cell>
          <cell r="E2942">
            <v>-9.5</v>
          </cell>
          <cell r="F2942">
            <v>11.9</v>
          </cell>
          <cell r="G2942">
            <v>10.6</v>
          </cell>
          <cell r="H2942">
            <v>11.9</v>
          </cell>
          <cell r="I2942">
            <v>-9.8000000000000007</v>
          </cell>
          <cell r="J2942">
            <v>-9.5</v>
          </cell>
          <cell r="K2942">
            <v>10.6</v>
          </cell>
          <cell r="L2942">
            <v>11</v>
          </cell>
          <cell r="M2942">
            <v>-9.6</v>
          </cell>
        </row>
        <row r="2943">
          <cell r="C2943" t="str">
            <v>110kV 178 Thủ Đức - 171 Thủ Đức Bắc - (176-7) Intel</v>
          </cell>
          <cell r="D2943">
            <v>178</v>
          </cell>
          <cell r="E2943">
            <v>-6.3</v>
          </cell>
          <cell r="F2943">
            <v>-13.9</v>
          </cell>
          <cell r="G2943">
            <v>9.1</v>
          </cell>
          <cell r="H2943">
            <v>-8.5</v>
          </cell>
          <cell r="I2943">
            <v>-7.7</v>
          </cell>
          <cell r="J2943">
            <v>-13.9</v>
          </cell>
          <cell r="K2943">
            <v>-12.2</v>
          </cell>
          <cell r="L2943">
            <v>-7.7</v>
          </cell>
          <cell r="M2943">
            <v>-6.3</v>
          </cell>
        </row>
        <row r="2944">
          <cell r="C2944" t="str">
            <v>110kV 179 Thủ Đức - 172 NM Nước Thủ Đức</v>
          </cell>
          <cell r="D2944">
            <v>179</v>
          </cell>
          <cell r="E2944">
            <v>-11.6</v>
          </cell>
          <cell r="F2944">
            <v>20.9</v>
          </cell>
          <cell r="G2944">
            <v>19.2</v>
          </cell>
          <cell r="H2944">
            <v>17.5</v>
          </cell>
          <cell r="I2944">
            <v>17.899999999999999</v>
          </cell>
          <cell r="J2944">
            <v>-11.6</v>
          </cell>
          <cell r="K2944">
            <v>-15.1</v>
          </cell>
          <cell r="L2944">
            <v>17.2</v>
          </cell>
          <cell r="M2944">
            <v>20.9</v>
          </cell>
        </row>
        <row r="2945">
          <cell r="C2945" t="str">
            <v>Thủ Đức MBA AT1 (phía 220kV)</v>
          </cell>
          <cell r="D2945">
            <v>231</v>
          </cell>
          <cell r="E2945">
            <v>14.8</v>
          </cell>
          <cell r="F2945">
            <v>35.4</v>
          </cell>
          <cell r="G2945">
            <v>35.4</v>
          </cell>
          <cell r="H2945">
            <v>19.5</v>
          </cell>
          <cell r="I2945">
            <v>18.8</v>
          </cell>
          <cell r="J2945">
            <v>14.8</v>
          </cell>
          <cell r="K2945">
            <v>24.2</v>
          </cell>
          <cell r="L2945">
            <v>19.100000000000001</v>
          </cell>
          <cell r="M2945">
            <v>-21.1</v>
          </cell>
        </row>
        <row r="2946">
          <cell r="C2946" t="str">
            <v>Thủ Đức MBA AT2 (phía 220kV)</v>
          </cell>
          <cell r="D2946">
            <v>232</v>
          </cell>
          <cell r="E2946">
            <v>15.1</v>
          </cell>
          <cell r="F2946">
            <v>29.4</v>
          </cell>
          <cell r="G2946">
            <v>18.100000000000001</v>
          </cell>
          <cell r="H2946">
            <v>29.4</v>
          </cell>
          <cell r="I2946">
            <v>21.3</v>
          </cell>
          <cell r="J2946">
            <v>15.1</v>
          </cell>
          <cell r="K2946">
            <v>23.2</v>
          </cell>
          <cell r="L2946">
            <v>20.5</v>
          </cell>
          <cell r="M2946">
            <v>18</v>
          </cell>
        </row>
        <row r="2947">
          <cell r="C2947" t="str">
            <v>Thủ Đức MBA AT3 (phía 220kV)</v>
          </cell>
          <cell r="D2947">
            <v>233</v>
          </cell>
          <cell r="E2947">
            <v>13.6</v>
          </cell>
          <cell r="F2947">
            <v>26.6</v>
          </cell>
          <cell r="G2947">
            <v>15.4</v>
          </cell>
          <cell r="H2947">
            <v>21.4</v>
          </cell>
          <cell r="I2947">
            <v>26.6</v>
          </cell>
          <cell r="J2947">
            <v>13.6</v>
          </cell>
          <cell r="K2947">
            <v>20.2</v>
          </cell>
          <cell r="L2947">
            <v>18.600000000000001</v>
          </cell>
          <cell r="M2947">
            <v>-18.5</v>
          </cell>
        </row>
        <row r="2948">
          <cell r="C2948" t="str">
            <v>220kV 271 Thủ Đức - 274 Hiệp Bình Phước</v>
          </cell>
          <cell r="D2948">
            <v>271</v>
          </cell>
          <cell r="E2948">
            <v>-39.5</v>
          </cell>
          <cell r="F2948">
            <v>-55.4</v>
          </cell>
          <cell r="G2948">
            <v>-55.4</v>
          </cell>
          <cell r="H2948">
            <v>-54.5</v>
          </cell>
          <cell r="I2948">
            <v>-39.5</v>
          </cell>
          <cell r="J2948">
            <v>-53.8</v>
          </cell>
          <cell r="K2948">
            <v>-54.2</v>
          </cell>
          <cell r="L2948">
            <v>-41</v>
          </cell>
          <cell r="M2948">
            <v>-46.5</v>
          </cell>
        </row>
        <row r="2949">
          <cell r="C2949" t="str">
            <v>220kV 272 Thủ Đức - 275 Hóc Môn</v>
          </cell>
          <cell r="D2949">
            <v>272</v>
          </cell>
          <cell r="E2949">
            <v>-21</v>
          </cell>
          <cell r="F2949">
            <v>-44.3</v>
          </cell>
          <cell r="G2949">
            <v>-39.1</v>
          </cell>
          <cell r="H2949">
            <v>-44.3</v>
          </cell>
          <cell r="I2949">
            <v>-29.2</v>
          </cell>
          <cell r="J2949">
            <v>-26.2</v>
          </cell>
          <cell r="K2949">
            <v>-33.700000000000003</v>
          </cell>
          <cell r="L2949">
            <v>-24.6</v>
          </cell>
          <cell r="M2949">
            <v>-21</v>
          </cell>
        </row>
        <row r="2950">
          <cell r="C2950" t="str">
            <v>220kV 273 Thủ Đức - 272 Long Bình</v>
          </cell>
          <cell r="D2950">
            <v>273</v>
          </cell>
          <cell r="E2950">
            <v>43.1</v>
          </cell>
          <cell r="F2950">
            <v>76.7</v>
          </cell>
          <cell r="G2950">
            <v>65.8</v>
          </cell>
          <cell r="H2950">
            <v>76.7</v>
          </cell>
          <cell r="I2950">
            <v>67.5</v>
          </cell>
          <cell r="J2950">
            <v>43.1</v>
          </cell>
          <cell r="K2950">
            <v>51.4</v>
          </cell>
          <cell r="L2950">
            <v>54.8</v>
          </cell>
          <cell r="M2950">
            <v>73.099999999999994</v>
          </cell>
        </row>
        <row r="2951">
          <cell r="C2951" t="str">
            <v>220kV 274 Thủ Đức - 271 Long Bình</v>
          </cell>
          <cell r="D2951">
            <v>274</v>
          </cell>
          <cell r="E2951">
            <v>41.3</v>
          </cell>
          <cell r="F2951">
            <v>76.5</v>
          </cell>
          <cell r="G2951">
            <v>64.7</v>
          </cell>
          <cell r="H2951">
            <v>76.5</v>
          </cell>
          <cell r="I2951">
            <v>68</v>
          </cell>
          <cell r="J2951">
            <v>41.3</v>
          </cell>
          <cell r="K2951">
            <v>51.5</v>
          </cell>
          <cell r="L2951">
            <v>51.6</v>
          </cell>
          <cell r="M2951">
            <v>72.7</v>
          </cell>
        </row>
        <row r="2952">
          <cell r="C2952" t="str">
            <v>220kV 275 Thủ Đức - 277 Cát Lái</v>
          </cell>
          <cell r="D2952">
            <v>275</v>
          </cell>
          <cell r="E2952">
            <v>-48</v>
          </cell>
          <cell r="F2952">
            <v>-80.7</v>
          </cell>
          <cell r="G2952">
            <v>-67.5</v>
          </cell>
          <cell r="H2952">
            <v>-73.7</v>
          </cell>
          <cell r="I2952">
            <v>-80.7</v>
          </cell>
          <cell r="J2952">
            <v>-49.4</v>
          </cell>
          <cell r="K2952">
            <v>-48</v>
          </cell>
          <cell r="L2952">
            <v>-55.8</v>
          </cell>
          <cell r="M2952">
            <v>-68.599999999999994</v>
          </cell>
        </row>
        <row r="2953">
          <cell r="C2953" t="str">
            <v>220kV 276 Thủ Đức - 278 Cát Lái</v>
          </cell>
          <cell r="D2953">
            <v>276</v>
          </cell>
          <cell r="E2953">
            <v>-48.7</v>
          </cell>
          <cell r="F2953">
            <v>-81.8</v>
          </cell>
          <cell r="G2953">
            <v>-68.3</v>
          </cell>
          <cell r="H2953">
            <v>-74.8</v>
          </cell>
          <cell r="I2953">
            <v>-81.8</v>
          </cell>
          <cell r="J2953">
            <v>-50.2</v>
          </cell>
          <cell r="K2953">
            <v>-48.7</v>
          </cell>
          <cell r="L2953">
            <v>-56.7</v>
          </cell>
          <cell r="M2953">
            <v>-69.7</v>
          </cell>
        </row>
        <row r="2954">
          <cell r="C2954" t="str">
            <v>Thủ Đức MBA T4 (phía 22kV)</v>
          </cell>
          <cell r="D2954">
            <v>434</v>
          </cell>
          <cell r="E2954">
            <v>2.2000000000000002</v>
          </cell>
          <cell r="F2954">
            <v>-6.2</v>
          </cell>
          <cell r="G2954">
            <v>2.4</v>
          </cell>
          <cell r="H2954">
            <v>-3.3</v>
          </cell>
          <cell r="I2954">
            <v>-4.4000000000000004</v>
          </cell>
          <cell r="J2954">
            <v>-6.2</v>
          </cell>
          <cell r="K2954">
            <v>-3.5</v>
          </cell>
          <cell r="L2954">
            <v>2.2000000000000002</v>
          </cell>
          <cell r="M2954">
            <v>2.4</v>
          </cell>
        </row>
        <row r="2955">
          <cell r="C2955" t="str">
            <v>Thủ Đức MBA T5 (phía 22kV)</v>
          </cell>
          <cell r="D2955">
            <v>435</v>
          </cell>
          <cell r="E2955">
            <v>2.1</v>
          </cell>
          <cell r="F2955">
            <v>-5.0999999999999996</v>
          </cell>
          <cell r="G2955">
            <v>-3.1</v>
          </cell>
          <cell r="H2955">
            <v>-5.0999999999999996</v>
          </cell>
          <cell r="I2955">
            <v>3.8</v>
          </cell>
          <cell r="J2955">
            <v>-2.1</v>
          </cell>
          <cell r="K2955">
            <v>-4.4000000000000004</v>
          </cell>
          <cell r="L2955">
            <v>2.1</v>
          </cell>
          <cell r="M2955">
            <v>4.3</v>
          </cell>
        </row>
        <row r="2956">
          <cell r="C2956" t="str">
            <v>Thủ Đức Bắc MBA T1 (phía 110kV)</v>
          </cell>
          <cell r="D2956">
            <v>131</v>
          </cell>
          <cell r="E2956">
            <v>-3.1</v>
          </cell>
          <cell r="F2956">
            <v>-4.8</v>
          </cell>
          <cell r="G2956">
            <v>-3.1</v>
          </cell>
          <cell r="H2956">
            <v>-3.1</v>
          </cell>
          <cell r="I2956">
            <v>-3.1</v>
          </cell>
          <cell r="J2956">
            <v>-4.4000000000000004</v>
          </cell>
          <cell r="K2956">
            <v>-4.3</v>
          </cell>
          <cell r="L2956">
            <v>-4.8</v>
          </cell>
          <cell r="M2956">
            <v>-4.5</v>
          </cell>
        </row>
        <row r="2957">
          <cell r="C2957" t="str">
            <v>Thủ Đức Bắc MBA T2 (phía 110kV)</v>
          </cell>
          <cell r="D2957">
            <v>132</v>
          </cell>
          <cell r="E2957">
            <v>1.9</v>
          </cell>
          <cell r="F2957">
            <v>-4.5</v>
          </cell>
          <cell r="G2957">
            <v>1.9</v>
          </cell>
          <cell r="H2957">
            <v>-3.9</v>
          </cell>
          <cell r="I2957">
            <v>-3.2</v>
          </cell>
          <cell r="J2957">
            <v>-4.5</v>
          </cell>
          <cell r="K2957">
            <v>-3.1</v>
          </cell>
          <cell r="L2957">
            <v>-2.8</v>
          </cell>
          <cell r="M2957">
            <v>-2.9</v>
          </cell>
        </row>
        <row r="2958">
          <cell r="C2958" t="str">
            <v>110kV 171 Thủ Đức Bắc - 178 Thủ Đức - (176-7) Intel</v>
          </cell>
          <cell r="D2958">
            <v>171</v>
          </cell>
          <cell r="E2958">
            <v>7.1</v>
          </cell>
          <cell r="F2958">
            <v>13.8</v>
          </cell>
          <cell r="G2958">
            <v>9.8000000000000007</v>
          </cell>
          <cell r="H2958">
            <v>8.8000000000000007</v>
          </cell>
          <cell r="I2958">
            <v>8.3000000000000007</v>
          </cell>
          <cell r="J2958">
            <v>13.8</v>
          </cell>
          <cell r="K2958">
            <v>12.3</v>
          </cell>
          <cell r="L2958">
            <v>9</v>
          </cell>
          <cell r="M2958">
            <v>7.1</v>
          </cell>
        </row>
        <row r="2959">
          <cell r="C2959" t="str">
            <v>110kV 172 Thủ Đức Bắc - 172 Bình An</v>
          </cell>
          <cell r="D2959">
            <v>172</v>
          </cell>
          <cell r="E2959">
            <v>3.4</v>
          </cell>
          <cell r="F2959">
            <v>-8.6</v>
          </cell>
          <cell r="G2959">
            <v>-7.4</v>
          </cell>
          <cell r="H2959">
            <v>-7.7</v>
          </cell>
          <cell r="I2959">
            <v>-8.6</v>
          </cell>
          <cell r="J2959">
            <v>-5.6</v>
          </cell>
          <cell r="K2959">
            <v>-6.7</v>
          </cell>
          <cell r="L2959">
            <v>-6.1</v>
          </cell>
          <cell r="M2959">
            <v>3.4</v>
          </cell>
        </row>
        <row r="2960">
          <cell r="C2960" t="str">
            <v>Thủ Đức Bắc MBA T1 (phía 22kV)</v>
          </cell>
          <cell r="D2960">
            <v>431</v>
          </cell>
          <cell r="E2960">
            <v>3.6</v>
          </cell>
          <cell r="F2960">
            <v>5.4</v>
          </cell>
          <cell r="G2960">
            <v>4.2</v>
          </cell>
          <cell r="H2960">
            <v>4.3</v>
          </cell>
          <cell r="I2960">
            <v>3.6</v>
          </cell>
          <cell r="J2960">
            <v>4.8</v>
          </cell>
          <cell r="K2960">
            <v>4.8</v>
          </cell>
          <cell r="L2960">
            <v>5.4</v>
          </cell>
          <cell r="M2960">
            <v>5.2</v>
          </cell>
        </row>
        <row r="2961">
          <cell r="C2961" t="str">
            <v>Thủ Đức Bắc MBA T2 (phía 22kV)</v>
          </cell>
          <cell r="D2961">
            <v>432</v>
          </cell>
          <cell r="E2961">
            <v>0</v>
          </cell>
          <cell r="F2961">
            <v>5.0999999999999996</v>
          </cell>
          <cell r="G2961">
            <v>0</v>
          </cell>
          <cell r="H2961">
            <v>4.5999999999999996</v>
          </cell>
          <cell r="I2961">
            <v>3.9</v>
          </cell>
          <cell r="J2961">
            <v>5.0999999999999996</v>
          </cell>
          <cell r="K2961">
            <v>3.9</v>
          </cell>
          <cell r="L2961">
            <v>3.5</v>
          </cell>
          <cell r="M2961">
            <v>3.7</v>
          </cell>
        </row>
        <row r="2962">
          <cell r="C2962" t="str">
            <v>Thủ Đức Đông MBA T1 (phía 110kV)</v>
          </cell>
          <cell r="D2962">
            <v>131</v>
          </cell>
          <cell r="E2962">
            <v>-3.1</v>
          </cell>
          <cell r="F2962">
            <v>-3.8</v>
          </cell>
          <cell r="G2962">
            <v>-3.1</v>
          </cell>
          <cell r="H2962">
            <v>-3.5</v>
          </cell>
          <cell r="I2962">
            <v>-3.1</v>
          </cell>
          <cell r="J2962">
            <v>-3.4</v>
          </cell>
          <cell r="K2962">
            <v>-3.8</v>
          </cell>
          <cell r="L2962">
            <v>-3.4</v>
          </cell>
          <cell r="M2962">
            <v>-3.1</v>
          </cell>
        </row>
        <row r="2963">
          <cell r="C2963" t="str">
            <v>Thủ Đức Đông MBA T2 (phía 110kV)</v>
          </cell>
          <cell r="D2963">
            <v>132</v>
          </cell>
          <cell r="E2963">
            <v>-3.2</v>
          </cell>
          <cell r="F2963">
            <v>-7.1</v>
          </cell>
          <cell r="G2963">
            <v>-3.2</v>
          </cell>
          <cell r="H2963">
            <v>-7.1</v>
          </cell>
          <cell r="I2963">
            <v>-3.5</v>
          </cell>
          <cell r="J2963">
            <v>-4</v>
          </cell>
          <cell r="K2963">
            <v>-4.0999999999999996</v>
          </cell>
          <cell r="L2963">
            <v>-3.9</v>
          </cell>
          <cell r="M2963">
            <v>-3.4</v>
          </cell>
        </row>
        <row r="2964">
          <cell r="C2964" t="str">
            <v>110kV 171 Thủ Đức Đông - 171 Cát Lái - (178-7) Intel</v>
          </cell>
          <cell r="D2964">
            <v>171</v>
          </cell>
          <cell r="E2964">
            <v>3.4</v>
          </cell>
          <cell r="F2964">
            <v>-6.7</v>
          </cell>
          <cell r="G2964">
            <v>-6.7</v>
          </cell>
          <cell r="H2964">
            <v>-6.1</v>
          </cell>
          <cell r="I2964">
            <v>-5.9</v>
          </cell>
          <cell r="J2964">
            <v>3.4</v>
          </cell>
          <cell r="K2964">
            <v>-6</v>
          </cell>
          <cell r="L2964">
            <v>-6</v>
          </cell>
          <cell r="M2964">
            <v>-5.9</v>
          </cell>
        </row>
        <row r="2965">
          <cell r="C2965" t="str">
            <v>110kV 172 Thủ Đức Đông - 172 Cát Lái - 173 Tăng Nhơn Phú</v>
          </cell>
          <cell r="D2965">
            <v>172</v>
          </cell>
          <cell r="E2965">
            <v>4.0999999999999996</v>
          </cell>
          <cell r="F2965">
            <v>6.6</v>
          </cell>
          <cell r="G2965">
            <v>5.4</v>
          </cell>
          <cell r="H2965">
            <v>6.6</v>
          </cell>
          <cell r="I2965">
            <v>4.5999999999999996</v>
          </cell>
          <cell r="J2965">
            <v>4.0999999999999996</v>
          </cell>
          <cell r="K2965">
            <v>5.4</v>
          </cell>
          <cell r="L2965">
            <v>5.2</v>
          </cell>
          <cell r="M2965">
            <v>5.3</v>
          </cell>
        </row>
        <row r="2966">
          <cell r="C2966" t="str">
            <v>Thủ Đức Đông MBA T1 (phía 22kV)</v>
          </cell>
          <cell r="D2966">
            <v>431</v>
          </cell>
          <cell r="E2966">
            <v>3</v>
          </cell>
          <cell r="F2966">
            <v>3.7</v>
          </cell>
          <cell r="G2966">
            <v>3.3</v>
          </cell>
          <cell r="H2966">
            <v>3.7</v>
          </cell>
          <cell r="I2966">
            <v>3.1</v>
          </cell>
          <cell r="J2966">
            <v>3.6</v>
          </cell>
          <cell r="K2966">
            <v>3.7</v>
          </cell>
          <cell r="L2966">
            <v>3.4</v>
          </cell>
          <cell r="M2966">
            <v>3</v>
          </cell>
        </row>
        <row r="2967">
          <cell r="C2967" t="str">
            <v>Thủ Đức Đông MBA T2 (phía 22kV)</v>
          </cell>
          <cell r="D2967">
            <v>432</v>
          </cell>
          <cell r="E2967">
            <v>3.1</v>
          </cell>
          <cell r="F2967">
            <v>3.8</v>
          </cell>
          <cell r="G2967">
            <v>3.1</v>
          </cell>
          <cell r="H2967">
            <v>3.2</v>
          </cell>
          <cell r="I2967">
            <v>3.2</v>
          </cell>
          <cell r="J2967">
            <v>3.7</v>
          </cell>
          <cell r="K2967">
            <v>3.8</v>
          </cell>
          <cell r="L2967">
            <v>3.5</v>
          </cell>
          <cell r="M2967">
            <v>3.1</v>
          </cell>
        </row>
        <row r="2968">
          <cell r="C2968" t="str">
            <v>Thủ Thừa MBA T1 (phía 110kV)</v>
          </cell>
          <cell r="D2968">
            <v>131</v>
          </cell>
          <cell r="E2968">
            <v>4.3</v>
          </cell>
          <cell r="F2968">
            <v>6.7</v>
          </cell>
          <cell r="G2968">
            <v>6.7</v>
          </cell>
          <cell r="H2968">
            <v>4.3</v>
          </cell>
          <cell r="I2968">
            <v>-5.3</v>
          </cell>
          <cell r="J2968">
            <v>-6.1</v>
          </cell>
          <cell r="K2968">
            <v>4.3</v>
          </cell>
          <cell r="L2968">
            <v>-5.6</v>
          </cell>
          <cell r="M2968">
            <v>-4.9000000000000004</v>
          </cell>
        </row>
        <row r="2969">
          <cell r="C2969" t="str">
            <v>110kV 171 Thủ Thừa - 171 Long An 2</v>
          </cell>
          <cell r="D2969">
            <v>171</v>
          </cell>
          <cell r="E2969">
            <v>-9.1999999999999993</v>
          </cell>
          <cell r="F2969">
            <v>-31.9</v>
          </cell>
          <cell r="G2969">
            <v>-29.2</v>
          </cell>
          <cell r="H2969">
            <v>-27.5</v>
          </cell>
          <cell r="I2969">
            <v>-28.9</v>
          </cell>
          <cell r="J2969">
            <v>-23.8</v>
          </cell>
          <cell r="K2969">
            <v>-28.9</v>
          </cell>
          <cell r="L2969">
            <v>-31.9</v>
          </cell>
          <cell r="M2969">
            <v>-9.1999999999999993</v>
          </cell>
        </row>
        <row r="2970">
          <cell r="C2970" t="str">
            <v>110kV 172 Thủ Thừa - 131 An Thạnh</v>
          </cell>
          <cell r="D2970">
            <v>172</v>
          </cell>
          <cell r="E2970">
            <v>7.8</v>
          </cell>
          <cell r="F2970">
            <v>33.700000000000003</v>
          </cell>
          <cell r="G2970">
            <v>28.5</v>
          </cell>
          <cell r="H2970">
            <v>24.2</v>
          </cell>
          <cell r="I2970">
            <v>30.3</v>
          </cell>
          <cell r="J2970">
            <v>21.5</v>
          </cell>
          <cell r="K2970">
            <v>24.8</v>
          </cell>
          <cell r="L2970">
            <v>33.700000000000003</v>
          </cell>
          <cell r="M2970">
            <v>7.8</v>
          </cell>
        </row>
        <row r="2971">
          <cell r="C2971" t="str">
            <v>Thủ Thừa MBA T1 (phía 22kV)</v>
          </cell>
          <cell r="D2971">
            <v>431</v>
          </cell>
          <cell r="E2971">
            <v>5.4</v>
          </cell>
          <cell r="F2971">
            <v>7.3</v>
          </cell>
          <cell r="G2971">
            <v>5.5</v>
          </cell>
          <cell r="H2971">
            <v>5.4</v>
          </cell>
          <cell r="I2971">
            <v>7.1</v>
          </cell>
          <cell r="J2971">
            <v>7.3</v>
          </cell>
          <cell r="K2971">
            <v>5.7</v>
          </cell>
          <cell r="L2971">
            <v>7.3</v>
          </cell>
          <cell r="M2971">
            <v>6.4</v>
          </cell>
        </row>
        <row r="2972">
          <cell r="C2972" t="str">
            <v>Thuận An MBA AT1 (phía 110kV)</v>
          </cell>
          <cell r="D2972">
            <v>131</v>
          </cell>
          <cell r="E2972">
            <v>-10.9</v>
          </cell>
          <cell r="F2972">
            <v>-39.1</v>
          </cell>
          <cell r="G2972">
            <v>-39.1</v>
          </cell>
          <cell r="H2972">
            <v>-37.5</v>
          </cell>
          <cell r="I2972">
            <v>-32.200000000000003</v>
          </cell>
          <cell r="J2972">
            <v>-10.9</v>
          </cell>
          <cell r="K2972">
            <v>-37.5</v>
          </cell>
          <cell r="L2972">
            <v>-30.9</v>
          </cell>
          <cell r="M2972">
            <v>-31.2</v>
          </cell>
        </row>
        <row r="2973">
          <cell r="C2973" t="str">
            <v>Thuận An MBA AT2 (phía 110kV)</v>
          </cell>
          <cell r="D2973">
            <v>132</v>
          </cell>
          <cell r="E2973">
            <v>9</v>
          </cell>
          <cell r="F2973">
            <v>-34.6</v>
          </cell>
          <cell r="G2973">
            <v>-34.6</v>
          </cell>
          <cell r="H2973">
            <v>-32.700000000000003</v>
          </cell>
          <cell r="I2973">
            <v>-24.6</v>
          </cell>
          <cell r="J2973">
            <v>9</v>
          </cell>
          <cell r="K2973">
            <v>-29.4</v>
          </cell>
          <cell r="L2973">
            <v>-26.8</v>
          </cell>
          <cell r="M2973">
            <v>-25.6</v>
          </cell>
        </row>
        <row r="2974">
          <cell r="C2974" t="str">
            <v>Thuận An MBA T4 (phía 110kV)</v>
          </cell>
          <cell r="D2974">
            <v>134</v>
          </cell>
          <cell r="E2974">
            <v>6.2</v>
          </cell>
          <cell r="F2974">
            <v>11.2</v>
          </cell>
          <cell r="G2974">
            <v>11.2</v>
          </cell>
          <cell r="H2974">
            <v>11</v>
          </cell>
          <cell r="I2974">
            <v>9.9</v>
          </cell>
          <cell r="J2974">
            <v>9.3000000000000007</v>
          </cell>
          <cell r="K2974">
            <v>7</v>
          </cell>
          <cell r="L2974">
            <v>6.8</v>
          </cell>
          <cell r="M2974">
            <v>6.2</v>
          </cell>
        </row>
        <row r="2975">
          <cell r="C2975" t="str">
            <v>Thuận An MBA T5 (phía 110kV)</v>
          </cell>
          <cell r="D2975">
            <v>135</v>
          </cell>
          <cell r="E2975">
            <v>7.4</v>
          </cell>
          <cell r="F2975">
            <v>10.4</v>
          </cell>
          <cell r="G2975">
            <v>7.4</v>
          </cell>
          <cell r="H2975">
            <v>7.5</v>
          </cell>
          <cell r="I2975">
            <v>8</v>
          </cell>
          <cell r="J2975">
            <v>8.6999999999999993</v>
          </cell>
          <cell r="K2975">
            <v>9.4</v>
          </cell>
          <cell r="L2975">
            <v>10.4</v>
          </cell>
          <cell r="M2975">
            <v>10.3</v>
          </cell>
        </row>
        <row r="2976">
          <cell r="C2976" t="str">
            <v>110kV 171 Thuận An - 172 Linh Trung 2</v>
          </cell>
          <cell r="D2976">
            <v>171</v>
          </cell>
          <cell r="E2976">
            <v>-7.2</v>
          </cell>
          <cell r="F2976">
            <v>-10.5</v>
          </cell>
          <cell r="G2976">
            <v>9.1999999999999993</v>
          </cell>
          <cell r="H2976">
            <v>8.6999999999999993</v>
          </cell>
          <cell r="I2976">
            <v>8.1999999999999993</v>
          </cell>
          <cell r="J2976">
            <v>-9.6999999999999993</v>
          </cell>
          <cell r="K2976">
            <v>-10.5</v>
          </cell>
          <cell r="L2976">
            <v>-7.2</v>
          </cell>
          <cell r="M2976">
            <v>-7.3</v>
          </cell>
        </row>
        <row r="2977">
          <cell r="C2977" t="str">
            <v>110kV 176 Thuận An - 172 Vsip 2</v>
          </cell>
          <cell r="D2977">
            <v>176</v>
          </cell>
          <cell r="E2977">
            <v>12.6</v>
          </cell>
          <cell r="F2977">
            <v>28.9</v>
          </cell>
          <cell r="G2977">
            <v>28.8</v>
          </cell>
          <cell r="H2977">
            <v>28.9</v>
          </cell>
          <cell r="I2977">
            <v>24.9</v>
          </cell>
          <cell r="J2977">
            <v>12.6</v>
          </cell>
          <cell r="K2977">
            <v>24.9</v>
          </cell>
          <cell r="L2977">
            <v>28.9</v>
          </cell>
          <cell r="M2977">
            <v>25.1</v>
          </cell>
        </row>
        <row r="2978">
          <cell r="C2978" t="str">
            <v>110kV 177 Thuận An - 171 Đồng An</v>
          </cell>
          <cell r="D2978">
            <v>177</v>
          </cell>
          <cell r="E2978">
            <v>6</v>
          </cell>
          <cell r="F2978">
            <v>15.5</v>
          </cell>
          <cell r="G2978">
            <v>15.5</v>
          </cell>
          <cell r="H2978">
            <v>10.8</v>
          </cell>
          <cell r="I2978">
            <v>7.5</v>
          </cell>
          <cell r="J2978">
            <v>8</v>
          </cell>
          <cell r="K2978">
            <v>13.1</v>
          </cell>
          <cell r="L2978">
            <v>10.6</v>
          </cell>
          <cell r="M2978">
            <v>6</v>
          </cell>
        </row>
        <row r="2979">
          <cell r="C2979" t="str">
            <v>110kV 178 Thuận An - 172 Sóng Thần</v>
          </cell>
          <cell r="D2979">
            <v>178</v>
          </cell>
          <cell r="E2979">
            <v>5.2</v>
          </cell>
          <cell r="F2979">
            <v>14.8</v>
          </cell>
          <cell r="G2979">
            <v>14.8</v>
          </cell>
          <cell r="H2979">
            <v>14.4</v>
          </cell>
          <cell r="I2979">
            <v>7.6</v>
          </cell>
          <cell r="J2979">
            <v>5.2</v>
          </cell>
          <cell r="K2979">
            <v>10.8</v>
          </cell>
          <cell r="L2979">
            <v>8.6999999999999993</v>
          </cell>
          <cell r="M2979">
            <v>8.8000000000000007</v>
          </cell>
        </row>
        <row r="2980">
          <cell r="C2980" t="str">
            <v>Thuận An MBA AT1 (phía 220kV)</v>
          </cell>
          <cell r="D2980">
            <v>231</v>
          </cell>
          <cell r="E2980">
            <v>16.100000000000001</v>
          </cell>
          <cell r="F2980">
            <v>52.7</v>
          </cell>
          <cell r="G2980">
            <v>52.7</v>
          </cell>
          <cell r="H2980">
            <v>52.7</v>
          </cell>
          <cell r="I2980">
            <v>44.6</v>
          </cell>
          <cell r="J2980">
            <v>16.100000000000001</v>
          </cell>
          <cell r="K2980">
            <v>50.5</v>
          </cell>
          <cell r="L2980">
            <v>44.7</v>
          </cell>
          <cell r="M2980">
            <v>45.2</v>
          </cell>
        </row>
        <row r="2981">
          <cell r="C2981" t="str">
            <v>Thuận An MBA AT2 (phía 220kV)</v>
          </cell>
          <cell r="D2981">
            <v>232</v>
          </cell>
          <cell r="E2981">
            <v>14.2</v>
          </cell>
          <cell r="F2981">
            <v>49.1</v>
          </cell>
          <cell r="G2981">
            <v>49.1</v>
          </cell>
          <cell r="H2981">
            <v>48.5</v>
          </cell>
          <cell r="I2981">
            <v>39.299999999999997</v>
          </cell>
          <cell r="J2981">
            <v>14.2</v>
          </cell>
          <cell r="K2981">
            <v>44.6</v>
          </cell>
          <cell r="L2981">
            <v>42.9</v>
          </cell>
          <cell r="M2981">
            <v>41.8</v>
          </cell>
        </row>
        <row r="2982">
          <cell r="C2982" t="str">
            <v>220kV 271 Thuận An - 271 Bình Hòa</v>
          </cell>
          <cell r="D2982">
            <v>271</v>
          </cell>
          <cell r="E2982">
            <v>-30.7</v>
          </cell>
          <cell r="F2982">
            <v>72.5</v>
          </cell>
          <cell r="G2982">
            <v>42.1</v>
          </cell>
          <cell r="H2982">
            <v>43.4</v>
          </cell>
          <cell r="I2982">
            <v>32.5</v>
          </cell>
          <cell r="J2982">
            <v>-30.7</v>
          </cell>
          <cell r="K2982">
            <v>49.9</v>
          </cell>
          <cell r="L2982">
            <v>72.5</v>
          </cell>
          <cell r="M2982">
            <v>69.400000000000006</v>
          </cell>
        </row>
        <row r="2983">
          <cell r="C2983" t="str">
            <v>220kV 272 Thuận An - 275 Tân Uyên 500</v>
          </cell>
          <cell r="D2983">
            <v>272</v>
          </cell>
          <cell r="E2983">
            <v>-36.1</v>
          </cell>
          <cell r="F2983">
            <v>-77</v>
          </cell>
          <cell r="G2983">
            <v>-65.900000000000006</v>
          </cell>
          <cell r="H2983">
            <v>-54.8</v>
          </cell>
          <cell r="I2983">
            <v>-47</v>
          </cell>
          <cell r="J2983">
            <v>-36.1</v>
          </cell>
          <cell r="K2983">
            <v>-68.400000000000006</v>
          </cell>
          <cell r="L2983">
            <v>-77</v>
          </cell>
          <cell r="M2983">
            <v>-76.5</v>
          </cell>
        </row>
        <row r="2984">
          <cell r="C2984" t="str">
            <v>220kV 273 Thuận An - 274 Tân Uyên 500</v>
          </cell>
          <cell r="D2984">
            <v>273</v>
          </cell>
          <cell r="E2984">
            <v>-38.700000000000003</v>
          </cell>
          <cell r="F2984">
            <v>-80.7</v>
          </cell>
          <cell r="G2984">
            <v>-68.2</v>
          </cell>
          <cell r="H2984">
            <v>-55.8</v>
          </cell>
          <cell r="I2984">
            <v>-49.8</v>
          </cell>
          <cell r="J2984">
            <v>-38.700000000000003</v>
          </cell>
          <cell r="K2984">
            <v>-70.7</v>
          </cell>
          <cell r="L2984">
            <v>-80.7</v>
          </cell>
          <cell r="M2984">
            <v>-78.900000000000006</v>
          </cell>
        </row>
        <row r="2985">
          <cell r="C2985" t="str">
            <v>220kV 274 Thuận An - 272 Bình Hòa</v>
          </cell>
          <cell r="D2985">
            <v>274</v>
          </cell>
          <cell r="E2985">
            <v>32.700000000000003</v>
          </cell>
          <cell r="F2985">
            <v>82</v>
          </cell>
          <cell r="G2985">
            <v>48.4</v>
          </cell>
          <cell r="H2985">
            <v>66.599999999999994</v>
          </cell>
          <cell r="I2985">
            <v>32.700000000000003</v>
          </cell>
          <cell r="J2985">
            <v>41.2</v>
          </cell>
          <cell r="K2985">
            <v>56.1</v>
          </cell>
          <cell r="L2985">
            <v>82</v>
          </cell>
          <cell r="M2985">
            <v>73.5</v>
          </cell>
        </row>
        <row r="2986">
          <cell r="C2986" t="str">
            <v>220kV 275 Thuận An - 272 Hóc Môn</v>
          </cell>
          <cell r="D2986">
            <v>275</v>
          </cell>
          <cell r="E2986">
            <v>25.4</v>
          </cell>
          <cell r="F2986">
            <v>47</v>
          </cell>
          <cell r="G2986">
            <v>30.1</v>
          </cell>
          <cell r="H2986">
            <v>43</v>
          </cell>
          <cell r="I2986">
            <v>26.2</v>
          </cell>
          <cell r="J2986">
            <v>26.3</v>
          </cell>
          <cell r="K2986">
            <v>30.7</v>
          </cell>
          <cell r="L2986">
            <v>47</v>
          </cell>
          <cell r="M2986">
            <v>25.4</v>
          </cell>
        </row>
        <row r="2987">
          <cell r="C2987" t="str">
            <v>220kV 276 Thuận An - 273 Hóc Môn</v>
          </cell>
          <cell r="D2987">
            <v>276</v>
          </cell>
          <cell r="E2987">
            <v>-15.2</v>
          </cell>
          <cell r="F2987">
            <v>-42.3</v>
          </cell>
          <cell r="G2987">
            <v>21.6</v>
          </cell>
          <cell r="H2987">
            <v>-42.3</v>
          </cell>
          <cell r="I2987">
            <v>-15.2</v>
          </cell>
          <cell r="J2987">
            <v>17.3</v>
          </cell>
          <cell r="K2987">
            <v>-18.3</v>
          </cell>
          <cell r="L2987">
            <v>35.9</v>
          </cell>
          <cell r="M2987">
            <v>-32.1</v>
          </cell>
        </row>
        <row r="2988">
          <cell r="C2988" t="str">
            <v>Thuận An MBA T4 (phía 22kV)</v>
          </cell>
          <cell r="D2988">
            <v>434</v>
          </cell>
          <cell r="E2988">
            <v>-4.9000000000000004</v>
          </cell>
          <cell r="F2988">
            <v>-7.6</v>
          </cell>
          <cell r="G2988">
            <v>-7.6</v>
          </cell>
          <cell r="H2988">
            <v>-7.2</v>
          </cell>
          <cell r="I2988">
            <v>-6.8</v>
          </cell>
          <cell r="J2988">
            <v>-4.9000000000000004</v>
          </cell>
          <cell r="K2988">
            <v>-4.9000000000000004</v>
          </cell>
          <cell r="L2988">
            <v>-5.0999999999999996</v>
          </cell>
          <cell r="M2988">
            <v>-5.0999999999999996</v>
          </cell>
        </row>
        <row r="2989">
          <cell r="C2989" t="str">
            <v>Thuận An MBA T5 (phía 22kV)</v>
          </cell>
          <cell r="D2989">
            <v>435</v>
          </cell>
          <cell r="E2989">
            <v>-3.9</v>
          </cell>
          <cell r="F2989">
            <v>-5.9</v>
          </cell>
          <cell r="G2989">
            <v>-3.9</v>
          </cell>
          <cell r="H2989">
            <v>-4</v>
          </cell>
          <cell r="I2989">
            <v>-4.5999999999999996</v>
          </cell>
          <cell r="J2989">
            <v>-4.2</v>
          </cell>
          <cell r="K2989">
            <v>-4.9000000000000004</v>
          </cell>
          <cell r="L2989">
            <v>-5.9</v>
          </cell>
          <cell r="M2989">
            <v>-5.8</v>
          </cell>
        </row>
        <row r="2990">
          <cell r="C2990" t="str">
            <v>Thuận An Tụ Bù Ngang 101</v>
          </cell>
          <cell r="D2990" t="str">
            <v>T101</v>
          </cell>
          <cell r="E2990">
            <v>0</v>
          </cell>
          <cell r="F2990">
            <v>0</v>
          </cell>
          <cell r="G2990">
            <v>0</v>
          </cell>
          <cell r="H2990">
            <v>0</v>
          </cell>
          <cell r="I2990">
            <v>0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</row>
        <row r="2991">
          <cell r="C2991" t="str">
            <v>Thuận Giao MBA T1 (phía 110kV)</v>
          </cell>
          <cell r="D2991">
            <v>131</v>
          </cell>
          <cell r="E2991">
            <v>5.5</v>
          </cell>
          <cell r="F2991">
            <v>8.5</v>
          </cell>
          <cell r="G2991">
            <v>8.5</v>
          </cell>
          <cell r="H2991">
            <v>7.6</v>
          </cell>
          <cell r="I2991">
            <v>8.1999999999999993</v>
          </cell>
          <cell r="J2991">
            <v>5.5</v>
          </cell>
          <cell r="K2991">
            <v>5.9</v>
          </cell>
          <cell r="L2991">
            <v>6.3</v>
          </cell>
          <cell r="M2991">
            <v>-7.8</v>
          </cell>
        </row>
        <row r="2992">
          <cell r="C2992" t="str">
            <v>Thuận Giao MBA T2 (phía 110kV)</v>
          </cell>
          <cell r="D2992">
            <v>132</v>
          </cell>
          <cell r="E2992">
            <v>-3.9</v>
          </cell>
          <cell r="F2992">
            <v>-9.6999999999999993</v>
          </cell>
          <cell r="G2992">
            <v>-7.4</v>
          </cell>
          <cell r="H2992">
            <v>4</v>
          </cell>
          <cell r="I2992">
            <v>-3.9</v>
          </cell>
          <cell r="J2992">
            <v>-5.2</v>
          </cell>
          <cell r="K2992">
            <v>-5.6</v>
          </cell>
          <cell r="L2992">
            <v>4.2</v>
          </cell>
          <cell r="M2992">
            <v>-9.6999999999999993</v>
          </cell>
        </row>
        <row r="2993">
          <cell r="C2993" t="str">
            <v>110kV 171 Thuận Giao - 173 Tân Đông Hiệp</v>
          </cell>
          <cell r="D2993">
            <v>171</v>
          </cell>
          <cell r="E2993">
            <v>0.9</v>
          </cell>
          <cell r="F2993">
            <v>3.4</v>
          </cell>
          <cell r="G2993">
            <v>3.4</v>
          </cell>
          <cell r="H2993">
            <v>3.1</v>
          </cell>
          <cell r="I2993">
            <v>2.2999999999999998</v>
          </cell>
          <cell r="J2993">
            <v>0.9</v>
          </cell>
          <cell r="K2993">
            <v>1.4</v>
          </cell>
          <cell r="L2993">
            <v>2.1</v>
          </cell>
          <cell r="M2993">
            <v>2.2000000000000002</v>
          </cell>
        </row>
        <row r="2994">
          <cell r="C2994" t="str">
            <v>110kV 172 Thuận Giao - 179 Bình Hòa</v>
          </cell>
          <cell r="D2994">
            <v>172</v>
          </cell>
          <cell r="E2994">
            <v>-8.1999999999999993</v>
          </cell>
          <cell r="F2994">
            <v>-12.9</v>
          </cell>
          <cell r="G2994">
            <v>-12.9</v>
          </cell>
          <cell r="H2994">
            <v>-12.1</v>
          </cell>
          <cell r="I2994">
            <v>-10.1</v>
          </cell>
          <cell r="J2994">
            <v>8.5</v>
          </cell>
          <cell r="K2994">
            <v>9.1999999999999993</v>
          </cell>
          <cell r="L2994">
            <v>-8.1999999999999993</v>
          </cell>
          <cell r="M2994">
            <v>-9.1</v>
          </cell>
        </row>
        <row r="2995">
          <cell r="C2995" t="str">
            <v>Thuận Giao MBA T1 (phía 22kV)</v>
          </cell>
          <cell r="D2995">
            <v>431</v>
          </cell>
          <cell r="E2995">
            <v>-4.0999999999999996</v>
          </cell>
          <cell r="F2995">
            <v>9.1</v>
          </cell>
          <cell r="G2995">
            <v>9.1</v>
          </cell>
          <cell r="H2995">
            <v>7.8</v>
          </cell>
          <cell r="I2995">
            <v>6</v>
          </cell>
          <cell r="J2995">
            <v>-4.0999999999999996</v>
          </cell>
          <cell r="K2995">
            <v>7.5</v>
          </cell>
          <cell r="L2995">
            <v>7</v>
          </cell>
          <cell r="M2995">
            <v>9.1</v>
          </cell>
        </row>
        <row r="2996">
          <cell r="C2996" t="str">
            <v>Thuận Giao MBA T2 (phía 22kV)</v>
          </cell>
          <cell r="D2996">
            <v>432</v>
          </cell>
          <cell r="E2996">
            <v>4.5999999999999996</v>
          </cell>
          <cell r="F2996">
            <v>11.4</v>
          </cell>
          <cell r="G2996">
            <v>8.9</v>
          </cell>
          <cell r="H2996">
            <v>4.7</v>
          </cell>
          <cell r="I2996">
            <v>5.9</v>
          </cell>
          <cell r="J2996">
            <v>5.6</v>
          </cell>
          <cell r="K2996">
            <v>6</v>
          </cell>
          <cell r="L2996">
            <v>4.5999999999999996</v>
          </cell>
          <cell r="M2996">
            <v>11.4</v>
          </cell>
        </row>
        <row r="2997">
          <cell r="C2997" t="str">
            <v>Thuận Nam MBA T1 (phía 110kV)</v>
          </cell>
          <cell r="D2997">
            <v>131</v>
          </cell>
          <cell r="E2997">
            <v>1.8</v>
          </cell>
          <cell r="F2997">
            <v>2.8</v>
          </cell>
          <cell r="G2997">
            <v>2.2999999999999998</v>
          </cell>
          <cell r="H2997">
            <v>2.1</v>
          </cell>
          <cell r="I2997">
            <v>2.8</v>
          </cell>
          <cell r="J2997">
            <v>2.2000000000000002</v>
          </cell>
          <cell r="K2997">
            <v>2.1</v>
          </cell>
          <cell r="L2997">
            <v>1.9</v>
          </cell>
          <cell r="M2997">
            <v>1.8</v>
          </cell>
        </row>
        <row r="2998">
          <cell r="C2998" t="str">
            <v>Thuận Nam MBA T2 (phía 110kV)</v>
          </cell>
          <cell r="D2998">
            <v>132</v>
          </cell>
          <cell r="E2998">
            <v>2.7</v>
          </cell>
          <cell r="F2998">
            <v>3.9</v>
          </cell>
          <cell r="G2998">
            <v>3.8</v>
          </cell>
          <cell r="H2998">
            <v>3.9</v>
          </cell>
          <cell r="I2998">
            <v>3.4</v>
          </cell>
          <cell r="J2998">
            <v>3.7</v>
          </cell>
          <cell r="K2998">
            <v>3.7</v>
          </cell>
          <cell r="L2998">
            <v>3.8</v>
          </cell>
          <cell r="M2998">
            <v>2.7</v>
          </cell>
        </row>
        <row r="2999">
          <cell r="C2999" t="str">
            <v>110kV 171 Thuận Nam - 171 Hàm Tân</v>
          </cell>
          <cell r="D2999">
            <v>171</v>
          </cell>
          <cell r="E2999">
            <v>-3.9</v>
          </cell>
          <cell r="F2999">
            <v>-5</v>
          </cell>
          <cell r="G2999">
            <v>-5</v>
          </cell>
          <cell r="H2999">
            <v>-5</v>
          </cell>
          <cell r="I2999">
            <v>-4</v>
          </cell>
          <cell r="J2999">
            <v>-5</v>
          </cell>
          <cell r="K2999">
            <v>-4.5999999999999996</v>
          </cell>
          <cell r="L2999">
            <v>-4.5999999999999996</v>
          </cell>
          <cell r="M2999">
            <v>-3.9</v>
          </cell>
        </row>
        <row r="3000">
          <cell r="C3000" t="str">
            <v>110kV 172 Thuận Nam - 174 Hàm Kiệm</v>
          </cell>
          <cell r="D3000">
            <v>172</v>
          </cell>
          <cell r="E3000">
            <v>0</v>
          </cell>
          <cell r="F3000">
            <v>0</v>
          </cell>
          <cell r="G3000">
            <v>0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</row>
        <row r="3001">
          <cell r="C3001" t="str">
            <v>Thuận Nam MBA T1 (phía 22kV)</v>
          </cell>
          <cell r="D3001">
            <v>431</v>
          </cell>
          <cell r="E3001">
            <v>1.1000000000000001</v>
          </cell>
          <cell r="F3001">
            <v>1.9</v>
          </cell>
          <cell r="G3001">
            <v>1.4</v>
          </cell>
          <cell r="H3001">
            <v>1.6</v>
          </cell>
          <cell r="I3001">
            <v>1.7</v>
          </cell>
          <cell r="J3001">
            <v>1.4</v>
          </cell>
          <cell r="K3001">
            <v>1.4</v>
          </cell>
          <cell r="L3001">
            <v>1.9</v>
          </cell>
          <cell r="M3001">
            <v>1.1000000000000001</v>
          </cell>
        </row>
        <row r="3002">
          <cell r="C3002" t="str">
            <v>Thuận Nam MBA T2 (phía 22kV)</v>
          </cell>
          <cell r="D3002">
            <v>432</v>
          </cell>
          <cell r="E3002">
            <v>-2.5</v>
          </cell>
          <cell r="F3002">
            <v>9.4</v>
          </cell>
          <cell r="G3002">
            <v>-7</v>
          </cell>
          <cell r="H3002">
            <v>9.1999999999999993</v>
          </cell>
          <cell r="I3002">
            <v>9.4</v>
          </cell>
          <cell r="J3002">
            <v>6.4</v>
          </cell>
          <cell r="K3002">
            <v>-6.4</v>
          </cell>
          <cell r="L3002">
            <v>-6.6</v>
          </cell>
          <cell r="M3002">
            <v>-2.5</v>
          </cell>
        </row>
        <row r="3003">
          <cell r="C3003" t="str">
            <v>Thuận Nam 500 MBA AT1 (phía 220kV)</v>
          </cell>
          <cell r="D3003">
            <v>231</v>
          </cell>
          <cell r="E3003">
            <v>42.1</v>
          </cell>
          <cell r="F3003">
            <v>171.7</v>
          </cell>
          <cell r="G3003">
            <v>171.7</v>
          </cell>
          <cell r="H3003">
            <v>63.5</v>
          </cell>
          <cell r="I3003">
            <v>44.4</v>
          </cell>
          <cell r="J3003">
            <v>66.900000000000006</v>
          </cell>
          <cell r="K3003">
            <v>42.1</v>
          </cell>
          <cell r="L3003">
            <v>44.4</v>
          </cell>
          <cell r="M3003">
            <v>46.9</v>
          </cell>
        </row>
        <row r="3004">
          <cell r="C3004" t="str">
            <v>Thuận Nam 500 MBA AT2 (phía 220kV)</v>
          </cell>
          <cell r="D3004">
            <v>232</v>
          </cell>
          <cell r="E3004">
            <v>24.1</v>
          </cell>
          <cell r="F3004">
            <v>98.3</v>
          </cell>
          <cell r="G3004">
            <v>98.3</v>
          </cell>
          <cell r="H3004">
            <v>36.200000000000003</v>
          </cell>
          <cell r="I3004">
            <v>24.1</v>
          </cell>
          <cell r="J3004">
            <v>33.700000000000003</v>
          </cell>
          <cell r="K3004">
            <v>28.1</v>
          </cell>
          <cell r="L3004">
            <v>29.5</v>
          </cell>
          <cell r="M3004">
            <v>28.8</v>
          </cell>
        </row>
        <row r="3005">
          <cell r="C3005" t="str">
            <v>220kV 273 Thuận Nam 500 - 272 Vĩnh Tân</v>
          </cell>
          <cell r="D3005">
            <v>273</v>
          </cell>
          <cell r="E3005">
            <v>-27.5</v>
          </cell>
          <cell r="F3005">
            <v>-190.5</v>
          </cell>
          <cell r="G3005">
            <v>-190.5</v>
          </cell>
          <cell r="H3005">
            <v>-84.5</v>
          </cell>
          <cell r="I3005">
            <v>-66.7</v>
          </cell>
          <cell r="J3005">
            <v>-67</v>
          </cell>
          <cell r="K3005">
            <v>-27.5</v>
          </cell>
          <cell r="L3005">
            <v>-38.700000000000003</v>
          </cell>
          <cell r="M3005">
            <v>-79.5</v>
          </cell>
        </row>
        <row r="3006">
          <cell r="C3006" t="str">
            <v>220kV 274 Thuận Nam 500 - 274 Quán Thẻ</v>
          </cell>
          <cell r="D3006">
            <v>274</v>
          </cell>
          <cell r="E3006">
            <v>16.5</v>
          </cell>
          <cell r="F3006">
            <v>-112</v>
          </cell>
          <cell r="G3006">
            <v>-112</v>
          </cell>
          <cell r="H3006">
            <v>-67</v>
          </cell>
          <cell r="I3006">
            <v>-49.8</v>
          </cell>
          <cell r="J3006">
            <v>-40.700000000000003</v>
          </cell>
          <cell r="K3006">
            <v>16.5</v>
          </cell>
          <cell r="L3006">
            <v>-21.6</v>
          </cell>
          <cell r="M3006">
            <v>-78.599999999999994</v>
          </cell>
        </row>
        <row r="3007">
          <cell r="C3007" t="str">
            <v>220kV 275 Thuận Nam 500 - 275 NMĐ MT Nhị Hà</v>
          </cell>
          <cell r="D3007">
            <v>275</v>
          </cell>
          <cell r="E3007">
            <v>-30</v>
          </cell>
          <cell r="F3007">
            <v>-48.7</v>
          </cell>
          <cell r="G3007">
            <v>-48.7</v>
          </cell>
          <cell r="H3007">
            <v>-38.299999999999997</v>
          </cell>
          <cell r="I3007">
            <v>-30</v>
          </cell>
          <cell r="J3007">
            <v>-33.4</v>
          </cell>
          <cell r="K3007">
            <v>-39.6</v>
          </cell>
          <cell r="L3007">
            <v>-32.799999999999997</v>
          </cell>
          <cell r="M3007">
            <v>33.1</v>
          </cell>
        </row>
        <row r="3008">
          <cell r="C3008" t="str">
            <v>220kV 276 Thuận Nam 500 - 276 Ninh Phước 2</v>
          </cell>
          <cell r="D3008">
            <v>276</v>
          </cell>
          <cell r="E3008">
            <v>-30</v>
          </cell>
          <cell r="F3008">
            <v>59.8</v>
          </cell>
          <cell r="G3008">
            <v>-42</v>
          </cell>
          <cell r="H3008">
            <v>48.5</v>
          </cell>
          <cell r="I3008">
            <v>43.6</v>
          </cell>
          <cell r="J3008">
            <v>-30</v>
          </cell>
          <cell r="K3008">
            <v>-33.9</v>
          </cell>
          <cell r="L3008">
            <v>-31</v>
          </cell>
          <cell r="M3008">
            <v>59.8</v>
          </cell>
        </row>
        <row r="3009">
          <cell r="C3009" t="str">
            <v>Thuận Nam 500 MBA AT1 (phía 500kV)</v>
          </cell>
          <cell r="D3009">
            <v>531</v>
          </cell>
          <cell r="E3009">
            <v>-39.9</v>
          </cell>
          <cell r="F3009">
            <v>225</v>
          </cell>
          <cell r="G3009">
            <v>225</v>
          </cell>
          <cell r="H3009">
            <v>-44.8</v>
          </cell>
          <cell r="I3009">
            <v>-39.9</v>
          </cell>
          <cell r="J3009">
            <v>-41</v>
          </cell>
          <cell r="K3009">
            <v>-44</v>
          </cell>
          <cell r="L3009">
            <v>-46.1</v>
          </cell>
          <cell r="M3009">
            <v>55.6</v>
          </cell>
        </row>
        <row r="3010">
          <cell r="C3010" t="str">
            <v>Thuận Nam 500 MBA AT2 (phía 500kV)</v>
          </cell>
          <cell r="D3010">
            <v>532</v>
          </cell>
          <cell r="E3010">
            <v>-32.5</v>
          </cell>
          <cell r="F3010">
            <v>179.1</v>
          </cell>
          <cell r="G3010">
            <v>179.1</v>
          </cell>
          <cell r="H3010">
            <v>41.9</v>
          </cell>
          <cell r="I3010">
            <v>43.5</v>
          </cell>
          <cell r="J3010">
            <v>40.6</v>
          </cell>
          <cell r="K3010">
            <v>-32.5</v>
          </cell>
          <cell r="L3010">
            <v>-34.799999999999997</v>
          </cell>
          <cell r="M3010">
            <v>66.3</v>
          </cell>
        </row>
        <row r="3011">
          <cell r="C3011" t="str">
            <v>Tịnh Biên MBA T1 (phía 110kV)</v>
          </cell>
          <cell r="D3011">
            <v>131</v>
          </cell>
          <cell r="E3011">
            <v>-0.3</v>
          </cell>
          <cell r="F3011">
            <v>0.8</v>
          </cell>
          <cell r="G3011">
            <v>0.8</v>
          </cell>
          <cell r="H3011">
            <v>-0.3</v>
          </cell>
          <cell r="I3011">
            <v>-0.5</v>
          </cell>
          <cell r="J3011">
            <v>0.6</v>
          </cell>
          <cell r="K3011">
            <v>0.5</v>
          </cell>
          <cell r="L3011">
            <v>0.4</v>
          </cell>
          <cell r="M3011">
            <v>-0.3</v>
          </cell>
        </row>
        <row r="3012">
          <cell r="C3012" t="str">
            <v>110kV 171 Tịnh Biên - 175 Châu Đốc 2</v>
          </cell>
          <cell r="D3012">
            <v>171</v>
          </cell>
          <cell r="E3012">
            <v>-9.1999999999999993</v>
          </cell>
          <cell r="F3012">
            <v>-21</v>
          </cell>
          <cell r="G3012">
            <v>-14.6</v>
          </cell>
          <cell r="H3012">
            <v>-17.8</v>
          </cell>
          <cell r="I3012">
            <v>-9.1999999999999993</v>
          </cell>
          <cell r="J3012">
            <v>-21</v>
          </cell>
          <cell r="K3012">
            <v>-11.5</v>
          </cell>
          <cell r="L3012">
            <v>-16.600000000000001</v>
          </cell>
          <cell r="M3012">
            <v>-18.100000000000001</v>
          </cell>
        </row>
        <row r="3013">
          <cell r="C3013" t="str">
            <v>110kV 172 Tịnh Biên - 172 NMĐ MT Sao Mai</v>
          </cell>
          <cell r="D3013">
            <v>172</v>
          </cell>
          <cell r="E3013">
            <v>8.6</v>
          </cell>
          <cell r="F3013">
            <v>13.3</v>
          </cell>
          <cell r="G3013">
            <v>8.6</v>
          </cell>
          <cell r="H3013">
            <v>12.5</v>
          </cell>
          <cell r="I3013">
            <v>10</v>
          </cell>
          <cell r="J3013">
            <v>10.8</v>
          </cell>
          <cell r="K3013">
            <v>-9.1</v>
          </cell>
          <cell r="L3013">
            <v>13.3</v>
          </cell>
          <cell r="M3013">
            <v>12.9</v>
          </cell>
        </row>
        <row r="3014">
          <cell r="C3014" t="str">
            <v>110kV 173 Tịnh Biên - 172 NMĐ MT Văn Giáo 1</v>
          </cell>
          <cell r="D3014">
            <v>173</v>
          </cell>
          <cell r="E3014">
            <v>3.8</v>
          </cell>
          <cell r="F3014">
            <v>10.3</v>
          </cell>
          <cell r="G3014">
            <v>6.1</v>
          </cell>
          <cell r="H3014">
            <v>6.4</v>
          </cell>
          <cell r="I3014">
            <v>4.8</v>
          </cell>
          <cell r="J3014">
            <v>10.3</v>
          </cell>
          <cell r="K3014">
            <v>3.8</v>
          </cell>
          <cell r="L3014">
            <v>6.4</v>
          </cell>
          <cell r="M3014">
            <v>5.6</v>
          </cell>
        </row>
        <row r="3015">
          <cell r="C3015" t="str">
            <v>Tịnh Biên MBA T1 (phía 22kV)</v>
          </cell>
          <cell r="D3015">
            <v>431</v>
          </cell>
          <cell r="E3015">
            <v>0.4</v>
          </cell>
          <cell r="F3015">
            <v>0.6</v>
          </cell>
          <cell r="G3015">
            <v>0.6</v>
          </cell>
          <cell r="H3015">
            <v>0.5</v>
          </cell>
          <cell r="I3015">
            <v>0.6</v>
          </cell>
          <cell r="J3015">
            <v>0.5</v>
          </cell>
          <cell r="K3015">
            <v>0.5</v>
          </cell>
          <cell r="L3015">
            <v>0.5</v>
          </cell>
          <cell r="M3015">
            <v>0.4</v>
          </cell>
        </row>
        <row r="3016">
          <cell r="C3016" t="str">
            <v>Tôn Hoa Sen MBA T1 (phía 110kV)</v>
          </cell>
          <cell r="D3016">
            <v>131</v>
          </cell>
          <cell r="E3016">
            <v>0</v>
          </cell>
          <cell r="F3016">
            <v>0</v>
          </cell>
          <cell r="G3016">
            <v>0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</row>
        <row r="3017">
          <cell r="C3017" t="str">
            <v>Tôn Hoa Sen MBA T2 (phía 110kV)</v>
          </cell>
          <cell r="D3017">
            <v>132</v>
          </cell>
          <cell r="E3017">
            <v>5.7</v>
          </cell>
          <cell r="F3017">
            <v>8</v>
          </cell>
          <cell r="G3017">
            <v>5.7</v>
          </cell>
          <cell r="H3017">
            <v>6.2</v>
          </cell>
          <cell r="I3017">
            <v>7.3</v>
          </cell>
          <cell r="J3017">
            <v>8</v>
          </cell>
          <cell r="K3017">
            <v>7.6</v>
          </cell>
          <cell r="L3017">
            <v>7.8</v>
          </cell>
          <cell r="M3017">
            <v>7</v>
          </cell>
        </row>
        <row r="3018">
          <cell r="C3018" t="str">
            <v>110kV 171 Tôn Hoa Sen - 175 Tân Thành</v>
          </cell>
          <cell r="D3018">
            <v>171</v>
          </cell>
          <cell r="E3018">
            <v>-14.3</v>
          </cell>
          <cell r="F3018">
            <v>-44.8</v>
          </cell>
          <cell r="G3018">
            <v>-30.6</v>
          </cell>
          <cell r="H3018">
            <v>-44.8</v>
          </cell>
          <cell r="I3018">
            <v>-34.1</v>
          </cell>
          <cell r="J3018">
            <v>-14.3</v>
          </cell>
          <cell r="K3018">
            <v>-41.4</v>
          </cell>
          <cell r="L3018">
            <v>-34.299999999999997</v>
          </cell>
          <cell r="M3018">
            <v>-36.5</v>
          </cell>
        </row>
        <row r="3019">
          <cell r="C3019" t="str">
            <v>110kV 172 Tôn Hoa Sen - 172 Thép Việt</v>
          </cell>
          <cell r="D3019">
            <v>172</v>
          </cell>
          <cell r="E3019">
            <v>-7.6</v>
          </cell>
          <cell r="F3019">
            <v>38.1</v>
          </cell>
          <cell r="G3019">
            <v>24.6</v>
          </cell>
          <cell r="H3019">
            <v>38.1</v>
          </cell>
          <cell r="I3019">
            <v>25.4</v>
          </cell>
          <cell r="J3019">
            <v>-7.6</v>
          </cell>
          <cell r="K3019">
            <v>31.5</v>
          </cell>
          <cell r="L3019">
            <v>22.9</v>
          </cell>
          <cell r="M3019">
            <v>27.8</v>
          </cell>
        </row>
        <row r="3020">
          <cell r="C3020" t="str">
            <v>Tôn Hoa Sen MBA T1 (phía 22kV)</v>
          </cell>
          <cell r="D3020">
            <v>431</v>
          </cell>
          <cell r="E3020">
            <v>0</v>
          </cell>
          <cell r="F3020">
            <v>0</v>
          </cell>
          <cell r="G3020">
            <v>0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</row>
        <row r="3021">
          <cell r="C3021" t="str">
            <v>Tôn Hoa Sen MBA T2 (phía 22kV)</v>
          </cell>
          <cell r="D3021">
            <v>432</v>
          </cell>
          <cell r="E3021">
            <v>-8</v>
          </cell>
          <cell r="F3021">
            <v>-10.5</v>
          </cell>
          <cell r="G3021">
            <v>-8</v>
          </cell>
          <cell r="H3021">
            <v>-8.6999999999999993</v>
          </cell>
          <cell r="I3021">
            <v>-9.9</v>
          </cell>
          <cell r="J3021">
            <v>-10.199999999999999</v>
          </cell>
          <cell r="K3021">
            <v>-10.1</v>
          </cell>
          <cell r="L3021">
            <v>-10.5</v>
          </cell>
          <cell r="M3021">
            <v>-9.5</v>
          </cell>
        </row>
        <row r="3022">
          <cell r="C3022" t="str">
            <v>Trà Nóc MBA AT1 (phía 110kV)</v>
          </cell>
          <cell r="D3022">
            <v>131</v>
          </cell>
          <cell r="E3022">
            <v>6.5</v>
          </cell>
          <cell r="F3022">
            <v>-15.6</v>
          </cell>
          <cell r="G3022">
            <v>6.5</v>
          </cell>
          <cell r="H3022">
            <v>-11</v>
          </cell>
          <cell r="I3022">
            <v>-9</v>
          </cell>
          <cell r="J3022">
            <v>8.4</v>
          </cell>
          <cell r="K3022">
            <v>-9.1999999999999993</v>
          </cell>
          <cell r="L3022">
            <v>-11.4</v>
          </cell>
          <cell r="M3022">
            <v>-15.6</v>
          </cell>
        </row>
        <row r="3023">
          <cell r="C3023" t="str">
            <v>Trà Nóc MBA AT2 (phía 110kV)</v>
          </cell>
          <cell r="D3023">
            <v>132</v>
          </cell>
          <cell r="E3023">
            <v>-5</v>
          </cell>
          <cell r="F3023">
            <v>-6</v>
          </cell>
          <cell r="G3023">
            <v>-6</v>
          </cell>
          <cell r="H3023">
            <v>-5.0999999999999996</v>
          </cell>
          <cell r="I3023">
            <v>-5</v>
          </cell>
          <cell r="J3023">
            <v>-5.3</v>
          </cell>
          <cell r="K3023">
            <v>-5.5</v>
          </cell>
          <cell r="L3023">
            <v>-5.7</v>
          </cell>
          <cell r="M3023">
            <v>-5.7</v>
          </cell>
        </row>
        <row r="3024">
          <cell r="C3024" t="str">
            <v>110kV 171 Trà Nóc - 171 KCN Cần Thơ</v>
          </cell>
          <cell r="D3024">
            <v>171</v>
          </cell>
          <cell r="E3024">
            <v>0</v>
          </cell>
          <cell r="F3024">
            <v>-0.1</v>
          </cell>
          <cell r="G3024">
            <v>-0.1</v>
          </cell>
          <cell r="H3024">
            <v>-0.1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</row>
        <row r="3025">
          <cell r="C3025" t="str">
            <v>110kV 172 Trà Nóc - 174 NMĐ Ô Môn</v>
          </cell>
          <cell r="D3025">
            <v>172</v>
          </cell>
          <cell r="E3025">
            <v>0</v>
          </cell>
          <cell r="F3025">
            <v>0</v>
          </cell>
          <cell r="G3025">
            <v>0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</row>
        <row r="3026">
          <cell r="C3026" t="str">
            <v>110kV 173 Trà Nóc - 180 Cần Thơ 2</v>
          </cell>
          <cell r="D3026">
            <v>173</v>
          </cell>
          <cell r="E3026">
            <v>0</v>
          </cell>
          <cell r="F3026">
            <v>0</v>
          </cell>
          <cell r="G3026">
            <v>0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</row>
        <row r="3027">
          <cell r="C3027" t="str">
            <v>110kV 174 Trà Nóc - 171 GT 3, 4 Cần Thơ</v>
          </cell>
          <cell r="D3027">
            <v>174</v>
          </cell>
          <cell r="E3027">
            <v>0.1</v>
          </cell>
          <cell r="F3027">
            <v>0.2</v>
          </cell>
          <cell r="G3027">
            <v>0.2</v>
          </cell>
          <cell r="H3027">
            <v>0.1</v>
          </cell>
          <cell r="I3027">
            <v>0.1</v>
          </cell>
          <cell r="J3027">
            <v>0.1</v>
          </cell>
          <cell r="K3027">
            <v>0.2</v>
          </cell>
          <cell r="L3027">
            <v>0.1</v>
          </cell>
          <cell r="M3027">
            <v>0.2</v>
          </cell>
        </row>
        <row r="3028">
          <cell r="C3028" t="str">
            <v>110kV 175 Trà Nóc - 171 Long Hòa</v>
          </cell>
          <cell r="D3028">
            <v>175</v>
          </cell>
          <cell r="E3028">
            <v>6.3</v>
          </cell>
          <cell r="F3028">
            <v>11.4</v>
          </cell>
          <cell r="G3028">
            <v>6.3</v>
          </cell>
          <cell r="H3028">
            <v>7.3</v>
          </cell>
          <cell r="I3028">
            <v>6.7</v>
          </cell>
          <cell r="J3028">
            <v>8.5</v>
          </cell>
          <cell r="K3028">
            <v>6.5</v>
          </cell>
          <cell r="L3028">
            <v>7.6</v>
          </cell>
          <cell r="M3028">
            <v>11.4</v>
          </cell>
        </row>
        <row r="3029">
          <cell r="C3029" t="str">
            <v>110kV 176 Trà Nóc - 131 Bình Thủy</v>
          </cell>
          <cell r="D3029">
            <v>176</v>
          </cell>
          <cell r="E3029">
            <v>4.4000000000000004</v>
          </cell>
          <cell r="F3029">
            <v>6.9</v>
          </cell>
          <cell r="G3029">
            <v>5.0999999999999996</v>
          </cell>
          <cell r="H3029">
            <v>5.8</v>
          </cell>
          <cell r="I3029">
            <v>4.4000000000000004</v>
          </cell>
          <cell r="J3029">
            <v>-5.6</v>
          </cell>
          <cell r="K3029">
            <v>6.3</v>
          </cell>
          <cell r="L3029">
            <v>6.2</v>
          </cell>
          <cell r="M3029">
            <v>6.9</v>
          </cell>
        </row>
        <row r="3030">
          <cell r="C3030" t="str">
            <v>Trà Nóc MBA AT1 (phía 220kV)</v>
          </cell>
          <cell r="D3030">
            <v>231</v>
          </cell>
          <cell r="E3030">
            <v>-7</v>
          </cell>
          <cell r="F3030">
            <v>19.100000000000001</v>
          </cell>
          <cell r="G3030">
            <v>9.4</v>
          </cell>
          <cell r="H3030">
            <v>13.8</v>
          </cell>
          <cell r="I3030">
            <v>11.6</v>
          </cell>
          <cell r="J3030">
            <v>-7</v>
          </cell>
          <cell r="K3030">
            <v>12.3</v>
          </cell>
          <cell r="L3030">
            <v>14.3</v>
          </cell>
          <cell r="M3030">
            <v>19.100000000000001</v>
          </cell>
        </row>
        <row r="3031">
          <cell r="C3031" t="str">
            <v>Trà Nóc MBA AT2 (phía 220kV)</v>
          </cell>
          <cell r="D3031">
            <v>232</v>
          </cell>
          <cell r="E3031">
            <v>5.8</v>
          </cell>
          <cell r="F3031">
            <v>7</v>
          </cell>
          <cell r="G3031">
            <v>7</v>
          </cell>
          <cell r="H3031">
            <v>6</v>
          </cell>
          <cell r="I3031">
            <v>5.8</v>
          </cell>
          <cell r="J3031">
            <v>6</v>
          </cell>
          <cell r="K3031">
            <v>6.2</v>
          </cell>
          <cell r="L3031">
            <v>6.7</v>
          </cell>
          <cell r="M3031">
            <v>6.6</v>
          </cell>
        </row>
        <row r="3032">
          <cell r="C3032" t="str">
            <v>220kV 271 Trà Nóc - 275 Cần Thơ 2</v>
          </cell>
          <cell r="D3032">
            <v>271</v>
          </cell>
          <cell r="E3032">
            <v>-6.6</v>
          </cell>
          <cell r="F3032">
            <v>-9.6999999999999993</v>
          </cell>
          <cell r="G3032">
            <v>-7.5</v>
          </cell>
          <cell r="H3032">
            <v>-6.6</v>
          </cell>
          <cell r="I3032">
            <v>-6.6</v>
          </cell>
          <cell r="J3032">
            <v>-7</v>
          </cell>
          <cell r="K3032">
            <v>-9.6999999999999993</v>
          </cell>
          <cell r="L3032">
            <v>-8.6999999999999993</v>
          </cell>
          <cell r="M3032">
            <v>-8.4</v>
          </cell>
        </row>
        <row r="3033">
          <cell r="C3033" t="str">
            <v>220kV 272 Trà Nóc - 271 NMĐ Ô Môn</v>
          </cell>
          <cell r="D3033">
            <v>272</v>
          </cell>
          <cell r="E3033">
            <v>-11.6</v>
          </cell>
          <cell r="F3033">
            <v>-18.2</v>
          </cell>
          <cell r="G3033">
            <v>-13</v>
          </cell>
          <cell r="H3033">
            <v>-14.7</v>
          </cell>
          <cell r="I3033">
            <v>-13</v>
          </cell>
          <cell r="J3033">
            <v>13.1</v>
          </cell>
          <cell r="K3033">
            <v>-11.6</v>
          </cell>
          <cell r="L3033">
            <v>-13.4</v>
          </cell>
          <cell r="M3033">
            <v>-18.2</v>
          </cell>
        </row>
        <row r="3034">
          <cell r="C3034" t="str">
            <v>Trà Vinh MBA T1 (phía 110kV)</v>
          </cell>
          <cell r="D3034">
            <v>131</v>
          </cell>
          <cell r="E3034">
            <v>-1.1000000000000001</v>
          </cell>
          <cell r="F3034">
            <v>-1.5</v>
          </cell>
          <cell r="G3034">
            <v>-1.3</v>
          </cell>
          <cell r="H3034">
            <v>-1.1000000000000001</v>
          </cell>
          <cell r="I3034">
            <v>-1.2</v>
          </cell>
          <cell r="J3034">
            <v>-1.5</v>
          </cell>
          <cell r="K3034">
            <v>-1.2</v>
          </cell>
          <cell r="L3034">
            <v>-1.4</v>
          </cell>
          <cell r="M3034">
            <v>-1.5</v>
          </cell>
        </row>
        <row r="3035">
          <cell r="C3035" t="str">
            <v>Trà Vinh MBA T2 (phía 110kV)</v>
          </cell>
          <cell r="D3035">
            <v>132</v>
          </cell>
          <cell r="E3035">
            <v>3.3</v>
          </cell>
          <cell r="F3035">
            <v>4.7</v>
          </cell>
          <cell r="G3035">
            <v>4.7</v>
          </cell>
          <cell r="H3035">
            <v>4.0999999999999996</v>
          </cell>
          <cell r="I3035">
            <v>4.0999999999999996</v>
          </cell>
          <cell r="J3035">
            <v>3.9</v>
          </cell>
          <cell r="K3035">
            <v>3.9</v>
          </cell>
          <cell r="L3035">
            <v>3.3</v>
          </cell>
          <cell r="M3035">
            <v>3.4</v>
          </cell>
        </row>
        <row r="3036">
          <cell r="C3036" t="str">
            <v>110kV 171 Trà Vinh - 171 Long Đức</v>
          </cell>
          <cell r="D3036">
            <v>171</v>
          </cell>
          <cell r="E3036">
            <v>-2.7</v>
          </cell>
          <cell r="F3036">
            <v>-4.5</v>
          </cell>
          <cell r="G3036">
            <v>-2.9</v>
          </cell>
          <cell r="H3036">
            <v>-2.7</v>
          </cell>
          <cell r="I3036">
            <v>-3</v>
          </cell>
          <cell r="J3036">
            <v>-4.5</v>
          </cell>
          <cell r="K3036">
            <v>-3.8</v>
          </cell>
          <cell r="L3036">
            <v>-3.7</v>
          </cell>
          <cell r="M3036">
            <v>-2.9</v>
          </cell>
        </row>
        <row r="3037">
          <cell r="C3037" t="str">
            <v>110kV 172 Trà Vinh - 171 Trà Vinh 2</v>
          </cell>
          <cell r="D3037">
            <v>172</v>
          </cell>
          <cell r="E3037">
            <v>3.1</v>
          </cell>
          <cell r="F3037">
            <v>22.8</v>
          </cell>
          <cell r="G3037">
            <v>20.100000000000001</v>
          </cell>
          <cell r="H3037">
            <v>22.8</v>
          </cell>
          <cell r="I3037">
            <v>4.3</v>
          </cell>
          <cell r="J3037">
            <v>6.5</v>
          </cell>
          <cell r="K3037">
            <v>4.5999999999999996</v>
          </cell>
          <cell r="L3037">
            <v>3.1</v>
          </cell>
          <cell r="M3037">
            <v>4.8</v>
          </cell>
        </row>
        <row r="3038">
          <cell r="C3038" t="str">
            <v>Trà Vinh MBA T1 (phía 22kV)</v>
          </cell>
          <cell r="D3038">
            <v>431</v>
          </cell>
          <cell r="E3038">
            <v>1.2</v>
          </cell>
          <cell r="F3038">
            <v>2</v>
          </cell>
          <cell r="G3038">
            <v>1.5</v>
          </cell>
          <cell r="H3038">
            <v>1.2</v>
          </cell>
          <cell r="I3038">
            <v>1.4</v>
          </cell>
          <cell r="J3038">
            <v>2</v>
          </cell>
          <cell r="K3038">
            <v>1.4</v>
          </cell>
          <cell r="L3038">
            <v>1.5</v>
          </cell>
          <cell r="M3038">
            <v>1.4</v>
          </cell>
        </row>
        <row r="3039">
          <cell r="C3039" t="str">
            <v>Trà Vinh MBA T2 (phía 22kV)</v>
          </cell>
          <cell r="D3039">
            <v>432</v>
          </cell>
          <cell r="E3039">
            <v>-2.4</v>
          </cell>
          <cell r="F3039">
            <v>4.2</v>
          </cell>
          <cell r="G3039">
            <v>-2.4</v>
          </cell>
          <cell r="H3039">
            <v>4.2</v>
          </cell>
          <cell r="I3039">
            <v>3.3</v>
          </cell>
          <cell r="J3039">
            <v>-2.7</v>
          </cell>
          <cell r="K3039">
            <v>3.6</v>
          </cell>
          <cell r="L3039">
            <v>3.7</v>
          </cell>
          <cell r="M3039">
            <v>3.4</v>
          </cell>
        </row>
        <row r="3040">
          <cell r="C3040" t="str">
            <v>Trà Vinh 2 MBA AT1 (phía 110kV)</v>
          </cell>
          <cell r="D3040">
            <v>131</v>
          </cell>
          <cell r="E3040">
            <v>3.6</v>
          </cell>
          <cell r="F3040">
            <v>16.100000000000001</v>
          </cell>
          <cell r="G3040">
            <v>16.100000000000001</v>
          </cell>
          <cell r="H3040">
            <v>16.100000000000001</v>
          </cell>
          <cell r="I3040">
            <v>4.4000000000000004</v>
          </cell>
          <cell r="J3040">
            <v>6.6</v>
          </cell>
          <cell r="K3040">
            <v>10.199999999999999</v>
          </cell>
          <cell r="L3040">
            <v>3.6</v>
          </cell>
          <cell r="M3040">
            <v>4.5999999999999996</v>
          </cell>
        </row>
        <row r="3041">
          <cell r="C3041" t="str">
            <v>Trà Vinh 2 MBA AT2 (phía 110kV)</v>
          </cell>
          <cell r="D3041">
            <v>132</v>
          </cell>
          <cell r="E3041">
            <v>-1.8</v>
          </cell>
          <cell r="F3041">
            <v>7.7</v>
          </cell>
          <cell r="G3041">
            <v>7.7</v>
          </cell>
          <cell r="H3041">
            <v>6.8</v>
          </cell>
          <cell r="I3041">
            <v>-2.7</v>
          </cell>
          <cell r="J3041">
            <v>-2.6</v>
          </cell>
          <cell r="K3041">
            <v>2.2000000000000002</v>
          </cell>
          <cell r="L3041">
            <v>-1.8</v>
          </cell>
          <cell r="M3041">
            <v>-2</v>
          </cell>
        </row>
        <row r="3042">
          <cell r="C3042" t="str">
            <v>110kV 171 Trà Vinh 2 - 172 Trà Vinh</v>
          </cell>
          <cell r="D3042">
            <v>171</v>
          </cell>
          <cell r="E3042">
            <v>3.1</v>
          </cell>
          <cell r="F3042">
            <v>-21.5</v>
          </cell>
          <cell r="G3042">
            <v>-19.5</v>
          </cell>
          <cell r="H3042">
            <v>-21.5</v>
          </cell>
          <cell r="I3042">
            <v>5</v>
          </cell>
          <cell r="J3042">
            <v>6.7</v>
          </cell>
          <cell r="K3042">
            <v>3.8</v>
          </cell>
          <cell r="L3042">
            <v>3.1</v>
          </cell>
          <cell r="M3042">
            <v>-4.4000000000000004</v>
          </cell>
        </row>
        <row r="3043">
          <cell r="C3043" t="str">
            <v>110kV 172 Trà Vinh 2 - 172 Cầu Ngang</v>
          </cell>
          <cell r="D3043">
            <v>172</v>
          </cell>
          <cell r="E3043">
            <v>-3.3</v>
          </cell>
          <cell r="F3043">
            <v>5.2</v>
          </cell>
          <cell r="G3043">
            <v>3.7</v>
          </cell>
          <cell r="H3043">
            <v>3.9</v>
          </cell>
          <cell r="I3043">
            <v>4.4000000000000004</v>
          </cell>
          <cell r="J3043">
            <v>5.2</v>
          </cell>
          <cell r="K3043">
            <v>-4.0999999999999996</v>
          </cell>
          <cell r="L3043">
            <v>3.6</v>
          </cell>
          <cell r="M3043">
            <v>-3.3</v>
          </cell>
        </row>
        <row r="3044">
          <cell r="C3044" t="str">
            <v>110kV 174 Trà Vinh 2 - 172 Cầu Kè</v>
          </cell>
          <cell r="D3044">
            <v>174</v>
          </cell>
          <cell r="E3044">
            <v>-1.8</v>
          </cell>
          <cell r="F3044">
            <v>-2.9</v>
          </cell>
          <cell r="G3044">
            <v>-2.9</v>
          </cell>
          <cell r="H3044">
            <v>-2.4</v>
          </cell>
          <cell r="I3044">
            <v>-2.4</v>
          </cell>
          <cell r="J3044">
            <v>-2.2000000000000002</v>
          </cell>
          <cell r="K3044">
            <v>-2.8</v>
          </cell>
          <cell r="L3044">
            <v>-1.8</v>
          </cell>
          <cell r="M3044">
            <v>-2.2999999999999998</v>
          </cell>
        </row>
        <row r="3045">
          <cell r="C3045" t="str">
            <v>Trà Vinh 2 MBA AT1 (phía 220kV)</v>
          </cell>
          <cell r="D3045">
            <v>231</v>
          </cell>
          <cell r="E3045">
            <v>-4.8</v>
          </cell>
          <cell r="F3045">
            <v>-12.7</v>
          </cell>
          <cell r="G3045">
            <v>-12.5</v>
          </cell>
          <cell r="H3045">
            <v>-12.7</v>
          </cell>
          <cell r="I3045">
            <v>7.5</v>
          </cell>
          <cell r="J3045">
            <v>6.3</v>
          </cell>
          <cell r="K3045">
            <v>-4.8</v>
          </cell>
          <cell r="L3045">
            <v>4.9000000000000004</v>
          </cell>
          <cell r="M3045">
            <v>6.1</v>
          </cell>
        </row>
        <row r="3046">
          <cell r="C3046" t="str">
            <v>Trà Vinh 2 MBA AT2 (phía 220kV)</v>
          </cell>
          <cell r="D3046">
            <v>232</v>
          </cell>
          <cell r="E3046">
            <v>3.1</v>
          </cell>
          <cell r="F3046">
            <v>-6.2</v>
          </cell>
          <cell r="G3046">
            <v>-6.2</v>
          </cell>
          <cell r="H3046">
            <v>-4.7</v>
          </cell>
          <cell r="I3046">
            <v>3.7</v>
          </cell>
          <cell r="J3046">
            <v>3.1</v>
          </cell>
          <cell r="K3046">
            <v>4.3</v>
          </cell>
          <cell r="L3046">
            <v>3.6</v>
          </cell>
          <cell r="M3046">
            <v>5.0999999999999996</v>
          </cell>
        </row>
        <row r="3047">
          <cell r="C3047" t="str">
            <v>220kV 273 Trà Vinh 2 - 271 Vĩnh Long 2</v>
          </cell>
          <cell r="D3047">
            <v>273</v>
          </cell>
          <cell r="E3047">
            <v>-25.6</v>
          </cell>
          <cell r="F3047">
            <v>-59.7</v>
          </cell>
          <cell r="G3047">
            <v>-52.3</v>
          </cell>
          <cell r="H3047">
            <v>-59.7</v>
          </cell>
          <cell r="I3047">
            <v>-25.6</v>
          </cell>
          <cell r="J3047">
            <v>-35.799999999999997</v>
          </cell>
          <cell r="K3047">
            <v>-35.9</v>
          </cell>
          <cell r="L3047">
            <v>-37</v>
          </cell>
          <cell r="M3047">
            <v>-29.3</v>
          </cell>
        </row>
        <row r="3048">
          <cell r="C3048" t="str">
            <v>220kV 274 Trà Vinh 2 - 272 Vĩnh Long 2</v>
          </cell>
          <cell r="D3048">
            <v>274</v>
          </cell>
          <cell r="E3048">
            <v>-25.5</v>
          </cell>
          <cell r="F3048">
            <v>-60.6</v>
          </cell>
          <cell r="G3048">
            <v>-50.8</v>
          </cell>
          <cell r="H3048">
            <v>-60.6</v>
          </cell>
          <cell r="I3048">
            <v>-25.5</v>
          </cell>
          <cell r="J3048">
            <v>-36.1</v>
          </cell>
          <cell r="K3048">
            <v>-35.799999999999997</v>
          </cell>
          <cell r="L3048">
            <v>-37.200000000000003</v>
          </cell>
          <cell r="M3048">
            <v>-27.5</v>
          </cell>
        </row>
        <row r="3049">
          <cell r="C3049" t="str">
            <v>220kV 275 Trà Vinh 2 - 273 Duyên Hải</v>
          </cell>
          <cell r="D3049">
            <v>275</v>
          </cell>
          <cell r="E3049">
            <v>32.9</v>
          </cell>
          <cell r="F3049">
            <v>74.599999999999994</v>
          </cell>
          <cell r="G3049">
            <v>63.1</v>
          </cell>
          <cell r="H3049">
            <v>74.599999999999994</v>
          </cell>
          <cell r="I3049">
            <v>32.9</v>
          </cell>
          <cell r="J3049">
            <v>41.1</v>
          </cell>
          <cell r="K3049">
            <v>42</v>
          </cell>
          <cell r="L3049">
            <v>45.6</v>
          </cell>
          <cell r="M3049">
            <v>38.200000000000003</v>
          </cell>
        </row>
        <row r="3050">
          <cell r="C3050" t="str">
            <v>220kV 276 Trà Vinh 2 - 274 Duyên Hải</v>
          </cell>
          <cell r="D3050">
            <v>276</v>
          </cell>
          <cell r="E3050">
            <v>21.1</v>
          </cell>
          <cell r="F3050">
            <v>51.5</v>
          </cell>
          <cell r="G3050">
            <v>40.200000000000003</v>
          </cell>
          <cell r="H3050">
            <v>51.5</v>
          </cell>
          <cell r="I3050">
            <v>-22.1</v>
          </cell>
          <cell r="J3050">
            <v>23.8</v>
          </cell>
          <cell r="K3050">
            <v>29.6</v>
          </cell>
          <cell r="L3050">
            <v>29</v>
          </cell>
          <cell r="M3050">
            <v>21.1</v>
          </cell>
        </row>
        <row r="3051">
          <cell r="C3051" t="str">
            <v>110kV 171 trạm cắt Hậu Sanh - 171 NMĐ MT Phước Hữu - Điện Lực 1</v>
          </cell>
          <cell r="D3051">
            <v>171</v>
          </cell>
          <cell r="E3051">
            <v>0.2</v>
          </cell>
          <cell r="F3051">
            <v>4.7</v>
          </cell>
          <cell r="G3051">
            <v>3.7</v>
          </cell>
          <cell r="H3051">
            <v>4.5999999999999996</v>
          </cell>
          <cell r="I3051">
            <v>3.8</v>
          </cell>
          <cell r="J3051">
            <v>2.2000000000000002</v>
          </cell>
          <cell r="K3051">
            <v>0.4</v>
          </cell>
          <cell r="L3051">
            <v>0.2</v>
          </cell>
          <cell r="M3051">
            <v>4.7</v>
          </cell>
        </row>
        <row r="3052">
          <cell r="C3052" t="str">
            <v>110kV 172 trạm cắt Hậu Sanh - 131 NMĐ BP Solar 1</v>
          </cell>
          <cell r="D3052">
            <v>172</v>
          </cell>
          <cell r="E3052">
            <v>0.8</v>
          </cell>
          <cell r="F3052">
            <v>8.1</v>
          </cell>
          <cell r="G3052">
            <v>7.1</v>
          </cell>
          <cell r="H3052">
            <v>8</v>
          </cell>
          <cell r="I3052">
            <v>8.1</v>
          </cell>
          <cell r="J3052">
            <v>1.8</v>
          </cell>
          <cell r="K3052">
            <v>0.8</v>
          </cell>
          <cell r="L3052">
            <v>0.8</v>
          </cell>
          <cell r="M3052">
            <v>6.4</v>
          </cell>
        </row>
        <row r="3053">
          <cell r="C3053" t="str">
            <v>110kV 173 trạm cắt Hậu Sanh - 171 NMĐ MT Bầu Zôn</v>
          </cell>
          <cell r="D3053">
            <v>173</v>
          </cell>
          <cell r="E3053">
            <v>0.1</v>
          </cell>
          <cell r="F3053">
            <v>0.6</v>
          </cell>
          <cell r="G3053">
            <v>0.3</v>
          </cell>
          <cell r="H3053">
            <v>0.6</v>
          </cell>
          <cell r="I3053">
            <v>0.6</v>
          </cell>
          <cell r="J3053">
            <v>0.1</v>
          </cell>
          <cell r="K3053">
            <v>0.1</v>
          </cell>
          <cell r="L3053">
            <v>0.1</v>
          </cell>
          <cell r="M3053">
            <v>0.4</v>
          </cell>
        </row>
        <row r="3054">
          <cell r="C3054" t="str">
            <v>110kV 174 trạm cắt Hậu Sanh - 171 NMĐ MT Sinenergy Ninh Thuận 1</v>
          </cell>
          <cell r="D3054">
            <v>174</v>
          </cell>
          <cell r="E3054">
            <v>-0.4</v>
          </cell>
          <cell r="F3054">
            <v>1.4</v>
          </cell>
          <cell r="G3054">
            <v>0.9</v>
          </cell>
          <cell r="H3054">
            <v>1</v>
          </cell>
          <cell r="I3054">
            <v>1.4</v>
          </cell>
          <cell r="J3054">
            <v>0.6</v>
          </cell>
          <cell r="K3054">
            <v>-0.4</v>
          </cell>
          <cell r="L3054">
            <v>-0.4</v>
          </cell>
          <cell r="M3054">
            <v>1.2</v>
          </cell>
        </row>
        <row r="3055">
          <cell r="C3055" t="str">
            <v>110kV 175 trạm cắt Hậu Sanh - 172 NMĐ MT Hồ Bàu Ngứ</v>
          </cell>
          <cell r="D3055">
            <v>175</v>
          </cell>
          <cell r="E3055">
            <v>-1</v>
          </cell>
          <cell r="F3055">
            <v>-5</v>
          </cell>
          <cell r="G3055">
            <v>-5</v>
          </cell>
          <cell r="H3055">
            <v>-2.9</v>
          </cell>
          <cell r="I3055">
            <v>-2.5</v>
          </cell>
          <cell r="J3055">
            <v>-1</v>
          </cell>
          <cell r="K3055">
            <v>-1.5</v>
          </cell>
          <cell r="L3055">
            <v>-1</v>
          </cell>
          <cell r="M3055">
            <v>-2.6</v>
          </cell>
        </row>
        <row r="3056">
          <cell r="C3056" t="str">
            <v>110kV 176 trạm cắt Hậu Sanh - 171 Ninh Phước</v>
          </cell>
          <cell r="D3056">
            <v>176</v>
          </cell>
          <cell r="E3056">
            <v>-1.3</v>
          </cell>
          <cell r="F3056">
            <v>9.1999999999999993</v>
          </cell>
          <cell r="G3056">
            <v>9.1999999999999993</v>
          </cell>
          <cell r="H3056">
            <v>2.8</v>
          </cell>
          <cell r="I3056">
            <v>-2.1</v>
          </cell>
          <cell r="J3056">
            <v>3.1</v>
          </cell>
          <cell r="K3056">
            <v>-1.3</v>
          </cell>
          <cell r="L3056">
            <v>-2.1</v>
          </cell>
          <cell r="M3056">
            <v>4.9000000000000004</v>
          </cell>
        </row>
        <row r="3057">
          <cell r="C3057" t="str">
            <v>110kV 177 trạm cắt Hậu Sanh - 172 Ninh Phước</v>
          </cell>
          <cell r="D3057">
            <v>177</v>
          </cell>
          <cell r="E3057">
            <v>-1.7</v>
          </cell>
          <cell r="F3057">
            <v>9.6999999999999993</v>
          </cell>
          <cell r="G3057">
            <v>9.6999999999999993</v>
          </cell>
          <cell r="H3057">
            <v>2.8</v>
          </cell>
          <cell r="I3057">
            <v>-2.1</v>
          </cell>
          <cell r="J3057">
            <v>3.6</v>
          </cell>
          <cell r="K3057">
            <v>-1.7</v>
          </cell>
          <cell r="L3057">
            <v>-2.5</v>
          </cell>
          <cell r="M3057">
            <v>4.7</v>
          </cell>
        </row>
        <row r="3058">
          <cell r="C3058" t="str">
            <v>110kV 178 trạm cắt Hậu Sanh - 172 NMĐ MT Phước Ninh</v>
          </cell>
          <cell r="D3058">
            <v>178</v>
          </cell>
          <cell r="E3058">
            <v>7.9</v>
          </cell>
          <cell r="F3058">
            <v>12.4</v>
          </cell>
          <cell r="G3058">
            <v>8.4</v>
          </cell>
          <cell r="H3058">
            <v>7.9</v>
          </cell>
          <cell r="I3058">
            <v>9.4</v>
          </cell>
          <cell r="J3058">
            <v>12.4</v>
          </cell>
          <cell r="K3058">
            <v>-8</v>
          </cell>
          <cell r="L3058">
            <v>-8.1999999999999993</v>
          </cell>
          <cell r="M3058">
            <v>9.6999999999999993</v>
          </cell>
        </row>
        <row r="3059">
          <cell r="C3059" t="str">
            <v>110kV 172 trạm cắt Dân Bình - 171 NMĐ MT Hàm Kiệm</v>
          </cell>
          <cell r="D3059">
            <v>172</v>
          </cell>
          <cell r="E3059">
            <v>0.3</v>
          </cell>
          <cell r="F3059">
            <v>4.7</v>
          </cell>
          <cell r="G3059">
            <v>4</v>
          </cell>
          <cell r="H3059">
            <v>2.4</v>
          </cell>
          <cell r="I3059">
            <v>4.0999999999999996</v>
          </cell>
          <cell r="J3059">
            <v>4</v>
          </cell>
          <cell r="K3059">
            <v>2.6</v>
          </cell>
          <cell r="L3059">
            <v>0.3</v>
          </cell>
          <cell r="M3059">
            <v>4.7</v>
          </cell>
        </row>
        <row r="3060">
          <cell r="C3060" t="str">
            <v>110kV 173 trạm cắt Dân Bình - (131, 132) Văn Mỹ</v>
          </cell>
          <cell r="D3060">
            <v>173</v>
          </cell>
          <cell r="E3060">
            <v>-1.8</v>
          </cell>
          <cell r="F3060">
            <v>4.9000000000000004</v>
          </cell>
          <cell r="G3060">
            <v>2.2999999999999998</v>
          </cell>
          <cell r="H3060">
            <v>2.7</v>
          </cell>
          <cell r="I3060">
            <v>-4.5999999999999996</v>
          </cell>
          <cell r="J3060">
            <v>3.5</v>
          </cell>
          <cell r="K3060">
            <v>-1.8</v>
          </cell>
          <cell r="L3060">
            <v>4.9000000000000004</v>
          </cell>
          <cell r="M3060">
            <v>2.6</v>
          </cell>
        </row>
        <row r="3061">
          <cell r="C3061" t="str">
            <v>110kV 174 trạm cắt Dân Bình - 172 Hàm Kiệm</v>
          </cell>
          <cell r="D3061">
            <v>174</v>
          </cell>
          <cell r="E3061">
            <v>-2.8</v>
          </cell>
          <cell r="F3061">
            <v>-5.4</v>
          </cell>
          <cell r="G3061">
            <v>-5.4</v>
          </cell>
          <cell r="H3061">
            <v>-3.3</v>
          </cell>
          <cell r="I3061">
            <v>5.0999999999999996</v>
          </cell>
          <cell r="J3061">
            <v>-4.8</v>
          </cell>
          <cell r="K3061">
            <v>-2.8</v>
          </cell>
          <cell r="L3061">
            <v>-4.0999999999999996</v>
          </cell>
          <cell r="M3061">
            <v>-5.4</v>
          </cell>
        </row>
        <row r="3062">
          <cell r="C3062" t="str">
            <v>110kV 173 trạm cắt Sông Lũy 1 - 174 Phan Thiết</v>
          </cell>
          <cell r="D3062">
            <v>173</v>
          </cell>
          <cell r="E3062">
            <v>3.4</v>
          </cell>
          <cell r="F3062">
            <v>-7.6</v>
          </cell>
          <cell r="G3062">
            <v>-5.9</v>
          </cell>
          <cell r="H3062">
            <v>-4.9000000000000004</v>
          </cell>
          <cell r="I3062">
            <v>-6.2</v>
          </cell>
          <cell r="J3062">
            <v>-6</v>
          </cell>
          <cell r="K3062">
            <v>-6</v>
          </cell>
          <cell r="L3062">
            <v>3.4</v>
          </cell>
          <cell r="M3062">
            <v>-7.6</v>
          </cell>
        </row>
        <row r="3063">
          <cell r="C3063" t="str">
            <v>110kV 174 trạm cắt Sông Lũy 1 - 172 Lương Sơn</v>
          </cell>
          <cell r="D3063">
            <v>174</v>
          </cell>
          <cell r="E3063">
            <v>-2.7</v>
          </cell>
          <cell r="F3063">
            <v>-4</v>
          </cell>
          <cell r="G3063">
            <v>-3.8</v>
          </cell>
          <cell r="H3063">
            <v>-4</v>
          </cell>
          <cell r="I3063">
            <v>-3.2</v>
          </cell>
          <cell r="J3063">
            <v>-2.7</v>
          </cell>
          <cell r="K3063">
            <v>-3</v>
          </cell>
          <cell r="L3063">
            <v>-3.4</v>
          </cell>
          <cell r="M3063">
            <v>-2.9</v>
          </cell>
        </row>
        <row r="3064">
          <cell r="C3064" t="str">
            <v>110kV 171 trạm cắt Tây Ninh 1 - 171 Tân Hưng</v>
          </cell>
          <cell r="D3064">
            <v>171</v>
          </cell>
          <cell r="E3064">
            <v>-6.6</v>
          </cell>
          <cell r="F3064">
            <v>-10.7</v>
          </cell>
          <cell r="G3064">
            <v>-7.1</v>
          </cell>
          <cell r="H3064">
            <v>-9.9</v>
          </cell>
          <cell r="I3064">
            <v>-9.1</v>
          </cell>
          <cell r="J3064">
            <v>8.1999999999999993</v>
          </cell>
          <cell r="K3064">
            <v>-6.6</v>
          </cell>
          <cell r="L3064">
            <v>10</v>
          </cell>
          <cell r="M3064">
            <v>-10.7</v>
          </cell>
        </row>
        <row r="3065">
          <cell r="C3065" t="str">
            <v>110kV 172 trạm cắt Tây Ninh 1 - 172 NMĐ Bourbon</v>
          </cell>
          <cell r="D3065">
            <v>172</v>
          </cell>
          <cell r="E3065">
            <v>-8.3000000000000007</v>
          </cell>
          <cell r="F3065">
            <v>-13.2</v>
          </cell>
          <cell r="G3065">
            <v>8.8000000000000007</v>
          </cell>
          <cell r="H3065">
            <v>11.6</v>
          </cell>
          <cell r="I3065">
            <v>10.8</v>
          </cell>
          <cell r="J3065">
            <v>-13.2</v>
          </cell>
          <cell r="K3065">
            <v>-10.7</v>
          </cell>
          <cell r="L3065">
            <v>-8.3000000000000007</v>
          </cell>
          <cell r="M3065">
            <v>12.4</v>
          </cell>
        </row>
        <row r="3066">
          <cell r="C3066" t="str">
            <v>110kV 176 Trạm cắt Tây Ninh 1 - 171 NMĐ MT Tân Châu 1</v>
          </cell>
          <cell r="D3066">
            <v>176</v>
          </cell>
          <cell r="E3066">
            <v>2.4</v>
          </cell>
          <cell r="F3066">
            <v>4.5999999999999996</v>
          </cell>
          <cell r="G3066">
            <v>4.5999999999999996</v>
          </cell>
          <cell r="H3066">
            <v>4.5999999999999996</v>
          </cell>
          <cell r="I3066">
            <v>4.5999999999999996</v>
          </cell>
          <cell r="J3066">
            <v>4.5999999999999996</v>
          </cell>
          <cell r="K3066">
            <v>4.5999999999999996</v>
          </cell>
          <cell r="L3066">
            <v>4.5999999999999996</v>
          </cell>
          <cell r="M3066">
            <v>2.4</v>
          </cell>
        </row>
        <row r="3067">
          <cell r="C3067" t="str">
            <v>110kV 173 trạm cắt Vĩnh Hải - 172 NMĐ MT Vĩnh Hảo 4</v>
          </cell>
          <cell r="D3067">
            <v>173</v>
          </cell>
          <cell r="E3067">
            <v>0</v>
          </cell>
          <cell r="F3067">
            <v>-3.9</v>
          </cell>
          <cell r="G3067">
            <v>-3.9</v>
          </cell>
          <cell r="H3067">
            <v>-0.2</v>
          </cell>
          <cell r="I3067">
            <v>-0.2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</row>
        <row r="3068">
          <cell r="C3068" t="str">
            <v>110kV 174 trạm cắt Vĩnh Hải - 171 NMĐ MT Vĩnh Tân 2</v>
          </cell>
          <cell r="D3068">
            <v>174</v>
          </cell>
          <cell r="E3068">
            <v>0.6</v>
          </cell>
          <cell r="F3068">
            <v>4.2</v>
          </cell>
          <cell r="G3068">
            <v>4.2</v>
          </cell>
          <cell r="H3068">
            <v>-0.8</v>
          </cell>
          <cell r="I3068">
            <v>-2.2999999999999998</v>
          </cell>
          <cell r="J3068">
            <v>-2</v>
          </cell>
          <cell r="K3068">
            <v>-0.8</v>
          </cell>
          <cell r="L3068">
            <v>0.6</v>
          </cell>
          <cell r="M3068">
            <v>-2</v>
          </cell>
        </row>
        <row r="3069">
          <cell r="C3069" t="str">
            <v>Trần Đề MBA T1(phía 110kV)</v>
          </cell>
          <cell r="D3069">
            <v>131</v>
          </cell>
          <cell r="E3069">
            <v>1.3</v>
          </cell>
          <cell r="F3069">
            <v>1.7</v>
          </cell>
          <cell r="G3069">
            <v>1.7</v>
          </cell>
          <cell r="H3069">
            <v>1.6</v>
          </cell>
          <cell r="I3069">
            <v>1.4</v>
          </cell>
          <cell r="J3069">
            <v>1.3</v>
          </cell>
          <cell r="K3069">
            <v>1.3</v>
          </cell>
          <cell r="L3069">
            <v>1.4</v>
          </cell>
          <cell r="M3069">
            <v>1.5</v>
          </cell>
        </row>
        <row r="3070">
          <cell r="C3070" t="str">
            <v>Trần Đề MBA T2 (phía 110kV)</v>
          </cell>
          <cell r="D3070">
            <v>132</v>
          </cell>
          <cell r="E3070">
            <v>0.6</v>
          </cell>
          <cell r="F3070">
            <v>-2.9</v>
          </cell>
          <cell r="G3070">
            <v>-2.7</v>
          </cell>
          <cell r="H3070">
            <v>-2.7</v>
          </cell>
          <cell r="I3070">
            <v>-2.6</v>
          </cell>
          <cell r="J3070">
            <v>-2.8</v>
          </cell>
          <cell r="K3070">
            <v>-2.8</v>
          </cell>
          <cell r="L3070">
            <v>-2.9</v>
          </cell>
          <cell r="M3070">
            <v>0.6</v>
          </cell>
        </row>
        <row r="3071">
          <cell r="C3071" t="str">
            <v>110kV 171 Trần Đề - 171 Cù Lao Dung</v>
          </cell>
          <cell r="D3071">
            <v>171</v>
          </cell>
          <cell r="E3071">
            <v>-1.7</v>
          </cell>
          <cell r="F3071">
            <v>2.5</v>
          </cell>
          <cell r="G3071">
            <v>2.2000000000000002</v>
          </cell>
          <cell r="H3071">
            <v>2.5</v>
          </cell>
          <cell r="I3071">
            <v>2.2999999999999998</v>
          </cell>
          <cell r="J3071">
            <v>2.1</v>
          </cell>
          <cell r="K3071">
            <v>2.4</v>
          </cell>
          <cell r="L3071">
            <v>2</v>
          </cell>
          <cell r="M3071">
            <v>-1.7</v>
          </cell>
        </row>
        <row r="3072">
          <cell r="C3072" t="str">
            <v>Trần Đề MBA T1 (phía 22kV)</v>
          </cell>
          <cell r="D3072">
            <v>431</v>
          </cell>
          <cell r="E3072">
            <v>1.1000000000000001</v>
          </cell>
          <cell r="F3072">
            <v>1.2</v>
          </cell>
          <cell r="G3072">
            <v>-1.2</v>
          </cell>
          <cell r="H3072">
            <v>-1.2</v>
          </cell>
          <cell r="I3072">
            <v>-1.1000000000000001</v>
          </cell>
          <cell r="J3072">
            <v>-1.1000000000000001</v>
          </cell>
          <cell r="K3072">
            <v>1.1000000000000001</v>
          </cell>
          <cell r="L3072">
            <v>1.1000000000000001</v>
          </cell>
          <cell r="M3072">
            <v>1.2</v>
          </cell>
        </row>
        <row r="3073">
          <cell r="C3073" t="str">
            <v>Trần Đề MBA T2 (phía 22kV)</v>
          </cell>
          <cell r="D3073">
            <v>432</v>
          </cell>
          <cell r="E3073">
            <v>1</v>
          </cell>
          <cell r="F3073">
            <v>3.3</v>
          </cell>
          <cell r="G3073">
            <v>3.1</v>
          </cell>
          <cell r="H3073">
            <v>3</v>
          </cell>
          <cell r="I3073">
            <v>3</v>
          </cell>
          <cell r="J3073">
            <v>3.2</v>
          </cell>
          <cell r="K3073">
            <v>3.2</v>
          </cell>
          <cell r="L3073">
            <v>3.3</v>
          </cell>
          <cell r="M3073">
            <v>1</v>
          </cell>
        </row>
        <row r="3074">
          <cell r="C3074" t="str">
            <v>Trần Quốc Toản MBA T1 (phía 110kV)</v>
          </cell>
          <cell r="D3074">
            <v>131</v>
          </cell>
          <cell r="E3074">
            <v>-2.7</v>
          </cell>
          <cell r="F3074">
            <v>-3.6</v>
          </cell>
          <cell r="G3074">
            <v>2.7</v>
          </cell>
          <cell r="H3074">
            <v>-2.7</v>
          </cell>
          <cell r="I3074">
            <v>3.1</v>
          </cell>
          <cell r="J3074">
            <v>2.9</v>
          </cell>
          <cell r="K3074">
            <v>-3.6</v>
          </cell>
          <cell r="L3074">
            <v>-3.1</v>
          </cell>
          <cell r="M3074">
            <v>3.2</v>
          </cell>
        </row>
        <row r="3075">
          <cell r="C3075" t="str">
            <v>Trần Quốc Toản MBA T2 (phía 110kV)</v>
          </cell>
          <cell r="D3075">
            <v>132</v>
          </cell>
          <cell r="E3075">
            <v>-2.2000000000000002</v>
          </cell>
          <cell r="F3075">
            <v>-3.3</v>
          </cell>
          <cell r="G3075">
            <v>2.7</v>
          </cell>
          <cell r="H3075">
            <v>2.8</v>
          </cell>
          <cell r="I3075">
            <v>-3</v>
          </cell>
          <cell r="J3075">
            <v>-3.3</v>
          </cell>
          <cell r="K3075">
            <v>2.7</v>
          </cell>
          <cell r="L3075">
            <v>-2.2000000000000002</v>
          </cell>
          <cell r="M3075">
            <v>-2.2999999999999998</v>
          </cell>
        </row>
        <row r="3076">
          <cell r="C3076" t="str">
            <v>110kV 171 Trần Quốc Toản - 172 An Long</v>
          </cell>
          <cell r="D3076">
            <v>171</v>
          </cell>
          <cell r="E3076">
            <v>-4</v>
          </cell>
          <cell r="F3076">
            <v>-6.1</v>
          </cell>
          <cell r="G3076">
            <v>-6.1</v>
          </cell>
          <cell r="H3076">
            <v>-4</v>
          </cell>
          <cell r="I3076">
            <v>-4.0999999999999996</v>
          </cell>
          <cell r="J3076">
            <v>-4.3</v>
          </cell>
          <cell r="K3076">
            <v>-4.4000000000000004</v>
          </cell>
          <cell r="L3076">
            <v>-4.0999999999999996</v>
          </cell>
          <cell r="M3076">
            <v>-4.2</v>
          </cell>
        </row>
        <row r="3077">
          <cell r="C3077" t="str">
            <v>110kV 172 Trần Quốc Toản - 172 Cao Lãnh</v>
          </cell>
          <cell r="D3077">
            <v>172</v>
          </cell>
          <cell r="E3077">
            <v>4</v>
          </cell>
          <cell r="F3077">
            <v>6.8</v>
          </cell>
          <cell r="G3077">
            <v>6.8</v>
          </cell>
          <cell r="H3077">
            <v>5.4</v>
          </cell>
          <cell r="I3077">
            <v>4.8</v>
          </cell>
          <cell r="J3077">
            <v>4.2</v>
          </cell>
          <cell r="K3077">
            <v>5.8</v>
          </cell>
          <cell r="L3077">
            <v>4</v>
          </cell>
          <cell r="M3077">
            <v>4.5999999999999996</v>
          </cell>
        </row>
        <row r="3078">
          <cell r="C3078" t="str">
            <v>Trần Quốc Toản MBA T1 (phía 22kV)</v>
          </cell>
          <cell r="D3078">
            <v>431</v>
          </cell>
          <cell r="E3078">
            <v>-2.1</v>
          </cell>
          <cell r="F3078">
            <v>4.3</v>
          </cell>
          <cell r="G3078">
            <v>3.3</v>
          </cell>
          <cell r="H3078">
            <v>3.4</v>
          </cell>
          <cell r="I3078">
            <v>-2.1</v>
          </cell>
          <cell r="J3078">
            <v>3.3</v>
          </cell>
          <cell r="K3078">
            <v>4.3</v>
          </cell>
          <cell r="L3078">
            <v>3.4</v>
          </cell>
          <cell r="M3078">
            <v>2.9</v>
          </cell>
        </row>
        <row r="3079">
          <cell r="C3079" t="str">
            <v>Trần Quốc Toản MBA T2 (phía 22kV)</v>
          </cell>
          <cell r="D3079">
            <v>432</v>
          </cell>
          <cell r="E3079">
            <v>2.2000000000000002</v>
          </cell>
          <cell r="F3079">
            <v>3.5</v>
          </cell>
          <cell r="G3079">
            <v>2.9</v>
          </cell>
          <cell r="H3079">
            <v>3</v>
          </cell>
          <cell r="I3079">
            <v>3.3</v>
          </cell>
          <cell r="J3079">
            <v>3.5</v>
          </cell>
          <cell r="K3079">
            <v>2.5</v>
          </cell>
          <cell r="L3079">
            <v>2.2000000000000002</v>
          </cell>
          <cell r="M3079">
            <v>2.4</v>
          </cell>
        </row>
        <row r="3080">
          <cell r="C3080" t="str">
            <v>Trần Văn Thời MBA T1 (phía 110kV)</v>
          </cell>
          <cell r="D3080">
            <v>131</v>
          </cell>
          <cell r="E3080">
            <v>0</v>
          </cell>
          <cell r="F3080">
            <v>0</v>
          </cell>
          <cell r="G3080">
            <v>0</v>
          </cell>
          <cell r="H3080">
            <v>0</v>
          </cell>
          <cell r="I3080">
            <v>0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</row>
        <row r="3081">
          <cell r="C3081" t="str">
            <v>Trần Văn Thời MBA T2 (phía 110kV)</v>
          </cell>
          <cell r="D3081">
            <v>132</v>
          </cell>
          <cell r="E3081">
            <v>0.6</v>
          </cell>
          <cell r="F3081">
            <v>1.7</v>
          </cell>
          <cell r="G3081">
            <v>1.1000000000000001</v>
          </cell>
          <cell r="H3081">
            <v>0.9</v>
          </cell>
          <cell r="I3081">
            <v>0.8</v>
          </cell>
          <cell r="J3081">
            <v>0.6</v>
          </cell>
          <cell r="K3081">
            <v>-0.7</v>
          </cell>
          <cell r="L3081">
            <v>-0.8</v>
          </cell>
          <cell r="M3081">
            <v>1.7</v>
          </cell>
        </row>
        <row r="3082">
          <cell r="C3082" t="str">
            <v>110kV 171 Trần Văn Thời - 174 Cà Mau 2</v>
          </cell>
          <cell r="D3082">
            <v>171</v>
          </cell>
          <cell r="E3082">
            <v>-3.2</v>
          </cell>
          <cell r="F3082">
            <v>-5.3</v>
          </cell>
          <cell r="G3082">
            <v>-5.3</v>
          </cell>
          <cell r="H3082">
            <v>-3.2</v>
          </cell>
          <cell r="I3082">
            <v>-4.0999999999999996</v>
          </cell>
          <cell r="J3082">
            <v>-4.2</v>
          </cell>
          <cell r="K3082">
            <v>-4.9000000000000004</v>
          </cell>
          <cell r="L3082">
            <v>4.8</v>
          </cell>
          <cell r="M3082">
            <v>4.5999999999999996</v>
          </cell>
        </row>
        <row r="3083">
          <cell r="C3083" t="str">
            <v>110kV 172 Trần Văn Thời - 171 Sông Đốc</v>
          </cell>
          <cell r="D3083">
            <v>172</v>
          </cell>
          <cell r="E3083">
            <v>4.2</v>
          </cell>
          <cell r="F3083">
            <v>5.2</v>
          </cell>
          <cell r="G3083">
            <v>5.2</v>
          </cell>
          <cell r="H3083">
            <v>4.2</v>
          </cell>
          <cell r="I3083">
            <v>4.5</v>
          </cell>
          <cell r="J3083">
            <v>4.8</v>
          </cell>
          <cell r="K3083">
            <v>5.2</v>
          </cell>
          <cell r="L3083">
            <v>4.9000000000000004</v>
          </cell>
          <cell r="M3083">
            <v>-4.3</v>
          </cell>
        </row>
        <row r="3084">
          <cell r="C3084" t="str">
            <v>Trần Văn Thời MBA T1 (phía 22kV)</v>
          </cell>
          <cell r="D3084">
            <v>431</v>
          </cell>
          <cell r="E3084">
            <v>0</v>
          </cell>
          <cell r="F3084">
            <v>0</v>
          </cell>
          <cell r="G3084">
            <v>0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</row>
        <row r="3085">
          <cell r="C3085" t="str">
            <v>Trần Văn Thời MBA T2 (phía 22kV)</v>
          </cell>
          <cell r="D3085">
            <v>432</v>
          </cell>
          <cell r="E3085">
            <v>0.7</v>
          </cell>
          <cell r="F3085">
            <v>-1.2</v>
          </cell>
          <cell r="G3085">
            <v>0.7</v>
          </cell>
          <cell r="H3085">
            <v>1</v>
          </cell>
          <cell r="I3085">
            <v>0.8</v>
          </cell>
          <cell r="J3085">
            <v>1</v>
          </cell>
          <cell r="K3085">
            <v>1</v>
          </cell>
          <cell r="L3085">
            <v>1.1000000000000001</v>
          </cell>
          <cell r="M3085">
            <v>-1.2</v>
          </cell>
        </row>
        <row r="3086">
          <cell r="C3086" t="str">
            <v>Trảng Bàng MBA T1 (phía 110kV)</v>
          </cell>
          <cell r="D3086">
            <v>131</v>
          </cell>
          <cell r="E3086">
            <v>-2.2999999999999998</v>
          </cell>
          <cell r="F3086">
            <v>-5</v>
          </cell>
          <cell r="G3086">
            <v>3.6</v>
          </cell>
          <cell r="H3086">
            <v>-4.9000000000000004</v>
          </cell>
          <cell r="I3086">
            <v>-4.4000000000000004</v>
          </cell>
          <cell r="J3086">
            <v>-2.2999999999999998</v>
          </cell>
          <cell r="K3086">
            <v>-4.7</v>
          </cell>
          <cell r="L3086">
            <v>-4.7</v>
          </cell>
          <cell r="M3086">
            <v>-5</v>
          </cell>
        </row>
        <row r="3087">
          <cell r="C3087" t="str">
            <v>Trảng Bàng MBA T2 (phía 110kV)</v>
          </cell>
          <cell r="D3087">
            <v>132</v>
          </cell>
          <cell r="E3087">
            <v>-1.6</v>
          </cell>
          <cell r="F3087">
            <v>3.6</v>
          </cell>
          <cell r="G3087">
            <v>3.5</v>
          </cell>
          <cell r="H3087">
            <v>3.2</v>
          </cell>
          <cell r="I3087">
            <v>2.8</v>
          </cell>
          <cell r="J3087">
            <v>-1.6</v>
          </cell>
          <cell r="K3087">
            <v>3.6</v>
          </cell>
          <cell r="L3087">
            <v>3.5</v>
          </cell>
          <cell r="M3087">
            <v>3.1</v>
          </cell>
        </row>
        <row r="3088">
          <cell r="C3088" t="str">
            <v>110kV 171 Trảng Bàng - 172 Trảng Bàng 2 - 171 KCN Trảng Bàng</v>
          </cell>
          <cell r="D3088">
            <v>171</v>
          </cell>
          <cell r="E3088">
            <v>2.4</v>
          </cell>
          <cell r="F3088">
            <v>-5.5</v>
          </cell>
          <cell r="G3088">
            <v>-4.7</v>
          </cell>
          <cell r="H3088">
            <v>-4.0999999999999996</v>
          </cell>
          <cell r="I3088">
            <v>-5.5</v>
          </cell>
          <cell r="J3088">
            <v>2.4</v>
          </cell>
          <cell r="K3088">
            <v>-3.8</v>
          </cell>
          <cell r="L3088">
            <v>-4.9000000000000004</v>
          </cell>
          <cell r="M3088">
            <v>-3.3</v>
          </cell>
        </row>
        <row r="3089">
          <cell r="C3089" t="str">
            <v>110kV 172 Trảng Bàng - 171 Trảng Bàng 2</v>
          </cell>
          <cell r="D3089">
            <v>172</v>
          </cell>
          <cell r="E3089">
            <v>1.3</v>
          </cell>
          <cell r="F3089">
            <v>4.4000000000000004</v>
          </cell>
          <cell r="G3089">
            <v>-3.8</v>
          </cell>
          <cell r="H3089">
            <v>4.2</v>
          </cell>
          <cell r="I3089">
            <v>-3.9</v>
          </cell>
          <cell r="J3089">
            <v>1.3</v>
          </cell>
          <cell r="K3089">
            <v>-2.4</v>
          </cell>
          <cell r="L3089">
            <v>3.7</v>
          </cell>
          <cell r="M3089">
            <v>4.4000000000000004</v>
          </cell>
        </row>
        <row r="3090">
          <cell r="C3090" t="str">
            <v>Trảng Bàng MBA T1 (phía 22kV)</v>
          </cell>
          <cell r="D3090">
            <v>431</v>
          </cell>
          <cell r="E3090">
            <v>-2.7</v>
          </cell>
          <cell r="F3090">
            <v>6.6</v>
          </cell>
          <cell r="G3090">
            <v>-2.7</v>
          </cell>
          <cell r="H3090">
            <v>6.6</v>
          </cell>
          <cell r="I3090">
            <v>6.2</v>
          </cell>
          <cell r="J3090">
            <v>4.0999999999999996</v>
          </cell>
          <cell r="K3090">
            <v>6.1</v>
          </cell>
          <cell r="L3090">
            <v>5.6</v>
          </cell>
          <cell r="M3090">
            <v>6.3</v>
          </cell>
        </row>
        <row r="3091">
          <cell r="C3091" t="str">
            <v>Trảng Bàng MBA T2 (phía 22kV)</v>
          </cell>
          <cell r="D3091">
            <v>432</v>
          </cell>
          <cell r="E3091">
            <v>1.8</v>
          </cell>
          <cell r="F3091">
            <v>-2.9</v>
          </cell>
          <cell r="G3091">
            <v>-2.9</v>
          </cell>
          <cell r="H3091">
            <v>-2.5</v>
          </cell>
          <cell r="I3091">
            <v>-2.2000000000000002</v>
          </cell>
          <cell r="J3091">
            <v>1.8</v>
          </cell>
          <cell r="K3091">
            <v>-2.8</v>
          </cell>
          <cell r="L3091">
            <v>-2.9</v>
          </cell>
          <cell r="M3091">
            <v>-2.4</v>
          </cell>
        </row>
        <row r="3092">
          <cell r="C3092" t="str">
            <v>Trảng Bàng 2 MBA AT1 (phía 110kV)</v>
          </cell>
          <cell r="D3092">
            <v>131</v>
          </cell>
          <cell r="E3092">
            <v>34.799999999999997</v>
          </cell>
          <cell r="F3092">
            <v>43.4</v>
          </cell>
          <cell r="G3092">
            <v>40.9</v>
          </cell>
          <cell r="H3092">
            <v>41.2</v>
          </cell>
          <cell r="I3092">
            <v>43.4</v>
          </cell>
          <cell r="J3092">
            <v>34.799999999999997</v>
          </cell>
          <cell r="K3092">
            <v>35.9</v>
          </cell>
          <cell r="L3092">
            <v>39.799999999999997</v>
          </cell>
          <cell r="M3092">
            <v>37.6</v>
          </cell>
        </row>
        <row r="3093">
          <cell r="C3093" t="str">
            <v>Trảng Bàng 2 MBA AT2 (phía 110kV)</v>
          </cell>
          <cell r="D3093">
            <v>132</v>
          </cell>
          <cell r="E3093">
            <v>35.6</v>
          </cell>
          <cell r="F3093">
            <v>45.8</v>
          </cell>
          <cell r="G3093">
            <v>42.6</v>
          </cell>
          <cell r="H3093">
            <v>42.9</v>
          </cell>
          <cell r="I3093">
            <v>45.8</v>
          </cell>
          <cell r="J3093">
            <v>35.6</v>
          </cell>
          <cell r="K3093">
            <v>36</v>
          </cell>
          <cell r="L3093">
            <v>41.7</v>
          </cell>
          <cell r="M3093">
            <v>40.5</v>
          </cell>
        </row>
        <row r="3094">
          <cell r="C3094" t="str">
            <v>110kV 171 Trảng Bàng 2 - 172 Trảng Bàng</v>
          </cell>
          <cell r="D3094">
            <v>171</v>
          </cell>
          <cell r="E3094">
            <v>-3.2</v>
          </cell>
          <cell r="F3094">
            <v>-6.1</v>
          </cell>
          <cell r="G3094">
            <v>-3.2</v>
          </cell>
          <cell r="H3094">
            <v>-4.7</v>
          </cell>
          <cell r="I3094">
            <v>-6.1</v>
          </cell>
          <cell r="J3094">
            <v>-3.3</v>
          </cell>
          <cell r="K3094">
            <v>-5.0999999999999996</v>
          </cell>
          <cell r="L3094">
            <v>-6</v>
          </cell>
          <cell r="M3094">
            <v>-3.9</v>
          </cell>
        </row>
        <row r="3095">
          <cell r="C3095" t="str">
            <v>110kV 172 Trảng Bàng 2 - 171 Trảng Bàng</v>
          </cell>
          <cell r="D3095">
            <v>172</v>
          </cell>
          <cell r="E3095">
            <v>-2.2000000000000002</v>
          </cell>
          <cell r="F3095">
            <v>5.0999999999999996</v>
          </cell>
          <cell r="G3095">
            <v>4.0999999999999996</v>
          </cell>
          <cell r="H3095">
            <v>3.5</v>
          </cell>
          <cell r="I3095">
            <v>5.0999999999999996</v>
          </cell>
          <cell r="J3095">
            <v>-2.2000000000000002</v>
          </cell>
          <cell r="K3095">
            <v>-3.6</v>
          </cell>
          <cell r="L3095">
            <v>-4.3</v>
          </cell>
          <cell r="M3095">
            <v>2.8</v>
          </cell>
        </row>
        <row r="3096">
          <cell r="C3096" t="str">
            <v>110kV 173 Trảng Bàng 2 - 172 Thành Công</v>
          </cell>
          <cell r="D3096">
            <v>173</v>
          </cell>
          <cell r="E3096">
            <v>-28.1</v>
          </cell>
          <cell r="F3096">
            <v>-41.5</v>
          </cell>
          <cell r="G3096">
            <v>-33.1</v>
          </cell>
          <cell r="H3096">
            <v>-37.6</v>
          </cell>
          <cell r="I3096">
            <v>-36.4</v>
          </cell>
          <cell r="J3096">
            <v>-28.1</v>
          </cell>
          <cell r="K3096">
            <v>-33.1</v>
          </cell>
          <cell r="L3096">
            <v>-35.6</v>
          </cell>
          <cell r="M3096">
            <v>-41.5</v>
          </cell>
        </row>
        <row r="3097">
          <cell r="C3097" t="str">
            <v>110kV 174 Trảng Bàng 2 - 171 Đức Huệ</v>
          </cell>
          <cell r="D3097">
            <v>174</v>
          </cell>
          <cell r="E3097">
            <v>-22.7</v>
          </cell>
          <cell r="F3097">
            <v>-32.799999999999997</v>
          </cell>
          <cell r="G3097">
            <v>-24.5</v>
          </cell>
          <cell r="H3097">
            <v>-32.799999999999997</v>
          </cell>
          <cell r="I3097">
            <v>-26.2</v>
          </cell>
          <cell r="J3097">
            <v>-22.7</v>
          </cell>
          <cell r="K3097">
            <v>-25.3</v>
          </cell>
          <cell r="L3097">
            <v>-29.2</v>
          </cell>
          <cell r="M3097">
            <v>-29.3</v>
          </cell>
        </row>
        <row r="3098">
          <cell r="C3098" t="str">
            <v>110kV 178 Trảng Bàng 2 - 172 NMĐ MT HTG</v>
          </cell>
          <cell r="D3098">
            <v>178</v>
          </cell>
          <cell r="E3098">
            <v>-7.6</v>
          </cell>
          <cell r="F3098">
            <v>12.3</v>
          </cell>
          <cell r="G3098">
            <v>-10.6</v>
          </cell>
          <cell r="H3098">
            <v>10</v>
          </cell>
          <cell r="I3098">
            <v>7.9</v>
          </cell>
          <cell r="J3098">
            <v>-8</v>
          </cell>
          <cell r="K3098">
            <v>12.3</v>
          </cell>
          <cell r="L3098">
            <v>-7.6</v>
          </cell>
          <cell r="M3098">
            <v>-7.7</v>
          </cell>
        </row>
        <row r="3099">
          <cell r="C3099" t="str">
            <v>110kV 179 Trảng Bàng 2 - 172 Phước Đông</v>
          </cell>
          <cell r="D3099">
            <v>179</v>
          </cell>
          <cell r="E3099">
            <v>34.700000000000003</v>
          </cell>
          <cell r="F3099">
            <v>44.1</v>
          </cell>
          <cell r="G3099">
            <v>42.5</v>
          </cell>
          <cell r="H3099">
            <v>44.1</v>
          </cell>
          <cell r="I3099">
            <v>42.6</v>
          </cell>
          <cell r="J3099">
            <v>34.700000000000003</v>
          </cell>
          <cell r="K3099">
            <v>42.7</v>
          </cell>
          <cell r="L3099">
            <v>42.1</v>
          </cell>
          <cell r="M3099">
            <v>39.9</v>
          </cell>
        </row>
        <row r="3100">
          <cell r="C3100" t="str">
            <v>Trảng Bàng 2 MBA AT1 (phía 220kV)</v>
          </cell>
          <cell r="D3100">
            <v>231</v>
          </cell>
          <cell r="E3100">
            <v>-26.8</v>
          </cell>
          <cell r="F3100">
            <v>-34.700000000000003</v>
          </cell>
          <cell r="G3100">
            <v>-30.5</v>
          </cell>
          <cell r="H3100">
            <v>-34</v>
          </cell>
          <cell r="I3100">
            <v>-34.700000000000003</v>
          </cell>
          <cell r="J3100">
            <v>-27.6</v>
          </cell>
          <cell r="K3100">
            <v>-26.8</v>
          </cell>
          <cell r="L3100">
            <v>-29.4</v>
          </cell>
          <cell r="M3100">
            <v>-29.4</v>
          </cell>
        </row>
        <row r="3101">
          <cell r="C3101" t="str">
            <v>Trảng Bàng 2 MBA AT2 (phía 220kV)</v>
          </cell>
          <cell r="D3101">
            <v>232</v>
          </cell>
          <cell r="E3101">
            <v>-27.8</v>
          </cell>
          <cell r="F3101">
            <v>-36.299999999999997</v>
          </cell>
          <cell r="G3101">
            <v>-31.8</v>
          </cell>
          <cell r="H3101">
            <v>-34.9</v>
          </cell>
          <cell r="I3101">
            <v>-36.299999999999997</v>
          </cell>
          <cell r="J3101">
            <v>-28.8</v>
          </cell>
          <cell r="K3101">
            <v>-27.8</v>
          </cell>
          <cell r="L3101">
            <v>-31.1</v>
          </cell>
          <cell r="M3101">
            <v>-32</v>
          </cell>
        </row>
        <row r="3102">
          <cell r="C3102" t="str">
            <v>220kV 271 Trảng Bàng 2 - 273 Củ Chi 2</v>
          </cell>
          <cell r="D3102">
            <v>271</v>
          </cell>
          <cell r="E3102">
            <v>30.8</v>
          </cell>
          <cell r="F3102">
            <v>59.3</v>
          </cell>
          <cell r="G3102">
            <v>50.4</v>
          </cell>
          <cell r="H3102">
            <v>58.7</v>
          </cell>
          <cell r="I3102">
            <v>46.7</v>
          </cell>
          <cell r="J3102">
            <v>30.8</v>
          </cell>
          <cell r="K3102">
            <v>48.3</v>
          </cell>
          <cell r="L3102">
            <v>53.4</v>
          </cell>
          <cell r="M3102">
            <v>59.3</v>
          </cell>
        </row>
        <row r="3103">
          <cell r="C3103" t="str">
            <v>220kV 272 Trảng Bàng 2 - 274 Củ Chi 2</v>
          </cell>
          <cell r="D3103">
            <v>272</v>
          </cell>
          <cell r="E3103">
            <v>30</v>
          </cell>
          <cell r="F3103">
            <v>59.4</v>
          </cell>
          <cell r="G3103">
            <v>52</v>
          </cell>
          <cell r="H3103">
            <v>58.7</v>
          </cell>
          <cell r="I3103">
            <v>47.4</v>
          </cell>
          <cell r="J3103">
            <v>30</v>
          </cell>
          <cell r="K3103">
            <v>48.9</v>
          </cell>
          <cell r="L3103">
            <v>53.6</v>
          </cell>
          <cell r="M3103">
            <v>59.4</v>
          </cell>
        </row>
        <row r="3104">
          <cell r="C3104" t="str">
            <v>220kV 274 Trảng Bàng 2 - 272 Tây Ninh 2</v>
          </cell>
          <cell r="D3104">
            <v>274</v>
          </cell>
          <cell r="E3104">
            <v>18.2</v>
          </cell>
          <cell r="F3104">
            <v>-31.4</v>
          </cell>
          <cell r="G3104">
            <v>-30.3</v>
          </cell>
          <cell r="H3104">
            <v>-30.2</v>
          </cell>
          <cell r="I3104">
            <v>-26.5</v>
          </cell>
          <cell r="J3104">
            <v>18.2</v>
          </cell>
          <cell r="K3104">
            <v>-28.5</v>
          </cell>
          <cell r="L3104">
            <v>-27.3</v>
          </cell>
          <cell r="M3104">
            <v>-31.4</v>
          </cell>
        </row>
        <row r="3105">
          <cell r="C3105" t="str">
            <v>220kV 275 Trảng Bàng 2 - 271 Tây Ninh 2</v>
          </cell>
          <cell r="D3105">
            <v>275</v>
          </cell>
          <cell r="E3105">
            <v>18</v>
          </cell>
          <cell r="F3105">
            <v>-31.6</v>
          </cell>
          <cell r="G3105">
            <v>-30.6</v>
          </cell>
          <cell r="H3105">
            <v>-30.4</v>
          </cell>
          <cell r="I3105">
            <v>-27</v>
          </cell>
          <cell r="J3105">
            <v>18</v>
          </cell>
          <cell r="K3105">
            <v>-28.7</v>
          </cell>
          <cell r="L3105">
            <v>-28.4</v>
          </cell>
          <cell r="M3105">
            <v>-31.6</v>
          </cell>
        </row>
        <row r="3106">
          <cell r="C3106" t="str">
            <v>Tri Tôn MBA T1 (phía 110kV)</v>
          </cell>
          <cell r="D3106">
            <v>131</v>
          </cell>
          <cell r="E3106">
            <v>0</v>
          </cell>
          <cell r="F3106">
            <v>0</v>
          </cell>
          <cell r="G3106">
            <v>0</v>
          </cell>
          <cell r="H3106">
            <v>0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</row>
        <row r="3107">
          <cell r="C3107" t="str">
            <v>Tri Tôn MBA T2 (phía 110kV)</v>
          </cell>
          <cell r="D3107">
            <v>132</v>
          </cell>
          <cell r="E3107">
            <v>-4.0999999999999996</v>
          </cell>
          <cell r="F3107">
            <v>5</v>
          </cell>
          <cell r="G3107">
            <v>-4.4000000000000004</v>
          </cell>
          <cell r="H3107">
            <v>-4.9000000000000004</v>
          </cell>
          <cell r="I3107">
            <v>-4.8</v>
          </cell>
          <cell r="J3107">
            <v>-4.0999999999999996</v>
          </cell>
          <cell r="K3107">
            <v>-5</v>
          </cell>
          <cell r="L3107">
            <v>-4.5999999999999996</v>
          </cell>
          <cell r="M3107">
            <v>5</v>
          </cell>
        </row>
        <row r="3108">
          <cell r="C3108" t="str">
            <v>110kV (171-7) Tri Tôn - 171 NMĐ MT Sao Mai</v>
          </cell>
          <cell r="D3108">
            <v>171</v>
          </cell>
          <cell r="E3108">
            <v>0</v>
          </cell>
          <cell r="F3108">
            <v>0</v>
          </cell>
          <cell r="G3108">
            <v>0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</row>
        <row r="3109">
          <cell r="C3109" t="str">
            <v>Tri Tôn MBA T1 (phía 22kV)</v>
          </cell>
          <cell r="D3109">
            <v>431</v>
          </cell>
          <cell r="E3109">
            <v>0</v>
          </cell>
          <cell r="F3109">
            <v>0</v>
          </cell>
          <cell r="G3109">
            <v>0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</row>
        <row r="3110">
          <cell r="C3110" t="str">
            <v>Tri Tôn MBA T2 (phía 22kV)</v>
          </cell>
          <cell r="D3110">
            <v>432</v>
          </cell>
          <cell r="E3110">
            <v>5.2</v>
          </cell>
          <cell r="F3110">
            <v>6.1</v>
          </cell>
          <cell r="G3110">
            <v>5.7</v>
          </cell>
          <cell r="H3110">
            <v>6</v>
          </cell>
          <cell r="I3110">
            <v>5.9</v>
          </cell>
          <cell r="J3110">
            <v>5.4</v>
          </cell>
          <cell r="K3110">
            <v>6.1</v>
          </cell>
          <cell r="L3110">
            <v>5.7</v>
          </cell>
          <cell r="M3110">
            <v>5.2</v>
          </cell>
        </row>
        <row r="3111">
          <cell r="C3111" t="str">
            <v>Trường Đua MBA T1 (phía 110kV)</v>
          </cell>
          <cell r="D3111">
            <v>131</v>
          </cell>
          <cell r="E3111">
            <v>-2.9</v>
          </cell>
          <cell r="F3111">
            <v>10</v>
          </cell>
          <cell r="G3111">
            <v>10</v>
          </cell>
          <cell r="H3111">
            <v>9.6</v>
          </cell>
          <cell r="I3111">
            <v>5.9</v>
          </cell>
          <cell r="J3111">
            <v>-2.9</v>
          </cell>
          <cell r="K3111">
            <v>8.6</v>
          </cell>
          <cell r="L3111">
            <v>8.6999999999999993</v>
          </cell>
          <cell r="M3111">
            <v>7.7</v>
          </cell>
        </row>
        <row r="3112">
          <cell r="C3112" t="str">
            <v>Trường Đua MBA T2 (phía 110kV)</v>
          </cell>
          <cell r="D3112">
            <v>132</v>
          </cell>
          <cell r="E3112">
            <v>4.2</v>
          </cell>
          <cell r="F3112">
            <v>7.8</v>
          </cell>
          <cell r="G3112">
            <v>7.8</v>
          </cell>
          <cell r="H3112">
            <v>7.7</v>
          </cell>
          <cell r="I3112">
            <v>5.7</v>
          </cell>
          <cell r="J3112">
            <v>4.2</v>
          </cell>
          <cell r="K3112">
            <v>7.1</v>
          </cell>
          <cell r="L3112">
            <v>6.5</v>
          </cell>
          <cell r="M3112">
            <v>6.2</v>
          </cell>
        </row>
        <row r="3113">
          <cell r="C3113" t="str">
            <v>110kV 171 Trường Đua - 174 Bà Quẹo - 171 Chợ Lớn</v>
          </cell>
          <cell r="D3113">
            <v>171</v>
          </cell>
          <cell r="E3113">
            <v>0</v>
          </cell>
          <cell r="F3113">
            <v>0</v>
          </cell>
          <cell r="G3113">
            <v>0</v>
          </cell>
          <cell r="H3113">
            <v>0</v>
          </cell>
          <cell r="I3113">
            <v>0</v>
          </cell>
          <cell r="J3113">
            <v>0</v>
          </cell>
          <cell r="K3113">
            <v>0</v>
          </cell>
          <cell r="L3113">
            <v>0</v>
          </cell>
          <cell r="M3113">
            <v>0</v>
          </cell>
        </row>
        <row r="3114">
          <cell r="C3114" t="str">
            <v>110kV 172 Trường Đua - 176 Tao Đàn</v>
          </cell>
          <cell r="D3114">
            <v>172</v>
          </cell>
          <cell r="E3114">
            <v>-7.3</v>
          </cell>
          <cell r="F3114">
            <v>-17.600000000000001</v>
          </cell>
          <cell r="G3114">
            <v>-17.600000000000001</v>
          </cell>
          <cell r="H3114">
            <v>-17.5</v>
          </cell>
          <cell r="I3114">
            <v>-11.8</v>
          </cell>
          <cell r="J3114">
            <v>-7.3</v>
          </cell>
          <cell r="K3114">
            <v>-15.7</v>
          </cell>
          <cell r="L3114">
            <v>-15.2</v>
          </cell>
          <cell r="M3114">
            <v>-14</v>
          </cell>
        </row>
        <row r="3115">
          <cell r="C3115" t="str">
            <v>Trường Đua MBA T1 (phía 22kV)</v>
          </cell>
          <cell r="D3115">
            <v>431</v>
          </cell>
          <cell r="E3115">
            <v>4.3</v>
          </cell>
          <cell r="F3115">
            <v>5</v>
          </cell>
          <cell r="G3115">
            <v>4.5</v>
          </cell>
          <cell r="H3115">
            <v>4.3</v>
          </cell>
          <cell r="I3115">
            <v>4.5999999999999996</v>
          </cell>
          <cell r="J3115">
            <v>4.7</v>
          </cell>
          <cell r="K3115">
            <v>4.8</v>
          </cell>
          <cell r="L3115">
            <v>5</v>
          </cell>
          <cell r="M3115">
            <v>4.8</v>
          </cell>
        </row>
        <row r="3116">
          <cell r="C3116" t="str">
            <v>Trường Đua MBA T2 (phía 22kV)</v>
          </cell>
          <cell r="D3116">
            <v>432</v>
          </cell>
          <cell r="E3116">
            <v>3</v>
          </cell>
          <cell r="F3116">
            <v>-4.3</v>
          </cell>
          <cell r="G3116">
            <v>-4.3</v>
          </cell>
          <cell r="H3116">
            <v>-4</v>
          </cell>
          <cell r="I3116">
            <v>3</v>
          </cell>
          <cell r="J3116">
            <v>3.2</v>
          </cell>
          <cell r="K3116">
            <v>-3.7</v>
          </cell>
          <cell r="L3116">
            <v>3.5</v>
          </cell>
          <cell r="M3116">
            <v>-3.3</v>
          </cell>
        </row>
        <row r="3117">
          <cell r="C3117" t="str">
            <v>Tuy Hạ MBA T3 (phía 110kV)</v>
          </cell>
          <cell r="D3117">
            <v>133</v>
          </cell>
          <cell r="E3117">
            <v>0</v>
          </cell>
          <cell r="F3117">
            <v>0</v>
          </cell>
          <cell r="G3117">
            <v>0</v>
          </cell>
          <cell r="H3117">
            <v>0</v>
          </cell>
          <cell r="I3117">
            <v>0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</row>
        <row r="3118">
          <cell r="C3118" t="str">
            <v>110kV 172 Tuy Hạ - 179 Long Thành</v>
          </cell>
          <cell r="D3118">
            <v>172</v>
          </cell>
          <cell r="E3118">
            <v>-12.1</v>
          </cell>
          <cell r="F3118">
            <v>-12.9</v>
          </cell>
          <cell r="G3118">
            <v>-12.9</v>
          </cell>
          <cell r="H3118">
            <v>-12.2</v>
          </cell>
          <cell r="I3118">
            <v>-12.8</v>
          </cell>
          <cell r="J3118">
            <v>-12.2</v>
          </cell>
          <cell r="K3118">
            <v>-12.2</v>
          </cell>
          <cell r="L3118">
            <v>-12.7</v>
          </cell>
          <cell r="M3118">
            <v>-12.1</v>
          </cell>
        </row>
        <row r="3119">
          <cell r="C3119" t="str">
            <v>110kV 173 Tuy Hạ - 178 Long Thành</v>
          </cell>
          <cell r="D3119">
            <v>173</v>
          </cell>
          <cell r="E3119">
            <v>6.3</v>
          </cell>
          <cell r="F3119">
            <v>19.2</v>
          </cell>
          <cell r="G3119">
            <v>18.5</v>
          </cell>
          <cell r="H3119">
            <v>18.8</v>
          </cell>
          <cell r="I3119">
            <v>16.3</v>
          </cell>
          <cell r="J3119">
            <v>6.3</v>
          </cell>
          <cell r="K3119">
            <v>18</v>
          </cell>
          <cell r="L3119">
            <v>19.2</v>
          </cell>
          <cell r="M3119">
            <v>19</v>
          </cell>
        </row>
        <row r="3120">
          <cell r="C3120" t="str">
            <v>Tuy Hạ MBA T3 (phía 22kV)</v>
          </cell>
          <cell r="D3120">
            <v>433</v>
          </cell>
          <cell r="E3120">
            <v>-8.5</v>
          </cell>
          <cell r="F3120">
            <v>-16.3</v>
          </cell>
          <cell r="G3120">
            <v>-15.9</v>
          </cell>
          <cell r="H3120">
            <v>-16</v>
          </cell>
          <cell r="I3120">
            <v>-14.8</v>
          </cell>
          <cell r="J3120">
            <v>-8.5</v>
          </cell>
          <cell r="K3120">
            <v>-15.5</v>
          </cell>
          <cell r="L3120">
            <v>-16.2</v>
          </cell>
          <cell r="M3120">
            <v>-16.3</v>
          </cell>
        </row>
        <row r="3121">
          <cell r="C3121" t="str">
            <v>Uyên Hưng MBA AT1 (phía 110kV)</v>
          </cell>
          <cell r="D3121">
            <v>131</v>
          </cell>
          <cell r="E3121">
            <v>-9.9</v>
          </cell>
          <cell r="F3121">
            <v>-36.5</v>
          </cell>
          <cell r="G3121">
            <v>-30.4</v>
          </cell>
          <cell r="H3121">
            <v>-29.6</v>
          </cell>
          <cell r="I3121">
            <v>-36.5</v>
          </cell>
          <cell r="J3121">
            <v>-9.9</v>
          </cell>
          <cell r="K3121">
            <v>-28.5</v>
          </cell>
          <cell r="L3121">
            <v>-16.8</v>
          </cell>
          <cell r="M3121">
            <v>-19</v>
          </cell>
        </row>
        <row r="3122">
          <cell r="C3122" t="str">
            <v>Uyên Hưng MBA AT2 (phía 110kV)</v>
          </cell>
          <cell r="D3122">
            <v>132</v>
          </cell>
          <cell r="E3122">
            <v>-15.4</v>
          </cell>
          <cell r="F3122">
            <v>-31.6</v>
          </cell>
          <cell r="G3122">
            <v>-31.6</v>
          </cell>
          <cell r="H3122">
            <v>-31.3</v>
          </cell>
          <cell r="I3122">
            <v>-30.3</v>
          </cell>
          <cell r="J3122">
            <v>-15.4</v>
          </cell>
          <cell r="K3122">
            <v>-28.9</v>
          </cell>
          <cell r="L3122">
            <v>-19.8</v>
          </cell>
          <cell r="M3122">
            <v>-22</v>
          </cell>
        </row>
        <row r="3123">
          <cell r="C3123" t="str">
            <v>110kV 175 Uyên Hưng - 171 Đất Cuốc</v>
          </cell>
          <cell r="D3123">
            <v>175</v>
          </cell>
          <cell r="E3123">
            <v>4.8</v>
          </cell>
          <cell r="F3123">
            <v>18</v>
          </cell>
          <cell r="G3123">
            <v>13.1</v>
          </cell>
          <cell r="H3123">
            <v>10.4</v>
          </cell>
          <cell r="I3123">
            <v>18</v>
          </cell>
          <cell r="J3123">
            <v>10.6</v>
          </cell>
          <cell r="K3123">
            <v>13.5</v>
          </cell>
          <cell r="L3123">
            <v>6.6</v>
          </cell>
          <cell r="M3123">
            <v>4.8</v>
          </cell>
        </row>
        <row r="3124">
          <cell r="C3124" t="str">
            <v>110kV 176 Uyên Hưng - 172 Thép Tuệ Minh</v>
          </cell>
          <cell r="D3124">
            <v>176</v>
          </cell>
          <cell r="E3124">
            <v>6.3</v>
          </cell>
          <cell r="F3124">
            <v>19.2</v>
          </cell>
          <cell r="G3124">
            <v>14.6</v>
          </cell>
          <cell r="H3124">
            <v>11.7</v>
          </cell>
          <cell r="I3124">
            <v>19.2</v>
          </cell>
          <cell r="J3124">
            <v>10</v>
          </cell>
          <cell r="K3124">
            <v>15.7</v>
          </cell>
          <cell r="L3124">
            <v>7.7</v>
          </cell>
          <cell r="M3124">
            <v>6.3</v>
          </cell>
        </row>
        <row r="3125">
          <cell r="C3125" t="str">
            <v>110kV 178 Uyên Hưng - 171 Tân Uyên</v>
          </cell>
          <cell r="D3125">
            <v>178</v>
          </cell>
          <cell r="E3125">
            <v>11.1</v>
          </cell>
          <cell r="F3125">
            <v>24.7</v>
          </cell>
          <cell r="G3125">
            <v>22.6</v>
          </cell>
          <cell r="H3125">
            <v>24.4</v>
          </cell>
          <cell r="I3125">
            <v>22.2</v>
          </cell>
          <cell r="J3125">
            <v>11.1</v>
          </cell>
          <cell r="K3125">
            <v>23.5</v>
          </cell>
          <cell r="L3125">
            <v>24.7</v>
          </cell>
          <cell r="M3125">
            <v>22</v>
          </cell>
        </row>
        <row r="3126">
          <cell r="C3126" t="str">
            <v>110kV 179 Uyên Hưng - 174 Tân Uyên</v>
          </cell>
          <cell r="D3126">
            <v>179</v>
          </cell>
          <cell r="E3126">
            <v>4.0999999999999996</v>
          </cell>
          <cell r="F3126">
            <v>12.2</v>
          </cell>
          <cell r="G3126">
            <v>10.8</v>
          </cell>
          <cell r="H3126">
            <v>12.2</v>
          </cell>
          <cell r="I3126">
            <v>10.9</v>
          </cell>
          <cell r="J3126">
            <v>4.0999999999999996</v>
          </cell>
          <cell r="K3126">
            <v>11.4</v>
          </cell>
          <cell r="L3126">
            <v>10.5</v>
          </cell>
          <cell r="M3126">
            <v>11.7</v>
          </cell>
        </row>
        <row r="3127">
          <cell r="C3127" t="str">
            <v>Uyên Hưng MBA AT1 (phía 220kV)</v>
          </cell>
          <cell r="D3127">
            <v>231</v>
          </cell>
          <cell r="E3127">
            <v>15.3</v>
          </cell>
          <cell r="F3127">
            <v>40.299999999999997</v>
          </cell>
          <cell r="G3127">
            <v>40.299999999999997</v>
          </cell>
          <cell r="H3127">
            <v>39.799999999999997</v>
          </cell>
          <cell r="I3127">
            <v>39.6</v>
          </cell>
          <cell r="J3127">
            <v>15.3</v>
          </cell>
          <cell r="K3127">
            <v>39.5</v>
          </cell>
          <cell r="L3127">
            <v>25.7</v>
          </cell>
          <cell r="M3127">
            <v>26.9</v>
          </cell>
        </row>
        <row r="3128">
          <cell r="C3128" t="str">
            <v>Uyên Hưng MBA AT2 (phía 220kV)</v>
          </cell>
          <cell r="D3128">
            <v>232</v>
          </cell>
          <cell r="E3128">
            <v>27</v>
          </cell>
          <cell r="F3128">
            <v>45</v>
          </cell>
          <cell r="G3128">
            <v>41</v>
          </cell>
          <cell r="H3128">
            <v>37.6</v>
          </cell>
          <cell r="I3128">
            <v>45</v>
          </cell>
          <cell r="J3128">
            <v>27</v>
          </cell>
          <cell r="K3128">
            <v>44.8</v>
          </cell>
          <cell r="L3128">
            <v>27.2</v>
          </cell>
          <cell r="M3128">
            <v>28.3</v>
          </cell>
        </row>
        <row r="3129">
          <cell r="C3129" t="str">
            <v>220kV 274 Uyên Hưng - 278 Sông Mây</v>
          </cell>
          <cell r="D3129">
            <v>274</v>
          </cell>
          <cell r="E3129">
            <v>-17.899999999999999</v>
          </cell>
          <cell r="F3129">
            <v>38.5</v>
          </cell>
          <cell r="G3129">
            <v>38.5</v>
          </cell>
          <cell r="H3129">
            <v>36.5</v>
          </cell>
          <cell r="I3129">
            <v>27.4</v>
          </cell>
          <cell r="J3129">
            <v>29.2</v>
          </cell>
          <cell r="K3129">
            <v>24.4</v>
          </cell>
          <cell r="L3129">
            <v>-17.899999999999999</v>
          </cell>
          <cell r="M3129">
            <v>32</v>
          </cell>
        </row>
        <row r="3130">
          <cell r="C3130" t="str">
            <v>220kV 275 Uyên Hưng - 277 Sông Mây</v>
          </cell>
          <cell r="D3130">
            <v>275</v>
          </cell>
          <cell r="E3130">
            <v>-20.2</v>
          </cell>
          <cell r="F3130">
            <v>35</v>
          </cell>
          <cell r="G3130">
            <v>35</v>
          </cell>
          <cell r="H3130">
            <v>29.5</v>
          </cell>
          <cell r="I3130">
            <v>21.2</v>
          </cell>
          <cell r="J3130">
            <v>22.8</v>
          </cell>
          <cell r="K3130">
            <v>-25.8</v>
          </cell>
          <cell r="L3130">
            <v>-20.2</v>
          </cell>
          <cell r="M3130">
            <v>27.1</v>
          </cell>
        </row>
        <row r="3131">
          <cell r="C3131" t="str">
            <v>220kV 276 Uyên Hưng - 276 Củ Chi 2</v>
          </cell>
          <cell r="D3131">
            <v>276</v>
          </cell>
          <cell r="E3131">
            <v>-20.2</v>
          </cell>
          <cell r="F3131">
            <v>-42.2</v>
          </cell>
          <cell r="G3131">
            <v>-42.2</v>
          </cell>
          <cell r="H3131">
            <v>-41.4</v>
          </cell>
          <cell r="I3131">
            <v>-36.1</v>
          </cell>
          <cell r="J3131">
            <v>-20.2</v>
          </cell>
          <cell r="K3131">
            <v>-27.3</v>
          </cell>
          <cell r="L3131">
            <v>-28.8</v>
          </cell>
          <cell r="M3131">
            <v>-39.4</v>
          </cell>
        </row>
        <row r="3132">
          <cell r="C3132" t="str">
            <v>220kV 277 Uyên Hưng - 273 Mỹ Phước</v>
          </cell>
          <cell r="D3132">
            <v>277</v>
          </cell>
          <cell r="E3132">
            <v>-24.2</v>
          </cell>
          <cell r="F3132">
            <v>-50.1</v>
          </cell>
          <cell r="G3132">
            <v>-40.6</v>
          </cell>
          <cell r="H3132">
            <v>-46.1</v>
          </cell>
          <cell r="I3132">
            <v>-40.4</v>
          </cell>
          <cell r="J3132">
            <v>-50.1</v>
          </cell>
          <cell r="K3132">
            <v>-35.6</v>
          </cell>
          <cell r="L3132">
            <v>-24.2</v>
          </cell>
          <cell r="M3132">
            <v>-25.8</v>
          </cell>
        </row>
        <row r="3133">
          <cell r="C3133" t="str">
            <v>Văn Mỹ MBA T1 (phía 22kV)</v>
          </cell>
          <cell r="D3133">
            <v>431</v>
          </cell>
          <cell r="E3133">
            <v>-2.6</v>
          </cell>
          <cell r="F3133">
            <v>4.7</v>
          </cell>
          <cell r="G3133">
            <v>-2.8</v>
          </cell>
          <cell r="H3133">
            <v>-2.9</v>
          </cell>
          <cell r="I3133">
            <v>4.7</v>
          </cell>
          <cell r="J3133">
            <v>-3</v>
          </cell>
          <cell r="K3133">
            <v>2.7</v>
          </cell>
          <cell r="L3133">
            <v>-3.7</v>
          </cell>
          <cell r="M3133">
            <v>-2.6</v>
          </cell>
        </row>
        <row r="3134">
          <cell r="C3134" t="str">
            <v>Văn Mỹ MBA T2 (phía 22kV)</v>
          </cell>
          <cell r="D3134">
            <v>432</v>
          </cell>
          <cell r="E3134">
            <v>0</v>
          </cell>
          <cell r="F3134">
            <v>0</v>
          </cell>
          <cell r="G3134">
            <v>0</v>
          </cell>
          <cell r="H3134">
            <v>0</v>
          </cell>
          <cell r="I3134">
            <v>0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</row>
        <row r="3135">
          <cell r="C3135" t="str">
            <v>Vedan 2 MBA T1 (phía 110kV)</v>
          </cell>
          <cell r="D3135">
            <v>131</v>
          </cell>
          <cell r="E3135">
            <v>0</v>
          </cell>
          <cell r="F3135">
            <v>0</v>
          </cell>
          <cell r="G3135">
            <v>0</v>
          </cell>
          <cell r="H3135">
            <v>0</v>
          </cell>
          <cell r="I3135">
            <v>0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</row>
        <row r="3136">
          <cell r="C3136" t="str">
            <v>110kV 171 Vedan 2 - 172 Phước Long</v>
          </cell>
          <cell r="D3136">
            <v>171</v>
          </cell>
          <cell r="E3136">
            <v>-7</v>
          </cell>
          <cell r="F3136">
            <v>12.9</v>
          </cell>
          <cell r="G3136">
            <v>11.1</v>
          </cell>
          <cell r="H3136">
            <v>12.6</v>
          </cell>
          <cell r="I3136">
            <v>-9.1</v>
          </cell>
          <cell r="J3136">
            <v>-7</v>
          </cell>
          <cell r="K3136">
            <v>11.3</v>
          </cell>
          <cell r="L3136">
            <v>12.9</v>
          </cell>
          <cell r="M3136">
            <v>9.1</v>
          </cell>
        </row>
        <row r="3137">
          <cell r="C3137" t="str">
            <v>110kV 172 Vedan 2 - 171 Đồng Xoài</v>
          </cell>
          <cell r="D3137">
            <v>172</v>
          </cell>
          <cell r="E3137">
            <v>7</v>
          </cell>
          <cell r="F3137">
            <v>-12.7</v>
          </cell>
          <cell r="G3137">
            <v>-11.4</v>
          </cell>
          <cell r="H3137">
            <v>-12.7</v>
          </cell>
          <cell r="I3137">
            <v>9.4</v>
          </cell>
          <cell r="J3137">
            <v>7</v>
          </cell>
          <cell r="K3137">
            <v>-11.1</v>
          </cell>
          <cell r="L3137">
            <v>-12.6</v>
          </cell>
          <cell r="M3137">
            <v>-9.1999999999999993</v>
          </cell>
        </row>
        <row r="3138">
          <cell r="C3138" t="str">
            <v>Vedan 2 MBA T1 (phía 15kV)</v>
          </cell>
          <cell r="D3138">
            <v>831</v>
          </cell>
          <cell r="E3138">
            <v>0</v>
          </cell>
          <cell r="F3138">
            <v>0</v>
          </cell>
          <cell r="G3138">
            <v>0</v>
          </cell>
          <cell r="H3138">
            <v>0</v>
          </cell>
          <cell r="I3138">
            <v>0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</row>
        <row r="3139">
          <cell r="C3139" t="str">
            <v>Vị Thanh MBA T1 (phía 110kV)</v>
          </cell>
          <cell r="D3139">
            <v>131</v>
          </cell>
          <cell r="E3139">
            <v>0</v>
          </cell>
          <cell r="F3139">
            <v>0</v>
          </cell>
          <cell r="G3139">
            <v>0</v>
          </cell>
          <cell r="H3139">
            <v>0</v>
          </cell>
          <cell r="I3139">
            <v>0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</row>
        <row r="3140">
          <cell r="C3140" t="str">
            <v>Vị Thanh MBA T2 (phía 110kV)</v>
          </cell>
          <cell r="D3140">
            <v>132</v>
          </cell>
          <cell r="E3140">
            <v>-1</v>
          </cell>
          <cell r="F3140">
            <v>2.6</v>
          </cell>
          <cell r="G3140">
            <v>1.8</v>
          </cell>
          <cell r="H3140">
            <v>-2.5</v>
          </cell>
          <cell r="I3140">
            <v>-1</v>
          </cell>
          <cell r="J3140">
            <v>2.6</v>
          </cell>
          <cell r="K3140">
            <v>2</v>
          </cell>
          <cell r="L3140">
            <v>-1.9</v>
          </cell>
          <cell r="M3140">
            <v>1.6</v>
          </cell>
        </row>
        <row r="3141">
          <cell r="C3141" t="str">
            <v>110kV 171 Vị Thanh - 172 Giồng Riềng</v>
          </cell>
          <cell r="D3141">
            <v>171</v>
          </cell>
          <cell r="E3141">
            <v>2.5</v>
          </cell>
          <cell r="F3141">
            <v>5.8</v>
          </cell>
          <cell r="G3141">
            <v>2.5</v>
          </cell>
          <cell r="H3141">
            <v>3.6</v>
          </cell>
          <cell r="I3141">
            <v>4.7</v>
          </cell>
          <cell r="J3141">
            <v>5.8</v>
          </cell>
          <cell r="K3141">
            <v>2.6</v>
          </cell>
          <cell r="L3141">
            <v>3.1</v>
          </cell>
          <cell r="M3141">
            <v>2.8</v>
          </cell>
        </row>
        <row r="3142">
          <cell r="C3142" t="str">
            <v>110kV 172 Vị Thanh - 172 Long Mỹ</v>
          </cell>
          <cell r="D3142">
            <v>172</v>
          </cell>
          <cell r="E3142">
            <v>-0.9</v>
          </cell>
          <cell r="F3142">
            <v>-5.7</v>
          </cell>
          <cell r="G3142">
            <v>-1</v>
          </cell>
          <cell r="H3142">
            <v>-0.9</v>
          </cell>
          <cell r="I3142">
            <v>-5</v>
          </cell>
          <cell r="J3142">
            <v>-5.7</v>
          </cell>
          <cell r="K3142">
            <v>-0.9</v>
          </cell>
          <cell r="L3142">
            <v>-0.9</v>
          </cell>
          <cell r="M3142">
            <v>-0.9</v>
          </cell>
        </row>
        <row r="3143">
          <cell r="C3143" t="str">
            <v>Vị Thanh MBA T1 (phía 22kV)</v>
          </cell>
          <cell r="D3143">
            <v>431</v>
          </cell>
          <cell r="E3143">
            <v>0</v>
          </cell>
          <cell r="F3143">
            <v>0</v>
          </cell>
          <cell r="G3143">
            <v>0</v>
          </cell>
          <cell r="H3143">
            <v>0</v>
          </cell>
          <cell r="I3143">
            <v>0</v>
          </cell>
          <cell r="J3143">
            <v>0</v>
          </cell>
          <cell r="K3143">
            <v>0</v>
          </cell>
          <cell r="L3143">
            <v>0</v>
          </cell>
          <cell r="M3143">
            <v>0</v>
          </cell>
        </row>
        <row r="3144">
          <cell r="C3144" t="str">
            <v>Vị Thanh MBA T2 (phía 22kV)</v>
          </cell>
          <cell r="D3144">
            <v>432</v>
          </cell>
          <cell r="E3144">
            <v>3</v>
          </cell>
          <cell r="F3144">
            <v>5.0999999999999996</v>
          </cell>
          <cell r="G3144">
            <v>4.7</v>
          </cell>
          <cell r="H3144">
            <v>4.8</v>
          </cell>
          <cell r="I3144">
            <v>3</v>
          </cell>
          <cell r="J3144">
            <v>-3.8</v>
          </cell>
          <cell r="K3144">
            <v>5.0999999999999996</v>
          </cell>
          <cell r="L3144">
            <v>5</v>
          </cell>
          <cell r="M3144">
            <v>4.9000000000000004</v>
          </cell>
        </row>
        <row r="3145">
          <cell r="C3145" t="str">
            <v>Viễn Đông MBA T1 (phía 110kV)</v>
          </cell>
          <cell r="D3145">
            <v>131</v>
          </cell>
          <cell r="E3145">
            <v>4.2</v>
          </cell>
          <cell r="F3145">
            <v>5.4</v>
          </cell>
          <cell r="G3145">
            <v>5.2</v>
          </cell>
          <cell r="H3145">
            <v>5.2</v>
          </cell>
          <cell r="I3145">
            <v>5.4</v>
          </cell>
          <cell r="J3145">
            <v>4.2</v>
          </cell>
          <cell r="K3145">
            <v>5.2</v>
          </cell>
          <cell r="L3145">
            <v>5.0999999999999996</v>
          </cell>
          <cell r="M3145">
            <v>5</v>
          </cell>
        </row>
        <row r="3146">
          <cell r="C3146" t="str">
            <v>110kV 171 Viễn Đông - 171 Ko Lon</v>
          </cell>
          <cell r="D3146">
            <v>171</v>
          </cell>
          <cell r="E3146">
            <v>-3.2</v>
          </cell>
          <cell r="F3146">
            <v>-4.3</v>
          </cell>
          <cell r="G3146">
            <v>-4.2</v>
          </cell>
          <cell r="H3146">
            <v>-4.2</v>
          </cell>
          <cell r="I3146">
            <v>-4.3</v>
          </cell>
          <cell r="J3146">
            <v>-3.2</v>
          </cell>
          <cell r="K3146">
            <v>-4.2</v>
          </cell>
          <cell r="L3146">
            <v>-4.0999999999999996</v>
          </cell>
          <cell r="M3146">
            <v>-4</v>
          </cell>
        </row>
        <row r="3147">
          <cell r="C3147" t="str">
            <v>110kV 172 Viễn Đông - 171 Chơn Thành</v>
          </cell>
          <cell r="D3147">
            <v>172</v>
          </cell>
          <cell r="E3147">
            <v>-1</v>
          </cell>
          <cell r="F3147">
            <v>-1</v>
          </cell>
          <cell r="G3147">
            <v>-1</v>
          </cell>
          <cell r="H3147">
            <v>-1</v>
          </cell>
          <cell r="I3147">
            <v>-1</v>
          </cell>
          <cell r="J3147">
            <v>-1</v>
          </cell>
          <cell r="K3147">
            <v>-1</v>
          </cell>
          <cell r="L3147">
            <v>-1</v>
          </cell>
          <cell r="M3147">
            <v>-1</v>
          </cell>
        </row>
        <row r="3148">
          <cell r="C3148" t="str">
            <v>Viễn Đông MBA T1 (phía 22kV)</v>
          </cell>
          <cell r="D3148">
            <v>431</v>
          </cell>
          <cell r="E3148">
            <v>-3.7</v>
          </cell>
          <cell r="F3148">
            <v>-4.5999999999999996</v>
          </cell>
          <cell r="G3148">
            <v>-4.5</v>
          </cell>
          <cell r="H3148">
            <v>-4.5999999999999996</v>
          </cell>
          <cell r="I3148">
            <v>-4.5999999999999996</v>
          </cell>
          <cell r="J3148">
            <v>-3.7</v>
          </cell>
          <cell r="K3148">
            <v>-4.5999999999999996</v>
          </cell>
          <cell r="L3148">
            <v>-4.5</v>
          </cell>
          <cell r="M3148">
            <v>-4.4000000000000004</v>
          </cell>
        </row>
        <row r="3149">
          <cell r="C3149" t="str">
            <v>Việt Thành MBA T1 (phía 110kV)</v>
          </cell>
          <cell r="D3149">
            <v>131</v>
          </cell>
          <cell r="E3149">
            <v>-1.9</v>
          </cell>
          <cell r="F3149">
            <v>-3</v>
          </cell>
          <cell r="G3149">
            <v>-2.2000000000000002</v>
          </cell>
          <cell r="H3149">
            <v>-1.9</v>
          </cell>
          <cell r="I3149">
            <v>-2.2000000000000002</v>
          </cell>
          <cell r="J3149">
            <v>-2.4</v>
          </cell>
          <cell r="K3149">
            <v>-2.4</v>
          </cell>
          <cell r="L3149">
            <v>-3</v>
          </cell>
          <cell r="M3149">
            <v>-2.2000000000000002</v>
          </cell>
        </row>
        <row r="3150">
          <cell r="C3150" t="str">
            <v>Việt Thành MBA T2 (phía 110kV)</v>
          </cell>
          <cell r="D3150">
            <v>132</v>
          </cell>
          <cell r="E3150">
            <v>-2.5</v>
          </cell>
          <cell r="F3150">
            <v>-3.2</v>
          </cell>
          <cell r="G3150">
            <v>-3</v>
          </cell>
          <cell r="H3150">
            <v>-2.5</v>
          </cell>
          <cell r="I3150">
            <v>-2.7</v>
          </cell>
          <cell r="J3150">
            <v>-3.2</v>
          </cell>
          <cell r="K3150">
            <v>-2.8</v>
          </cell>
          <cell r="L3150">
            <v>-3.1</v>
          </cell>
          <cell r="M3150">
            <v>-2.8</v>
          </cell>
        </row>
        <row r="3151">
          <cell r="C3151" t="str">
            <v>110kV 171 Việt Thành - 171 Chánh Hưng</v>
          </cell>
          <cell r="D3151">
            <v>171</v>
          </cell>
          <cell r="E3151">
            <v>0</v>
          </cell>
          <cell r="F3151">
            <v>0</v>
          </cell>
          <cell r="G3151">
            <v>0</v>
          </cell>
          <cell r="H3151">
            <v>0</v>
          </cell>
          <cell r="I3151">
            <v>0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</row>
        <row r="3152">
          <cell r="C3152" t="str">
            <v>110kV 172 Việt Thành - 172 An Khánh</v>
          </cell>
          <cell r="D3152">
            <v>172</v>
          </cell>
          <cell r="E3152">
            <v>-2.2000000000000002</v>
          </cell>
          <cell r="F3152">
            <v>-2.5</v>
          </cell>
          <cell r="G3152">
            <v>-2.4</v>
          </cell>
          <cell r="H3152">
            <v>-2.2000000000000002</v>
          </cell>
          <cell r="I3152">
            <v>-2.4</v>
          </cell>
          <cell r="J3152">
            <v>-2.5</v>
          </cell>
          <cell r="K3152">
            <v>-2.2000000000000002</v>
          </cell>
          <cell r="L3152">
            <v>-2.2999999999999998</v>
          </cell>
          <cell r="M3152">
            <v>-2.4</v>
          </cell>
        </row>
        <row r="3153">
          <cell r="C3153" t="str">
            <v>110kV 175 Việt Thành - 172 Nam Sài Gòn 1</v>
          </cell>
          <cell r="D3153">
            <v>175</v>
          </cell>
          <cell r="E3153">
            <v>-0.3</v>
          </cell>
          <cell r="F3153">
            <v>-0.5</v>
          </cell>
          <cell r="G3153">
            <v>-0.5</v>
          </cell>
          <cell r="H3153">
            <v>-0.5</v>
          </cell>
          <cell r="I3153">
            <v>-0.5</v>
          </cell>
          <cell r="J3153">
            <v>-0.5</v>
          </cell>
          <cell r="K3153">
            <v>-0.4</v>
          </cell>
          <cell r="L3153">
            <v>-0.3</v>
          </cell>
          <cell r="M3153">
            <v>-0.4</v>
          </cell>
        </row>
        <row r="3154">
          <cell r="C3154" t="str">
            <v>110kV 176 Việt Thành - 179 Nhà Bè</v>
          </cell>
          <cell r="D3154">
            <v>176</v>
          </cell>
          <cell r="E3154">
            <v>4.8</v>
          </cell>
          <cell r="F3154">
            <v>5.8</v>
          </cell>
          <cell r="G3154">
            <v>5</v>
          </cell>
          <cell r="H3154">
            <v>4.8</v>
          </cell>
          <cell r="I3154">
            <v>5</v>
          </cell>
          <cell r="J3154">
            <v>5.6</v>
          </cell>
          <cell r="K3154">
            <v>5.3</v>
          </cell>
          <cell r="L3154">
            <v>5.8</v>
          </cell>
          <cell r="M3154">
            <v>5.2</v>
          </cell>
        </row>
        <row r="3155">
          <cell r="C3155" t="str">
            <v>Việt Thành MBA T1 (phía 22kV)</v>
          </cell>
          <cell r="D3155">
            <v>431</v>
          </cell>
          <cell r="E3155">
            <v>1.3</v>
          </cell>
          <cell r="F3155">
            <v>1.6</v>
          </cell>
          <cell r="G3155">
            <v>1.5</v>
          </cell>
          <cell r="H3155">
            <v>1.3</v>
          </cell>
          <cell r="I3155">
            <v>1.5</v>
          </cell>
          <cell r="J3155">
            <v>1.4</v>
          </cell>
          <cell r="K3155">
            <v>1.5</v>
          </cell>
          <cell r="L3155">
            <v>1.6</v>
          </cell>
          <cell r="M3155">
            <v>1.4</v>
          </cell>
        </row>
        <row r="3156">
          <cell r="C3156" t="str">
            <v>Việt Thành MBA T2 (phía 22kV)</v>
          </cell>
          <cell r="D3156">
            <v>432</v>
          </cell>
          <cell r="E3156">
            <v>0.5</v>
          </cell>
          <cell r="F3156">
            <v>0.6</v>
          </cell>
          <cell r="G3156">
            <v>0.6</v>
          </cell>
          <cell r="H3156">
            <v>0.5</v>
          </cell>
          <cell r="I3156">
            <v>0.6</v>
          </cell>
          <cell r="J3156">
            <v>0.6</v>
          </cell>
          <cell r="K3156">
            <v>0.6</v>
          </cell>
          <cell r="L3156">
            <v>0.6</v>
          </cell>
          <cell r="M3156">
            <v>0.6</v>
          </cell>
        </row>
        <row r="3157">
          <cell r="C3157" t="str">
            <v>Vina Kraft MBA T1 (phía 110kV)</v>
          </cell>
          <cell r="D3157">
            <v>131</v>
          </cell>
          <cell r="E3157">
            <v>4</v>
          </cell>
          <cell r="F3157">
            <v>21.7</v>
          </cell>
          <cell r="G3157">
            <v>11.3</v>
          </cell>
          <cell r="H3157">
            <v>10.7</v>
          </cell>
          <cell r="I3157">
            <v>21.7</v>
          </cell>
          <cell r="J3157">
            <v>4</v>
          </cell>
          <cell r="K3157">
            <v>-4.2</v>
          </cell>
          <cell r="L3157">
            <v>4.2</v>
          </cell>
          <cell r="M3157">
            <v>5</v>
          </cell>
        </row>
        <row r="3158">
          <cell r="C3158" t="str">
            <v>Vina Kraft MBA T1 (phía 22kV)</v>
          </cell>
          <cell r="D3158">
            <v>431</v>
          </cell>
          <cell r="E3158">
            <v>-3.8</v>
          </cell>
          <cell r="F3158">
            <v>-17.8</v>
          </cell>
          <cell r="G3158">
            <v>-10.4</v>
          </cell>
          <cell r="H3158">
            <v>-9.6</v>
          </cell>
          <cell r="I3158">
            <v>-17.8</v>
          </cell>
          <cell r="J3158">
            <v>-3.8</v>
          </cell>
          <cell r="K3158">
            <v>4.2</v>
          </cell>
          <cell r="L3158">
            <v>3.9</v>
          </cell>
          <cell r="M3158">
            <v>-4.5</v>
          </cell>
        </row>
        <row r="3159">
          <cell r="C3159" t="str">
            <v>Vina Kyoei MBA T1 (phía 110kV)</v>
          </cell>
          <cell r="D3159">
            <v>131</v>
          </cell>
          <cell r="E3159">
            <v>6.9</v>
          </cell>
          <cell r="F3159">
            <v>10.3</v>
          </cell>
          <cell r="G3159">
            <v>8.6</v>
          </cell>
          <cell r="H3159">
            <v>10.3</v>
          </cell>
          <cell r="I3159">
            <v>6.9</v>
          </cell>
          <cell r="J3159">
            <v>8</v>
          </cell>
          <cell r="K3159">
            <v>7</v>
          </cell>
          <cell r="L3159">
            <v>7</v>
          </cell>
          <cell r="M3159">
            <v>7.6</v>
          </cell>
        </row>
        <row r="3160">
          <cell r="C3160" t="str">
            <v>Vina Kyoei MBA T2 (phía 110kV)</v>
          </cell>
          <cell r="D3160">
            <v>132</v>
          </cell>
          <cell r="E3160">
            <v>28.8</v>
          </cell>
          <cell r="F3160">
            <v>61.2</v>
          </cell>
          <cell r="G3160">
            <v>34.5</v>
          </cell>
          <cell r="H3160">
            <v>61.2</v>
          </cell>
          <cell r="I3160">
            <v>44.3</v>
          </cell>
          <cell r="J3160">
            <v>61</v>
          </cell>
          <cell r="K3160">
            <v>35.799999999999997</v>
          </cell>
          <cell r="L3160">
            <v>48.4</v>
          </cell>
          <cell r="M3160">
            <v>28.8</v>
          </cell>
        </row>
        <row r="3161">
          <cell r="C3161" t="str">
            <v>110kV 171 Vina Kyoei - 177 NMĐ Phú Mỹ 1</v>
          </cell>
          <cell r="D3161">
            <v>171</v>
          </cell>
          <cell r="E3161">
            <v>32.5</v>
          </cell>
          <cell r="F3161">
            <v>-68.599999999999994</v>
          </cell>
          <cell r="G3161">
            <v>-68.599999999999994</v>
          </cell>
          <cell r="H3161">
            <v>-35.799999999999997</v>
          </cell>
          <cell r="I3161">
            <v>32.5</v>
          </cell>
          <cell r="J3161">
            <v>-43.8</v>
          </cell>
          <cell r="K3161">
            <v>-50.9</v>
          </cell>
          <cell r="L3161">
            <v>40.9</v>
          </cell>
          <cell r="M3161">
            <v>44.1</v>
          </cell>
        </row>
        <row r="3162">
          <cell r="C3162" t="str">
            <v>110kV 172 Vina Kyoei - 171 Thép Miền Nam</v>
          </cell>
          <cell r="D3162">
            <v>172</v>
          </cell>
          <cell r="E3162">
            <v>23.4</v>
          </cell>
          <cell r="F3162">
            <v>-40.200000000000003</v>
          </cell>
          <cell r="G3162">
            <v>-29.2</v>
          </cell>
          <cell r="H3162">
            <v>-40.200000000000003</v>
          </cell>
          <cell r="I3162">
            <v>-36.799999999999997</v>
          </cell>
          <cell r="J3162">
            <v>23.4</v>
          </cell>
          <cell r="K3162">
            <v>-38</v>
          </cell>
          <cell r="L3162">
            <v>-29.2</v>
          </cell>
          <cell r="M3162">
            <v>-33.799999999999997</v>
          </cell>
        </row>
        <row r="3163">
          <cell r="C3163" t="str">
            <v>Vina Kyoei MBA T2 (phía 35kV)</v>
          </cell>
          <cell r="D3163">
            <v>332</v>
          </cell>
          <cell r="E3163">
            <v>31.6</v>
          </cell>
          <cell r="F3163">
            <v>41.5</v>
          </cell>
          <cell r="G3163">
            <v>33.5</v>
          </cell>
          <cell r="H3163">
            <v>38.700000000000003</v>
          </cell>
          <cell r="I3163">
            <v>32</v>
          </cell>
          <cell r="J3163">
            <v>41.5</v>
          </cell>
          <cell r="K3163">
            <v>32.5</v>
          </cell>
          <cell r="L3163">
            <v>35.6</v>
          </cell>
          <cell r="M3163">
            <v>31.6</v>
          </cell>
        </row>
        <row r="3164">
          <cell r="C3164" t="str">
            <v>Vina Kyoei MBA T1 (phía 22kV)</v>
          </cell>
          <cell r="D3164">
            <v>431</v>
          </cell>
          <cell r="E3164">
            <v>4.9000000000000004</v>
          </cell>
          <cell r="F3164">
            <v>7.2</v>
          </cell>
          <cell r="G3164">
            <v>6.1</v>
          </cell>
          <cell r="H3164">
            <v>7.2</v>
          </cell>
          <cell r="I3164">
            <v>5.5</v>
          </cell>
          <cell r="J3164">
            <v>5.2</v>
          </cell>
          <cell r="K3164">
            <v>4.9000000000000004</v>
          </cell>
          <cell r="L3164">
            <v>5.0999999999999996</v>
          </cell>
          <cell r="M3164">
            <v>5.3</v>
          </cell>
        </row>
        <row r="3165">
          <cell r="C3165" t="str">
            <v>Vĩnh An MBA T1 (phía 110kV)</v>
          </cell>
          <cell r="D3165">
            <v>131</v>
          </cell>
          <cell r="E3165">
            <v>-1.7</v>
          </cell>
          <cell r="F3165">
            <v>2.7</v>
          </cell>
          <cell r="G3165">
            <v>2.7</v>
          </cell>
          <cell r="H3165">
            <v>2.5</v>
          </cell>
          <cell r="I3165">
            <v>1.9</v>
          </cell>
          <cell r="J3165">
            <v>2.1</v>
          </cell>
          <cell r="K3165">
            <v>-1.8</v>
          </cell>
          <cell r="L3165">
            <v>2.6</v>
          </cell>
          <cell r="M3165">
            <v>-1.7</v>
          </cell>
        </row>
        <row r="3166">
          <cell r="C3166" t="str">
            <v>110kV 171 Vĩnh An - 175 NMĐ Trị An</v>
          </cell>
          <cell r="D3166">
            <v>171</v>
          </cell>
          <cell r="E3166">
            <v>1.9</v>
          </cell>
          <cell r="F3166">
            <v>-2.9</v>
          </cell>
          <cell r="G3166">
            <v>-2.9</v>
          </cell>
          <cell r="H3166">
            <v>-2.6</v>
          </cell>
          <cell r="I3166">
            <v>-2.1</v>
          </cell>
          <cell r="J3166">
            <v>-2.2999999999999998</v>
          </cell>
          <cell r="K3166">
            <v>2</v>
          </cell>
          <cell r="L3166">
            <v>-2.6</v>
          </cell>
          <cell r="M3166">
            <v>1.9</v>
          </cell>
        </row>
        <row r="3167">
          <cell r="C3167" t="str">
            <v>Vĩnh An MBA T1 (phía 22kV)</v>
          </cell>
          <cell r="D3167">
            <v>431</v>
          </cell>
          <cell r="E3167">
            <v>2.4</v>
          </cell>
          <cell r="F3167">
            <v>3.2</v>
          </cell>
          <cell r="G3167">
            <v>3.1</v>
          </cell>
          <cell r="H3167">
            <v>3.1</v>
          </cell>
          <cell r="I3167">
            <v>3.2</v>
          </cell>
          <cell r="J3167">
            <v>2.4</v>
          </cell>
          <cell r="K3167">
            <v>2.6</v>
          </cell>
          <cell r="L3167">
            <v>2.6</v>
          </cell>
          <cell r="M3167">
            <v>2.9</v>
          </cell>
        </row>
        <row r="3168">
          <cell r="C3168" t="str">
            <v>Vĩnh Châu MBA T1 (phía 110kV)</v>
          </cell>
          <cell r="D3168">
            <v>131</v>
          </cell>
          <cell r="E3168">
            <v>-2.7</v>
          </cell>
          <cell r="F3168">
            <v>-3</v>
          </cell>
          <cell r="G3168">
            <v>-2.8</v>
          </cell>
          <cell r="H3168">
            <v>-2.9</v>
          </cell>
          <cell r="I3168">
            <v>-2.9</v>
          </cell>
          <cell r="J3168">
            <v>-2.9</v>
          </cell>
          <cell r="K3168">
            <v>-2.7</v>
          </cell>
          <cell r="L3168">
            <v>-2.8</v>
          </cell>
          <cell r="M3168">
            <v>-3</v>
          </cell>
        </row>
        <row r="3169">
          <cell r="C3169" t="str">
            <v>Vĩnh Châu MBA T2 (phía 110kV)</v>
          </cell>
          <cell r="D3169">
            <v>132</v>
          </cell>
          <cell r="E3169">
            <v>-1.8</v>
          </cell>
          <cell r="F3169">
            <v>-2.6</v>
          </cell>
          <cell r="G3169">
            <v>-1.8</v>
          </cell>
          <cell r="H3169">
            <v>-1.9</v>
          </cell>
          <cell r="I3169">
            <v>-2.6</v>
          </cell>
          <cell r="J3169">
            <v>-2</v>
          </cell>
          <cell r="K3169">
            <v>-2.2999999999999998</v>
          </cell>
          <cell r="L3169">
            <v>-1.9</v>
          </cell>
          <cell r="M3169">
            <v>-2.2000000000000002</v>
          </cell>
        </row>
        <row r="3170">
          <cell r="C3170" t="str">
            <v>Vĩnh Châu MBA T1 (phía 22kV)</v>
          </cell>
          <cell r="D3170">
            <v>431</v>
          </cell>
          <cell r="E3170">
            <v>3.2</v>
          </cell>
          <cell r="F3170">
            <v>3.5</v>
          </cell>
          <cell r="G3170">
            <v>3.3</v>
          </cell>
          <cell r="H3170">
            <v>3.5</v>
          </cell>
          <cell r="I3170">
            <v>3.5</v>
          </cell>
          <cell r="J3170">
            <v>3.5</v>
          </cell>
          <cell r="K3170">
            <v>3.2</v>
          </cell>
          <cell r="L3170">
            <v>3.4</v>
          </cell>
          <cell r="M3170">
            <v>3.5</v>
          </cell>
        </row>
        <row r="3171">
          <cell r="C3171" t="str">
            <v>Vĩnh Châu MBA T2 (phía 22kV)</v>
          </cell>
          <cell r="D3171">
            <v>432</v>
          </cell>
          <cell r="E3171">
            <v>2.1</v>
          </cell>
          <cell r="F3171">
            <v>2.9</v>
          </cell>
          <cell r="G3171">
            <v>2.1</v>
          </cell>
          <cell r="H3171">
            <v>2.2000000000000002</v>
          </cell>
          <cell r="I3171">
            <v>2.9</v>
          </cell>
          <cell r="J3171">
            <v>2.4</v>
          </cell>
          <cell r="K3171">
            <v>2.7</v>
          </cell>
          <cell r="L3171">
            <v>2.2999999999999998</v>
          </cell>
          <cell r="M3171">
            <v>2.5</v>
          </cell>
        </row>
        <row r="3172">
          <cell r="C3172" t="str">
            <v>Vĩnh Hung MBT T2 (phía 110kV)</v>
          </cell>
          <cell r="D3172">
            <v>132</v>
          </cell>
          <cell r="E3172">
            <v>-0.9</v>
          </cell>
          <cell r="F3172">
            <v>-1.3</v>
          </cell>
          <cell r="G3172">
            <v>-0.9</v>
          </cell>
          <cell r="H3172">
            <v>-1.1000000000000001</v>
          </cell>
          <cell r="I3172">
            <v>-1.2</v>
          </cell>
          <cell r="J3172">
            <v>-1.3</v>
          </cell>
          <cell r="K3172">
            <v>-1.3</v>
          </cell>
          <cell r="L3172">
            <v>-1.2</v>
          </cell>
          <cell r="M3172">
            <v>-1.2</v>
          </cell>
        </row>
        <row r="3173">
          <cell r="C3173" t="str">
            <v>Vĩnh Hưng MBA T2 (phía 22kV)</v>
          </cell>
          <cell r="D3173">
            <v>432</v>
          </cell>
          <cell r="E3173">
            <v>1.1000000000000001</v>
          </cell>
          <cell r="F3173">
            <v>1.4</v>
          </cell>
          <cell r="G3173">
            <v>1.1000000000000001</v>
          </cell>
          <cell r="H3173">
            <v>1.2</v>
          </cell>
          <cell r="I3173">
            <v>1.3</v>
          </cell>
          <cell r="J3173">
            <v>1.4</v>
          </cell>
          <cell r="K3173">
            <v>1.4</v>
          </cell>
          <cell r="L3173">
            <v>1.4</v>
          </cell>
          <cell r="M3173">
            <v>1.3</v>
          </cell>
        </row>
        <row r="3174">
          <cell r="C3174" t="str">
            <v>Vĩnh Lộc MBA T1 (phía 110kV)</v>
          </cell>
          <cell r="D3174">
            <v>131</v>
          </cell>
          <cell r="E3174">
            <v>7</v>
          </cell>
          <cell r="F3174">
            <v>18.399999999999999</v>
          </cell>
          <cell r="G3174">
            <v>18.399999999999999</v>
          </cell>
          <cell r="H3174">
            <v>17.899999999999999</v>
          </cell>
          <cell r="I3174">
            <v>16.899999999999999</v>
          </cell>
          <cell r="J3174">
            <v>7</v>
          </cell>
          <cell r="K3174">
            <v>17.899999999999999</v>
          </cell>
          <cell r="L3174">
            <v>16.8</v>
          </cell>
          <cell r="M3174">
            <v>16.600000000000001</v>
          </cell>
        </row>
        <row r="3175">
          <cell r="C3175" t="str">
            <v>Vĩnh Lộc MBA T2 (phía 110kV)</v>
          </cell>
          <cell r="D3175">
            <v>132</v>
          </cell>
          <cell r="E3175">
            <v>-2.5</v>
          </cell>
          <cell r="F3175">
            <v>8.1999999999999993</v>
          </cell>
          <cell r="G3175">
            <v>8.1999999999999993</v>
          </cell>
          <cell r="H3175">
            <v>7.2</v>
          </cell>
          <cell r="I3175">
            <v>6.7</v>
          </cell>
          <cell r="J3175">
            <v>-2.5</v>
          </cell>
          <cell r="K3175">
            <v>6.6</v>
          </cell>
          <cell r="L3175">
            <v>6.3</v>
          </cell>
          <cell r="M3175">
            <v>7</v>
          </cell>
        </row>
        <row r="3176">
          <cell r="C3176" t="str">
            <v>110kV 171 Vĩnh Lộc - 172 Tham Lương</v>
          </cell>
          <cell r="D3176">
            <v>171</v>
          </cell>
          <cell r="E3176">
            <v>-7</v>
          </cell>
          <cell r="F3176">
            <v>-18.3</v>
          </cell>
          <cell r="G3176">
            <v>-18.3</v>
          </cell>
          <cell r="H3176">
            <v>-17.8</v>
          </cell>
          <cell r="I3176">
            <v>-16.899999999999999</v>
          </cell>
          <cell r="J3176">
            <v>-7</v>
          </cell>
          <cell r="K3176">
            <v>-17.8</v>
          </cell>
          <cell r="L3176">
            <v>-16.8</v>
          </cell>
          <cell r="M3176">
            <v>-16.8</v>
          </cell>
        </row>
        <row r="3177">
          <cell r="C3177" t="str">
            <v>110kV 172 Vĩnh Lộc - 175 Bình Tân</v>
          </cell>
          <cell r="D3177">
            <v>172</v>
          </cell>
          <cell r="E3177">
            <v>2.9</v>
          </cell>
          <cell r="F3177">
            <v>11.3</v>
          </cell>
          <cell r="G3177">
            <v>11.3</v>
          </cell>
          <cell r="H3177">
            <v>9.6</v>
          </cell>
          <cell r="I3177">
            <v>9.5</v>
          </cell>
          <cell r="J3177">
            <v>2.9</v>
          </cell>
          <cell r="K3177">
            <v>8.9</v>
          </cell>
          <cell r="L3177">
            <v>8.5</v>
          </cell>
          <cell r="M3177">
            <v>9.5</v>
          </cell>
        </row>
        <row r="3178">
          <cell r="C3178" t="str">
            <v>Vĩnh Lộc MBA T1 (phía 22kV)</v>
          </cell>
          <cell r="D3178">
            <v>431</v>
          </cell>
          <cell r="E3178">
            <v>-4.8</v>
          </cell>
          <cell r="F3178">
            <v>-12.7</v>
          </cell>
          <cell r="G3178">
            <v>-12.7</v>
          </cell>
          <cell r="H3178">
            <v>-12.6</v>
          </cell>
          <cell r="I3178">
            <v>-12.2</v>
          </cell>
          <cell r="J3178">
            <v>-4.8</v>
          </cell>
          <cell r="K3178">
            <v>-12.7</v>
          </cell>
          <cell r="L3178">
            <v>-11.8</v>
          </cell>
          <cell r="M3178">
            <v>-11.9</v>
          </cell>
        </row>
        <row r="3179">
          <cell r="C3179" t="str">
            <v>Vĩnh Lộc MBA T2 (phía 22kV)</v>
          </cell>
          <cell r="D3179">
            <v>432</v>
          </cell>
          <cell r="E3179">
            <v>2.5</v>
          </cell>
          <cell r="F3179">
            <v>-8.1999999999999993</v>
          </cell>
          <cell r="G3179">
            <v>-8.1999999999999993</v>
          </cell>
          <cell r="H3179">
            <v>-7.1</v>
          </cell>
          <cell r="I3179">
            <v>-6.6</v>
          </cell>
          <cell r="J3179">
            <v>2.5</v>
          </cell>
          <cell r="K3179">
            <v>-6.6</v>
          </cell>
          <cell r="L3179">
            <v>-6.2</v>
          </cell>
          <cell r="M3179">
            <v>-6.9</v>
          </cell>
        </row>
        <row r="3180">
          <cell r="C3180" t="str">
            <v>Vĩnh Long MBA T1 (phía 110kV)</v>
          </cell>
          <cell r="D3180">
            <v>131</v>
          </cell>
          <cell r="E3180">
            <v>1.2</v>
          </cell>
          <cell r="F3180">
            <v>-2.4</v>
          </cell>
          <cell r="G3180">
            <v>-2.2999999999999998</v>
          </cell>
          <cell r="H3180">
            <v>-2.4</v>
          </cell>
          <cell r="I3180">
            <v>1.4</v>
          </cell>
          <cell r="J3180">
            <v>1.2</v>
          </cell>
          <cell r="K3180">
            <v>-2</v>
          </cell>
          <cell r="L3180">
            <v>2</v>
          </cell>
          <cell r="M3180">
            <v>1.8</v>
          </cell>
        </row>
        <row r="3181">
          <cell r="C3181" t="str">
            <v>Vĩnh Long MBA T2 (phía 110kV)</v>
          </cell>
          <cell r="D3181">
            <v>132</v>
          </cell>
          <cell r="E3181">
            <v>1.2</v>
          </cell>
          <cell r="F3181">
            <v>2.2000000000000002</v>
          </cell>
          <cell r="G3181">
            <v>2.2000000000000002</v>
          </cell>
          <cell r="H3181">
            <v>2.1</v>
          </cell>
          <cell r="I3181">
            <v>-2</v>
          </cell>
          <cell r="J3181">
            <v>1.2</v>
          </cell>
          <cell r="K3181">
            <v>1.8</v>
          </cell>
          <cell r="L3181">
            <v>-1.8</v>
          </cell>
          <cell r="M3181">
            <v>1.4</v>
          </cell>
        </row>
        <row r="3182">
          <cell r="C3182" t="str">
            <v>110kV 171 Vĩnh Long - 176 Vĩnh Long 2</v>
          </cell>
          <cell r="D3182">
            <v>171</v>
          </cell>
          <cell r="E3182">
            <v>2</v>
          </cell>
          <cell r="F3182">
            <v>3.9</v>
          </cell>
          <cell r="G3182">
            <v>2.4</v>
          </cell>
          <cell r="H3182">
            <v>2</v>
          </cell>
          <cell r="I3182">
            <v>3.2</v>
          </cell>
          <cell r="J3182">
            <v>3.3</v>
          </cell>
          <cell r="K3182">
            <v>3.9</v>
          </cell>
          <cell r="L3182">
            <v>2.4</v>
          </cell>
          <cell r="M3182">
            <v>2.8</v>
          </cell>
        </row>
        <row r="3183">
          <cell r="C3183" t="str">
            <v>110kV 172 Vĩnh Long - 131 Phước Hòa</v>
          </cell>
          <cell r="D3183">
            <v>172</v>
          </cell>
          <cell r="E3183">
            <v>1.6</v>
          </cell>
          <cell r="F3183">
            <v>-4.4000000000000004</v>
          </cell>
          <cell r="G3183">
            <v>1.6</v>
          </cell>
          <cell r="H3183">
            <v>2.2000000000000002</v>
          </cell>
          <cell r="I3183">
            <v>3</v>
          </cell>
          <cell r="J3183">
            <v>-4.4000000000000004</v>
          </cell>
          <cell r="K3183">
            <v>-4.4000000000000004</v>
          </cell>
          <cell r="L3183">
            <v>-2.4</v>
          </cell>
          <cell r="M3183">
            <v>-2.1</v>
          </cell>
        </row>
        <row r="3184">
          <cell r="C3184" t="str">
            <v>110kV 173 Vĩnh Long - 172 Vũng Liêm</v>
          </cell>
          <cell r="D3184">
            <v>173</v>
          </cell>
          <cell r="E3184">
            <v>-1.7</v>
          </cell>
          <cell r="F3184">
            <v>-2.4</v>
          </cell>
          <cell r="G3184">
            <v>-1.9</v>
          </cell>
          <cell r="H3184">
            <v>-2.4</v>
          </cell>
          <cell r="I3184">
            <v>-2</v>
          </cell>
          <cell r="J3184">
            <v>2.2000000000000002</v>
          </cell>
          <cell r="K3184">
            <v>-1.8</v>
          </cell>
          <cell r="L3184">
            <v>-1.7</v>
          </cell>
          <cell r="M3184">
            <v>-2</v>
          </cell>
        </row>
        <row r="3185">
          <cell r="C3185" t="str">
            <v>110kV 174 Vĩnh Long - 177 Vĩnh Long 2</v>
          </cell>
          <cell r="D3185">
            <v>174</v>
          </cell>
          <cell r="E3185">
            <v>2.1</v>
          </cell>
          <cell r="F3185">
            <v>4</v>
          </cell>
          <cell r="G3185">
            <v>2.5</v>
          </cell>
          <cell r="H3185">
            <v>2.1</v>
          </cell>
          <cell r="I3185">
            <v>3.3</v>
          </cell>
          <cell r="J3185">
            <v>3.4</v>
          </cell>
          <cell r="K3185">
            <v>4</v>
          </cell>
          <cell r="L3185">
            <v>2.5</v>
          </cell>
          <cell r="M3185">
            <v>2.9</v>
          </cell>
        </row>
        <row r="3186">
          <cell r="C3186" t="str">
            <v>Vĩnh Long MBA T1 (phía 22kV)</v>
          </cell>
          <cell r="D3186">
            <v>431</v>
          </cell>
          <cell r="E3186">
            <v>1.2</v>
          </cell>
          <cell r="F3186">
            <v>3.4</v>
          </cell>
          <cell r="G3186">
            <v>3.3</v>
          </cell>
          <cell r="H3186">
            <v>3.4</v>
          </cell>
          <cell r="I3186">
            <v>1.3</v>
          </cell>
          <cell r="J3186">
            <v>1.2</v>
          </cell>
          <cell r="K3186">
            <v>2.9</v>
          </cell>
          <cell r="L3186">
            <v>2.1</v>
          </cell>
          <cell r="M3186">
            <v>1.4</v>
          </cell>
        </row>
        <row r="3187">
          <cell r="C3187" t="str">
            <v>Vĩnh Long MBA T2 (phía 22kV)</v>
          </cell>
          <cell r="D3187">
            <v>432</v>
          </cell>
          <cell r="E3187">
            <v>1.8</v>
          </cell>
          <cell r="F3187">
            <v>2.6</v>
          </cell>
          <cell r="G3187">
            <v>2.5</v>
          </cell>
          <cell r="H3187">
            <v>2.1</v>
          </cell>
          <cell r="I3187">
            <v>2.6</v>
          </cell>
          <cell r="J3187">
            <v>1.9</v>
          </cell>
          <cell r="K3187">
            <v>1.8</v>
          </cell>
          <cell r="L3187">
            <v>2.2999999999999998</v>
          </cell>
          <cell r="M3187">
            <v>2</v>
          </cell>
        </row>
        <row r="3188">
          <cell r="C3188" t="str">
            <v>Vĩnh Long 2 MBA AT1 (phía 110kV)</v>
          </cell>
          <cell r="D3188">
            <v>131</v>
          </cell>
          <cell r="E3188">
            <v>5.6</v>
          </cell>
          <cell r="F3188">
            <v>8.9</v>
          </cell>
          <cell r="G3188">
            <v>6.6</v>
          </cell>
          <cell r="H3188">
            <v>5.6</v>
          </cell>
          <cell r="I3188">
            <v>6.3</v>
          </cell>
          <cell r="J3188">
            <v>7</v>
          </cell>
          <cell r="K3188">
            <v>8.9</v>
          </cell>
          <cell r="L3188">
            <v>6.1</v>
          </cell>
          <cell r="M3188">
            <v>6.7</v>
          </cell>
        </row>
        <row r="3189">
          <cell r="C3189" t="str">
            <v>Vĩnh Long 2 MBA AT2 (phía 110kV)</v>
          </cell>
          <cell r="D3189">
            <v>132</v>
          </cell>
          <cell r="E3189">
            <v>2.7</v>
          </cell>
          <cell r="F3189">
            <v>5.6</v>
          </cell>
          <cell r="G3189">
            <v>3.4</v>
          </cell>
          <cell r="H3189">
            <v>-2.7</v>
          </cell>
          <cell r="I3189">
            <v>-4.4000000000000004</v>
          </cell>
          <cell r="J3189">
            <v>3.7</v>
          </cell>
          <cell r="K3189">
            <v>5.6</v>
          </cell>
          <cell r="L3189">
            <v>2.7</v>
          </cell>
          <cell r="M3189">
            <v>-3.4</v>
          </cell>
        </row>
        <row r="3190">
          <cell r="C3190" t="str">
            <v>110kV 172 Vĩnh Long 2 - 172 Nha Mân</v>
          </cell>
          <cell r="D3190">
            <v>172</v>
          </cell>
          <cell r="E3190">
            <v>-1.4</v>
          </cell>
          <cell r="F3190">
            <v>-3.7</v>
          </cell>
          <cell r="G3190">
            <v>-3.7</v>
          </cell>
          <cell r="H3190">
            <v>-1.7</v>
          </cell>
          <cell r="I3190">
            <v>1.8</v>
          </cell>
          <cell r="J3190">
            <v>-1.4</v>
          </cell>
          <cell r="K3190">
            <v>-2.6</v>
          </cell>
          <cell r="L3190">
            <v>-2</v>
          </cell>
          <cell r="M3190">
            <v>-3.3</v>
          </cell>
        </row>
        <row r="3191">
          <cell r="C3191" t="str">
            <v>110kV 175 Vĩnh Long 2 - 171 Cổ Chiên</v>
          </cell>
          <cell r="D3191">
            <v>175</v>
          </cell>
          <cell r="E3191">
            <v>-2</v>
          </cell>
          <cell r="F3191">
            <v>-4</v>
          </cell>
          <cell r="G3191">
            <v>-2.6</v>
          </cell>
          <cell r="H3191">
            <v>-2.6</v>
          </cell>
          <cell r="I3191">
            <v>-2</v>
          </cell>
          <cell r="J3191">
            <v>-3.1</v>
          </cell>
          <cell r="K3191">
            <v>-4</v>
          </cell>
          <cell r="L3191">
            <v>-2.2000000000000002</v>
          </cell>
          <cell r="M3191">
            <v>-3.6</v>
          </cell>
        </row>
        <row r="3192">
          <cell r="C3192" t="str">
            <v>110kV 176 Vĩnh Long 2 - 171 Vĩnh Long</v>
          </cell>
          <cell r="D3192">
            <v>176</v>
          </cell>
          <cell r="E3192">
            <v>-2.2000000000000002</v>
          </cell>
          <cell r="F3192">
            <v>-4.0999999999999996</v>
          </cell>
          <cell r="G3192">
            <v>-2.6</v>
          </cell>
          <cell r="H3192">
            <v>-2.2000000000000002</v>
          </cell>
          <cell r="I3192">
            <v>-3.4</v>
          </cell>
          <cell r="J3192">
            <v>-3.5</v>
          </cell>
          <cell r="K3192">
            <v>-4.0999999999999996</v>
          </cell>
          <cell r="L3192">
            <v>-2.7</v>
          </cell>
          <cell r="M3192">
            <v>-3.2</v>
          </cell>
        </row>
        <row r="3193">
          <cell r="C3193" t="str">
            <v>110kV 177 Vĩnh Long 2 - 174 Vĩnh Long</v>
          </cell>
          <cell r="D3193">
            <v>177</v>
          </cell>
          <cell r="E3193">
            <v>-2.2999999999999998</v>
          </cell>
          <cell r="F3193">
            <v>-4.2</v>
          </cell>
          <cell r="G3193">
            <v>-2.7</v>
          </cell>
          <cell r="H3193">
            <v>-2.2999999999999998</v>
          </cell>
          <cell r="I3193">
            <v>-3.5</v>
          </cell>
          <cell r="J3193">
            <v>-3.6</v>
          </cell>
          <cell r="K3193">
            <v>-4.2</v>
          </cell>
          <cell r="L3193">
            <v>-2.8</v>
          </cell>
          <cell r="M3193">
            <v>-3.4</v>
          </cell>
        </row>
        <row r="3194">
          <cell r="C3194" t="str">
            <v>Vĩnh Long 2 MBA AT1 (phía 220kV)</v>
          </cell>
          <cell r="D3194">
            <v>231</v>
          </cell>
          <cell r="E3194">
            <v>-4.5999999999999996</v>
          </cell>
          <cell r="F3194">
            <v>-8.1999999999999993</v>
          </cell>
          <cell r="G3194">
            <v>-5.6</v>
          </cell>
          <cell r="H3194">
            <v>-4.5999999999999996</v>
          </cell>
          <cell r="I3194">
            <v>-5.4</v>
          </cell>
          <cell r="J3194">
            <v>-6.2</v>
          </cell>
          <cell r="K3194">
            <v>-8.1999999999999993</v>
          </cell>
          <cell r="L3194">
            <v>-5.2</v>
          </cell>
          <cell r="M3194">
            <v>-5.8</v>
          </cell>
        </row>
        <row r="3195">
          <cell r="C3195" t="str">
            <v>Vĩnh Long 2 MBA AT2 (phía 220kV)</v>
          </cell>
          <cell r="D3195">
            <v>232</v>
          </cell>
          <cell r="E3195">
            <v>-2.8</v>
          </cell>
          <cell r="F3195">
            <v>6.5</v>
          </cell>
          <cell r="G3195">
            <v>5</v>
          </cell>
          <cell r="H3195">
            <v>5</v>
          </cell>
          <cell r="I3195">
            <v>6.5</v>
          </cell>
          <cell r="J3195">
            <v>-2.8</v>
          </cell>
          <cell r="K3195">
            <v>-4.8</v>
          </cell>
          <cell r="L3195">
            <v>4.8</v>
          </cell>
          <cell r="M3195">
            <v>5.6</v>
          </cell>
        </row>
        <row r="3196">
          <cell r="C3196" t="str">
            <v>220kV 271 Vĩnh Long 2 - 273 Trà Vinh 2</v>
          </cell>
          <cell r="D3196">
            <v>271</v>
          </cell>
          <cell r="E3196">
            <v>-15.5</v>
          </cell>
          <cell r="F3196">
            <v>58.6</v>
          </cell>
          <cell r="G3196">
            <v>48.9</v>
          </cell>
          <cell r="H3196">
            <v>58.6</v>
          </cell>
          <cell r="I3196">
            <v>-15.5</v>
          </cell>
          <cell r="J3196">
            <v>27.8</v>
          </cell>
          <cell r="K3196">
            <v>27.8</v>
          </cell>
          <cell r="L3196">
            <v>27.1</v>
          </cell>
          <cell r="M3196">
            <v>20.8</v>
          </cell>
        </row>
        <row r="3197">
          <cell r="C3197" t="str">
            <v>220kV 272 Vĩnh Long 2 - 274 Trà Vinh 2</v>
          </cell>
          <cell r="D3197">
            <v>272</v>
          </cell>
          <cell r="E3197">
            <v>15.7</v>
          </cell>
          <cell r="F3197">
            <v>58.6</v>
          </cell>
          <cell r="G3197">
            <v>49.2</v>
          </cell>
          <cell r="H3197">
            <v>58.6</v>
          </cell>
          <cell r="I3197">
            <v>15.7</v>
          </cell>
          <cell r="J3197">
            <v>28.1</v>
          </cell>
          <cell r="K3197">
            <v>28.3</v>
          </cell>
          <cell r="L3197">
            <v>27.1</v>
          </cell>
          <cell r="M3197">
            <v>20.9</v>
          </cell>
        </row>
        <row r="3198">
          <cell r="C3198" t="str">
            <v>220kV 273 Vĩnh Long 2 - 278 NMĐ Ô Môn</v>
          </cell>
          <cell r="D3198">
            <v>273</v>
          </cell>
          <cell r="E3198">
            <v>-16.2</v>
          </cell>
          <cell r="F3198">
            <v>-45.9</v>
          </cell>
          <cell r="G3198">
            <v>-45.9</v>
          </cell>
          <cell r="H3198">
            <v>-38.299999999999997</v>
          </cell>
          <cell r="I3198">
            <v>-16.2</v>
          </cell>
          <cell r="J3198">
            <v>-29.1</v>
          </cell>
          <cell r="K3198">
            <v>-27.7</v>
          </cell>
          <cell r="L3198">
            <v>-31.4</v>
          </cell>
          <cell r="M3198">
            <v>-27.2</v>
          </cell>
        </row>
        <row r="3199">
          <cell r="C3199" t="str">
            <v>220kV 274 Vĩnh Long 2 - 271 Sa Đéc 2</v>
          </cell>
          <cell r="D3199">
            <v>274</v>
          </cell>
          <cell r="E3199">
            <v>-19.8</v>
          </cell>
          <cell r="F3199">
            <v>-43.8</v>
          </cell>
          <cell r="G3199">
            <v>-43.8</v>
          </cell>
          <cell r="H3199">
            <v>-37.4</v>
          </cell>
          <cell r="I3199">
            <v>-19.8</v>
          </cell>
          <cell r="J3199">
            <v>-32</v>
          </cell>
          <cell r="K3199">
            <v>-32.5</v>
          </cell>
          <cell r="L3199">
            <v>-31.9</v>
          </cell>
          <cell r="M3199">
            <v>-26.9</v>
          </cell>
        </row>
        <row r="3200">
          <cell r="C3200" t="str">
            <v>220kV 275 Vĩnh Long 2 - 278 Cai Lậy</v>
          </cell>
          <cell r="D3200">
            <v>275</v>
          </cell>
          <cell r="E3200">
            <v>-12.1</v>
          </cell>
          <cell r="F3200">
            <v>20.8</v>
          </cell>
          <cell r="G3200">
            <v>20.8</v>
          </cell>
          <cell r="H3200">
            <v>17.899999999999999</v>
          </cell>
          <cell r="I3200">
            <v>19.100000000000001</v>
          </cell>
          <cell r="J3200">
            <v>18.8</v>
          </cell>
          <cell r="K3200">
            <v>16.2</v>
          </cell>
          <cell r="L3200">
            <v>20.5</v>
          </cell>
          <cell r="M3200">
            <v>-12.1</v>
          </cell>
        </row>
        <row r="3201">
          <cell r="C3201" t="str">
            <v>220kV 276 Vĩnh Long 2 - 279 Cai Lậy</v>
          </cell>
          <cell r="D3201">
            <v>276</v>
          </cell>
          <cell r="E3201">
            <v>-12.1</v>
          </cell>
          <cell r="F3201">
            <v>20.6</v>
          </cell>
          <cell r="G3201">
            <v>20.3</v>
          </cell>
          <cell r="H3201">
            <v>18.399999999999999</v>
          </cell>
          <cell r="I3201">
            <v>18</v>
          </cell>
          <cell r="J3201">
            <v>17.600000000000001</v>
          </cell>
          <cell r="K3201">
            <v>20.6</v>
          </cell>
          <cell r="L3201">
            <v>20.6</v>
          </cell>
          <cell r="M3201">
            <v>-12.1</v>
          </cell>
        </row>
        <row r="3202">
          <cell r="C3202" t="str">
            <v>Vĩnh Tân MBA AT1 (phía 220kV)</v>
          </cell>
          <cell r="D3202">
            <v>231</v>
          </cell>
          <cell r="E3202">
            <v>-41.4</v>
          </cell>
          <cell r="F3202">
            <v>90.1</v>
          </cell>
          <cell r="G3202">
            <v>90.1</v>
          </cell>
          <cell r="H3202">
            <v>-60.2</v>
          </cell>
          <cell r="I3202">
            <v>-70.900000000000006</v>
          </cell>
          <cell r="J3202">
            <v>-66.3</v>
          </cell>
          <cell r="K3202">
            <v>-49.3</v>
          </cell>
          <cell r="L3202">
            <v>-41.4</v>
          </cell>
          <cell r="M3202">
            <v>-84.8</v>
          </cell>
        </row>
        <row r="3203">
          <cell r="C3203" t="str">
            <v>Vĩnh Tân MBA AT2 (phía 220kV)</v>
          </cell>
          <cell r="D3203">
            <v>232</v>
          </cell>
          <cell r="E3203">
            <v>-44.3</v>
          </cell>
          <cell r="F3203">
            <v>-85.8</v>
          </cell>
          <cell r="G3203">
            <v>-76.8</v>
          </cell>
          <cell r="H3203">
            <v>-63.2</v>
          </cell>
          <cell r="I3203">
            <v>-74.400000000000006</v>
          </cell>
          <cell r="J3203">
            <v>-69</v>
          </cell>
          <cell r="K3203">
            <v>-52.9</v>
          </cell>
          <cell r="L3203">
            <v>-44.3</v>
          </cell>
          <cell r="M3203">
            <v>-85.8</v>
          </cell>
        </row>
        <row r="3204">
          <cell r="C3204" t="str">
            <v>220kV 271 Vĩnh Tân - 273 Quán Thẻ</v>
          </cell>
          <cell r="D3204">
            <v>271</v>
          </cell>
          <cell r="E3204">
            <v>-17.399999999999999</v>
          </cell>
          <cell r="F3204">
            <v>144</v>
          </cell>
          <cell r="G3204">
            <v>144</v>
          </cell>
          <cell r="H3204">
            <v>123.6</v>
          </cell>
          <cell r="I3204">
            <v>85.2</v>
          </cell>
          <cell r="J3204">
            <v>55.2</v>
          </cell>
          <cell r="K3204">
            <v>-24</v>
          </cell>
          <cell r="L3204">
            <v>-17.399999999999999</v>
          </cell>
          <cell r="M3204">
            <v>105.6</v>
          </cell>
        </row>
        <row r="3205">
          <cell r="C3205" t="str">
            <v>220kV 272 Vĩnh Tân - 273 Thuận Nam 500</v>
          </cell>
          <cell r="D3205">
            <v>272</v>
          </cell>
          <cell r="E3205">
            <v>21</v>
          </cell>
          <cell r="F3205">
            <v>190.8</v>
          </cell>
          <cell r="G3205">
            <v>190.8</v>
          </cell>
          <cell r="H3205">
            <v>79.2</v>
          </cell>
          <cell r="I3205">
            <v>61.2</v>
          </cell>
          <cell r="J3205">
            <v>62.4</v>
          </cell>
          <cell r="K3205">
            <v>21</v>
          </cell>
          <cell r="L3205">
            <v>31.8</v>
          </cell>
          <cell r="M3205">
            <v>78</v>
          </cell>
        </row>
        <row r="3206">
          <cell r="C3206" t="str">
            <v>220kV 273 Vĩnh Tân - 273 Phan Rí 2</v>
          </cell>
          <cell r="D3206">
            <v>273</v>
          </cell>
          <cell r="E3206">
            <v>-26.4</v>
          </cell>
          <cell r="F3206">
            <v>-40.799999999999997</v>
          </cell>
          <cell r="G3206">
            <v>-40.799999999999997</v>
          </cell>
          <cell r="H3206">
            <v>-27</v>
          </cell>
          <cell r="I3206">
            <v>-37.200000000000003</v>
          </cell>
          <cell r="J3206">
            <v>-39</v>
          </cell>
          <cell r="K3206">
            <v>-37.200000000000003</v>
          </cell>
          <cell r="L3206">
            <v>-35.4</v>
          </cell>
          <cell r="M3206">
            <v>-26.4</v>
          </cell>
        </row>
        <row r="3207">
          <cell r="C3207" t="str">
            <v>220kV 274 Vĩnh Tân - 274 Phan Rí 2</v>
          </cell>
          <cell r="D3207">
            <v>274</v>
          </cell>
          <cell r="E3207">
            <v>15.8</v>
          </cell>
          <cell r="F3207">
            <v>-23.6</v>
          </cell>
          <cell r="G3207">
            <v>-19.399999999999999</v>
          </cell>
          <cell r="H3207">
            <v>21.9</v>
          </cell>
          <cell r="I3207">
            <v>-20</v>
          </cell>
          <cell r="J3207">
            <v>-23.6</v>
          </cell>
          <cell r="K3207">
            <v>-18.399999999999999</v>
          </cell>
          <cell r="L3207">
            <v>-22</v>
          </cell>
          <cell r="M3207">
            <v>15.8</v>
          </cell>
        </row>
        <row r="3208">
          <cell r="C3208" t="str">
            <v>Vĩnh Tân MBA AT1 (phía 500kV)</v>
          </cell>
          <cell r="D3208">
            <v>531</v>
          </cell>
          <cell r="E3208">
            <v>40</v>
          </cell>
          <cell r="F3208">
            <v>112.9</v>
          </cell>
          <cell r="G3208">
            <v>111.1</v>
          </cell>
          <cell r="H3208">
            <v>76.7</v>
          </cell>
          <cell r="I3208">
            <v>88.9</v>
          </cell>
          <cell r="J3208">
            <v>83.8</v>
          </cell>
          <cell r="K3208">
            <v>53.5</v>
          </cell>
          <cell r="L3208">
            <v>40</v>
          </cell>
          <cell r="M3208">
            <v>112.9</v>
          </cell>
        </row>
        <row r="3209">
          <cell r="C3209" t="str">
            <v>Vĩnh Tân MBA AT2 (phía 500kV)</v>
          </cell>
          <cell r="D3209">
            <v>532</v>
          </cell>
          <cell r="E3209">
            <v>45.4</v>
          </cell>
          <cell r="F3209">
            <v>114.3</v>
          </cell>
          <cell r="G3209">
            <v>111.4</v>
          </cell>
          <cell r="H3209">
            <v>78.599999999999994</v>
          </cell>
          <cell r="I3209">
            <v>91</v>
          </cell>
          <cell r="J3209">
            <v>85.9</v>
          </cell>
          <cell r="K3209">
            <v>58.9</v>
          </cell>
          <cell r="L3209">
            <v>45.4</v>
          </cell>
          <cell r="M3209">
            <v>114.3</v>
          </cell>
        </row>
        <row r="3210">
          <cell r="C3210" t="str">
            <v>Vĩnh Thạnh MBA T1 (phía 110kV)</v>
          </cell>
          <cell r="D3210">
            <v>131</v>
          </cell>
          <cell r="E3210">
            <v>2.2000000000000002</v>
          </cell>
          <cell r="F3210">
            <v>4.2</v>
          </cell>
          <cell r="G3210">
            <v>2.2000000000000002</v>
          </cell>
          <cell r="H3210">
            <v>2.5</v>
          </cell>
          <cell r="I3210">
            <v>3.2</v>
          </cell>
          <cell r="J3210">
            <v>3.4</v>
          </cell>
          <cell r="K3210">
            <v>4.2</v>
          </cell>
          <cell r="L3210">
            <v>2.5</v>
          </cell>
          <cell r="M3210">
            <v>3.1</v>
          </cell>
        </row>
        <row r="3211">
          <cell r="C3211" t="str">
            <v>Vĩnh Thạnh MBA T2 (phía 110kV)</v>
          </cell>
          <cell r="D3211">
            <v>132</v>
          </cell>
          <cell r="E3211">
            <v>1.2</v>
          </cell>
          <cell r="F3211">
            <v>2.1</v>
          </cell>
          <cell r="G3211">
            <v>1.5</v>
          </cell>
          <cell r="H3211">
            <v>1.8</v>
          </cell>
          <cell r="I3211">
            <v>2</v>
          </cell>
          <cell r="J3211">
            <v>1.7</v>
          </cell>
          <cell r="K3211">
            <v>1.4</v>
          </cell>
          <cell r="L3211">
            <v>2.1</v>
          </cell>
          <cell r="M3211">
            <v>1.2</v>
          </cell>
        </row>
        <row r="3212">
          <cell r="C3212" t="str">
            <v>110kV 171 Vĩnh Thạnh - 174 Thạnh Đông</v>
          </cell>
          <cell r="D3212">
            <v>171</v>
          </cell>
          <cell r="E3212">
            <v>-2.7</v>
          </cell>
          <cell r="F3212">
            <v>-5</v>
          </cell>
          <cell r="G3212">
            <v>-2.7</v>
          </cell>
          <cell r="H3212">
            <v>-3.5</v>
          </cell>
          <cell r="I3212">
            <v>-4.5999999999999996</v>
          </cell>
          <cell r="J3212">
            <v>-4</v>
          </cell>
          <cell r="K3212">
            <v>-5</v>
          </cell>
          <cell r="L3212">
            <v>-3.9</v>
          </cell>
          <cell r="M3212">
            <v>-3.7</v>
          </cell>
        </row>
        <row r="3213">
          <cell r="C3213" t="str">
            <v>110kV 172 Vĩnh Thạnh - 173 Long Xuyên 2</v>
          </cell>
          <cell r="D3213">
            <v>172</v>
          </cell>
          <cell r="E3213">
            <v>0</v>
          </cell>
          <cell r="F3213">
            <v>0</v>
          </cell>
          <cell r="G3213">
            <v>0</v>
          </cell>
          <cell r="H3213">
            <v>0</v>
          </cell>
          <cell r="I3213">
            <v>0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</row>
        <row r="3214">
          <cell r="C3214" t="str">
            <v>Vĩnh Thạnh MBA T1 (phía 22kV)</v>
          </cell>
          <cell r="D3214">
            <v>431</v>
          </cell>
          <cell r="E3214">
            <v>-1.3</v>
          </cell>
          <cell r="F3214">
            <v>-3.4</v>
          </cell>
          <cell r="G3214">
            <v>-1.3</v>
          </cell>
          <cell r="H3214">
            <v>-1.9</v>
          </cell>
          <cell r="I3214">
            <v>-2.5</v>
          </cell>
          <cell r="J3214">
            <v>-2.2999999999999998</v>
          </cell>
          <cell r="K3214">
            <v>-3.4</v>
          </cell>
          <cell r="L3214">
            <v>-1.8</v>
          </cell>
          <cell r="M3214">
            <v>-2.2999999999999998</v>
          </cell>
        </row>
        <row r="3215">
          <cell r="C3215" t="str">
            <v>Vĩnh Thạnh MBA T2 (phía 22kV)</v>
          </cell>
          <cell r="D3215">
            <v>432</v>
          </cell>
          <cell r="E3215">
            <v>-1.1000000000000001</v>
          </cell>
          <cell r="F3215">
            <v>-1.8</v>
          </cell>
          <cell r="G3215">
            <v>-1.3</v>
          </cell>
          <cell r="H3215">
            <v>-1.2</v>
          </cell>
          <cell r="I3215">
            <v>-1.8</v>
          </cell>
          <cell r="J3215">
            <v>-1.5</v>
          </cell>
          <cell r="K3215">
            <v>-1.2</v>
          </cell>
          <cell r="L3215">
            <v>-1.7</v>
          </cell>
          <cell r="M3215">
            <v>-1.1000000000000001</v>
          </cell>
        </row>
        <row r="3216">
          <cell r="C3216" t="str">
            <v>Vĩnh Thuận MBA T2 (phía 110kV)</v>
          </cell>
          <cell r="D3216">
            <v>132</v>
          </cell>
          <cell r="E3216">
            <v>2.1</v>
          </cell>
          <cell r="F3216">
            <v>3</v>
          </cell>
          <cell r="G3216">
            <v>2.4</v>
          </cell>
          <cell r="H3216">
            <v>2.2999999999999998</v>
          </cell>
          <cell r="I3216">
            <v>3</v>
          </cell>
          <cell r="J3216">
            <v>2.7</v>
          </cell>
          <cell r="K3216">
            <v>2.7</v>
          </cell>
          <cell r="L3216">
            <v>2.4</v>
          </cell>
          <cell r="M3216">
            <v>2.1</v>
          </cell>
        </row>
        <row r="3217">
          <cell r="C3217" t="str">
            <v>Vĩnh Thuận MBA T2 (phía 22kV)</v>
          </cell>
          <cell r="D3217">
            <v>432</v>
          </cell>
          <cell r="E3217">
            <v>-2.1</v>
          </cell>
          <cell r="F3217">
            <v>-2.7</v>
          </cell>
          <cell r="G3217">
            <v>-2.1</v>
          </cell>
          <cell r="H3217">
            <v>-2.2000000000000002</v>
          </cell>
          <cell r="I3217">
            <v>-2.6</v>
          </cell>
          <cell r="J3217">
            <v>-2.7</v>
          </cell>
          <cell r="K3217">
            <v>-2.4</v>
          </cell>
          <cell r="L3217">
            <v>-2.1</v>
          </cell>
          <cell r="M3217">
            <v>-2.2000000000000002</v>
          </cell>
        </row>
        <row r="3218">
          <cell r="C3218" t="str">
            <v>Vĩnh Trạch Đông MBA T1 (phía 110kV)</v>
          </cell>
          <cell r="D3218">
            <v>131</v>
          </cell>
          <cell r="E3218">
            <v>-1</v>
          </cell>
          <cell r="F3218">
            <v>11</v>
          </cell>
          <cell r="G3218">
            <v>-1</v>
          </cell>
          <cell r="H3218">
            <v>8</v>
          </cell>
          <cell r="I3218">
            <v>11</v>
          </cell>
          <cell r="J3218">
            <v>10</v>
          </cell>
          <cell r="K3218">
            <v>3</v>
          </cell>
          <cell r="L3218">
            <v>5</v>
          </cell>
          <cell r="M3218">
            <v>-1</v>
          </cell>
        </row>
        <row r="3219">
          <cell r="C3219" t="str">
            <v>Vĩnh Trạch Đông MBA T2 (phía 110kV)</v>
          </cell>
          <cell r="D3219">
            <v>132</v>
          </cell>
          <cell r="E3219">
            <v>-0.7</v>
          </cell>
          <cell r="F3219">
            <v>7.7</v>
          </cell>
          <cell r="G3219">
            <v>-0.7</v>
          </cell>
          <cell r="H3219">
            <v>3.7</v>
          </cell>
          <cell r="I3219">
            <v>7.7</v>
          </cell>
          <cell r="J3219">
            <v>2.4</v>
          </cell>
          <cell r="K3219">
            <v>6.5</v>
          </cell>
          <cell r="L3219">
            <v>1.6</v>
          </cell>
          <cell r="M3219">
            <v>1</v>
          </cell>
        </row>
        <row r="3220">
          <cell r="C3220" t="str">
            <v>110kV 171 Vĩnh Trạch Đông - 175 Bạc Liêu 2</v>
          </cell>
          <cell r="D3220">
            <v>171</v>
          </cell>
          <cell r="E3220">
            <v>6.3</v>
          </cell>
          <cell r="F3220">
            <v>11.7</v>
          </cell>
          <cell r="G3220">
            <v>6.3</v>
          </cell>
          <cell r="H3220">
            <v>8.8000000000000007</v>
          </cell>
          <cell r="I3220">
            <v>-9.6</v>
          </cell>
          <cell r="J3220">
            <v>7.1</v>
          </cell>
          <cell r="K3220">
            <v>11.7</v>
          </cell>
          <cell r="L3220">
            <v>9.6999999999999993</v>
          </cell>
          <cell r="M3220">
            <v>8.6</v>
          </cell>
        </row>
        <row r="3221">
          <cell r="C3221" t="str">
            <v>110kV 172 Vĩnh Trạch Đông - 172 Thạnh Trị</v>
          </cell>
          <cell r="D3221">
            <v>172</v>
          </cell>
          <cell r="E3221">
            <v>-5.5</v>
          </cell>
          <cell r="F3221">
            <v>-17.100000000000001</v>
          </cell>
          <cell r="G3221">
            <v>-5.5</v>
          </cell>
          <cell r="H3221">
            <v>-9.4</v>
          </cell>
          <cell r="I3221">
            <v>-9.9</v>
          </cell>
          <cell r="J3221">
            <v>-17.100000000000001</v>
          </cell>
          <cell r="K3221">
            <v>-14.7</v>
          </cell>
          <cell r="L3221">
            <v>-13.4</v>
          </cell>
          <cell r="M3221">
            <v>-7.8</v>
          </cell>
        </row>
        <row r="3222">
          <cell r="C3222" t="str">
            <v>Vĩnh Trạch Đông MBA T1 (phía 22kV)</v>
          </cell>
          <cell r="D3222">
            <v>431</v>
          </cell>
          <cell r="E3222">
            <v>-0.8</v>
          </cell>
          <cell r="F3222">
            <v>-5.9</v>
          </cell>
          <cell r="G3222">
            <v>-0.8</v>
          </cell>
          <cell r="H3222">
            <v>-4.3</v>
          </cell>
          <cell r="I3222">
            <v>-5.9</v>
          </cell>
          <cell r="J3222">
            <v>-5.4</v>
          </cell>
          <cell r="K3222">
            <v>-2</v>
          </cell>
          <cell r="L3222">
            <v>-2.9</v>
          </cell>
          <cell r="M3222">
            <v>-1.2</v>
          </cell>
        </row>
        <row r="3223">
          <cell r="C3223" t="str">
            <v>Vĩnh Trạch Đông MBA T2 (phía 22kV)</v>
          </cell>
          <cell r="D3223">
            <v>432</v>
          </cell>
          <cell r="E3223">
            <v>0.7</v>
          </cell>
          <cell r="F3223">
            <v>-3.4</v>
          </cell>
          <cell r="G3223">
            <v>0.8</v>
          </cell>
          <cell r="H3223">
            <v>-1.4</v>
          </cell>
          <cell r="I3223">
            <v>-3.4</v>
          </cell>
          <cell r="J3223">
            <v>-1.2</v>
          </cell>
          <cell r="K3223">
            <v>-3.2</v>
          </cell>
          <cell r="L3223">
            <v>0.7</v>
          </cell>
          <cell r="M3223">
            <v>0.7</v>
          </cell>
        </row>
        <row r="3224">
          <cell r="C3224" t="str">
            <v>Vĩnh Trường MBA T1 (phía 110kV)</v>
          </cell>
          <cell r="D3224">
            <v>131</v>
          </cell>
          <cell r="E3224">
            <v>-2.5</v>
          </cell>
          <cell r="F3224">
            <v>-2.5</v>
          </cell>
          <cell r="G3224">
            <v>-2.5</v>
          </cell>
          <cell r="H3224">
            <v>-2.5</v>
          </cell>
          <cell r="I3224">
            <v>-2.5</v>
          </cell>
          <cell r="J3224">
            <v>-2.5</v>
          </cell>
          <cell r="K3224">
            <v>-2.5</v>
          </cell>
          <cell r="L3224">
            <v>-2.5</v>
          </cell>
          <cell r="M3224">
            <v>-2.5</v>
          </cell>
        </row>
        <row r="3225">
          <cell r="C3225" t="str">
            <v>Vĩnh Trường MBA T2 (phía 110kV)</v>
          </cell>
          <cell r="D3225">
            <v>132</v>
          </cell>
          <cell r="E3225">
            <v>-8</v>
          </cell>
          <cell r="F3225">
            <v>11.1</v>
          </cell>
          <cell r="G3225">
            <v>10.3</v>
          </cell>
          <cell r="H3225">
            <v>11.1</v>
          </cell>
          <cell r="I3225">
            <v>9.8000000000000007</v>
          </cell>
          <cell r="J3225">
            <v>-8</v>
          </cell>
          <cell r="K3225">
            <v>9.9</v>
          </cell>
          <cell r="L3225">
            <v>10.5</v>
          </cell>
          <cell r="M3225">
            <v>10.9</v>
          </cell>
        </row>
        <row r="3226">
          <cell r="C3226" t="str">
            <v>110kV 171 Vĩnh Trường - 172 Bàu Bèo</v>
          </cell>
          <cell r="D3226">
            <v>171</v>
          </cell>
          <cell r="E3226">
            <v>0</v>
          </cell>
          <cell r="F3226">
            <v>0</v>
          </cell>
          <cell r="G3226">
            <v>0</v>
          </cell>
          <cell r="H3226">
            <v>0</v>
          </cell>
          <cell r="I3226">
            <v>0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</row>
        <row r="3227">
          <cell r="C3227" t="str">
            <v>110kV 172 Vĩnh Trường - 173 Tân Định</v>
          </cell>
          <cell r="D3227">
            <v>172</v>
          </cell>
          <cell r="E3227">
            <v>10.6</v>
          </cell>
          <cell r="F3227">
            <v>-18.399999999999999</v>
          </cell>
          <cell r="G3227">
            <v>-17.5</v>
          </cell>
          <cell r="H3227">
            <v>-17.7</v>
          </cell>
          <cell r="I3227">
            <v>-18.399999999999999</v>
          </cell>
          <cell r="J3227">
            <v>10.6</v>
          </cell>
          <cell r="K3227">
            <v>-15.2</v>
          </cell>
          <cell r="L3227">
            <v>-17</v>
          </cell>
          <cell r="M3227">
            <v>-16.3</v>
          </cell>
        </row>
        <row r="3228">
          <cell r="C3228" t="str">
            <v>Vĩnh Trường MBA T1 (phía 22kV)</v>
          </cell>
          <cell r="D3228">
            <v>431</v>
          </cell>
          <cell r="E3228">
            <v>4.4000000000000004</v>
          </cell>
          <cell r="F3228">
            <v>9.9</v>
          </cell>
          <cell r="G3228">
            <v>8.9</v>
          </cell>
          <cell r="H3228">
            <v>8.6</v>
          </cell>
          <cell r="I3228">
            <v>8.5</v>
          </cell>
          <cell r="J3228">
            <v>4.4000000000000004</v>
          </cell>
          <cell r="K3228">
            <v>9.9</v>
          </cell>
          <cell r="L3228">
            <v>8</v>
          </cell>
          <cell r="M3228">
            <v>9</v>
          </cell>
        </row>
        <row r="3229">
          <cell r="C3229" t="str">
            <v>Vĩnh Trường MBA T2 (phía 22kV)</v>
          </cell>
          <cell r="D3229">
            <v>432</v>
          </cell>
          <cell r="E3229">
            <v>-4.5</v>
          </cell>
          <cell r="F3229">
            <v>11.2</v>
          </cell>
          <cell r="G3229">
            <v>11.2</v>
          </cell>
          <cell r="H3229">
            <v>8.5</v>
          </cell>
          <cell r="I3229">
            <v>-4.5</v>
          </cell>
          <cell r="J3229">
            <v>8.6</v>
          </cell>
          <cell r="K3229">
            <v>8.5</v>
          </cell>
          <cell r="L3229">
            <v>7.9</v>
          </cell>
          <cell r="M3229">
            <v>7.7</v>
          </cell>
        </row>
        <row r="3230">
          <cell r="C3230" t="str">
            <v>Vsip MBA T1 (phía 110kV)</v>
          </cell>
          <cell r="D3230">
            <v>131</v>
          </cell>
          <cell r="E3230">
            <v>6.9</v>
          </cell>
          <cell r="F3230">
            <v>17.600000000000001</v>
          </cell>
          <cell r="G3230">
            <v>10.4</v>
          </cell>
          <cell r="H3230">
            <v>17.600000000000001</v>
          </cell>
          <cell r="I3230">
            <v>17.100000000000001</v>
          </cell>
          <cell r="J3230">
            <v>6.9</v>
          </cell>
          <cell r="K3230">
            <v>17.5</v>
          </cell>
          <cell r="L3230">
            <v>17.399999999999999</v>
          </cell>
          <cell r="M3230">
            <v>17.5</v>
          </cell>
        </row>
        <row r="3231">
          <cell r="C3231" t="str">
            <v>Vsip MBA T2 (phía 110kV)</v>
          </cell>
          <cell r="D3231">
            <v>132</v>
          </cell>
          <cell r="E3231">
            <v>0</v>
          </cell>
          <cell r="F3231">
            <v>9.3000000000000007</v>
          </cell>
          <cell r="G3231">
            <v>0</v>
          </cell>
          <cell r="H3231">
            <v>9.3000000000000007</v>
          </cell>
          <cell r="I3231">
            <v>8.9</v>
          </cell>
          <cell r="J3231">
            <v>5</v>
          </cell>
          <cell r="K3231">
            <v>8.9</v>
          </cell>
          <cell r="L3231">
            <v>9.1</v>
          </cell>
          <cell r="M3231">
            <v>8.6</v>
          </cell>
        </row>
        <row r="3232">
          <cell r="C3232" t="str">
            <v>110kV 171 Vsip - 171 Vsip 2</v>
          </cell>
          <cell r="D3232">
            <v>171</v>
          </cell>
          <cell r="E3232">
            <v>0</v>
          </cell>
          <cell r="F3232">
            <v>0</v>
          </cell>
          <cell r="G3232">
            <v>0</v>
          </cell>
          <cell r="H3232">
            <v>0</v>
          </cell>
          <cell r="I3232">
            <v>0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</row>
        <row r="3233">
          <cell r="C3233" t="str">
            <v>110kV 172 Vsip - 175 Bình Hòa</v>
          </cell>
          <cell r="D3233">
            <v>172</v>
          </cell>
          <cell r="E3233">
            <v>-6.1</v>
          </cell>
          <cell r="F3233">
            <v>-24.8</v>
          </cell>
          <cell r="G3233">
            <v>-19.7</v>
          </cell>
          <cell r="H3233">
            <v>-23.3</v>
          </cell>
          <cell r="I3233">
            <v>-16.600000000000001</v>
          </cell>
          <cell r="J3233">
            <v>-6.1</v>
          </cell>
          <cell r="K3233">
            <v>-22.6</v>
          </cell>
          <cell r="L3233">
            <v>-23.6</v>
          </cell>
          <cell r="M3233">
            <v>-24.8</v>
          </cell>
        </row>
        <row r="3234">
          <cell r="C3234" t="str">
            <v>Vsip MBA T1 (phía 22kV)</v>
          </cell>
          <cell r="D3234">
            <v>431</v>
          </cell>
          <cell r="E3234">
            <v>5.5</v>
          </cell>
          <cell r="F3234">
            <v>13.9</v>
          </cell>
          <cell r="G3234">
            <v>-8</v>
          </cell>
          <cell r="H3234">
            <v>13.9</v>
          </cell>
          <cell r="I3234">
            <v>13.3</v>
          </cell>
          <cell r="J3234">
            <v>5.5</v>
          </cell>
          <cell r="K3234">
            <v>13.8</v>
          </cell>
          <cell r="L3234">
            <v>13.8</v>
          </cell>
          <cell r="M3234">
            <v>13.8</v>
          </cell>
        </row>
        <row r="3235">
          <cell r="C3235" t="str">
            <v>Vsip MBA T2 (phía 22kV)</v>
          </cell>
          <cell r="D3235">
            <v>432</v>
          </cell>
          <cell r="E3235">
            <v>0</v>
          </cell>
          <cell r="F3235">
            <v>-7.9</v>
          </cell>
          <cell r="G3235">
            <v>0</v>
          </cell>
          <cell r="H3235">
            <v>-7.9</v>
          </cell>
          <cell r="I3235">
            <v>-7.6</v>
          </cell>
          <cell r="J3235">
            <v>-4.0999999999999996</v>
          </cell>
          <cell r="K3235">
            <v>-7.5</v>
          </cell>
          <cell r="L3235">
            <v>-7.7</v>
          </cell>
          <cell r="M3235">
            <v>-7.3</v>
          </cell>
        </row>
        <row r="3236">
          <cell r="C3236" t="str">
            <v>Vsip MBA T1 (phía 110kV)</v>
          </cell>
          <cell r="D3236">
            <v>131</v>
          </cell>
          <cell r="E3236">
            <v>17.3</v>
          </cell>
          <cell r="F3236">
            <v>17.3</v>
          </cell>
          <cell r="G3236">
            <v>17.3</v>
          </cell>
        </row>
        <row r="3237">
          <cell r="C3237" t="str">
            <v>Vsip MBA T2 (phía 110kV)</v>
          </cell>
          <cell r="D3237">
            <v>132</v>
          </cell>
          <cell r="E3237">
            <v>9</v>
          </cell>
          <cell r="F3237">
            <v>9</v>
          </cell>
          <cell r="G3237">
            <v>9</v>
          </cell>
        </row>
        <row r="3238">
          <cell r="C3238" t="str">
            <v>110kV 171 Vsip 2 - 171 Vsip</v>
          </cell>
          <cell r="D3238">
            <v>171</v>
          </cell>
          <cell r="E3238">
            <v>0</v>
          </cell>
          <cell r="F3238">
            <v>0</v>
          </cell>
          <cell r="G3238">
            <v>0</v>
          </cell>
          <cell r="H3238">
            <v>0</v>
          </cell>
          <cell r="I3238">
            <v>0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</row>
        <row r="3239">
          <cell r="C3239" t="str">
            <v>110kV 172 Vsip 2 - 176 Thuận An</v>
          </cell>
          <cell r="D3239">
            <v>172</v>
          </cell>
          <cell r="E3239">
            <v>-11.5</v>
          </cell>
          <cell r="F3239">
            <v>-26.4</v>
          </cell>
          <cell r="G3239">
            <v>-26</v>
          </cell>
          <cell r="H3239">
            <v>-26.2</v>
          </cell>
          <cell r="I3239">
            <v>-24.8</v>
          </cell>
          <cell r="J3239">
            <v>-11.5</v>
          </cell>
          <cell r="K3239">
            <v>-26.1</v>
          </cell>
          <cell r="L3239">
            <v>-26.4</v>
          </cell>
          <cell r="M3239">
            <v>-25.9</v>
          </cell>
        </row>
        <row r="3240">
          <cell r="C3240" t="str">
            <v>Vsip MBA T1 (phía 22kV)</v>
          </cell>
          <cell r="D3240">
            <v>431</v>
          </cell>
          <cell r="E3240">
            <v>13.5</v>
          </cell>
          <cell r="F3240">
            <v>13.5</v>
          </cell>
          <cell r="G3240">
            <v>13.5</v>
          </cell>
        </row>
        <row r="3241">
          <cell r="C3241" t="str">
            <v>Vsip MBA T2 (phía 22kV)</v>
          </cell>
          <cell r="D3241">
            <v>432</v>
          </cell>
          <cell r="E3241">
            <v>-7.6</v>
          </cell>
          <cell r="F3241">
            <v>-7.6</v>
          </cell>
          <cell r="G3241">
            <v>-7.6</v>
          </cell>
        </row>
        <row r="3242">
          <cell r="C3242" t="str">
            <v>Vũng Liêm MBA T1 (phía 110kV)</v>
          </cell>
          <cell r="D3242">
            <v>131</v>
          </cell>
          <cell r="E3242">
            <v>1.4</v>
          </cell>
          <cell r="F3242">
            <v>2.6</v>
          </cell>
          <cell r="G3242">
            <v>2</v>
          </cell>
          <cell r="H3242">
            <v>1.4</v>
          </cell>
          <cell r="I3242">
            <v>2</v>
          </cell>
          <cell r="J3242">
            <v>2.6</v>
          </cell>
          <cell r="K3242">
            <v>1.5</v>
          </cell>
          <cell r="L3242">
            <v>1.9</v>
          </cell>
          <cell r="M3242">
            <v>2.1</v>
          </cell>
        </row>
        <row r="3243">
          <cell r="C3243" t="str">
            <v>Vũng Liêm MBA T2 (phía 110kV)</v>
          </cell>
          <cell r="D3243">
            <v>132</v>
          </cell>
          <cell r="E3243">
            <v>1.2</v>
          </cell>
          <cell r="F3243">
            <v>-1.3</v>
          </cell>
          <cell r="G3243">
            <v>1.3</v>
          </cell>
          <cell r="H3243">
            <v>-1.3</v>
          </cell>
          <cell r="I3243">
            <v>1.2</v>
          </cell>
          <cell r="J3243">
            <v>1.2</v>
          </cell>
          <cell r="K3243">
            <v>1.3</v>
          </cell>
          <cell r="L3243">
            <v>1.2</v>
          </cell>
          <cell r="M3243">
            <v>-1.3</v>
          </cell>
        </row>
        <row r="3244">
          <cell r="C3244" t="str">
            <v>110kV 171 Vũng Liêm - 172 Long Đức</v>
          </cell>
          <cell r="D3244">
            <v>171</v>
          </cell>
          <cell r="E3244">
            <v>0</v>
          </cell>
          <cell r="F3244">
            <v>0</v>
          </cell>
          <cell r="G3244">
            <v>0</v>
          </cell>
          <cell r="H3244">
            <v>0</v>
          </cell>
          <cell r="I3244">
            <v>0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</row>
        <row r="3245">
          <cell r="C3245" t="str">
            <v>110kV 172 Vũng Liêm - 173 Vĩnh Long</v>
          </cell>
          <cell r="D3245">
            <v>172</v>
          </cell>
          <cell r="E3245">
            <v>-1.9</v>
          </cell>
          <cell r="F3245">
            <v>-3.2</v>
          </cell>
          <cell r="G3245">
            <v>-2.4</v>
          </cell>
          <cell r="H3245">
            <v>2.1</v>
          </cell>
          <cell r="I3245">
            <v>-2.5</v>
          </cell>
          <cell r="J3245">
            <v>-3.2</v>
          </cell>
          <cell r="K3245">
            <v>-2.1</v>
          </cell>
          <cell r="L3245">
            <v>-2</v>
          </cell>
          <cell r="M3245">
            <v>-1.9</v>
          </cell>
        </row>
        <row r="3246">
          <cell r="C3246" t="str">
            <v>Vũng Liêm MBA T1 (phía 22kV)</v>
          </cell>
          <cell r="D3246">
            <v>431</v>
          </cell>
          <cell r="E3246">
            <v>-3.3</v>
          </cell>
          <cell r="F3246">
            <v>3.5</v>
          </cell>
          <cell r="G3246">
            <v>3.4</v>
          </cell>
          <cell r="H3246">
            <v>3.4</v>
          </cell>
          <cell r="I3246">
            <v>3.4</v>
          </cell>
          <cell r="J3246">
            <v>-3.4</v>
          </cell>
          <cell r="K3246">
            <v>3.5</v>
          </cell>
          <cell r="L3246">
            <v>3.4</v>
          </cell>
          <cell r="M3246">
            <v>-3.3</v>
          </cell>
        </row>
        <row r="3247">
          <cell r="C3247" t="str">
            <v>Vũng Liêm MBA T2 (phía 22kV)</v>
          </cell>
          <cell r="D3247">
            <v>432</v>
          </cell>
          <cell r="E3247">
            <v>1.5</v>
          </cell>
          <cell r="F3247">
            <v>2.4</v>
          </cell>
          <cell r="G3247">
            <v>2.1</v>
          </cell>
          <cell r="H3247">
            <v>2</v>
          </cell>
          <cell r="I3247">
            <v>1.5</v>
          </cell>
          <cell r="J3247">
            <v>2.1</v>
          </cell>
          <cell r="K3247">
            <v>1.5</v>
          </cell>
          <cell r="L3247">
            <v>2.2000000000000002</v>
          </cell>
          <cell r="M3247">
            <v>2.4</v>
          </cell>
        </row>
        <row r="3248">
          <cell r="C3248" t="str">
            <v>Vũng Tàu MBA T1 (phía 110kV)</v>
          </cell>
          <cell r="D3248">
            <v>131</v>
          </cell>
          <cell r="E3248">
            <v>-1.6</v>
          </cell>
          <cell r="F3248">
            <v>6</v>
          </cell>
          <cell r="G3248">
            <v>6</v>
          </cell>
          <cell r="H3248">
            <v>4.5999999999999996</v>
          </cell>
          <cell r="I3248">
            <v>4.0999999999999996</v>
          </cell>
          <cell r="J3248">
            <v>-1.6</v>
          </cell>
          <cell r="K3248">
            <v>5.2</v>
          </cell>
          <cell r="L3248">
            <v>4.8</v>
          </cell>
          <cell r="M3248">
            <v>5.4</v>
          </cell>
        </row>
        <row r="3249">
          <cell r="C3249" t="str">
            <v>Vũng Tàu MBA T2 (phía 110kV)</v>
          </cell>
          <cell r="D3249">
            <v>132</v>
          </cell>
          <cell r="E3249">
            <v>1.4</v>
          </cell>
          <cell r="F3249">
            <v>2.6</v>
          </cell>
          <cell r="G3249">
            <v>2.4</v>
          </cell>
          <cell r="H3249">
            <v>2.6</v>
          </cell>
          <cell r="I3249">
            <v>2.5</v>
          </cell>
          <cell r="J3249">
            <v>1.4</v>
          </cell>
          <cell r="K3249">
            <v>2.2999999999999998</v>
          </cell>
          <cell r="L3249">
            <v>1.8</v>
          </cell>
          <cell r="M3249">
            <v>1.6</v>
          </cell>
        </row>
        <row r="3250">
          <cell r="C3250" t="str">
            <v>110kV 171 Vũng Tàu - 172 Đông Xuyên</v>
          </cell>
          <cell r="D3250">
            <v>171</v>
          </cell>
          <cell r="E3250">
            <v>-4.0999999999999996</v>
          </cell>
          <cell r="F3250">
            <v>-7.4</v>
          </cell>
          <cell r="G3250">
            <v>-7.4</v>
          </cell>
          <cell r="H3250">
            <v>-6.9</v>
          </cell>
          <cell r="I3250">
            <v>-6.8</v>
          </cell>
          <cell r="J3250">
            <v>-4.0999999999999996</v>
          </cell>
          <cell r="K3250">
            <v>-6.3</v>
          </cell>
          <cell r="L3250">
            <v>-5.5</v>
          </cell>
          <cell r="M3250">
            <v>-6</v>
          </cell>
        </row>
        <row r="3251">
          <cell r="C3251" t="str">
            <v>110kV 172 Vũng Tàu - 171 Thắng Tam</v>
          </cell>
          <cell r="D3251">
            <v>172</v>
          </cell>
          <cell r="E3251">
            <v>-1.3</v>
          </cell>
          <cell r="F3251">
            <v>1.9</v>
          </cell>
          <cell r="G3251">
            <v>-1.4</v>
          </cell>
          <cell r="H3251">
            <v>1.5</v>
          </cell>
          <cell r="I3251">
            <v>1.9</v>
          </cell>
          <cell r="J3251">
            <v>1.8</v>
          </cell>
          <cell r="K3251">
            <v>-1.4</v>
          </cell>
          <cell r="L3251">
            <v>-1.6</v>
          </cell>
          <cell r="M3251">
            <v>-1.3</v>
          </cell>
        </row>
        <row r="3252">
          <cell r="C3252" t="str">
            <v>Vũng Tàu MBA T1 (phía 22kV)</v>
          </cell>
          <cell r="D3252">
            <v>431</v>
          </cell>
          <cell r="E3252">
            <v>2.5</v>
          </cell>
          <cell r="F3252">
            <v>-4.2</v>
          </cell>
          <cell r="G3252">
            <v>-4.2</v>
          </cell>
          <cell r="H3252">
            <v>-3.2</v>
          </cell>
          <cell r="I3252">
            <v>-2.7</v>
          </cell>
          <cell r="J3252">
            <v>2.5</v>
          </cell>
          <cell r="K3252">
            <v>-3.9</v>
          </cell>
          <cell r="L3252">
            <v>-3.5</v>
          </cell>
          <cell r="M3252">
            <v>-4</v>
          </cell>
        </row>
        <row r="3253">
          <cell r="C3253" t="str">
            <v>Vũng Tàu MBA T2 (phía 22kV)</v>
          </cell>
          <cell r="D3253">
            <v>432</v>
          </cell>
          <cell r="E3253">
            <v>1.2</v>
          </cell>
          <cell r="F3253">
            <v>-2.1</v>
          </cell>
          <cell r="G3253">
            <v>-1.9</v>
          </cell>
          <cell r="H3253">
            <v>-2.1</v>
          </cell>
          <cell r="I3253">
            <v>-1.9</v>
          </cell>
          <cell r="J3253">
            <v>1.2</v>
          </cell>
          <cell r="K3253">
            <v>-1.9</v>
          </cell>
          <cell r="L3253">
            <v>1.7</v>
          </cell>
          <cell r="M3253">
            <v>1.6</v>
          </cell>
        </row>
        <row r="3254">
          <cell r="C3254" t="str">
            <v>Vũng Tàu 2 MBA AT1 (phía 110kV)</v>
          </cell>
          <cell r="D3254">
            <v>131</v>
          </cell>
          <cell r="E3254">
            <v>19.399999999999999</v>
          </cell>
          <cell r="F3254">
            <v>32.200000000000003</v>
          </cell>
          <cell r="G3254">
            <v>32.200000000000003</v>
          </cell>
          <cell r="H3254">
            <v>24</v>
          </cell>
          <cell r="I3254">
            <v>27</v>
          </cell>
          <cell r="J3254">
            <v>19.399999999999999</v>
          </cell>
          <cell r="K3254">
            <v>24.4</v>
          </cell>
          <cell r="L3254">
            <v>31.3</v>
          </cell>
          <cell r="M3254">
            <v>-25.2</v>
          </cell>
        </row>
        <row r="3255">
          <cell r="C3255" t="str">
            <v>Vũng Tàu 2 MBA AT2 (phía 110kV)</v>
          </cell>
          <cell r="D3255">
            <v>132</v>
          </cell>
          <cell r="E3255">
            <v>16.5</v>
          </cell>
          <cell r="F3255">
            <v>30.3</v>
          </cell>
          <cell r="G3255">
            <v>30.3</v>
          </cell>
          <cell r="H3255">
            <v>20.6</v>
          </cell>
          <cell r="I3255">
            <v>23.5</v>
          </cell>
          <cell r="J3255">
            <v>16.5</v>
          </cell>
          <cell r="K3255">
            <v>-29.7</v>
          </cell>
          <cell r="L3255">
            <v>29.6</v>
          </cell>
          <cell r="M3255">
            <v>-30.1</v>
          </cell>
        </row>
        <row r="3256">
          <cell r="C3256" t="str">
            <v>110kV 174 Vũng Tàu 2 - 171 NMĐ Bà Rịa</v>
          </cell>
          <cell r="D3256">
            <v>174</v>
          </cell>
          <cell r="E3256">
            <v>-21.5</v>
          </cell>
          <cell r="F3256">
            <v>-35.700000000000003</v>
          </cell>
          <cell r="G3256">
            <v>-35.700000000000003</v>
          </cell>
          <cell r="H3256">
            <v>-26.2</v>
          </cell>
          <cell r="I3256">
            <v>-32.299999999999997</v>
          </cell>
          <cell r="J3256">
            <v>-21.5</v>
          </cell>
          <cell r="K3256">
            <v>-23.4</v>
          </cell>
          <cell r="L3256">
            <v>-33.9</v>
          </cell>
          <cell r="M3256">
            <v>26.5</v>
          </cell>
        </row>
        <row r="3257">
          <cell r="C3257" t="str">
            <v>110kV 175 Vũng Tàu 2 - 171 An Ngãi</v>
          </cell>
          <cell r="D3257">
            <v>175</v>
          </cell>
          <cell r="E3257">
            <v>-14.5</v>
          </cell>
          <cell r="F3257">
            <v>-22</v>
          </cell>
          <cell r="G3257">
            <v>-22</v>
          </cell>
          <cell r="H3257">
            <v>-15.8</v>
          </cell>
          <cell r="I3257">
            <v>-18.2</v>
          </cell>
          <cell r="J3257">
            <v>-14.5</v>
          </cell>
          <cell r="K3257">
            <v>14.6</v>
          </cell>
          <cell r="L3257">
            <v>-20.3</v>
          </cell>
          <cell r="M3257">
            <v>14.9</v>
          </cell>
        </row>
        <row r="3258">
          <cell r="C3258" t="str">
            <v>110kV 179 Vũng Tàu 2 - 172 Thắng Tam</v>
          </cell>
          <cell r="D3258">
            <v>179</v>
          </cell>
          <cell r="E3258">
            <v>5.5</v>
          </cell>
          <cell r="F3258">
            <v>8.4</v>
          </cell>
          <cell r="G3258">
            <v>8.1</v>
          </cell>
          <cell r="H3258">
            <v>8.1</v>
          </cell>
          <cell r="I3258">
            <v>8.4</v>
          </cell>
          <cell r="J3258">
            <v>5.5</v>
          </cell>
          <cell r="K3258">
            <v>6.9</v>
          </cell>
          <cell r="L3258">
            <v>6.9</v>
          </cell>
          <cell r="M3258">
            <v>6</v>
          </cell>
        </row>
        <row r="3259">
          <cell r="C3259" t="str">
            <v>110kV 180 Vũng Tàu 2 - 171 Đông Xuyên</v>
          </cell>
          <cell r="D3259">
            <v>180</v>
          </cell>
          <cell r="E3259">
            <v>5.8</v>
          </cell>
          <cell r="F3259">
            <v>15.3</v>
          </cell>
          <cell r="G3259">
            <v>15.1</v>
          </cell>
          <cell r="H3259">
            <v>15.3</v>
          </cell>
          <cell r="I3259">
            <v>14.5</v>
          </cell>
          <cell r="J3259">
            <v>5.8</v>
          </cell>
          <cell r="K3259">
            <v>15</v>
          </cell>
          <cell r="L3259">
            <v>13.1</v>
          </cell>
          <cell r="M3259">
            <v>12.6</v>
          </cell>
        </row>
        <row r="3260">
          <cell r="C3260" t="str">
            <v>Vũng Tàu 2 MBA AT1 (phía 220kV)</v>
          </cell>
          <cell r="D3260">
            <v>231</v>
          </cell>
          <cell r="E3260">
            <v>-19.8</v>
          </cell>
          <cell r="F3260">
            <v>-31.3</v>
          </cell>
          <cell r="G3260">
            <v>-31.3</v>
          </cell>
          <cell r="H3260">
            <v>-22.7</v>
          </cell>
          <cell r="I3260">
            <v>-26.2</v>
          </cell>
          <cell r="J3260">
            <v>-19.8</v>
          </cell>
          <cell r="K3260">
            <v>26.6</v>
          </cell>
          <cell r="L3260">
            <v>-31</v>
          </cell>
          <cell r="M3260">
            <v>27.3</v>
          </cell>
        </row>
        <row r="3261">
          <cell r="C3261" t="str">
            <v>Vũng Tàu 2 MBA AT2 (phía 220kV)</v>
          </cell>
          <cell r="D3261">
            <v>232</v>
          </cell>
          <cell r="E3261">
            <v>17.600000000000001</v>
          </cell>
          <cell r="F3261">
            <v>32.6</v>
          </cell>
          <cell r="G3261">
            <v>-29.5</v>
          </cell>
          <cell r="H3261">
            <v>-20.5</v>
          </cell>
          <cell r="I3261">
            <v>22.8</v>
          </cell>
          <cell r="J3261">
            <v>17.600000000000001</v>
          </cell>
          <cell r="K3261">
            <v>32.5</v>
          </cell>
          <cell r="L3261">
            <v>-28.2</v>
          </cell>
          <cell r="M3261">
            <v>32.6</v>
          </cell>
        </row>
        <row r="3262">
          <cell r="C3262" t="str">
            <v>220kV 273 Vũng Tàu 2 - 272 Tân Thành</v>
          </cell>
          <cell r="D3262">
            <v>273</v>
          </cell>
          <cell r="E3262">
            <v>-13.5</v>
          </cell>
          <cell r="F3262">
            <v>-41.2</v>
          </cell>
          <cell r="G3262">
            <v>16.2</v>
          </cell>
          <cell r="H3262">
            <v>-13.5</v>
          </cell>
          <cell r="I3262">
            <v>-22.8</v>
          </cell>
          <cell r="J3262">
            <v>-28.6</v>
          </cell>
          <cell r="K3262">
            <v>-41.2</v>
          </cell>
          <cell r="L3262">
            <v>15.5</v>
          </cell>
          <cell r="M3262">
            <v>-39</v>
          </cell>
        </row>
        <row r="3263">
          <cell r="C3263" t="str">
            <v>220kV 274 Vũng Tàu 2 - 271 NMĐ Bà Rịa</v>
          </cell>
          <cell r="D3263">
            <v>274</v>
          </cell>
          <cell r="E3263">
            <v>28.8</v>
          </cell>
          <cell r="F3263">
            <v>47.4</v>
          </cell>
          <cell r="G3263">
            <v>47.4</v>
          </cell>
          <cell r="H3263">
            <v>35.799999999999997</v>
          </cell>
          <cell r="I3263">
            <v>37.6</v>
          </cell>
          <cell r="J3263">
            <v>31.4</v>
          </cell>
          <cell r="K3263">
            <v>35.799999999999997</v>
          </cell>
          <cell r="L3263">
            <v>43.3</v>
          </cell>
          <cell r="M3263">
            <v>28.8</v>
          </cell>
        </row>
        <row r="3264">
          <cell r="C3264" t="str">
            <v>Xa Lộ MBA T1 (phía 110kV)</v>
          </cell>
          <cell r="D3264">
            <v>131</v>
          </cell>
          <cell r="E3264">
            <v>3.1</v>
          </cell>
          <cell r="F3264">
            <v>5.4</v>
          </cell>
          <cell r="G3264">
            <v>5.4</v>
          </cell>
          <cell r="H3264">
            <v>5.4</v>
          </cell>
          <cell r="I3264">
            <v>4.0999999999999996</v>
          </cell>
          <cell r="J3264">
            <v>3.1</v>
          </cell>
          <cell r="K3264">
            <v>4.8</v>
          </cell>
          <cell r="L3264">
            <v>4.4000000000000004</v>
          </cell>
          <cell r="M3264">
            <v>4.5</v>
          </cell>
        </row>
        <row r="3265">
          <cell r="C3265" t="str">
            <v>Xa Lộ MBA T2 (phía 110kV)</v>
          </cell>
          <cell r="D3265">
            <v>132</v>
          </cell>
          <cell r="E3265">
            <v>4</v>
          </cell>
          <cell r="F3265">
            <v>7.2</v>
          </cell>
          <cell r="G3265">
            <v>5.9</v>
          </cell>
          <cell r="H3265">
            <v>5.7</v>
          </cell>
          <cell r="I3265">
            <v>4.9000000000000004</v>
          </cell>
          <cell r="J3265">
            <v>5.8</v>
          </cell>
          <cell r="K3265">
            <v>7.2</v>
          </cell>
          <cell r="L3265">
            <v>7</v>
          </cell>
          <cell r="M3265">
            <v>4</v>
          </cell>
        </row>
        <row r="3266">
          <cell r="C3266" t="str">
            <v>110kV 172 Xa Lộ - 176 Thủ Đức - 171 Vikimco</v>
          </cell>
          <cell r="D3266">
            <v>172</v>
          </cell>
          <cell r="E3266">
            <v>-6.4</v>
          </cell>
          <cell r="F3266">
            <v>-10.3</v>
          </cell>
          <cell r="G3266">
            <v>-10.1</v>
          </cell>
          <cell r="H3266">
            <v>-10</v>
          </cell>
          <cell r="I3266">
            <v>-7.2</v>
          </cell>
          <cell r="J3266">
            <v>-6.4</v>
          </cell>
          <cell r="K3266">
            <v>-10.3</v>
          </cell>
          <cell r="L3266">
            <v>-10</v>
          </cell>
          <cell r="M3266">
            <v>-7.8</v>
          </cell>
        </row>
        <row r="3267">
          <cell r="C3267" t="str">
            <v>110kV 174 Xa Lộ (mới) - 173 Đa Kao</v>
          </cell>
          <cell r="D3267">
            <v>174</v>
          </cell>
          <cell r="E3267">
            <v>0</v>
          </cell>
          <cell r="F3267">
            <v>0</v>
          </cell>
          <cell r="G3267">
            <v>0</v>
          </cell>
          <cell r="H3267">
            <v>0</v>
          </cell>
          <cell r="I3267">
            <v>0</v>
          </cell>
          <cell r="J3267">
            <v>0</v>
          </cell>
          <cell r="K3267">
            <v>0</v>
          </cell>
          <cell r="L3267">
            <v>0</v>
          </cell>
          <cell r="M3267">
            <v>0</v>
          </cell>
        </row>
        <row r="3268">
          <cell r="C3268" t="str">
            <v>Xa Lộ MBA T1 (phía 22kV)</v>
          </cell>
          <cell r="D3268">
            <v>431</v>
          </cell>
          <cell r="E3268">
            <v>-0.5</v>
          </cell>
          <cell r="F3268">
            <v>-0.6</v>
          </cell>
          <cell r="G3268">
            <v>-0.5</v>
          </cell>
          <cell r="H3268">
            <v>-0.5</v>
          </cell>
          <cell r="I3268">
            <v>-0.6</v>
          </cell>
          <cell r="J3268">
            <v>-0.5</v>
          </cell>
          <cell r="K3268">
            <v>-0.6</v>
          </cell>
          <cell r="L3268">
            <v>-0.6</v>
          </cell>
          <cell r="M3268">
            <v>-0.6</v>
          </cell>
        </row>
        <row r="3269">
          <cell r="C3269" t="str">
            <v>Xa Lộ MBA T2 (phía 22kV)</v>
          </cell>
          <cell r="D3269">
            <v>432</v>
          </cell>
          <cell r="E3269">
            <v>19.399999999999999</v>
          </cell>
          <cell r="F3269">
            <v>28</v>
          </cell>
          <cell r="G3269">
            <v>25.3</v>
          </cell>
          <cell r="H3269">
            <v>24.8</v>
          </cell>
          <cell r="I3269">
            <v>23.7</v>
          </cell>
          <cell r="J3269">
            <v>24.4</v>
          </cell>
          <cell r="K3269">
            <v>27.9</v>
          </cell>
          <cell r="L3269">
            <v>28</v>
          </cell>
          <cell r="M3269">
            <v>19.399999999999999</v>
          </cell>
        </row>
        <row r="3270">
          <cell r="C3270" t="str">
            <v>XM Sao Mai MBA T1 (phía 110kV)</v>
          </cell>
          <cell r="D3270">
            <v>131</v>
          </cell>
          <cell r="E3270">
            <v>-0.2</v>
          </cell>
          <cell r="F3270">
            <v>-0.2</v>
          </cell>
          <cell r="G3270">
            <v>-0.2</v>
          </cell>
          <cell r="H3270">
            <v>-0.2</v>
          </cell>
          <cell r="I3270">
            <v>-0.2</v>
          </cell>
          <cell r="J3270">
            <v>-0.2</v>
          </cell>
          <cell r="K3270">
            <v>-0.2</v>
          </cell>
          <cell r="L3270">
            <v>-0.2</v>
          </cell>
          <cell r="M3270">
            <v>-0.2</v>
          </cell>
        </row>
        <row r="3271">
          <cell r="C3271" t="str">
            <v>XM Sao Mai MBA T1 (phía 6kV)</v>
          </cell>
          <cell r="D3271">
            <v>631</v>
          </cell>
          <cell r="E3271">
            <v>0</v>
          </cell>
          <cell r="F3271">
            <v>0</v>
          </cell>
          <cell r="G3271">
            <v>0</v>
          </cell>
          <cell r="H3271">
            <v>0</v>
          </cell>
          <cell r="I3271">
            <v>0</v>
          </cell>
          <cell r="J3271">
            <v>0</v>
          </cell>
          <cell r="K3271">
            <v>0</v>
          </cell>
          <cell r="L3271">
            <v>0</v>
          </cell>
          <cell r="M3271">
            <v>0</v>
          </cell>
        </row>
        <row r="3272">
          <cell r="C3272" t="str">
            <v>XM Bình Phước MBA T1 (phía 110kV)</v>
          </cell>
          <cell r="D3272">
            <v>131</v>
          </cell>
          <cell r="E3272">
            <v>0</v>
          </cell>
          <cell r="F3272">
            <v>0</v>
          </cell>
          <cell r="G3272">
            <v>0</v>
          </cell>
          <cell r="H3272">
            <v>0</v>
          </cell>
          <cell r="I3272">
            <v>0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</row>
        <row r="3273">
          <cell r="C3273" t="str">
            <v>XM Bình Phước MBA T2 (phía 110kV)</v>
          </cell>
          <cell r="D3273">
            <v>132</v>
          </cell>
          <cell r="E3273">
            <v>9</v>
          </cell>
          <cell r="F3273">
            <v>655</v>
          </cell>
          <cell r="G3273">
            <v>9</v>
          </cell>
          <cell r="H3273">
            <v>9</v>
          </cell>
          <cell r="I3273">
            <v>9</v>
          </cell>
          <cell r="J3273">
            <v>9</v>
          </cell>
          <cell r="K3273">
            <v>655</v>
          </cell>
          <cell r="L3273">
            <v>655</v>
          </cell>
          <cell r="M3273">
            <v>10</v>
          </cell>
        </row>
        <row r="3274">
          <cell r="C3274" t="str">
            <v>110kV 171 XM Bình Phước - 177 Bình Long 2</v>
          </cell>
          <cell r="D3274">
            <v>171</v>
          </cell>
          <cell r="E3274">
            <v>-6.8</v>
          </cell>
          <cell r="F3274">
            <v>-17.2</v>
          </cell>
          <cell r="G3274">
            <v>-14.3</v>
          </cell>
          <cell r="H3274">
            <v>-10.199999999999999</v>
          </cell>
          <cell r="I3274">
            <v>-16.100000000000001</v>
          </cell>
          <cell r="J3274">
            <v>-6.8</v>
          </cell>
          <cell r="K3274">
            <v>-10.3</v>
          </cell>
          <cell r="L3274">
            <v>-16.5</v>
          </cell>
          <cell r="M3274">
            <v>-17.2</v>
          </cell>
        </row>
        <row r="3275">
          <cell r="C3275" t="str">
            <v>110kV 172 XM Bình Phước - 172 Chơn Thành</v>
          </cell>
          <cell r="D3275">
            <v>172</v>
          </cell>
          <cell r="E3275">
            <v>-5.5</v>
          </cell>
          <cell r="F3275">
            <v>13.8</v>
          </cell>
          <cell r="G3275">
            <v>-6</v>
          </cell>
          <cell r="H3275">
            <v>-8</v>
          </cell>
          <cell r="I3275">
            <v>7.4</v>
          </cell>
          <cell r="J3275">
            <v>-11.4</v>
          </cell>
          <cell r="K3275">
            <v>-5.5</v>
          </cell>
          <cell r="L3275">
            <v>13.8</v>
          </cell>
          <cell r="M3275">
            <v>9.3000000000000007</v>
          </cell>
        </row>
        <row r="3276">
          <cell r="C3276" t="str">
            <v>XM Bình Phước MBA T1 (phía 6kV)</v>
          </cell>
          <cell r="D3276">
            <v>631</v>
          </cell>
          <cell r="E3276">
            <v>0</v>
          </cell>
          <cell r="F3276">
            <v>0</v>
          </cell>
          <cell r="G3276">
            <v>0</v>
          </cell>
          <cell r="H3276">
            <v>0</v>
          </cell>
          <cell r="I3276">
            <v>0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</row>
        <row r="3277">
          <cell r="C3277" t="str">
            <v>XM Bình Phước MBA T2 (phía 6kV)</v>
          </cell>
          <cell r="D3277">
            <v>632</v>
          </cell>
          <cell r="E3277">
            <v>7</v>
          </cell>
          <cell r="F3277">
            <v>655</v>
          </cell>
          <cell r="G3277">
            <v>8</v>
          </cell>
          <cell r="H3277">
            <v>7</v>
          </cell>
          <cell r="I3277">
            <v>8</v>
          </cell>
          <cell r="J3277">
            <v>8</v>
          </cell>
          <cell r="K3277">
            <v>655</v>
          </cell>
          <cell r="L3277">
            <v>655</v>
          </cell>
          <cell r="M3277">
            <v>8</v>
          </cell>
        </row>
        <row r="3278">
          <cell r="C3278" t="str">
            <v>XM Holcim MBA T1 (phía 110kV)</v>
          </cell>
          <cell r="D3278">
            <v>131</v>
          </cell>
          <cell r="E3278">
            <v>0</v>
          </cell>
          <cell r="F3278">
            <v>0</v>
          </cell>
          <cell r="G3278">
            <v>0</v>
          </cell>
          <cell r="H3278">
            <v>0</v>
          </cell>
          <cell r="I3278">
            <v>0</v>
          </cell>
          <cell r="J3278">
            <v>0</v>
          </cell>
          <cell r="K3278">
            <v>0</v>
          </cell>
          <cell r="L3278">
            <v>0</v>
          </cell>
          <cell r="M3278">
            <v>0</v>
          </cell>
        </row>
        <row r="3279">
          <cell r="C3279" t="str">
            <v>XM Holcim MBA T2 (phía 110kV)</v>
          </cell>
          <cell r="D3279">
            <v>132</v>
          </cell>
          <cell r="E3279">
            <v>-4.5</v>
          </cell>
          <cell r="F3279">
            <v>-9.4</v>
          </cell>
          <cell r="G3279">
            <v>-8.1999999999999993</v>
          </cell>
          <cell r="H3279">
            <v>-8.6999999999999993</v>
          </cell>
          <cell r="I3279">
            <v>-8.9</v>
          </cell>
          <cell r="J3279">
            <v>-8.6999999999999993</v>
          </cell>
          <cell r="K3279">
            <v>-7.7</v>
          </cell>
          <cell r="L3279">
            <v>-4.5</v>
          </cell>
          <cell r="M3279">
            <v>-9.4</v>
          </cell>
        </row>
        <row r="3280">
          <cell r="C3280" t="str">
            <v>110kV 172 XM Holcim - 176 Kiên Bình</v>
          </cell>
          <cell r="D3280">
            <v>172</v>
          </cell>
          <cell r="E3280">
            <v>31.1</v>
          </cell>
          <cell r="F3280">
            <v>73.099999999999994</v>
          </cell>
          <cell r="G3280">
            <v>50.4</v>
          </cell>
          <cell r="H3280">
            <v>51</v>
          </cell>
          <cell r="I3280">
            <v>68.099999999999994</v>
          </cell>
          <cell r="J3280">
            <v>73.099999999999994</v>
          </cell>
          <cell r="K3280">
            <v>70.7</v>
          </cell>
          <cell r="L3280">
            <v>31.1</v>
          </cell>
          <cell r="M3280">
            <v>67.8</v>
          </cell>
        </row>
        <row r="3281">
          <cell r="C3281" t="str">
            <v>XM Holcim MBA T1 (phía 6kV)</v>
          </cell>
          <cell r="D3281">
            <v>631</v>
          </cell>
          <cell r="E3281">
            <v>0</v>
          </cell>
          <cell r="F3281">
            <v>0</v>
          </cell>
          <cell r="G3281">
            <v>0</v>
          </cell>
          <cell r="H3281">
            <v>0</v>
          </cell>
          <cell r="I3281">
            <v>0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</row>
        <row r="3282">
          <cell r="C3282" t="str">
            <v>XM Holcim MBA T2 (phía 6kV)</v>
          </cell>
          <cell r="D3282">
            <v>632</v>
          </cell>
          <cell r="E3282">
            <v>-4.0999999999999996</v>
          </cell>
          <cell r="F3282">
            <v>-8.1999999999999993</v>
          </cell>
          <cell r="G3282">
            <v>-6.8</v>
          </cell>
          <cell r="H3282">
            <v>-7.3</v>
          </cell>
          <cell r="I3282">
            <v>-7.4</v>
          </cell>
          <cell r="J3282">
            <v>-7.2</v>
          </cell>
          <cell r="K3282">
            <v>-6</v>
          </cell>
          <cell r="L3282">
            <v>-4.0999999999999996</v>
          </cell>
          <cell r="M3282">
            <v>-8.1999999999999993</v>
          </cell>
        </row>
        <row r="3283">
          <cell r="C3283" t="str">
            <v>XM Long An MBA T1 (phía 6.6kV)</v>
          </cell>
          <cell r="D3283">
            <v>631</v>
          </cell>
          <cell r="E3283">
            <v>-0.3</v>
          </cell>
          <cell r="F3283">
            <v>-2.2000000000000002</v>
          </cell>
          <cell r="G3283">
            <v>-2</v>
          </cell>
          <cell r="H3283">
            <v>-2.1</v>
          </cell>
          <cell r="I3283">
            <v>-2.2000000000000002</v>
          </cell>
          <cell r="J3283">
            <v>-2.2000000000000002</v>
          </cell>
          <cell r="K3283">
            <v>-2.1</v>
          </cell>
          <cell r="L3283">
            <v>-2.1</v>
          </cell>
          <cell r="M3283">
            <v>-0.3</v>
          </cell>
        </row>
        <row r="3284">
          <cell r="C3284" t="str">
            <v>XM Tây Ninh MBA T1 (phía 110kV)</v>
          </cell>
          <cell r="D3284">
            <v>131</v>
          </cell>
          <cell r="E3284">
            <v>0</v>
          </cell>
          <cell r="F3284">
            <v>0</v>
          </cell>
          <cell r="G3284">
            <v>0</v>
          </cell>
          <cell r="H3284">
            <v>0</v>
          </cell>
          <cell r="I3284">
            <v>0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</row>
        <row r="3285">
          <cell r="C3285" t="str">
            <v>XM Tây Ninh MBA T2 (phía 110kV)</v>
          </cell>
          <cell r="D3285">
            <v>132</v>
          </cell>
          <cell r="E3285">
            <v>4.8</v>
          </cell>
          <cell r="F3285">
            <v>6.9</v>
          </cell>
          <cell r="G3285">
            <v>5.6</v>
          </cell>
          <cell r="H3285">
            <v>4.9000000000000004</v>
          </cell>
          <cell r="I3285">
            <v>4.8</v>
          </cell>
          <cell r="J3285">
            <v>5.0999999999999996</v>
          </cell>
          <cell r="K3285">
            <v>5.0999999999999996</v>
          </cell>
          <cell r="L3285">
            <v>6.9</v>
          </cell>
          <cell r="M3285">
            <v>5.8</v>
          </cell>
        </row>
        <row r="3286">
          <cell r="C3286" t="str">
            <v>XM Tây Ninh MBA T1 (phía 6kV)</v>
          </cell>
          <cell r="D3286">
            <v>631</v>
          </cell>
          <cell r="E3286">
            <v>0</v>
          </cell>
          <cell r="F3286">
            <v>0</v>
          </cell>
          <cell r="G3286">
            <v>0</v>
          </cell>
          <cell r="H3286">
            <v>0</v>
          </cell>
          <cell r="I3286">
            <v>0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</row>
        <row r="3287">
          <cell r="C3287" t="str">
            <v>XM Tây Ninh MBA T2 (phía 6kV)</v>
          </cell>
          <cell r="D3287">
            <v>632</v>
          </cell>
          <cell r="E3287">
            <v>-4.3</v>
          </cell>
          <cell r="F3287">
            <v>-6</v>
          </cell>
          <cell r="G3287">
            <v>-4.8</v>
          </cell>
          <cell r="H3287">
            <v>-4.4000000000000004</v>
          </cell>
          <cell r="I3287">
            <v>-4.3</v>
          </cell>
          <cell r="J3287">
            <v>-4.5</v>
          </cell>
          <cell r="K3287">
            <v>-4.5999999999999996</v>
          </cell>
          <cell r="L3287">
            <v>-6</v>
          </cell>
          <cell r="M3287">
            <v>-4.8</v>
          </cell>
        </row>
        <row r="3288">
          <cell r="C3288" t="str">
            <v>Xuân Lộc 2 MBA AT1 (phía 110kV)</v>
          </cell>
          <cell r="D3288">
            <v>131</v>
          </cell>
          <cell r="E3288">
            <v>5.6</v>
          </cell>
          <cell r="F3288">
            <v>9.1</v>
          </cell>
          <cell r="G3288">
            <v>5.6</v>
          </cell>
          <cell r="H3288">
            <v>5.6</v>
          </cell>
          <cell r="I3288">
            <v>6</v>
          </cell>
          <cell r="J3288">
            <v>7.5</v>
          </cell>
          <cell r="K3288">
            <v>9.1</v>
          </cell>
          <cell r="L3288">
            <v>6.6</v>
          </cell>
          <cell r="M3288">
            <v>6.3</v>
          </cell>
        </row>
        <row r="3289">
          <cell r="C3289" t="str">
            <v>Xuân Lộc 2 MBA AT2 (phía 110kV)</v>
          </cell>
          <cell r="D3289">
            <v>132</v>
          </cell>
          <cell r="E3289">
            <v>3.4</v>
          </cell>
          <cell r="F3289">
            <v>-11.7</v>
          </cell>
          <cell r="G3289">
            <v>-10.5</v>
          </cell>
          <cell r="H3289">
            <v>-10.199999999999999</v>
          </cell>
          <cell r="I3289">
            <v>-11.7</v>
          </cell>
          <cell r="J3289">
            <v>3.4</v>
          </cell>
          <cell r="K3289">
            <v>-8.1</v>
          </cell>
          <cell r="L3289">
            <v>-5.0999999999999996</v>
          </cell>
          <cell r="M3289">
            <v>-5.9</v>
          </cell>
        </row>
        <row r="3290">
          <cell r="C3290" t="str">
            <v>110kV 172 Xuân Lộc 2 - 171 Xuân Trường</v>
          </cell>
          <cell r="D3290">
            <v>172</v>
          </cell>
          <cell r="E3290">
            <v>-3</v>
          </cell>
          <cell r="F3290">
            <v>7.4</v>
          </cell>
          <cell r="G3290">
            <v>7.4</v>
          </cell>
          <cell r="H3290">
            <v>6.9</v>
          </cell>
          <cell r="I3290">
            <v>5.0999999999999996</v>
          </cell>
          <cell r="J3290">
            <v>-3</v>
          </cell>
          <cell r="K3290">
            <v>5.5</v>
          </cell>
          <cell r="L3290">
            <v>4.9000000000000004</v>
          </cell>
          <cell r="M3290">
            <v>5</v>
          </cell>
        </row>
        <row r="3291">
          <cell r="C3291" t="str">
            <v>110kV 174 Xuân Lộc 2 - 171 Cẩm Mỹ</v>
          </cell>
          <cell r="D3291">
            <v>174</v>
          </cell>
          <cell r="E3291">
            <v>-2.4</v>
          </cell>
          <cell r="F3291">
            <v>-3.4</v>
          </cell>
          <cell r="G3291">
            <v>-2.6</v>
          </cell>
          <cell r="H3291">
            <v>-2.8</v>
          </cell>
          <cell r="I3291">
            <v>-2.8</v>
          </cell>
          <cell r="J3291">
            <v>-2.4</v>
          </cell>
          <cell r="K3291">
            <v>-3.1</v>
          </cell>
          <cell r="L3291">
            <v>-3.4</v>
          </cell>
          <cell r="M3291">
            <v>-3.2</v>
          </cell>
        </row>
        <row r="3292">
          <cell r="C3292" t="str">
            <v>110kV 175 Xuân Lộc 2 - 172 Long Khánh</v>
          </cell>
          <cell r="D3292">
            <v>175</v>
          </cell>
          <cell r="E3292">
            <v>-3</v>
          </cell>
          <cell r="F3292">
            <v>11.1</v>
          </cell>
          <cell r="G3292">
            <v>9.4</v>
          </cell>
          <cell r="H3292">
            <v>9</v>
          </cell>
          <cell r="I3292">
            <v>11.1</v>
          </cell>
          <cell r="J3292">
            <v>-6.8</v>
          </cell>
          <cell r="K3292">
            <v>-10.1</v>
          </cell>
          <cell r="L3292">
            <v>-4.0999999999999996</v>
          </cell>
          <cell r="M3292">
            <v>-3</v>
          </cell>
        </row>
        <row r="3293">
          <cell r="C3293" t="str">
            <v>Xuân Lộc 2 MBA AT1 (phía 220kV)</v>
          </cell>
          <cell r="D3293">
            <v>231</v>
          </cell>
          <cell r="E3293">
            <v>-4.7</v>
          </cell>
          <cell r="F3293">
            <v>8.9</v>
          </cell>
          <cell r="G3293">
            <v>7.8</v>
          </cell>
          <cell r="H3293">
            <v>7.2</v>
          </cell>
          <cell r="I3293">
            <v>8.9</v>
          </cell>
          <cell r="J3293">
            <v>-6.1</v>
          </cell>
          <cell r="K3293">
            <v>-7.9</v>
          </cell>
          <cell r="L3293">
            <v>-5.5</v>
          </cell>
          <cell r="M3293">
            <v>-4.7</v>
          </cell>
        </row>
        <row r="3294">
          <cell r="C3294" t="str">
            <v>Xuân Lộc 2 MBA AT2 (phía 220kV)</v>
          </cell>
          <cell r="D3294">
            <v>232</v>
          </cell>
          <cell r="E3294">
            <v>3.3</v>
          </cell>
          <cell r="F3294">
            <v>14.4</v>
          </cell>
          <cell r="G3294">
            <v>13.7</v>
          </cell>
          <cell r="H3294">
            <v>13.3</v>
          </cell>
          <cell r="I3294">
            <v>14.4</v>
          </cell>
          <cell r="J3294">
            <v>3.3</v>
          </cell>
          <cell r="K3294">
            <v>11.1</v>
          </cell>
          <cell r="L3294">
            <v>6.8</v>
          </cell>
          <cell r="M3294">
            <v>7.5</v>
          </cell>
        </row>
        <row r="3295">
          <cell r="C3295" t="str">
            <v>220kV 271 Xuân Lộc 2 - 275 Long Thành</v>
          </cell>
          <cell r="D3295">
            <v>271</v>
          </cell>
          <cell r="E3295">
            <v>-11.7</v>
          </cell>
          <cell r="F3295">
            <v>-27.8</v>
          </cell>
          <cell r="G3295">
            <v>-18.3</v>
          </cell>
          <cell r="H3295">
            <v>-25.6</v>
          </cell>
          <cell r="I3295">
            <v>-27.8</v>
          </cell>
          <cell r="J3295">
            <v>-13.8</v>
          </cell>
          <cell r="K3295">
            <v>-11.7</v>
          </cell>
          <cell r="L3295">
            <v>-14</v>
          </cell>
          <cell r="M3295">
            <v>-23.5</v>
          </cell>
        </row>
        <row r="3296">
          <cell r="C3296" t="str">
            <v>220kV 272 Xuân Lộc 2 - 276 Long Thành</v>
          </cell>
          <cell r="D3296">
            <v>272</v>
          </cell>
          <cell r="E3296">
            <v>-9.8000000000000007</v>
          </cell>
          <cell r="F3296">
            <v>-29.1</v>
          </cell>
          <cell r="G3296">
            <v>-19.7</v>
          </cell>
          <cell r="H3296">
            <v>-26.1</v>
          </cell>
          <cell r="I3296">
            <v>-29.1</v>
          </cell>
          <cell r="J3296">
            <v>-9.8000000000000007</v>
          </cell>
          <cell r="K3296">
            <v>-11.4</v>
          </cell>
          <cell r="L3296">
            <v>-14.6</v>
          </cell>
          <cell r="M3296">
            <v>-23.3</v>
          </cell>
        </row>
        <row r="3297">
          <cell r="C3297" t="str">
            <v>220kV 273 Xuân Lộc 2 - 272 NMĐ Hàm Thuận</v>
          </cell>
          <cell r="D3297">
            <v>273</v>
          </cell>
          <cell r="E3297">
            <v>11.2</v>
          </cell>
          <cell r="F3297">
            <v>26.5</v>
          </cell>
          <cell r="G3297">
            <v>19.5</v>
          </cell>
          <cell r="H3297">
            <v>18.7</v>
          </cell>
          <cell r="I3297">
            <v>21.3</v>
          </cell>
          <cell r="J3297">
            <v>11.2</v>
          </cell>
          <cell r="K3297">
            <v>14.9</v>
          </cell>
          <cell r="L3297">
            <v>12.7</v>
          </cell>
          <cell r="M3297">
            <v>26.5</v>
          </cell>
        </row>
        <row r="3298">
          <cell r="C3298" t="str">
            <v>220kV 274 Xuân Lộc 2 - 272 NMĐ Đa Mi</v>
          </cell>
          <cell r="D3298">
            <v>274</v>
          </cell>
          <cell r="E3298">
            <v>8.1999999999999993</v>
          </cell>
          <cell r="F3298">
            <v>22</v>
          </cell>
          <cell r="G3298">
            <v>15.6</v>
          </cell>
          <cell r="H3298">
            <v>14.6</v>
          </cell>
          <cell r="I3298">
            <v>17</v>
          </cell>
          <cell r="J3298">
            <v>8.1999999999999993</v>
          </cell>
          <cell r="K3298">
            <v>12.1</v>
          </cell>
          <cell r="L3298">
            <v>9.3000000000000007</v>
          </cell>
          <cell r="M3298">
            <v>22</v>
          </cell>
        </row>
        <row r="3299">
          <cell r="C3299" t="str">
            <v>Xuân Thới Sơn MBA T1 (phía 110kV)</v>
          </cell>
          <cell r="D3299">
            <v>131</v>
          </cell>
          <cell r="E3299">
            <v>0</v>
          </cell>
          <cell r="F3299">
            <v>0</v>
          </cell>
          <cell r="G3299">
            <v>0</v>
          </cell>
          <cell r="H3299">
            <v>0</v>
          </cell>
          <cell r="I3299">
            <v>0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</row>
        <row r="3300">
          <cell r="C3300" t="str">
            <v>Xuân Thới Sơn MBA T2 (phía 110kV)</v>
          </cell>
          <cell r="D3300">
            <v>132</v>
          </cell>
          <cell r="E3300">
            <v>0</v>
          </cell>
          <cell r="F3300">
            <v>0</v>
          </cell>
          <cell r="G3300">
            <v>0</v>
          </cell>
          <cell r="H3300">
            <v>0</v>
          </cell>
          <cell r="I3300">
            <v>0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</row>
        <row r="3301">
          <cell r="C3301" t="str">
            <v>Xuân Thới Sơn MBA T1 (phía 22kV)</v>
          </cell>
          <cell r="D3301">
            <v>431</v>
          </cell>
          <cell r="E3301">
            <v>0</v>
          </cell>
          <cell r="F3301">
            <v>0</v>
          </cell>
          <cell r="G3301">
            <v>0</v>
          </cell>
          <cell r="H3301">
            <v>0</v>
          </cell>
          <cell r="I3301">
            <v>0</v>
          </cell>
          <cell r="J3301">
            <v>0</v>
          </cell>
          <cell r="K3301">
            <v>0</v>
          </cell>
          <cell r="L3301">
            <v>0</v>
          </cell>
          <cell r="M3301">
            <v>0</v>
          </cell>
        </row>
        <row r="3302">
          <cell r="C3302" t="str">
            <v>Xuân Thới Sơn MBA T2 (phía 22kV)</v>
          </cell>
          <cell r="D3302">
            <v>432</v>
          </cell>
          <cell r="E3302">
            <v>0</v>
          </cell>
          <cell r="F3302">
            <v>0</v>
          </cell>
          <cell r="G3302">
            <v>0</v>
          </cell>
          <cell r="H3302">
            <v>0</v>
          </cell>
          <cell r="I3302">
            <v>0</v>
          </cell>
          <cell r="J3302">
            <v>0</v>
          </cell>
          <cell r="K3302">
            <v>0</v>
          </cell>
          <cell r="L3302">
            <v>0</v>
          </cell>
          <cell r="M3302">
            <v>0</v>
          </cell>
        </row>
        <row r="3303">
          <cell r="C3303" t="str">
            <v>Xuân Trường MBA T1 (phía 110kV)</v>
          </cell>
          <cell r="D3303">
            <v>131</v>
          </cell>
          <cell r="E3303">
            <v>-1.6</v>
          </cell>
          <cell r="F3303">
            <v>-3.4</v>
          </cell>
          <cell r="G3303">
            <v>2.8</v>
          </cell>
          <cell r="H3303">
            <v>2.4</v>
          </cell>
          <cell r="I3303">
            <v>2.5</v>
          </cell>
          <cell r="J3303">
            <v>-3.4</v>
          </cell>
          <cell r="K3303">
            <v>-2.7</v>
          </cell>
          <cell r="L3303">
            <v>-1.6</v>
          </cell>
          <cell r="M3303">
            <v>-1.8</v>
          </cell>
        </row>
        <row r="3304">
          <cell r="C3304" t="str">
            <v>Xuân Trường MBA T2 (phía 110kV)</v>
          </cell>
          <cell r="D3304">
            <v>132</v>
          </cell>
          <cell r="E3304">
            <v>2.6</v>
          </cell>
          <cell r="F3304">
            <v>4</v>
          </cell>
          <cell r="G3304">
            <v>3.8</v>
          </cell>
          <cell r="H3304">
            <v>4</v>
          </cell>
          <cell r="I3304">
            <v>3</v>
          </cell>
          <cell r="J3304">
            <v>3.6</v>
          </cell>
          <cell r="K3304">
            <v>-2.7</v>
          </cell>
          <cell r="L3304">
            <v>3.1</v>
          </cell>
          <cell r="M3304">
            <v>2.6</v>
          </cell>
        </row>
        <row r="3305">
          <cell r="C3305" t="str">
            <v>110kV 171 Xuân Trường - 172 Xuân Lộc 2</v>
          </cell>
          <cell r="D3305">
            <v>171</v>
          </cell>
          <cell r="E3305">
            <v>3</v>
          </cell>
          <cell r="F3305">
            <v>-6.8</v>
          </cell>
          <cell r="G3305">
            <v>-6.8</v>
          </cell>
          <cell r="H3305">
            <v>-6.1</v>
          </cell>
          <cell r="I3305">
            <v>-4.3</v>
          </cell>
          <cell r="J3305">
            <v>3</v>
          </cell>
          <cell r="K3305">
            <v>-5.0999999999999996</v>
          </cell>
          <cell r="L3305">
            <v>-4.4000000000000004</v>
          </cell>
          <cell r="M3305">
            <v>-4</v>
          </cell>
        </row>
        <row r="3306">
          <cell r="C3306" t="str">
            <v>110kV 172 Xuân Trường - 172 Đức Linh</v>
          </cell>
          <cell r="D3306">
            <v>172</v>
          </cell>
          <cell r="E3306">
            <v>0</v>
          </cell>
          <cell r="F3306">
            <v>0</v>
          </cell>
          <cell r="G3306">
            <v>0</v>
          </cell>
          <cell r="H3306">
            <v>0</v>
          </cell>
          <cell r="I3306">
            <v>0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</row>
        <row r="3307">
          <cell r="C3307" t="str">
            <v>Xuân Trường MBA T1 (phía 22kV)</v>
          </cell>
          <cell r="D3307">
            <v>431</v>
          </cell>
          <cell r="E3307">
            <v>2.8</v>
          </cell>
          <cell r="F3307">
            <v>4.3</v>
          </cell>
          <cell r="G3307">
            <v>2.8</v>
          </cell>
          <cell r="H3307">
            <v>3.1</v>
          </cell>
          <cell r="I3307">
            <v>3.4</v>
          </cell>
          <cell r="J3307">
            <v>4.3</v>
          </cell>
          <cell r="K3307">
            <v>3.9</v>
          </cell>
          <cell r="L3307">
            <v>2.8</v>
          </cell>
          <cell r="M3307">
            <v>3.6</v>
          </cell>
        </row>
        <row r="3308">
          <cell r="C3308" t="str">
            <v>Xuân Trường MBA T2 (phía 22kV)</v>
          </cell>
          <cell r="D3308">
            <v>432</v>
          </cell>
          <cell r="E3308">
            <v>-2.4</v>
          </cell>
          <cell r="F3308">
            <v>4.4000000000000004</v>
          </cell>
          <cell r="G3308">
            <v>3.3</v>
          </cell>
          <cell r="H3308">
            <v>3.4</v>
          </cell>
          <cell r="I3308">
            <v>3.4</v>
          </cell>
          <cell r="J3308">
            <v>-2.4</v>
          </cell>
          <cell r="K3308">
            <v>3.8</v>
          </cell>
          <cell r="L3308">
            <v>4.4000000000000004</v>
          </cell>
          <cell r="M3308">
            <v>3.3</v>
          </cell>
        </row>
        <row r="3309">
          <cell r="C3309" t="str">
            <v>Xuyên Mộc MBA T1 (phía 110kV)</v>
          </cell>
          <cell r="D3309">
            <v>131</v>
          </cell>
          <cell r="E3309">
            <v>0</v>
          </cell>
          <cell r="F3309">
            <v>0</v>
          </cell>
          <cell r="G3309">
            <v>0</v>
          </cell>
          <cell r="H3309">
            <v>0</v>
          </cell>
          <cell r="I3309">
            <v>0</v>
          </cell>
          <cell r="J3309">
            <v>0</v>
          </cell>
          <cell r="K3309">
            <v>0</v>
          </cell>
          <cell r="L3309">
            <v>0</v>
          </cell>
          <cell r="M3309">
            <v>0</v>
          </cell>
        </row>
        <row r="3310">
          <cell r="C3310" t="str">
            <v>Xuyên Mộc MBA T2 (phía 110kV)</v>
          </cell>
          <cell r="D3310">
            <v>132</v>
          </cell>
          <cell r="E3310">
            <v>0</v>
          </cell>
          <cell r="F3310">
            <v>0</v>
          </cell>
          <cell r="G3310">
            <v>0</v>
          </cell>
          <cell r="H3310">
            <v>0</v>
          </cell>
          <cell r="I3310">
            <v>0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</row>
        <row r="3311">
          <cell r="C3311" t="str">
            <v>110kV 171 Xuyên Mộc - 172 Long Đất</v>
          </cell>
          <cell r="D3311">
            <v>171</v>
          </cell>
          <cell r="E3311">
            <v>-1.7</v>
          </cell>
          <cell r="F3311">
            <v>-1.7</v>
          </cell>
          <cell r="G3311">
            <v>-1.7</v>
          </cell>
          <cell r="H3311">
            <v>-1.7</v>
          </cell>
          <cell r="I3311">
            <v>-1.7</v>
          </cell>
          <cell r="J3311">
            <v>-1.7</v>
          </cell>
          <cell r="K3311">
            <v>-1.7</v>
          </cell>
          <cell r="L3311">
            <v>-1.7</v>
          </cell>
          <cell r="M3311">
            <v>-1.7</v>
          </cell>
        </row>
        <row r="3312">
          <cell r="C3312" t="str">
            <v>110kV 172 Xuyên Mộc - 172 Thắng Hải</v>
          </cell>
          <cell r="D3312">
            <v>172</v>
          </cell>
          <cell r="E3312">
            <v>0</v>
          </cell>
          <cell r="F3312">
            <v>0</v>
          </cell>
          <cell r="G3312">
            <v>0</v>
          </cell>
          <cell r="H3312">
            <v>0</v>
          </cell>
          <cell r="I3312">
            <v>0</v>
          </cell>
          <cell r="J3312">
            <v>0</v>
          </cell>
          <cell r="K3312">
            <v>0</v>
          </cell>
          <cell r="L3312">
            <v>0</v>
          </cell>
          <cell r="M3312">
            <v>0</v>
          </cell>
        </row>
        <row r="3313">
          <cell r="C3313" t="str">
            <v>Xuyên Mộc MBA T1 (phía 22kV)</v>
          </cell>
          <cell r="D3313">
            <v>431</v>
          </cell>
          <cell r="E3313">
            <v>0</v>
          </cell>
          <cell r="F3313">
            <v>0</v>
          </cell>
          <cell r="G3313">
            <v>0</v>
          </cell>
          <cell r="H3313">
            <v>0</v>
          </cell>
          <cell r="I3313">
            <v>0</v>
          </cell>
          <cell r="J3313">
            <v>0</v>
          </cell>
          <cell r="K3313">
            <v>0</v>
          </cell>
          <cell r="L3313">
            <v>0</v>
          </cell>
          <cell r="M3313">
            <v>0</v>
          </cell>
        </row>
        <row r="3314">
          <cell r="C3314" t="str">
            <v>Xuyên Mộc MBA T2 (phía 22kV)</v>
          </cell>
          <cell r="D3314">
            <v>432</v>
          </cell>
          <cell r="E3314">
            <v>3.6</v>
          </cell>
          <cell r="F3314">
            <v>3.6</v>
          </cell>
          <cell r="G3314">
            <v>3.6</v>
          </cell>
          <cell r="H3314">
            <v>3.6</v>
          </cell>
          <cell r="I3314">
            <v>3.6</v>
          </cell>
          <cell r="J3314">
            <v>3.6</v>
          </cell>
          <cell r="K3314">
            <v>3.6</v>
          </cell>
          <cell r="L3314">
            <v>3.6</v>
          </cell>
          <cell r="M3314">
            <v>3.6</v>
          </cell>
        </row>
      </sheetData>
      <sheetData sheetId="3" refreshError="1"/>
      <sheetData sheetId="4">
        <row r="2">
          <cell r="G2" t="str">
            <v>01-10</v>
          </cell>
          <cell r="H2" t="str">
            <v>02-10</v>
          </cell>
          <cell r="I2" t="str">
            <v>03-10</v>
          </cell>
          <cell r="J2" t="str">
            <v>04-10</v>
          </cell>
          <cell r="K2" t="str">
            <v>05-10</v>
          </cell>
          <cell r="L2" t="str">
            <v>06-10</v>
          </cell>
          <cell r="M2" t="str">
            <v>07-10</v>
          </cell>
        </row>
        <row r="4">
          <cell r="C4" t="str">
            <v>Đường dây/MBA</v>
          </cell>
          <cell r="D4" t="str">
            <v>TC</v>
          </cell>
          <cell r="E4" t="str">
            <v>Min</v>
          </cell>
          <cell r="F4" t="str">
            <v>Max</v>
          </cell>
          <cell r="G4">
            <v>448.1</v>
          </cell>
          <cell r="H4">
            <v>444.6</v>
          </cell>
          <cell r="I4">
            <v>445.09999999999997</v>
          </cell>
          <cell r="J4">
            <v>104.3</v>
          </cell>
          <cell r="K4">
            <v>66</v>
          </cell>
          <cell r="L4">
            <v>10.799999999999997</v>
          </cell>
          <cell r="M4">
            <v>54.499999999999993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C5">
            <v>22</v>
          </cell>
        </row>
        <row r="6">
          <cell r="C6" t="str">
            <v>An Long Tụ Bù Ngang 101</v>
          </cell>
          <cell r="D6" t="str">
            <v>T101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C7" t="str">
            <v>Bình Hòa Tụ Bù Ngang 101</v>
          </cell>
          <cell r="D7" t="str">
            <v>T101</v>
          </cell>
          <cell r="E7">
            <v>-52.2</v>
          </cell>
          <cell r="F7">
            <v>0</v>
          </cell>
          <cell r="G7">
            <v>-51.5</v>
          </cell>
          <cell r="H7">
            <v>-52.2</v>
          </cell>
          <cell r="I7">
            <v>-52.1</v>
          </cell>
          <cell r="J7">
            <v>0</v>
          </cell>
          <cell r="K7">
            <v>-50.7</v>
          </cell>
          <cell r="L7">
            <v>-50.2</v>
          </cell>
          <cell r="M7">
            <v>-50.5</v>
          </cell>
        </row>
        <row r="8">
          <cell r="C8" t="str">
            <v>Bình Hòa Tụ Bù Ngang 103</v>
          </cell>
          <cell r="D8" t="str">
            <v>T103</v>
          </cell>
          <cell r="E8">
            <v>0</v>
          </cell>
          <cell r="F8">
            <v>393.2</v>
          </cell>
          <cell r="G8">
            <v>393.2</v>
          </cell>
          <cell r="H8">
            <v>393.2</v>
          </cell>
          <cell r="I8">
            <v>393.2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C9" t="str">
            <v>Cao Lãnh 2 Tụ Bù Ngang 101</v>
          </cell>
          <cell r="D9" t="str">
            <v>T101</v>
          </cell>
          <cell r="E9">
            <v>0</v>
          </cell>
          <cell r="F9">
            <v>60.5</v>
          </cell>
          <cell r="G9">
            <v>60.5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C10" t="str">
            <v>Châu Đốc Tụ Bù Ngang 102</v>
          </cell>
          <cell r="D10" t="str">
            <v>T102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C11" t="str">
            <v>Dệt May Tụ Bù Ngang 102</v>
          </cell>
          <cell r="D11" t="str">
            <v>T102</v>
          </cell>
          <cell r="E11">
            <v>-15</v>
          </cell>
          <cell r="F11">
            <v>0</v>
          </cell>
          <cell r="G11">
            <v>-15</v>
          </cell>
          <cell r="H11">
            <v>-14.9</v>
          </cell>
          <cell r="I11">
            <v>-14.8</v>
          </cell>
          <cell r="J11">
            <v>-14.8</v>
          </cell>
          <cell r="K11">
            <v>0</v>
          </cell>
          <cell r="L11">
            <v>0</v>
          </cell>
          <cell r="M11">
            <v>-14.7</v>
          </cell>
        </row>
        <row r="12">
          <cell r="C12" t="str">
            <v>Kiên Lương 2 Tụ Bù Ngang 101</v>
          </cell>
          <cell r="D12" t="str">
            <v>T101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C13" t="str">
            <v>Mỏ Cày Tụ Bù Ngang 101</v>
          </cell>
          <cell r="D13" t="str">
            <v>T101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C14" t="str">
            <v>Mỹ Phước Tụ Bù Ngang 101</v>
          </cell>
          <cell r="D14" t="str">
            <v>T101</v>
          </cell>
          <cell r="E14">
            <v>58.2</v>
          </cell>
          <cell r="F14">
            <v>59.9</v>
          </cell>
          <cell r="G14">
            <v>59.3</v>
          </cell>
          <cell r="H14">
            <v>59.4</v>
          </cell>
          <cell r="I14">
            <v>59.5</v>
          </cell>
          <cell r="J14">
            <v>58.6</v>
          </cell>
          <cell r="K14">
            <v>58.2</v>
          </cell>
          <cell r="L14">
            <v>59.7</v>
          </cell>
          <cell r="M14">
            <v>59.9</v>
          </cell>
        </row>
        <row r="15">
          <cell r="C15" t="str">
            <v>Mỹ Phước Tụ Bù Ngang 102</v>
          </cell>
          <cell r="D15" t="str">
            <v>T102</v>
          </cell>
          <cell r="E15">
            <v>58.5</v>
          </cell>
          <cell r="F15">
            <v>60.5</v>
          </cell>
          <cell r="G15">
            <v>59.1</v>
          </cell>
          <cell r="H15">
            <v>59.1</v>
          </cell>
          <cell r="I15">
            <v>59.3</v>
          </cell>
          <cell r="J15">
            <v>60.5</v>
          </cell>
          <cell r="K15">
            <v>58.5</v>
          </cell>
          <cell r="L15">
            <v>59.6</v>
          </cell>
          <cell r="M15">
            <v>59.8</v>
          </cell>
        </row>
        <row r="16">
          <cell r="C16" t="str">
            <v>Tân Hưng Tụ Bù Ngang 101</v>
          </cell>
          <cell r="D16" t="str">
            <v>T101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E17">
            <v>0</v>
          </cell>
          <cell r="F17">
            <v>0</v>
          </cell>
        </row>
        <row r="18">
          <cell r="E18">
            <v>0</v>
          </cell>
          <cell r="F18">
            <v>0</v>
          </cell>
        </row>
        <row r="19">
          <cell r="E19">
            <v>0</v>
          </cell>
          <cell r="F19">
            <v>0</v>
          </cell>
        </row>
        <row r="20">
          <cell r="C20" t="str">
            <v>Thốt Nốt 2 Tụ Bù Ngang 101</v>
          </cell>
          <cell r="D20" t="str">
            <v>T101</v>
          </cell>
          <cell r="E20">
            <v>-58.3</v>
          </cell>
          <cell r="F20">
            <v>0</v>
          </cell>
          <cell r="G20">
            <v>-57.5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-58.3</v>
          </cell>
          <cell r="M20">
            <v>0</v>
          </cell>
        </row>
        <row r="21">
          <cell r="E21">
            <v>0</v>
          </cell>
          <cell r="F21">
            <v>0</v>
          </cell>
        </row>
        <row r="22">
          <cell r="E22">
            <v>0</v>
          </cell>
          <cell r="F22">
            <v>0</v>
          </cell>
        </row>
        <row r="23">
          <cell r="C23" t="str">
            <v>Thuận An Tụ Bù Ngang 101</v>
          </cell>
          <cell r="D23" t="str">
            <v>T101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asic"/>
      <sheetName val="Parm_General"/>
      <sheetName val="Line"/>
      <sheetName val="MBT 3cd"/>
      <sheetName val="MBT 2cd"/>
      <sheetName val="MBTA"/>
      <sheetName val="Gen"/>
      <sheetName val="Thong so MBT 3cd"/>
      <sheetName val="DT Relay"/>
      <sheetName val="TinhKhangdoc"/>
      <sheetName val="Sheet2"/>
      <sheetName val="Ktra TSVH110"/>
      <sheetName val="Ktra TSVH220"/>
      <sheetName val="Sheet3"/>
    </sheetNames>
    <sheetDataSet>
      <sheetData sheetId="0" refreshError="1"/>
      <sheetData sheetId="1">
        <row r="1">
          <cell r="Z1" t="str">
            <v>Tiết diện
 (mm2)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">
          <cell r="A3">
            <v>4020</v>
          </cell>
          <cell r="B3" t="str">
            <v>DI.LINH</v>
          </cell>
          <cell r="C3">
            <v>500</v>
          </cell>
        </row>
        <row r="4">
          <cell r="A4">
            <v>4022</v>
          </cell>
          <cell r="B4" t="str">
            <v>DL_TD</v>
          </cell>
          <cell r="C4">
            <v>500</v>
          </cell>
        </row>
        <row r="5">
          <cell r="A5">
            <v>4029</v>
          </cell>
          <cell r="B5" t="str">
            <v>DL_PLK</v>
          </cell>
          <cell r="C5">
            <v>500</v>
          </cell>
        </row>
        <row r="6">
          <cell r="A6">
            <v>4100</v>
          </cell>
          <cell r="B6" t="str">
            <v>TAN.DINH</v>
          </cell>
          <cell r="C6">
            <v>500</v>
          </cell>
        </row>
        <row r="7">
          <cell r="A7">
            <v>4104</v>
          </cell>
          <cell r="B7" t="str">
            <v>TD_SM</v>
          </cell>
          <cell r="C7">
            <v>500</v>
          </cell>
        </row>
        <row r="8">
          <cell r="A8">
            <v>4129</v>
          </cell>
          <cell r="B8" t="str">
            <v>TD_DL</v>
          </cell>
          <cell r="C8">
            <v>500</v>
          </cell>
        </row>
        <row r="9">
          <cell r="A9">
            <v>4200</v>
          </cell>
          <cell r="B9" t="str">
            <v>SONG.MAY</v>
          </cell>
          <cell r="C9">
            <v>500</v>
          </cell>
        </row>
        <row r="10">
          <cell r="A10">
            <v>4201</v>
          </cell>
          <cell r="B10" t="str">
            <v>TRU_1505</v>
          </cell>
          <cell r="C10">
            <v>500</v>
          </cell>
        </row>
        <row r="11">
          <cell r="A11">
            <v>4204</v>
          </cell>
          <cell r="B11" t="str">
            <v>SMAY_TDINH</v>
          </cell>
          <cell r="C11">
            <v>500</v>
          </cell>
        </row>
        <row r="12">
          <cell r="A12">
            <v>4250</v>
          </cell>
          <cell r="B12" t="str">
            <v>ND_VINH.TAN</v>
          </cell>
          <cell r="C12">
            <v>500</v>
          </cell>
        </row>
        <row r="13">
          <cell r="A13">
            <v>4350</v>
          </cell>
          <cell r="B13" t="str">
            <v>CAU.BONG</v>
          </cell>
          <cell r="C13">
            <v>500</v>
          </cell>
        </row>
        <row r="14">
          <cell r="A14">
            <v>4400</v>
          </cell>
          <cell r="B14" t="str">
            <v>PHU.LAM</v>
          </cell>
          <cell r="C14">
            <v>500</v>
          </cell>
        </row>
        <row r="15">
          <cell r="A15">
            <v>4450</v>
          </cell>
          <cell r="B15" t="str">
            <v>NHA.BE</v>
          </cell>
          <cell r="C15">
            <v>500</v>
          </cell>
        </row>
        <row r="16">
          <cell r="A16">
            <v>4500</v>
          </cell>
          <cell r="B16" t="str">
            <v>PHU.MY_22</v>
          </cell>
          <cell r="C16">
            <v>500</v>
          </cell>
        </row>
        <row r="17">
          <cell r="A17">
            <v>4550</v>
          </cell>
          <cell r="B17" t="str">
            <v>PHU.MY_3</v>
          </cell>
          <cell r="C17">
            <v>500</v>
          </cell>
        </row>
        <row r="18">
          <cell r="A18">
            <v>4560</v>
          </cell>
          <cell r="B18" t="str">
            <v>PHU.MY_3</v>
          </cell>
          <cell r="C18">
            <v>500</v>
          </cell>
        </row>
        <row r="19">
          <cell r="A19">
            <v>4600</v>
          </cell>
          <cell r="B19" t="str">
            <v>PHU.MY_4</v>
          </cell>
          <cell r="C19">
            <v>500</v>
          </cell>
        </row>
        <row r="20">
          <cell r="A20">
            <v>4640</v>
          </cell>
          <cell r="B20" t="str">
            <v>PHU.MY_MC562</v>
          </cell>
          <cell r="C20">
            <v>500</v>
          </cell>
        </row>
        <row r="21">
          <cell r="A21">
            <v>4650</v>
          </cell>
          <cell r="B21" t="str">
            <v>PHU.MY</v>
          </cell>
          <cell r="C21">
            <v>500</v>
          </cell>
        </row>
        <row r="22">
          <cell r="A22">
            <v>4750</v>
          </cell>
          <cell r="B22" t="str">
            <v>O.MON</v>
          </cell>
          <cell r="C22">
            <v>500</v>
          </cell>
        </row>
        <row r="23">
          <cell r="A23">
            <v>4900</v>
          </cell>
          <cell r="B23" t="str">
            <v>DUYEN_HAI</v>
          </cell>
          <cell r="C23">
            <v>500</v>
          </cell>
        </row>
        <row r="24">
          <cell r="A24">
            <v>42702</v>
          </cell>
          <cell r="B24" t="str">
            <v>NBE_C21</v>
          </cell>
          <cell r="C24">
            <v>220</v>
          </cell>
        </row>
        <row r="25">
          <cell r="A25">
            <v>42712</v>
          </cell>
          <cell r="B25" t="str">
            <v>NBE_C22</v>
          </cell>
          <cell r="C25">
            <v>220</v>
          </cell>
        </row>
        <row r="26">
          <cell r="A26">
            <v>42852</v>
          </cell>
          <cell r="B26" t="str">
            <v>TAO DAN</v>
          </cell>
          <cell r="C26">
            <v>220</v>
          </cell>
        </row>
        <row r="27">
          <cell r="A27">
            <v>43302</v>
          </cell>
          <cell r="B27" t="str">
            <v>HMON_C21</v>
          </cell>
          <cell r="C27">
            <v>220</v>
          </cell>
        </row>
        <row r="28">
          <cell r="A28">
            <v>43312</v>
          </cell>
          <cell r="B28" t="str">
            <v>HOC MON C22</v>
          </cell>
          <cell r="C28">
            <v>220</v>
          </cell>
        </row>
        <row r="29">
          <cell r="A29">
            <v>43352</v>
          </cell>
          <cell r="B29" t="str">
            <v>VINH LOC 2</v>
          </cell>
          <cell r="C29">
            <v>220</v>
          </cell>
        </row>
        <row r="30">
          <cell r="A30">
            <v>43357</v>
          </cell>
          <cell r="B30" t="str">
            <v>R VINHLOC2</v>
          </cell>
          <cell r="C30">
            <v>220</v>
          </cell>
        </row>
        <row r="31">
          <cell r="A31">
            <v>43652</v>
          </cell>
          <cell r="B31" t="str">
            <v>PHU LAM C21</v>
          </cell>
          <cell r="C31">
            <v>220</v>
          </cell>
        </row>
        <row r="32">
          <cell r="A32">
            <v>43662</v>
          </cell>
          <cell r="B32" t="str">
            <v>PHU LAM C22</v>
          </cell>
          <cell r="C32">
            <v>220</v>
          </cell>
        </row>
        <row r="33">
          <cell r="A33">
            <v>43902</v>
          </cell>
          <cell r="B33" t="str">
            <v>TDUC</v>
          </cell>
          <cell r="C33">
            <v>220</v>
          </cell>
        </row>
        <row r="34">
          <cell r="A34">
            <v>44402</v>
          </cell>
          <cell r="B34" t="str">
            <v>CAT LAI</v>
          </cell>
          <cell r="C34">
            <v>220</v>
          </cell>
        </row>
        <row r="35">
          <cell r="A35">
            <v>44452</v>
          </cell>
          <cell r="B35" t="str">
            <v>CUCHI2</v>
          </cell>
          <cell r="C35">
            <v>220</v>
          </cell>
        </row>
        <row r="36">
          <cell r="A36">
            <v>44752</v>
          </cell>
          <cell r="B36" t="str">
            <v>TDINH_C21</v>
          </cell>
          <cell r="C36">
            <v>220</v>
          </cell>
        </row>
        <row r="37">
          <cell r="A37">
            <v>44772</v>
          </cell>
          <cell r="B37" t="str">
            <v>TDINH_C22</v>
          </cell>
          <cell r="C37">
            <v>220</v>
          </cell>
        </row>
        <row r="38">
          <cell r="A38">
            <v>45502</v>
          </cell>
          <cell r="B38" t="str">
            <v>BCHANH2_C21</v>
          </cell>
          <cell r="C38">
            <v>220</v>
          </cell>
        </row>
        <row r="39">
          <cell r="A39">
            <v>45512</v>
          </cell>
          <cell r="B39" t="str">
            <v>BCHANH2_C22</v>
          </cell>
          <cell r="C39">
            <v>220</v>
          </cell>
        </row>
        <row r="40">
          <cell r="A40">
            <v>45952</v>
          </cell>
          <cell r="B40" t="str">
            <v>CAUBONG_C21</v>
          </cell>
          <cell r="C40">
            <v>220</v>
          </cell>
        </row>
        <row r="41">
          <cell r="A41">
            <v>45956</v>
          </cell>
          <cell r="B41" t="str">
            <v>TRU66_CB-DH</v>
          </cell>
          <cell r="C41">
            <v>220</v>
          </cell>
        </row>
        <row r="42">
          <cell r="A42">
            <v>45957</v>
          </cell>
          <cell r="B42" t="str">
            <v>TRU66_CB-DH</v>
          </cell>
          <cell r="C42">
            <v>220</v>
          </cell>
        </row>
        <row r="43">
          <cell r="A43">
            <v>45962</v>
          </cell>
          <cell r="B43" t="str">
            <v>CAUBONG_C22</v>
          </cell>
          <cell r="C43">
            <v>220</v>
          </cell>
        </row>
        <row r="44">
          <cell r="A44">
            <v>46102</v>
          </cell>
          <cell r="B44" t="str">
            <v>HBPHUOC</v>
          </cell>
          <cell r="C44">
            <v>220</v>
          </cell>
        </row>
        <row r="45">
          <cell r="A45">
            <v>46152</v>
          </cell>
          <cell r="B45" t="str">
            <v>BINHTAN C21</v>
          </cell>
          <cell r="C45">
            <v>220</v>
          </cell>
        </row>
        <row r="46">
          <cell r="A46">
            <v>46162</v>
          </cell>
          <cell r="B46" t="str">
            <v>BINHTAN C22</v>
          </cell>
          <cell r="C46">
            <v>220</v>
          </cell>
        </row>
        <row r="47">
          <cell r="A47">
            <v>49202</v>
          </cell>
          <cell r="B47" t="str">
            <v>LONGBINH</v>
          </cell>
          <cell r="C47">
            <v>220</v>
          </cell>
        </row>
        <row r="48">
          <cell r="A48">
            <v>49257</v>
          </cell>
          <cell r="B48" t="str">
            <v>TAP_LB_BL</v>
          </cell>
          <cell r="C48">
            <v>220</v>
          </cell>
        </row>
        <row r="49">
          <cell r="A49">
            <v>49602</v>
          </cell>
          <cell r="B49" t="str">
            <v>LONG THANH</v>
          </cell>
          <cell r="C49">
            <v>220</v>
          </cell>
        </row>
        <row r="50">
          <cell r="A50">
            <v>49802</v>
          </cell>
          <cell r="B50" t="str">
            <v>TRI_AN</v>
          </cell>
          <cell r="C50">
            <v>220</v>
          </cell>
        </row>
        <row r="51">
          <cell r="A51">
            <v>50022</v>
          </cell>
          <cell r="B51" t="str">
            <v>XUAN LOC 2</v>
          </cell>
          <cell r="C51">
            <v>220</v>
          </cell>
        </row>
        <row r="52">
          <cell r="A52">
            <v>50102</v>
          </cell>
          <cell r="B52" t="str">
            <v>SONGMAY_C21</v>
          </cell>
          <cell r="C52">
            <v>220</v>
          </cell>
        </row>
        <row r="53">
          <cell r="A53">
            <v>50112</v>
          </cell>
          <cell r="B53" t="str">
            <v>SONG_MAY</v>
          </cell>
          <cell r="C53">
            <v>220</v>
          </cell>
        </row>
        <row r="54">
          <cell r="A54">
            <v>50302</v>
          </cell>
          <cell r="B54" t="str">
            <v>NHTRACH C21</v>
          </cell>
          <cell r="C54">
            <v>220</v>
          </cell>
        </row>
        <row r="55">
          <cell r="A55">
            <v>50312</v>
          </cell>
          <cell r="B55" t="str">
            <v>NHTRACH C22</v>
          </cell>
          <cell r="C55">
            <v>220</v>
          </cell>
        </row>
        <row r="56">
          <cell r="A56">
            <v>50902</v>
          </cell>
          <cell r="B56" t="str">
            <v>NMD_NTR_C21</v>
          </cell>
          <cell r="C56">
            <v>220</v>
          </cell>
        </row>
        <row r="57">
          <cell r="A57">
            <v>50906</v>
          </cell>
          <cell r="B57" t="str">
            <v>R_NT-CL-PM</v>
          </cell>
          <cell r="C57">
            <v>220</v>
          </cell>
        </row>
        <row r="58">
          <cell r="A58">
            <v>50912</v>
          </cell>
          <cell r="B58" t="str">
            <v>NMDNHTRHC22</v>
          </cell>
          <cell r="C58">
            <v>220</v>
          </cell>
        </row>
        <row r="59">
          <cell r="A59">
            <v>50952</v>
          </cell>
          <cell r="B59" t="str">
            <v>BAUSEN</v>
          </cell>
          <cell r="C59">
            <v>220</v>
          </cell>
        </row>
        <row r="60">
          <cell r="A60">
            <v>51702</v>
          </cell>
          <cell r="B60" t="str">
            <v>NMD_BA.RIA</v>
          </cell>
          <cell r="C60">
            <v>220</v>
          </cell>
        </row>
        <row r="61">
          <cell r="A61">
            <v>52002</v>
          </cell>
          <cell r="B61" t="str">
            <v>PHU.MY1_C22</v>
          </cell>
          <cell r="C61">
            <v>220</v>
          </cell>
        </row>
        <row r="62">
          <cell r="A62">
            <v>52012</v>
          </cell>
          <cell r="B62" t="str">
            <v>PHUMY1_C21</v>
          </cell>
          <cell r="C62">
            <v>220</v>
          </cell>
        </row>
        <row r="63">
          <cell r="A63">
            <v>52052</v>
          </cell>
          <cell r="B63" t="str">
            <v>PHUMY21 C21</v>
          </cell>
          <cell r="C63">
            <v>220</v>
          </cell>
        </row>
        <row r="64">
          <cell r="A64">
            <v>52062</v>
          </cell>
          <cell r="B64" t="str">
            <v>PHUMY21 C22</v>
          </cell>
          <cell r="C64">
            <v>220</v>
          </cell>
        </row>
        <row r="65">
          <cell r="A65">
            <v>52072</v>
          </cell>
          <cell r="B65" t="str">
            <v>TANTHANH</v>
          </cell>
          <cell r="C65">
            <v>220</v>
          </cell>
        </row>
        <row r="66">
          <cell r="A66">
            <v>53262</v>
          </cell>
          <cell r="B66" t="str">
            <v>TAYNINH_2</v>
          </cell>
          <cell r="C66">
            <v>220</v>
          </cell>
        </row>
        <row r="67">
          <cell r="A67">
            <v>53462</v>
          </cell>
          <cell r="B67" t="str">
            <v>TBANG2</v>
          </cell>
          <cell r="C67">
            <v>220</v>
          </cell>
        </row>
        <row r="68">
          <cell r="A68">
            <v>54102</v>
          </cell>
          <cell r="B68" t="str">
            <v>BINH HOA</v>
          </cell>
          <cell r="C68">
            <v>220</v>
          </cell>
        </row>
        <row r="69">
          <cell r="A69">
            <v>54752</v>
          </cell>
          <cell r="B69" t="str">
            <v>MYPHUOC</v>
          </cell>
          <cell r="C69">
            <v>220</v>
          </cell>
        </row>
        <row r="70">
          <cell r="A70">
            <v>54822</v>
          </cell>
          <cell r="B70" t="str">
            <v>UYENHUNG</v>
          </cell>
          <cell r="C70">
            <v>220</v>
          </cell>
        </row>
        <row r="71">
          <cell r="A71">
            <v>54827</v>
          </cell>
          <cell r="B71" t="str">
            <v>TRU21</v>
          </cell>
          <cell r="C71">
            <v>220</v>
          </cell>
        </row>
        <row r="72">
          <cell r="A72">
            <v>54852</v>
          </cell>
          <cell r="B72" t="str">
            <v>THUAN AN</v>
          </cell>
          <cell r="C72">
            <v>220</v>
          </cell>
        </row>
        <row r="73">
          <cell r="A73">
            <v>55422</v>
          </cell>
          <cell r="B73" t="str">
            <v>BINH LONG 2</v>
          </cell>
          <cell r="C73">
            <v>220</v>
          </cell>
        </row>
        <row r="74">
          <cell r="A74">
            <v>55852</v>
          </cell>
          <cell r="B74" t="str">
            <v>BAOLOC</v>
          </cell>
          <cell r="C74">
            <v>220</v>
          </cell>
        </row>
        <row r="75">
          <cell r="A75">
            <v>55902</v>
          </cell>
          <cell r="B75" t="str">
            <v>DA NHIM</v>
          </cell>
          <cell r="C75">
            <v>220</v>
          </cell>
        </row>
        <row r="76">
          <cell r="A76">
            <v>56402</v>
          </cell>
          <cell r="B76" t="str">
            <v>DILINH C21</v>
          </cell>
          <cell r="C76">
            <v>220</v>
          </cell>
        </row>
        <row r="77">
          <cell r="A77">
            <v>56412</v>
          </cell>
          <cell r="B77" t="str">
            <v>DILINH C22</v>
          </cell>
          <cell r="C77">
            <v>220</v>
          </cell>
        </row>
        <row r="78">
          <cell r="A78">
            <v>56902</v>
          </cell>
          <cell r="B78" t="str">
            <v>DAI NINH</v>
          </cell>
          <cell r="C78">
            <v>220</v>
          </cell>
        </row>
        <row r="79">
          <cell r="A79">
            <v>56962</v>
          </cell>
          <cell r="B79" t="str">
            <v>DONGNAI2</v>
          </cell>
          <cell r="C79">
            <v>220</v>
          </cell>
        </row>
        <row r="80">
          <cell r="A80">
            <v>57022</v>
          </cell>
          <cell r="B80" t="str">
            <v>THAPCHAM</v>
          </cell>
          <cell r="C80">
            <v>220</v>
          </cell>
        </row>
        <row r="81">
          <cell r="A81">
            <v>57102</v>
          </cell>
          <cell r="B81" t="str">
            <v>HTHUAN</v>
          </cell>
          <cell r="C81">
            <v>220</v>
          </cell>
        </row>
        <row r="82">
          <cell r="A82">
            <v>57302</v>
          </cell>
          <cell r="B82" t="str">
            <v>DA MI</v>
          </cell>
          <cell r="C82">
            <v>220</v>
          </cell>
        </row>
        <row r="83">
          <cell r="A83">
            <v>57502</v>
          </cell>
          <cell r="B83" t="str">
            <v>VINH_TAN2</v>
          </cell>
          <cell r="C83">
            <v>220</v>
          </cell>
        </row>
        <row r="84">
          <cell r="A84">
            <v>57572</v>
          </cell>
          <cell r="B84" t="str">
            <v>PHTHIET2</v>
          </cell>
          <cell r="C84">
            <v>220</v>
          </cell>
        </row>
        <row r="85">
          <cell r="A85">
            <v>58022</v>
          </cell>
          <cell r="B85" t="str">
            <v>DUCHOA2</v>
          </cell>
          <cell r="C85">
            <v>220</v>
          </cell>
        </row>
        <row r="86">
          <cell r="A86">
            <v>58112</v>
          </cell>
          <cell r="B86" t="str">
            <v>LAN2_C21</v>
          </cell>
          <cell r="C86">
            <v>220</v>
          </cell>
        </row>
        <row r="87">
          <cell r="A87">
            <v>59002</v>
          </cell>
          <cell r="B87" t="str">
            <v>CLAY</v>
          </cell>
          <cell r="C87">
            <v>220</v>
          </cell>
        </row>
        <row r="88">
          <cell r="A88">
            <v>59006</v>
          </cell>
          <cell r="B88" t="str">
            <v>TRU 151</v>
          </cell>
          <cell r="C88">
            <v>220</v>
          </cell>
        </row>
        <row r="89">
          <cell r="A89">
            <v>59042</v>
          </cell>
          <cell r="B89" t="str">
            <v>MTHO2_C21</v>
          </cell>
          <cell r="C89">
            <v>220</v>
          </cell>
        </row>
        <row r="90">
          <cell r="A90">
            <v>59052</v>
          </cell>
          <cell r="B90" t="str">
            <v>MTHO2_C22</v>
          </cell>
          <cell r="C90">
            <v>220</v>
          </cell>
        </row>
        <row r="91">
          <cell r="A91">
            <v>60012</v>
          </cell>
          <cell r="B91" t="str">
            <v>BTRE2</v>
          </cell>
          <cell r="C91">
            <v>220</v>
          </cell>
        </row>
        <row r="92">
          <cell r="A92">
            <v>60032</v>
          </cell>
          <cell r="B92" t="str">
            <v>MOCAY2</v>
          </cell>
          <cell r="C92">
            <v>220</v>
          </cell>
        </row>
        <row r="93">
          <cell r="A93">
            <v>60042</v>
          </cell>
          <cell r="B93" t="str">
            <v>MOCAY2</v>
          </cell>
          <cell r="C93">
            <v>220</v>
          </cell>
        </row>
        <row r="94">
          <cell r="A94">
            <v>60702</v>
          </cell>
          <cell r="B94" t="str">
            <v>TRA NOC</v>
          </cell>
          <cell r="C94">
            <v>220</v>
          </cell>
        </row>
        <row r="95">
          <cell r="A95">
            <v>61062</v>
          </cell>
          <cell r="B95" t="str">
            <v>THNOT2</v>
          </cell>
          <cell r="C95">
            <v>220</v>
          </cell>
        </row>
        <row r="96">
          <cell r="A96">
            <v>61202</v>
          </cell>
          <cell r="B96" t="str">
            <v>OMON</v>
          </cell>
          <cell r="C96">
            <v>220</v>
          </cell>
        </row>
        <row r="97">
          <cell r="A97">
            <v>62922</v>
          </cell>
          <cell r="B97" t="str">
            <v>STRANG2</v>
          </cell>
          <cell r="C97">
            <v>220</v>
          </cell>
        </row>
        <row r="98">
          <cell r="A98">
            <v>62927</v>
          </cell>
          <cell r="B98" t="str">
            <v>TRU 1</v>
          </cell>
          <cell r="C98">
            <v>220</v>
          </cell>
        </row>
        <row r="99">
          <cell r="A99">
            <v>63702</v>
          </cell>
          <cell r="B99" t="str">
            <v>CHDOC2</v>
          </cell>
          <cell r="C99">
            <v>220</v>
          </cell>
        </row>
        <row r="100">
          <cell r="A100">
            <v>64352</v>
          </cell>
          <cell r="B100" t="str">
            <v>RGIA2</v>
          </cell>
          <cell r="C100">
            <v>220</v>
          </cell>
        </row>
        <row r="101">
          <cell r="A101">
            <v>64752</v>
          </cell>
          <cell r="B101" t="str">
            <v>KIEN BINH</v>
          </cell>
          <cell r="C101">
            <v>220</v>
          </cell>
        </row>
        <row r="102">
          <cell r="A102">
            <v>65522</v>
          </cell>
          <cell r="B102" t="str">
            <v>VLONG2</v>
          </cell>
          <cell r="C102">
            <v>220</v>
          </cell>
        </row>
        <row r="103">
          <cell r="A103">
            <v>66202</v>
          </cell>
          <cell r="B103" t="str">
            <v>TRAVINH_2</v>
          </cell>
          <cell r="C103">
            <v>220</v>
          </cell>
        </row>
        <row r="104">
          <cell r="A104">
            <v>66262</v>
          </cell>
          <cell r="B104" t="str">
            <v>DUYEN_HAI</v>
          </cell>
          <cell r="C104">
            <v>220</v>
          </cell>
        </row>
        <row r="105">
          <cell r="A105">
            <v>66752</v>
          </cell>
          <cell r="B105" t="str">
            <v>CAO LANH 2</v>
          </cell>
          <cell r="C105">
            <v>220</v>
          </cell>
        </row>
        <row r="106">
          <cell r="A106">
            <v>67482</v>
          </cell>
          <cell r="B106" t="str">
            <v>BLIEU2_NEW</v>
          </cell>
          <cell r="C106">
            <v>220</v>
          </cell>
        </row>
        <row r="107">
          <cell r="A107">
            <v>68102</v>
          </cell>
          <cell r="B107" t="str">
            <v>CMAU2</v>
          </cell>
          <cell r="C107">
            <v>220</v>
          </cell>
        </row>
        <row r="108">
          <cell r="A108">
            <v>68202</v>
          </cell>
          <cell r="B108" t="str">
            <v>NMD CAMAU 1</v>
          </cell>
          <cell r="C108">
            <v>220</v>
          </cell>
        </row>
        <row r="109">
          <cell r="A109">
            <v>68302</v>
          </cell>
          <cell r="B109" t="str">
            <v>NMD CAMAU 2</v>
          </cell>
          <cell r="C109">
            <v>220</v>
          </cell>
        </row>
        <row r="110">
          <cell r="A110">
            <v>42701</v>
          </cell>
          <cell r="B110" t="str">
            <v>NBE_C11</v>
          </cell>
          <cell r="C110">
            <v>110</v>
          </cell>
        </row>
        <row r="111">
          <cell r="A111">
            <v>42711</v>
          </cell>
          <cell r="B111" t="str">
            <v>NBE_C12</v>
          </cell>
          <cell r="C111">
            <v>110</v>
          </cell>
        </row>
        <row r="112">
          <cell r="A112">
            <v>42751</v>
          </cell>
          <cell r="B112" t="str">
            <v>AN NGHIA 2</v>
          </cell>
          <cell r="C112">
            <v>110</v>
          </cell>
        </row>
        <row r="113">
          <cell r="A113">
            <v>42761</v>
          </cell>
          <cell r="B113" t="str">
            <v>LONGTHOI_T1</v>
          </cell>
          <cell r="C113">
            <v>110</v>
          </cell>
        </row>
        <row r="114">
          <cell r="A114">
            <v>42771</v>
          </cell>
          <cell r="B114" t="str">
            <v>LONGTHOI_T2</v>
          </cell>
          <cell r="C114">
            <v>110</v>
          </cell>
        </row>
        <row r="115">
          <cell r="A115">
            <v>42801</v>
          </cell>
          <cell r="B115" t="str">
            <v>CGIO_T1</v>
          </cell>
          <cell r="C115">
            <v>110</v>
          </cell>
        </row>
        <row r="116">
          <cell r="A116">
            <v>42851</v>
          </cell>
          <cell r="B116" t="str">
            <v>TAO.DAN</v>
          </cell>
          <cell r="C116">
            <v>110</v>
          </cell>
        </row>
        <row r="117">
          <cell r="A117">
            <v>42901</v>
          </cell>
          <cell r="B117" t="str">
            <v>NSGON1_T1</v>
          </cell>
          <cell r="C117">
            <v>110</v>
          </cell>
        </row>
        <row r="118">
          <cell r="A118">
            <v>42911</v>
          </cell>
          <cell r="B118" t="str">
            <v>NSGON1_T2</v>
          </cell>
          <cell r="C118">
            <v>110</v>
          </cell>
        </row>
        <row r="119">
          <cell r="A119">
            <v>42951</v>
          </cell>
          <cell r="B119" t="str">
            <v>N.S.GON2 C2</v>
          </cell>
          <cell r="C119">
            <v>110</v>
          </cell>
        </row>
        <row r="120">
          <cell r="A120">
            <v>43051</v>
          </cell>
          <cell r="B120" t="str">
            <v>VTHANH_T1</v>
          </cell>
          <cell r="C120">
            <v>110</v>
          </cell>
        </row>
        <row r="121">
          <cell r="A121">
            <v>43061</v>
          </cell>
          <cell r="B121" t="str">
            <v>VTHANH_T2</v>
          </cell>
          <cell r="C121">
            <v>110</v>
          </cell>
        </row>
        <row r="122">
          <cell r="A122">
            <v>43101</v>
          </cell>
          <cell r="B122" t="str">
            <v>CHANHHUNGT1</v>
          </cell>
          <cell r="C122">
            <v>110</v>
          </cell>
        </row>
        <row r="123">
          <cell r="A123">
            <v>43111</v>
          </cell>
          <cell r="B123" t="str">
            <v>CHANHHUNGT2</v>
          </cell>
          <cell r="C123">
            <v>110</v>
          </cell>
        </row>
        <row r="124">
          <cell r="A124">
            <v>43121</v>
          </cell>
          <cell r="B124" t="str">
            <v>CHANHHUNGT3</v>
          </cell>
          <cell r="C124">
            <v>110</v>
          </cell>
        </row>
        <row r="125">
          <cell r="A125">
            <v>43141</v>
          </cell>
          <cell r="B125" t="str">
            <v>PHU DINH C1</v>
          </cell>
          <cell r="C125">
            <v>110</v>
          </cell>
        </row>
        <row r="126">
          <cell r="A126">
            <v>43151</v>
          </cell>
          <cell r="B126" t="str">
            <v>PDINH_T2</v>
          </cell>
          <cell r="C126">
            <v>110</v>
          </cell>
        </row>
        <row r="127">
          <cell r="A127">
            <v>43201</v>
          </cell>
          <cell r="B127" t="str">
            <v>HPHUOC</v>
          </cell>
          <cell r="C127">
            <v>110</v>
          </cell>
        </row>
        <row r="128">
          <cell r="A128">
            <v>43251</v>
          </cell>
          <cell r="B128" t="str">
            <v>TTHUAN</v>
          </cell>
          <cell r="C128">
            <v>110</v>
          </cell>
        </row>
        <row r="129">
          <cell r="A129">
            <v>43301</v>
          </cell>
          <cell r="B129" t="str">
            <v>HMON_C11</v>
          </cell>
          <cell r="C129">
            <v>110</v>
          </cell>
        </row>
        <row r="130">
          <cell r="A130">
            <v>43308</v>
          </cell>
          <cell r="B130" t="str">
            <v>TU_HMONC11</v>
          </cell>
          <cell r="C130">
            <v>110</v>
          </cell>
        </row>
        <row r="131">
          <cell r="A131">
            <v>43311</v>
          </cell>
          <cell r="B131" t="str">
            <v>HMON_C12</v>
          </cell>
          <cell r="C131">
            <v>110</v>
          </cell>
        </row>
        <row r="132">
          <cell r="A132">
            <v>43318</v>
          </cell>
          <cell r="B132" t="str">
            <v>TU_HMONC12</v>
          </cell>
          <cell r="C132">
            <v>110</v>
          </cell>
        </row>
        <row r="133">
          <cell r="A133">
            <v>43351</v>
          </cell>
          <cell r="B133" t="str">
            <v>VINH LOC 2</v>
          </cell>
          <cell r="C133">
            <v>110</v>
          </cell>
        </row>
        <row r="134">
          <cell r="A134">
            <v>43371</v>
          </cell>
          <cell r="B134" t="str">
            <v>VINH LOC T1</v>
          </cell>
          <cell r="C134">
            <v>110</v>
          </cell>
        </row>
        <row r="135">
          <cell r="A135">
            <v>43381</v>
          </cell>
          <cell r="B135" t="str">
            <v>VINH LOC T2</v>
          </cell>
          <cell r="C135">
            <v>110</v>
          </cell>
        </row>
        <row r="136">
          <cell r="A136">
            <v>43386</v>
          </cell>
          <cell r="B136" t="str">
            <v>R_VINHLOC</v>
          </cell>
          <cell r="C136">
            <v>110</v>
          </cell>
        </row>
        <row r="137">
          <cell r="A137">
            <v>43391</v>
          </cell>
          <cell r="B137" t="str">
            <v>LDBADIEM_T1</v>
          </cell>
          <cell r="C137">
            <v>110</v>
          </cell>
        </row>
        <row r="138">
          <cell r="A138">
            <v>43401</v>
          </cell>
          <cell r="B138" t="str">
            <v>LUUDONG1 T1</v>
          </cell>
          <cell r="C138">
            <v>110</v>
          </cell>
        </row>
        <row r="139">
          <cell r="A139">
            <v>43451</v>
          </cell>
          <cell r="B139" t="str">
            <v>TBINH1_T1</v>
          </cell>
          <cell r="C139">
            <v>110</v>
          </cell>
        </row>
        <row r="140">
          <cell r="A140">
            <v>43461</v>
          </cell>
          <cell r="B140" t="str">
            <v>TBINH1_T2</v>
          </cell>
          <cell r="C140">
            <v>110</v>
          </cell>
        </row>
        <row r="141">
          <cell r="A141">
            <v>43541</v>
          </cell>
          <cell r="B141" t="str">
            <v>BA QUEO T1</v>
          </cell>
          <cell r="C141">
            <v>110</v>
          </cell>
        </row>
        <row r="142">
          <cell r="A142">
            <v>43551</v>
          </cell>
          <cell r="B142" t="str">
            <v>BA QUEO T2</v>
          </cell>
          <cell r="C142">
            <v>110</v>
          </cell>
        </row>
        <row r="143">
          <cell r="A143">
            <v>43561</v>
          </cell>
          <cell r="B143" t="str">
            <v>BA QUEO T3</v>
          </cell>
          <cell r="C143">
            <v>110</v>
          </cell>
        </row>
        <row r="144">
          <cell r="A144">
            <v>43651</v>
          </cell>
          <cell r="B144" t="str">
            <v>PLAM_C11</v>
          </cell>
          <cell r="C144">
            <v>110</v>
          </cell>
        </row>
        <row r="145">
          <cell r="A145">
            <v>43658</v>
          </cell>
          <cell r="B145" t="str">
            <v>TU_PLAMC11</v>
          </cell>
          <cell r="C145">
            <v>110</v>
          </cell>
        </row>
        <row r="146">
          <cell r="A146">
            <v>43661</v>
          </cell>
          <cell r="B146" t="str">
            <v>PHU LAM C12</v>
          </cell>
          <cell r="C146">
            <v>110</v>
          </cell>
        </row>
        <row r="147">
          <cell r="A147">
            <v>43665</v>
          </cell>
          <cell r="B147" t="str">
            <v>T10-5</v>
          </cell>
          <cell r="C147">
            <v>110</v>
          </cell>
        </row>
        <row r="148">
          <cell r="A148">
            <v>43668</v>
          </cell>
          <cell r="B148" t="str">
            <v>TU_PLAMC12</v>
          </cell>
          <cell r="C148">
            <v>110</v>
          </cell>
        </row>
        <row r="149">
          <cell r="A149">
            <v>43701</v>
          </cell>
          <cell r="B149" t="str">
            <v>CHO LON T1</v>
          </cell>
          <cell r="C149">
            <v>110</v>
          </cell>
        </row>
        <row r="150">
          <cell r="A150">
            <v>43711</v>
          </cell>
          <cell r="B150" t="str">
            <v>CHO LON T2</v>
          </cell>
          <cell r="C150">
            <v>110</v>
          </cell>
        </row>
        <row r="151">
          <cell r="A151">
            <v>43751</v>
          </cell>
          <cell r="B151" t="str">
            <v>TRUONGDUAT1</v>
          </cell>
          <cell r="C151">
            <v>110</v>
          </cell>
        </row>
        <row r="152">
          <cell r="A152">
            <v>43761</v>
          </cell>
          <cell r="B152" t="str">
            <v>TRUONGDUAT2</v>
          </cell>
          <cell r="C152">
            <v>110</v>
          </cell>
        </row>
        <row r="153">
          <cell r="A153">
            <v>43801</v>
          </cell>
          <cell r="B153" t="str">
            <v>HXA_T1</v>
          </cell>
          <cell r="C153">
            <v>110</v>
          </cell>
        </row>
        <row r="154">
          <cell r="A154">
            <v>43811</v>
          </cell>
          <cell r="B154" t="str">
            <v>HOA XA T2</v>
          </cell>
          <cell r="C154">
            <v>110</v>
          </cell>
        </row>
        <row r="155">
          <cell r="A155">
            <v>43817</v>
          </cell>
          <cell r="B155" t="str">
            <v>R_HXA</v>
          </cell>
          <cell r="C155">
            <v>110</v>
          </cell>
        </row>
        <row r="156">
          <cell r="A156">
            <v>43836</v>
          </cell>
          <cell r="B156" t="str">
            <v>R HOA XA</v>
          </cell>
          <cell r="C156">
            <v>110</v>
          </cell>
        </row>
        <row r="157">
          <cell r="A157">
            <v>43837</v>
          </cell>
          <cell r="B157" t="str">
            <v>R XA LO</v>
          </cell>
          <cell r="C157">
            <v>110</v>
          </cell>
        </row>
        <row r="158">
          <cell r="A158">
            <v>43851</v>
          </cell>
          <cell r="B158" t="str">
            <v>BTRIEU_T1</v>
          </cell>
          <cell r="C158">
            <v>110</v>
          </cell>
        </row>
        <row r="159">
          <cell r="A159">
            <v>43856</v>
          </cell>
          <cell r="B159" t="str">
            <v>R_BTRIEU</v>
          </cell>
          <cell r="C159">
            <v>110</v>
          </cell>
        </row>
        <row r="160">
          <cell r="A160">
            <v>43901</v>
          </cell>
          <cell r="B160" t="str">
            <v>TDUC</v>
          </cell>
          <cell r="C160">
            <v>110</v>
          </cell>
        </row>
        <row r="161">
          <cell r="A161">
            <v>43908</v>
          </cell>
          <cell r="B161" t="str">
            <v>TU_TDUC</v>
          </cell>
          <cell r="C161">
            <v>110</v>
          </cell>
        </row>
        <row r="162">
          <cell r="A162">
            <v>44001</v>
          </cell>
          <cell r="B162" t="str">
            <v>THANH DA T1</v>
          </cell>
          <cell r="C162">
            <v>110</v>
          </cell>
        </row>
        <row r="163">
          <cell r="A163">
            <v>44011</v>
          </cell>
          <cell r="B163" t="str">
            <v>THANH DA T2</v>
          </cell>
          <cell r="C163">
            <v>110</v>
          </cell>
        </row>
        <row r="164">
          <cell r="A164">
            <v>44051</v>
          </cell>
          <cell r="B164" t="str">
            <v>TDB_T1</v>
          </cell>
          <cell r="C164">
            <v>110</v>
          </cell>
        </row>
        <row r="165">
          <cell r="A165">
            <v>44061</v>
          </cell>
          <cell r="B165" t="str">
            <v>TDB_T2</v>
          </cell>
          <cell r="C165">
            <v>110</v>
          </cell>
        </row>
        <row r="166">
          <cell r="A166">
            <v>44151</v>
          </cell>
          <cell r="B166" t="str">
            <v>VIKIMCO T1</v>
          </cell>
          <cell r="C166">
            <v>110</v>
          </cell>
        </row>
        <row r="167">
          <cell r="A167">
            <v>44156</v>
          </cell>
          <cell r="B167" t="str">
            <v>R VIKIMCO</v>
          </cell>
          <cell r="C167">
            <v>110</v>
          </cell>
        </row>
        <row r="168">
          <cell r="A168">
            <v>44201</v>
          </cell>
          <cell r="B168" t="str">
            <v>XA LO T1</v>
          </cell>
          <cell r="C168">
            <v>110</v>
          </cell>
        </row>
        <row r="169">
          <cell r="A169">
            <v>44206</v>
          </cell>
          <cell r="B169" t="str">
            <v>TRU 1</v>
          </cell>
          <cell r="C169">
            <v>110</v>
          </cell>
        </row>
        <row r="170">
          <cell r="A170">
            <v>44211</v>
          </cell>
          <cell r="B170" t="str">
            <v>XA LO T2</v>
          </cell>
          <cell r="C170">
            <v>110</v>
          </cell>
        </row>
        <row r="171">
          <cell r="A171">
            <v>44221</v>
          </cell>
          <cell r="B171" t="str">
            <v>XA LO T3</v>
          </cell>
          <cell r="C171">
            <v>110</v>
          </cell>
        </row>
        <row r="172">
          <cell r="A172">
            <v>44251</v>
          </cell>
          <cell r="B172" t="str">
            <v>BENTHANH C1</v>
          </cell>
          <cell r="C172">
            <v>110</v>
          </cell>
        </row>
        <row r="173">
          <cell r="A173">
            <v>44261</v>
          </cell>
          <cell r="B173" t="str">
            <v>BENTHANH C2</v>
          </cell>
          <cell r="C173">
            <v>110</v>
          </cell>
        </row>
        <row r="174">
          <cell r="A174">
            <v>44266</v>
          </cell>
          <cell r="B174" t="str">
            <v>R BEN THANH</v>
          </cell>
          <cell r="C174">
            <v>110</v>
          </cell>
        </row>
        <row r="175">
          <cell r="A175">
            <v>44301</v>
          </cell>
          <cell r="B175" t="str">
            <v>HUNGVUONGT1</v>
          </cell>
          <cell r="C175">
            <v>110</v>
          </cell>
        </row>
        <row r="176">
          <cell r="A176">
            <v>44311</v>
          </cell>
          <cell r="B176" t="str">
            <v>HUNGVUONGT2</v>
          </cell>
          <cell r="C176">
            <v>110</v>
          </cell>
        </row>
        <row r="177">
          <cell r="A177">
            <v>44351</v>
          </cell>
          <cell r="B177" t="str">
            <v>AN KHANH C1</v>
          </cell>
          <cell r="C177">
            <v>110</v>
          </cell>
        </row>
        <row r="178">
          <cell r="A178">
            <v>44356</v>
          </cell>
          <cell r="B178" t="str">
            <v>R AN KHANH</v>
          </cell>
          <cell r="C178">
            <v>110</v>
          </cell>
        </row>
        <row r="179">
          <cell r="A179">
            <v>44361</v>
          </cell>
          <cell r="B179" t="str">
            <v>AKHANH_T2</v>
          </cell>
          <cell r="C179">
            <v>110</v>
          </cell>
        </row>
        <row r="180">
          <cell r="A180">
            <v>44401</v>
          </cell>
          <cell r="B180" t="str">
            <v>CAT LAI</v>
          </cell>
          <cell r="C180">
            <v>110</v>
          </cell>
        </row>
        <row r="181">
          <cell r="A181">
            <v>44451</v>
          </cell>
          <cell r="B181" t="str">
            <v>CUCHI2</v>
          </cell>
          <cell r="C181">
            <v>110</v>
          </cell>
        </row>
        <row r="182">
          <cell r="A182">
            <v>44481</v>
          </cell>
          <cell r="B182" t="str">
            <v>CCHI_T1</v>
          </cell>
          <cell r="C182">
            <v>110</v>
          </cell>
        </row>
        <row r="183">
          <cell r="A183">
            <v>44491</v>
          </cell>
          <cell r="B183" t="str">
            <v>CCHI_T2</v>
          </cell>
          <cell r="C183">
            <v>110</v>
          </cell>
        </row>
        <row r="184">
          <cell r="A184">
            <v>44501</v>
          </cell>
          <cell r="B184" t="str">
            <v>GO VAP T1</v>
          </cell>
          <cell r="C184">
            <v>110</v>
          </cell>
        </row>
        <row r="185">
          <cell r="A185">
            <v>44507</v>
          </cell>
          <cell r="B185" t="str">
            <v>R_INTEL</v>
          </cell>
          <cell r="C185">
            <v>110</v>
          </cell>
        </row>
        <row r="186">
          <cell r="A186">
            <v>44511</v>
          </cell>
          <cell r="B186" t="str">
            <v>GO VAP T2</v>
          </cell>
          <cell r="C186">
            <v>110</v>
          </cell>
        </row>
        <row r="187">
          <cell r="A187">
            <v>44531</v>
          </cell>
          <cell r="B187" t="str">
            <v>BTRDONG_T1</v>
          </cell>
          <cell r="C187">
            <v>110</v>
          </cell>
        </row>
        <row r="188">
          <cell r="A188">
            <v>44541</v>
          </cell>
          <cell r="B188" t="str">
            <v>L.M.XUAN T1</v>
          </cell>
          <cell r="C188">
            <v>110</v>
          </cell>
        </row>
        <row r="189">
          <cell r="A189">
            <v>44551</v>
          </cell>
          <cell r="B189" t="str">
            <v>LMXUAN_T2</v>
          </cell>
          <cell r="C189">
            <v>110</v>
          </cell>
        </row>
        <row r="190">
          <cell r="A190">
            <v>44571</v>
          </cell>
          <cell r="B190" t="str">
            <v>THANH_LOC_T1</v>
          </cell>
          <cell r="C190">
            <v>110</v>
          </cell>
        </row>
        <row r="191">
          <cell r="A191">
            <v>44581</v>
          </cell>
          <cell r="B191" t="str">
            <v>THANH_LOC_T2</v>
          </cell>
          <cell r="C191">
            <v>110</v>
          </cell>
        </row>
        <row r="192">
          <cell r="A192">
            <v>44601</v>
          </cell>
          <cell r="B192" t="str">
            <v>LNHTRUNG2T1</v>
          </cell>
          <cell r="C192">
            <v>110</v>
          </cell>
        </row>
        <row r="193">
          <cell r="A193">
            <v>44611</v>
          </cell>
          <cell r="B193" t="str">
            <v>LNHTRUNG2T2</v>
          </cell>
          <cell r="C193">
            <v>110</v>
          </cell>
        </row>
        <row r="194">
          <cell r="A194">
            <v>44651</v>
          </cell>
          <cell r="B194" t="str">
            <v>TAN HIEP T1</v>
          </cell>
          <cell r="C194">
            <v>110</v>
          </cell>
        </row>
        <row r="195">
          <cell r="A195">
            <v>44661</v>
          </cell>
          <cell r="B195" t="str">
            <v>TAN HIEP T2</v>
          </cell>
          <cell r="C195">
            <v>110</v>
          </cell>
        </row>
        <row r="196">
          <cell r="A196">
            <v>44701</v>
          </cell>
          <cell r="B196" t="str">
            <v>PHDONG_T1</v>
          </cell>
          <cell r="C196">
            <v>110</v>
          </cell>
        </row>
        <row r="197">
          <cell r="A197">
            <v>44707</v>
          </cell>
          <cell r="B197" t="str">
            <v>R2_PHD</v>
          </cell>
          <cell r="C197">
            <v>110</v>
          </cell>
        </row>
        <row r="198">
          <cell r="A198">
            <v>44751</v>
          </cell>
          <cell r="B198" t="str">
            <v>TDINH</v>
          </cell>
          <cell r="C198">
            <v>110</v>
          </cell>
        </row>
        <row r="199">
          <cell r="A199">
            <v>44801</v>
          </cell>
          <cell r="B199" t="str">
            <v>LTRUNG1_T1</v>
          </cell>
          <cell r="C199">
            <v>110</v>
          </cell>
        </row>
        <row r="200">
          <cell r="A200">
            <v>44811</v>
          </cell>
          <cell r="B200" t="str">
            <v>LTRUNG1_T2</v>
          </cell>
          <cell r="C200">
            <v>110</v>
          </cell>
        </row>
        <row r="201">
          <cell r="A201">
            <v>44851</v>
          </cell>
          <cell r="B201" t="str">
            <v>TAN TUC_T1</v>
          </cell>
          <cell r="C201">
            <v>110</v>
          </cell>
        </row>
        <row r="202">
          <cell r="A202">
            <v>44857</v>
          </cell>
          <cell r="B202" t="str">
            <v>R_TAN TUC</v>
          </cell>
          <cell r="C202">
            <v>110</v>
          </cell>
        </row>
        <row r="203">
          <cell r="A203">
            <v>44861</v>
          </cell>
          <cell r="B203" t="str">
            <v>TAN TUC_T2</v>
          </cell>
          <cell r="C203">
            <v>110</v>
          </cell>
        </row>
        <row r="204">
          <cell r="A204">
            <v>44901</v>
          </cell>
          <cell r="B204" t="str">
            <v>HOA HUNG T1</v>
          </cell>
          <cell r="C204">
            <v>110</v>
          </cell>
        </row>
        <row r="205">
          <cell r="A205">
            <v>44911</v>
          </cell>
          <cell r="B205" t="str">
            <v>HOA.HUNG_T2</v>
          </cell>
          <cell r="C205">
            <v>110</v>
          </cell>
        </row>
        <row r="206">
          <cell r="A206">
            <v>44951</v>
          </cell>
          <cell r="B206" t="str">
            <v>KCN T.TAOT1</v>
          </cell>
          <cell r="C206">
            <v>110</v>
          </cell>
        </row>
        <row r="207">
          <cell r="A207">
            <v>44961</v>
          </cell>
          <cell r="B207" t="str">
            <v>KCN T.TAOT2</v>
          </cell>
          <cell r="C207">
            <v>110</v>
          </cell>
        </row>
        <row r="208">
          <cell r="A208">
            <v>44966</v>
          </cell>
          <cell r="B208" t="str">
            <v>R TAN TAO</v>
          </cell>
          <cell r="C208">
            <v>110</v>
          </cell>
        </row>
        <row r="209">
          <cell r="A209">
            <v>45001</v>
          </cell>
          <cell r="B209" t="str">
            <v>THI NGHE C1</v>
          </cell>
          <cell r="C209">
            <v>110</v>
          </cell>
        </row>
        <row r="210">
          <cell r="A210">
            <v>45011</v>
          </cell>
          <cell r="B210" t="str">
            <v>THI NGHE C2</v>
          </cell>
          <cell r="C210">
            <v>110</v>
          </cell>
        </row>
        <row r="211">
          <cell r="A211">
            <v>45051</v>
          </cell>
          <cell r="B211" t="str">
            <v>TBNH2_T1</v>
          </cell>
          <cell r="C211">
            <v>110</v>
          </cell>
        </row>
        <row r="212">
          <cell r="A212">
            <v>45056</v>
          </cell>
          <cell r="B212" t="str">
            <v>R TANBINH2</v>
          </cell>
          <cell r="C212">
            <v>110</v>
          </cell>
        </row>
        <row r="213">
          <cell r="A213">
            <v>45061</v>
          </cell>
          <cell r="B213" t="str">
            <v>TAN BINH 2</v>
          </cell>
          <cell r="C213">
            <v>110</v>
          </cell>
        </row>
        <row r="214">
          <cell r="A214">
            <v>45066</v>
          </cell>
          <cell r="B214" t="str">
            <v>R TANBINH2</v>
          </cell>
          <cell r="C214">
            <v>110</v>
          </cell>
        </row>
        <row r="215">
          <cell r="A215">
            <v>45101</v>
          </cell>
          <cell r="B215" t="str">
            <v>TANBINH_3_T1</v>
          </cell>
          <cell r="C215">
            <v>110</v>
          </cell>
        </row>
        <row r="216">
          <cell r="A216">
            <v>45111</v>
          </cell>
          <cell r="B216" t="str">
            <v>TANBINH_3_T2</v>
          </cell>
          <cell r="C216">
            <v>110</v>
          </cell>
        </row>
        <row r="217">
          <cell r="A217">
            <v>45151</v>
          </cell>
          <cell r="B217" t="str">
            <v>DA KAO T1</v>
          </cell>
          <cell r="C217">
            <v>110</v>
          </cell>
        </row>
        <row r="218">
          <cell r="A218">
            <v>45161</v>
          </cell>
          <cell r="B218" t="str">
            <v>DA KAO T2</v>
          </cell>
          <cell r="C218">
            <v>110</v>
          </cell>
        </row>
        <row r="219">
          <cell r="A219">
            <v>45166</v>
          </cell>
          <cell r="B219" t="str">
            <v>R DA KAO</v>
          </cell>
          <cell r="C219">
            <v>110</v>
          </cell>
        </row>
        <row r="220">
          <cell r="A220">
            <v>45241</v>
          </cell>
          <cell r="B220" t="str">
            <v>TSNHAT_T1</v>
          </cell>
          <cell r="C220">
            <v>110</v>
          </cell>
        </row>
        <row r="221">
          <cell r="A221">
            <v>45251</v>
          </cell>
          <cell r="B221" t="str">
            <v>T.S.NHAT T2</v>
          </cell>
          <cell r="C221">
            <v>110</v>
          </cell>
        </row>
        <row r="222">
          <cell r="A222">
            <v>45271</v>
          </cell>
          <cell r="B222" t="str">
            <v>BINHPHU_T1</v>
          </cell>
          <cell r="C222">
            <v>110</v>
          </cell>
        </row>
        <row r="223">
          <cell r="A223">
            <v>45281</v>
          </cell>
          <cell r="B223" t="str">
            <v>BINHPHU_T2</v>
          </cell>
          <cell r="C223">
            <v>110</v>
          </cell>
        </row>
        <row r="224">
          <cell r="A224">
            <v>45301</v>
          </cell>
          <cell r="B224" t="str">
            <v>TANQUY_T1</v>
          </cell>
          <cell r="C224">
            <v>110</v>
          </cell>
        </row>
        <row r="225">
          <cell r="A225">
            <v>45307</v>
          </cell>
          <cell r="B225" t="str">
            <v>R_TANQUY_T1</v>
          </cell>
          <cell r="C225">
            <v>110</v>
          </cell>
        </row>
        <row r="226">
          <cell r="A226">
            <v>45311</v>
          </cell>
          <cell r="B226" t="str">
            <v>TANQUY_T2</v>
          </cell>
          <cell r="C226">
            <v>110</v>
          </cell>
        </row>
        <row r="227">
          <cell r="A227">
            <v>45401</v>
          </cell>
          <cell r="B227" t="str">
            <v>T.DUCDONGT1</v>
          </cell>
          <cell r="C227">
            <v>110</v>
          </cell>
        </row>
        <row r="228">
          <cell r="A228">
            <v>45411</v>
          </cell>
          <cell r="B228" t="str">
            <v>T.DUCDONGT2</v>
          </cell>
          <cell r="C228">
            <v>110</v>
          </cell>
        </row>
        <row r="229">
          <cell r="A229">
            <v>45501</v>
          </cell>
          <cell r="B229" t="str">
            <v>BNHCHANHC11</v>
          </cell>
          <cell r="C229">
            <v>110</v>
          </cell>
        </row>
        <row r="230">
          <cell r="A230">
            <v>45511</v>
          </cell>
          <cell r="B230" t="str">
            <v>BNHCHANHC12</v>
          </cell>
          <cell r="C230">
            <v>110</v>
          </cell>
        </row>
        <row r="231">
          <cell r="A231">
            <v>45701</v>
          </cell>
          <cell r="B231" t="str">
            <v>SAO MAI T1</v>
          </cell>
          <cell r="C231">
            <v>110</v>
          </cell>
        </row>
        <row r="232">
          <cell r="A232">
            <v>45751</v>
          </cell>
          <cell r="B232" t="str">
            <v>TAN NH_PHU</v>
          </cell>
          <cell r="C232">
            <v>110</v>
          </cell>
        </row>
        <row r="233">
          <cell r="A233">
            <v>45761</v>
          </cell>
          <cell r="B233" t="str">
            <v>TAN NH_PHU</v>
          </cell>
          <cell r="C233">
            <v>110</v>
          </cell>
        </row>
        <row r="234">
          <cell r="A234">
            <v>45767</v>
          </cell>
          <cell r="B234" t="str">
            <v>R T.N.PHU</v>
          </cell>
          <cell r="C234">
            <v>110</v>
          </cell>
        </row>
        <row r="235">
          <cell r="A235">
            <v>45951</v>
          </cell>
          <cell r="B235" t="str">
            <v>CAUBONG</v>
          </cell>
          <cell r="C235">
            <v>110</v>
          </cell>
        </row>
        <row r="236">
          <cell r="A236">
            <v>46001</v>
          </cell>
          <cell r="B236" t="str">
            <v>PMHA_T1</v>
          </cell>
          <cell r="C236">
            <v>110</v>
          </cell>
        </row>
        <row r="237">
          <cell r="A237">
            <v>46011</v>
          </cell>
          <cell r="B237" t="str">
            <v>PMHA_T2</v>
          </cell>
          <cell r="C237">
            <v>110</v>
          </cell>
        </row>
        <row r="238">
          <cell r="A238">
            <v>46051</v>
          </cell>
          <cell r="B238" t="str">
            <v>POUYEN T1</v>
          </cell>
          <cell r="C238">
            <v>110</v>
          </cell>
        </row>
        <row r="239">
          <cell r="A239">
            <v>46056</v>
          </cell>
          <cell r="B239" t="str">
            <v>R POUYENT1</v>
          </cell>
          <cell r="C239">
            <v>110</v>
          </cell>
        </row>
        <row r="240">
          <cell r="A240">
            <v>46061</v>
          </cell>
          <cell r="B240" t="str">
            <v>POUYEN T2</v>
          </cell>
          <cell r="C240">
            <v>110</v>
          </cell>
        </row>
        <row r="241">
          <cell r="A241">
            <v>46066</v>
          </cell>
          <cell r="B241" t="str">
            <v>R2_PYUEN</v>
          </cell>
          <cell r="C241">
            <v>110</v>
          </cell>
        </row>
        <row r="242">
          <cell r="A242">
            <v>46101</v>
          </cell>
          <cell r="B242" t="str">
            <v>HBPHUOC</v>
          </cell>
          <cell r="C242">
            <v>110</v>
          </cell>
        </row>
        <row r="243">
          <cell r="A243">
            <v>46151</v>
          </cell>
          <cell r="B243" t="str">
            <v>BINHTAN C11</v>
          </cell>
          <cell r="C243">
            <v>110</v>
          </cell>
        </row>
        <row r="244">
          <cell r="A244">
            <v>46161</v>
          </cell>
          <cell r="B244" t="str">
            <v>BTAN2_C12</v>
          </cell>
          <cell r="C244">
            <v>110</v>
          </cell>
        </row>
        <row r="245">
          <cell r="A245">
            <v>46301</v>
          </cell>
          <cell r="B245" t="str">
            <v>DONGTHANH</v>
          </cell>
          <cell r="C245">
            <v>110</v>
          </cell>
        </row>
        <row r="246">
          <cell r="A246">
            <v>46311</v>
          </cell>
          <cell r="B246" t="str">
            <v>DONGTHANH_T2</v>
          </cell>
          <cell r="C246">
            <v>110</v>
          </cell>
        </row>
        <row r="247">
          <cell r="A247">
            <v>47001</v>
          </cell>
          <cell r="B247" t="str">
            <v>INTEL T1</v>
          </cell>
          <cell r="C247">
            <v>110</v>
          </cell>
        </row>
        <row r="248">
          <cell r="A248">
            <v>47006</v>
          </cell>
          <cell r="B248" t="str">
            <v>R INTELT1</v>
          </cell>
          <cell r="C248">
            <v>110</v>
          </cell>
        </row>
        <row r="249">
          <cell r="A249">
            <v>47011</v>
          </cell>
          <cell r="B249" t="str">
            <v>INTEL T2</v>
          </cell>
          <cell r="C249">
            <v>110</v>
          </cell>
        </row>
        <row r="250">
          <cell r="A250">
            <v>47016</v>
          </cell>
          <cell r="B250" t="str">
            <v>R INTELT2</v>
          </cell>
          <cell r="C250">
            <v>110</v>
          </cell>
        </row>
        <row r="251">
          <cell r="A251">
            <v>47091</v>
          </cell>
          <cell r="B251" t="str">
            <v>BINHLOI_T2</v>
          </cell>
          <cell r="C251">
            <v>110</v>
          </cell>
        </row>
        <row r="252">
          <cell r="A252">
            <v>49001</v>
          </cell>
          <cell r="B252" t="str">
            <v>DMAY_T2</v>
          </cell>
          <cell r="C252">
            <v>110</v>
          </cell>
        </row>
        <row r="253">
          <cell r="A253">
            <v>49011</v>
          </cell>
          <cell r="B253" t="str">
            <v>HYOSUNG T3</v>
          </cell>
          <cell r="C253">
            <v>110</v>
          </cell>
        </row>
        <row r="254">
          <cell r="A254">
            <v>49021</v>
          </cell>
          <cell r="B254" t="str">
            <v>HYOSUNG</v>
          </cell>
          <cell r="C254">
            <v>110</v>
          </cell>
        </row>
        <row r="255">
          <cell r="A255">
            <v>49031</v>
          </cell>
          <cell r="B255" t="str">
            <v>HYOSUNG T2</v>
          </cell>
          <cell r="C255">
            <v>110</v>
          </cell>
        </row>
        <row r="256">
          <cell r="A256">
            <v>49071</v>
          </cell>
          <cell r="B256" t="str">
            <v>AMATA 2 T1</v>
          </cell>
          <cell r="C256">
            <v>110</v>
          </cell>
        </row>
        <row r="257">
          <cell r="A257">
            <v>49081</v>
          </cell>
          <cell r="B257" t="str">
            <v>ONGKEO_T1</v>
          </cell>
          <cell r="C257">
            <v>110</v>
          </cell>
        </row>
        <row r="258">
          <cell r="A258">
            <v>49091</v>
          </cell>
          <cell r="B258" t="str">
            <v>ONGKEO_T2</v>
          </cell>
          <cell r="C258">
            <v>110</v>
          </cell>
        </row>
        <row r="259">
          <cell r="A259">
            <v>49131</v>
          </cell>
          <cell r="B259" t="str">
            <v>PHUTHANH_KDC</v>
          </cell>
          <cell r="C259">
            <v>110</v>
          </cell>
        </row>
        <row r="260">
          <cell r="A260">
            <v>49171</v>
          </cell>
          <cell r="B260" t="str">
            <v>NHTRACH5_T1</v>
          </cell>
          <cell r="C260">
            <v>110</v>
          </cell>
        </row>
        <row r="261">
          <cell r="A261">
            <v>49181</v>
          </cell>
          <cell r="B261" t="str">
            <v>NHTRACH5 T2</v>
          </cell>
          <cell r="C261">
            <v>110</v>
          </cell>
        </row>
        <row r="262">
          <cell r="A262">
            <v>49201</v>
          </cell>
          <cell r="B262" t="str">
            <v>LBINH_C11</v>
          </cell>
          <cell r="C262">
            <v>110</v>
          </cell>
        </row>
        <row r="263">
          <cell r="A263">
            <v>49208</v>
          </cell>
          <cell r="B263" t="str">
            <v>TU_LBINHC11</v>
          </cell>
          <cell r="C263">
            <v>110</v>
          </cell>
        </row>
        <row r="264">
          <cell r="A264">
            <v>49211</v>
          </cell>
          <cell r="B264" t="str">
            <v>LBINH_C12</v>
          </cell>
          <cell r="C264">
            <v>110</v>
          </cell>
        </row>
        <row r="265">
          <cell r="A265">
            <v>49218</v>
          </cell>
          <cell r="B265" t="str">
            <v>TU_LBINHC12</v>
          </cell>
          <cell r="C265">
            <v>110</v>
          </cell>
        </row>
        <row r="266">
          <cell r="A266">
            <v>49251</v>
          </cell>
          <cell r="B266" t="str">
            <v>TUY HA T1</v>
          </cell>
          <cell r="C266">
            <v>110</v>
          </cell>
        </row>
        <row r="267">
          <cell r="A267">
            <v>49261</v>
          </cell>
          <cell r="B267" t="str">
            <v>TUY HA T2</v>
          </cell>
          <cell r="C267">
            <v>110</v>
          </cell>
        </row>
        <row r="268">
          <cell r="A268">
            <v>49266</v>
          </cell>
          <cell r="B268" t="str">
            <v>R TUYHAT12</v>
          </cell>
          <cell r="C268">
            <v>110</v>
          </cell>
        </row>
        <row r="269">
          <cell r="A269">
            <v>49267</v>
          </cell>
          <cell r="B269" t="str">
            <v>R TUYHAT36</v>
          </cell>
          <cell r="C269">
            <v>110</v>
          </cell>
        </row>
        <row r="270">
          <cell r="A270">
            <v>49271</v>
          </cell>
          <cell r="B270" t="str">
            <v>TUY HA T3</v>
          </cell>
          <cell r="C270">
            <v>110</v>
          </cell>
        </row>
        <row r="271">
          <cell r="A271">
            <v>49281</v>
          </cell>
          <cell r="B271" t="str">
            <v>TUY HA T6</v>
          </cell>
          <cell r="C271">
            <v>110</v>
          </cell>
        </row>
        <row r="272">
          <cell r="A272">
            <v>49301</v>
          </cell>
          <cell r="B272" t="str">
            <v>AMATA T1</v>
          </cell>
          <cell r="C272">
            <v>110</v>
          </cell>
        </row>
        <row r="273">
          <cell r="A273">
            <v>49311</v>
          </cell>
          <cell r="B273" t="str">
            <v>AMATA_T2</v>
          </cell>
          <cell r="C273">
            <v>110</v>
          </cell>
        </row>
        <row r="274">
          <cell r="A274">
            <v>49326</v>
          </cell>
          <cell r="B274" t="str">
            <v>R AMATA 2</v>
          </cell>
          <cell r="C274">
            <v>110</v>
          </cell>
        </row>
        <row r="275">
          <cell r="A275">
            <v>49351</v>
          </cell>
          <cell r="B275" t="str">
            <v>AN BINH T1</v>
          </cell>
          <cell r="C275">
            <v>110</v>
          </cell>
        </row>
        <row r="276">
          <cell r="A276">
            <v>49361</v>
          </cell>
          <cell r="B276" t="str">
            <v>ABINH_T2</v>
          </cell>
          <cell r="C276">
            <v>110</v>
          </cell>
        </row>
        <row r="277">
          <cell r="A277">
            <v>49401</v>
          </cell>
          <cell r="B277" t="str">
            <v>VICASA T1</v>
          </cell>
          <cell r="C277">
            <v>110</v>
          </cell>
        </row>
        <row r="278">
          <cell r="A278">
            <v>49406</v>
          </cell>
          <cell r="B278" t="str">
            <v>R VICASA</v>
          </cell>
          <cell r="C278">
            <v>110</v>
          </cell>
        </row>
        <row r="279">
          <cell r="A279">
            <v>49451</v>
          </cell>
          <cell r="B279" t="str">
            <v>TAN MAI T1</v>
          </cell>
          <cell r="C279">
            <v>110</v>
          </cell>
        </row>
        <row r="280">
          <cell r="A280">
            <v>49461</v>
          </cell>
          <cell r="B280" t="str">
            <v>TAN MAI T2</v>
          </cell>
          <cell r="C280">
            <v>110</v>
          </cell>
        </row>
        <row r="281">
          <cell r="A281">
            <v>49501</v>
          </cell>
          <cell r="B281" t="str">
            <v>BIEN HOA T1</v>
          </cell>
          <cell r="C281">
            <v>110</v>
          </cell>
        </row>
        <row r="282">
          <cell r="A282">
            <v>49511</v>
          </cell>
          <cell r="B282" t="str">
            <v>BIEN HOA T2</v>
          </cell>
          <cell r="C282">
            <v>110</v>
          </cell>
        </row>
        <row r="283">
          <cell r="A283">
            <v>49551</v>
          </cell>
          <cell r="B283" t="str">
            <v>DONG NAI</v>
          </cell>
          <cell r="C283">
            <v>110</v>
          </cell>
        </row>
        <row r="284">
          <cell r="A284">
            <v>49601</v>
          </cell>
          <cell r="B284" t="str">
            <v>LTHANH</v>
          </cell>
          <cell r="C284">
            <v>110</v>
          </cell>
        </row>
        <row r="285">
          <cell r="A285">
            <v>49608</v>
          </cell>
          <cell r="B285" t="str">
            <v>TU_LTHANH</v>
          </cell>
          <cell r="C285">
            <v>110</v>
          </cell>
        </row>
        <row r="286">
          <cell r="A286">
            <v>49651</v>
          </cell>
          <cell r="B286" t="str">
            <v>VEDAN</v>
          </cell>
          <cell r="C286">
            <v>110</v>
          </cell>
        </row>
        <row r="287">
          <cell r="A287">
            <v>49656</v>
          </cell>
          <cell r="B287" t="str">
            <v>R VEDAN</v>
          </cell>
          <cell r="C287">
            <v>110</v>
          </cell>
        </row>
        <row r="288">
          <cell r="A288">
            <v>49657</v>
          </cell>
          <cell r="B288" t="str">
            <v>R VEDAN</v>
          </cell>
          <cell r="C288">
            <v>110</v>
          </cell>
        </row>
        <row r="289">
          <cell r="A289">
            <v>49671</v>
          </cell>
          <cell r="B289" t="str">
            <v>VE DAN</v>
          </cell>
          <cell r="C289">
            <v>110</v>
          </cell>
        </row>
        <row r="290">
          <cell r="A290">
            <v>49701</v>
          </cell>
          <cell r="B290" t="str">
            <v>GO DAU T1</v>
          </cell>
          <cell r="C290">
            <v>110</v>
          </cell>
        </row>
        <row r="291">
          <cell r="A291">
            <v>49706</v>
          </cell>
          <cell r="B291" t="str">
            <v>R1_GOZAU</v>
          </cell>
          <cell r="C291">
            <v>110</v>
          </cell>
        </row>
        <row r="292">
          <cell r="A292">
            <v>49707</v>
          </cell>
          <cell r="B292" t="str">
            <v>R2_GOZAU</v>
          </cell>
          <cell r="C292">
            <v>110</v>
          </cell>
        </row>
        <row r="293">
          <cell r="A293">
            <v>49711</v>
          </cell>
          <cell r="B293" t="str">
            <v>GO DAU T2</v>
          </cell>
          <cell r="C293">
            <v>110</v>
          </cell>
        </row>
        <row r="294">
          <cell r="A294">
            <v>49801</v>
          </cell>
          <cell r="B294" t="str">
            <v>TRI  AN</v>
          </cell>
          <cell r="C294">
            <v>110</v>
          </cell>
        </row>
        <row r="295">
          <cell r="A295">
            <v>49901</v>
          </cell>
          <cell r="B295" t="str">
            <v>DINHQUAN T1</v>
          </cell>
          <cell r="C295">
            <v>110</v>
          </cell>
        </row>
        <row r="296">
          <cell r="A296">
            <v>49951</v>
          </cell>
          <cell r="B296" t="str">
            <v>HO NAI T1</v>
          </cell>
          <cell r="C296">
            <v>110</v>
          </cell>
        </row>
        <row r="297">
          <cell r="A297">
            <v>49957</v>
          </cell>
          <cell r="B297" t="str">
            <v>T36(2)</v>
          </cell>
          <cell r="C297">
            <v>110</v>
          </cell>
        </row>
        <row r="298">
          <cell r="A298">
            <v>49961</v>
          </cell>
          <cell r="B298" t="str">
            <v>HO NAI T2</v>
          </cell>
          <cell r="C298">
            <v>110</v>
          </cell>
        </row>
        <row r="299">
          <cell r="A299">
            <v>49967</v>
          </cell>
          <cell r="B299" t="str">
            <v>T36(1)</v>
          </cell>
          <cell r="C299">
            <v>110</v>
          </cell>
        </row>
        <row r="300">
          <cell r="A300">
            <v>50001</v>
          </cell>
          <cell r="B300" t="str">
            <v>LONGKHANHT1</v>
          </cell>
          <cell r="C300">
            <v>110</v>
          </cell>
        </row>
        <row r="301">
          <cell r="A301">
            <v>50011</v>
          </cell>
          <cell r="B301" t="str">
            <v>LONGKHANHT2</v>
          </cell>
          <cell r="C301">
            <v>110</v>
          </cell>
        </row>
        <row r="302">
          <cell r="A302">
            <v>50021</v>
          </cell>
          <cell r="B302" t="str">
            <v>XLOC2</v>
          </cell>
          <cell r="C302">
            <v>110</v>
          </cell>
        </row>
        <row r="303">
          <cell r="A303">
            <v>50051</v>
          </cell>
          <cell r="B303" t="str">
            <v>X.TRUONG T1</v>
          </cell>
          <cell r="C303">
            <v>110</v>
          </cell>
        </row>
        <row r="304">
          <cell r="A304">
            <v>50061</v>
          </cell>
          <cell r="B304" t="str">
            <v>X.TRUONG T2</v>
          </cell>
          <cell r="C304">
            <v>110</v>
          </cell>
        </row>
        <row r="305">
          <cell r="A305">
            <v>50101</v>
          </cell>
          <cell r="B305" t="str">
            <v>BACSON_T1</v>
          </cell>
          <cell r="C305">
            <v>110</v>
          </cell>
        </row>
        <row r="306">
          <cell r="A306">
            <v>50111</v>
          </cell>
          <cell r="B306" t="str">
            <v>BACSON_T2</v>
          </cell>
          <cell r="C306">
            <v>110</v>
          </cell>
        </row>
        <row r="307">
          <cell r="A307">
            <v>50121</v>
          </cell>
          <cell r="B307" t="str">
            <v>SMAY_2</v>
          </cell>
          <cell r="C307">
            <v>110</v>
          </cell>
        </row>
        <row r="308">
          <cell r="A308">
            <v>50151</v>
          </cell>
          <cell r="B308" t="str">
            <v>TAN HOA T1</v>
          </cell>
          <cell r="C308">
            <v>110</v>
          </cell>
        </row>
        <row r="309">
          <cell r="A309">
            <v>50161</v>
          </cell>
          <cell r="B309" t="str">
            <v>TAN HOA T2</v>
          </cell>
          <cell r="C309">
            <v>110</v>
          </cell>
        </row>
        <row r="310">
          <cell r="A310">
            <v>50201</v>
          </cell>
          <cell r="B310" t="str">
            <v>TPHU_T1</v>
          </cell>
          <cell r="C310">
            <v>110</v>
          </cell>
        </row>
        <row r="311">
          <cell r="A311">
            <v>50251</v>
          </cell>
          <cell r="B311" t="str">
            <v>THANHPHU T1</v>
          </cell>
          <cell r="C311">
            <v>110</v>
          </cell>
        </row>
        <row r="312">
          <cell r="A312">
            <v>50261</v>
          </cell>
          <cell r="B312" t="str">
            <v>THANHPHU T2</v>
          </cell>
          <cell r="C312">
            <v>110</v>
          </cell>
        </row>
        <row r="313">
          <cell r="A313">
            <v>50301</v>
          </cell>
          <cell r="B313" t="str">
            <v>NMD FORMOSA</v>
          </cell>
          <cell r="C313">
            <v>110</v>
          </cell>
        </row>
        <row r="314">
          <cell r="A314">
            <v>50351</v>
          </cell>
          <cell r="B314" t="str">
            <v>KIEM TAN T1</v>
          </cell>
          <cell r="C314">
            <v>110</v>
          </cell>
        </row>
        <row r="315">
          <cell r="A315">
            <v>50361</v>
          </cell>
          <cell r="B315" t="str">
            <v>KIEM TAN T2</v>
          </cell>
          <cell r="C315">
            <v>110</v>
          </cell>
        </row>
        <row r="316">
          <cell r="A316">
            <v>50401</v>
          </cell>
          <cell r="B316" t="str">
            <v>LOTECO_T1</v>
          </cell>
          <cell r="C316">
            <v>110</v>
          </cell>
        </row>
        <row r="317">
          <cell r="A317">
            <v>50411</v>
          </cell>
          <cell r="B317" t="str">
            <v>LOTECO_T2</v>
          </cell>
          <cell r="C317">
            <v>110</v>
          </cell>
        </row>
        <row r="318">
          <cell r="A318">
            <v>50501</v>
          </cell>
          <cell r="B318" t="str">
            <v>BAU XEO T1</v>
          </cell>
          <cell r="C318">
            <v>110</v>
          </cell>
        </row>
        <row r="319">
          <cell r="A319">
            <v>50511</v>
          </cell>
          <cell r="B319" t="str">
            <v>BAU XEO T2</v>
          </cell>
          <cell r="C319">
            <v>110</v>
          </cell>
        </row>
        <row r="320">
          <cell r="A320">
            <v>50701</v>
          </cell>
          <cell r="B320" t="str">
            <v>TNHAT_T1</v>
          </cell>
          <cell r="C320">
            <v>110</v>
          </cell>
        </row>
        <row r="321">
          <cell r="A321">
            <v>50711</v>
          </cell>
          <cell r="B321" t="str">
            <v>THONGNHATT2</v>
          </cell>
          <cell r="C321">
            <v>110</v>
          </cell>
        </row>
        <row r="322">
          <cell r="A322">
            <v>50801</v>
          </cell>
          <cell r="B322" t="str">
            <v>TPHUOC_T1</v>
          </cell>
          <cell r="C322">
            <v>110</v>
          </cell>
        </row>
        <row r="323">
          <cell r="A323">
            <v>50811</v>
          </cell>
          <cell r="B323" t="str">
            <v>TAMPHUOC T2</v>
          </cell>
          <cell r="C323">
            <v>110</v>
          </cell>
        </row>
        <row r="324">
          <cell r="A324">
            <v>50851</v>
          </cell>
          <cell r="B324" t="str">
            <v>ANPHUOC_T1</v>
          </cell>
          <cell r="C324">
            <v>110</v>
          </cell>
        </row>
        <row r="325">
          <cell r="A325">
            <v>50941</v>
          </cell>
          <cell r="B325" t="str">
            <v>NHON TRACH 6</v>
          </cell>
          <cell r="C325">
            <v>110</v>
          </cell>
        </row>
        <row r="326">
          <cell r="A326">
            <v>50947</v>
          </cell>
          <cell r="B326" t="str">
            <v>R_NHONTRACH6</v>
          </cell>
          <cell r="C326">
            <v>110</v>
          </cell>
        </row>
        <row r="327">
          <cell r="A327">
            <v>50951</v>
          </cell>
          <cell r="B327" t="str">
            <v>BAUSEN</v>
          </cell>
          <cell r="C327">
            <v>110</v>
          </cell>
        </row>
        <row r="328">
          <cell r="A328">
            <v>51051</v>
          </cell>
          <cell r="B328" t="str">
            <v>CAMMY_T1</v>
          </cell>
          <cell r="C328">
            <v>110</v>
          </cell>
        </row>
        <row r="329">
          <cell r="A329">
            <v>51401</v>
          </cell>
          <cell r="B329" t="str">
            <v>DAU GIAY</v>
          </cell>
          <cell r="C329">
            <v>110</v>
          </cell>
        </row>
        <row r="330">
          <cell r="A330">
            <v>51451</v>
          </cell>
          <cell r="B330" t="str">
            <v>TAM AN T1</v>
          </cell>
          <cell r="C330">
            <v>110</v>
          </cell>
        </row>
        <row r="331">
          <cell r="A331">
            <v>51461</v>
          </cell>
          <cell r="B331" t="str">
            <v>TAM AN T2</v>
          </cell>
          <cell r="C331">
            <v>110</v>
          </cell>
        </row>
        <row r="332">
          <cell r="A332">
            <v>51501</v>
          </cell>
          <cell r="B332" t="str">
            <v>POSCO</v>
          </cell>
          <cell r="C332">
            <v>110</v>
          </cell>
        </row>
        <row r="333">
          <cell r="A333">
            <v>51511</v>
          </cell>
          <cell r="B333" t="str">
            <v>POSCO_T1</v>
          </cell>
          <cell r="C333">
            <v>110</v>
          </cell>
        </row>
        <row r="334">
          <cell r="A334">
            <v>51521</v>
          </cell>
          <cell r="B334" t="str">
            <v>THSEN_T1</v>
          </cell>
          <cell r="C334">
            <v>110</v>
          </cell>
        </row>
        <row r="335">
          <cell r="A335">
            <v>51531</v>
          </cell>
          <cell r="B335" t="str">
            <v>THSEN_T2</v>
          </cell>
          <cell r="C335">
            <v>110</v>
          </cell>
        </row>
        <row r="336">
          <cell r="A336">
            <v>51541</v>
          </cell>
          <cell r="B336" t="str">
            <v>DTIEN_T1</v>
          </cell>
          <cell r="C336">
            <v>110</v>
          </cell>
        </row>
        <row r="337">
          <cell r="A337">
            <v>51551</v>
          </cell>
          <cell r="B337" t="str">
            <v>POS_VINA_T1</v>
          </cell>
          <cell r="C337">
            <v>110</v>
          </cell>
        </row>
        <row r="338">
          <cell r="A338">
            <v>51561</v>
          </cell>
          <cell r="B338" t="str">
            <v>POS_VINA_T2</v>
          </cell>
          <cell r="C338">
            <v>110</v>
          </cell>
        </row>
        <row r="339">
          <cell r="A339">
            <v>51571</v>
          </cell>
          <cell r="B339" t="str">
            <v>MXUAN_B1</v>
          </cell>
          <cell r="C339">
            <v>110</v>
          </cell>
        </row>
        <row r="340">
          <cell r="A340">
            <v>51601</v>
          </cell>
          <cell r="B340" t="str">
            <v>LINDE_GAS_T1</v>
          </cell>
          <cell r="C340">
            <v>110</v>
          </cell>
        </row>
        <row r="341">
          <cell r="A341">
            <v>51701</v>
          </cell>
          <cell r="B341" t="str">
            <v>GASBRIA_C11</v>
          </cell>
          <cell r="C341">
            <v>110</v>
          </cell>
        </row>
        <row r="342">
          <cell r="A342">
            <v>51711</v>
          </cell>
          <cell r="B342" t="str">
            <v>GASBRIA_C12</v>
          </cell>
          <cell r="C342">
            <v>110</v>
          </cell>
        </row>
        <row r="343">
          <cell r="A343">
            <v>51721</v>
          </cell>
          <cell r="B343" t="str">
            <v>VINAKYOEI_T1</v>
          </cell>
          <cell r="C343">
            <v>110</v>
          </cell>
        </row>
        <row r="344">
          <cell r="A344">
            <v>51731</v>
          </cell>
          <cell r="B344" t="str">
            <v>VINAKYOEI_T2</v>
          </cell>
          <cell r="C344">
            <v>110</v>
          </cell>
        </row>
        <row r="345">
          <cell r="A345">
            <v>51801</v>
          </cell>
          <cell r="B345" t="str">
            <v>BRIAS_T1</v>
          </cell>
          <cell r="C345">
            <v>110</v>
          </cell>
        </row>
        <row r="346">
          <cell r="A346">
            <v>51851</v>
          </cell>
          <cell r="B346" t="str">
            <v>DXUYEN_T1</v>
          </cell>
          <cell r="C346">
            <v>110</v>
          </cell>
        </row>
        <row r="347">
          <cell r="A347">
            <v>51861</v>
          </cell>
          <cell r="B347" t="str">
            <v>DONGXUYENT2</v>
          </cell>
          <cell r="C347">
            <v>110</v>
          </cell>
        </row>
        <row r="348">
          <cell r="A348">
            <v>51901</v>
          </cell>
          <cell r="B348" t="str">
            <v>LDAT_T1</v>
          </cell>
          <cell r="C348">
            <v>110</v>
          </cell>
        </row>
        <row r="349">
          <cell r="A349">
            <v>51911</v>
          </cell>
          <cell r="B349" t="str">
            <v>LDAT_T2</v>
          </cell>
          <cell r="C349">
            <v>110</v>
          </cell>
        </row>
        <row r="350">
          <cell r="A350">
            <v>51951</v>
          </cell>
          <cell r="B350" t="str">
            <v>MYXUAN_A_T1</v>
          </cell>
          <cell r="C350">
            <v>110</v>
          </cell>
        </row>
        <row r="351">
          <cell r="A351">
            <v>51961</v>
          </cell>
          <cell r="B351" t="str">
            <v>MYXUAN_A_T2</v>
          </cell>
          <cell r="C351">
            <v>110</v>
          </cell>
        </row>
        <row r="352">
          <cell r="A352">
            <v>52001</v>
          </cell>
          <cell r="B352" t="str">
            <v>PHUMY1</v>
          </cell>
          <cell r="C352">
            <v>110</v>
          </cell>
        </row>
        <row r="353">
          <cell r="A353">
            <v>52071</v>
          </cell>
          <cell r="B353" t="str">
            <v>TANTHANH</v>
          </cell>
          <cell r="C353">
            <v>110</v>
          </cell>
        </row>
        <row r="354">
          <cell r="A354">
            <v>52076</v>
          </cell>
          <cell r="B354" t="str">
            <v>TRU_15/8</v>
          </cell>
          <cell r="C354">
            <v>110</v>
          </cell>
        </row>
        <row r="355">
          <cell r="A355">
            <v>52077</v>
          </cell>
          <cell r="B355" t="str">
            <v>TRU_15/8</v>
          </cell>
          <cell r="C355">
            <v>110</v>
          </cell>
        </row>
        <row r="356">
          <cell r="A356">
            <v>52251</v>
          </cell>
          <cell r="B356" t="str">
            <v>PHU MY T1</v>
          </cell>
          <cell r="C356">
            <v>110</v>
          </cell>
        </row>
        <row r="357">
          <cell r="A357">
            <v>52261</v>
          </cell>
          <cell r="B357" t="str">
            <v>PHU MY T2</v>
          </cell>
          <cell r="C357">
            <v>110</v>
          </cell>
        </row>
        <row r="358">
          <cell r="A358">
            <v>52301</v>
          </cell>
          <cell r="B358" t="str">
            <v>THEPVIET T1</v>
          </cell>
          <cell r="C358">
            <v>110</v>
          </cell>
        </row>
        <row r="359">
          <cell r="A359">
            <v>52311</v>
          </cell>
          <cell r="B359" t="str">
            <v>THEPVIET T2</v>
          </cell>
          <cell r="C359">
            <v>110</v>
          </cell>
        </row>
        <row r="360">
          <cell r="A360">
            <v>52351</v>
          </cell>
          <cell r="B360" t="str">
            <v>VUNG TAU T1</v>
          </cell>
          <cell r="C360">
            <v>110</v>
          </cell>
        </row>
        <row r="361">
          <cell r="A361">
            <v>52361</v>
          </cell>
          <cell r="B361" t="str">
            <v>VUNG TAU T2</v>
          </cell>
          <cell r="C361">
            <v>110</v>
          </cell>
        </row>
        <row r="362">
          <cell r="A362">
            <v>52401</v>
          </cell>
          <cell r="B362" t="str">
            <v>XMOC_T1</v>
          </cell>
          <cell r="C362">
            <v>110</v>
          </cell>
        </row>
        <row r="363">
          <cell r="A363">
            <v>52411</v>
          </cell>
          <cell r="B363" t="str">
            <v>XMOC_T2</v>
          </cell>
          <cell r="C363">
            <v>110</v>
          </cell>
        </row>
        <row r="364">
          <cell r="A364">
            <v>52451</v>
          </cell>
          <cell r="B364" t="str">
            <v>NGIAO_T1</v>
          </cell>
          <cell r="C364">
            <v>110</v>
          </cell>
        </row>
        <row r="365">
          <cell r="A365">
            <v>52501</v>
          </cell>
          <cell r="B365" t="str">
            <v>THI VAI</v>
          </cell>
          <cell r="C365">
            <v>110</v>
          </cell>
        </row>
        <row r="366">
          <cell r="A366">
            <v>52551</v>
          </cell>
          <cell r="B366" t="str">
            <v>THEPM_NAM_T1</v>
          </cell>
          <cell r="C366">
            <v>110</v>
          </cell>
        </row>
        <row r="367">
          <cell r="A367">
            <v>52561</v>
          </cell>
          <cell r="B367" t="str">
            <v>THEPM_NAM_T2</v>
          </cell>
          <cell r="C367">
            <v>110</v>
          </cell>
        </row>
        <row r="368">
          <cell r="A368">
            <v>52601</v>
          </cell>
          <cell r="B368" t="str">
            <v>THTAM_T2</v>
          </cell>
          <cell r="C368">
            <v>110</v>
          </cell>
        </row>
        <row r="369">
          <cell r="A369">
            <v>52971</v>
          </cell>
          <cell r="B369" t="str">
            <v>CHINASTEEL_T</v>
          </cell>
          <cell r="C369">
            <v>110</v>
          </cell>
        </row>
        <row r="370">
          <cell r="A370">
            <v>52981</v>
          </cell>
          <cell r="B370" t="str">
            <v>CHINA_SL_T2</v>
          </cell>
          <cell r="C370">
            <v>110</v>
          </cell>
        </row>
        <row r="371">
          <cell r="A371">
            <v>53001</v>
          </cell>
          <cell r="B371" t="str">
            <v>POMINA_T1</v>
          </cell>
          <cell r="C371">
            <v>110</v>
          </cell>
        </row>
        <row r="372">
          <cell r="A372">
            <v>53011</v>
          </cell>
          <cell r="B372" t="str">
            <v>POMINA_T2</v>
          </cell>
          <cell r="C372">
            <v>110</v>
          </cell>
        </row>
        <row r="373">
          <cell r="A373">
            <v>53101</v>
          </cell>
          <cell r="B373" t="str">
            <v>FUCO_T1</v>
          </cell>
          <cell r="C373">
            <v>110</v>
          </cell>
        </row>
        <row r="374">
          <cell r="A374">
            <v>53111</v>
          </cell>
          <cell r="B374" t="str">
            <v>FUCO T2</v>
          </cell>
          <cell r="C374">
            <v>110</v>
          </cell>
        </row>
        <row r="375">
          <cell r="A375">
            <v>53211</v>
          </cell>
          <cell r="B375" t="str">
            <v>PHUOCDONG_T1</v>
          </cell>
          <cell r="C375">
            <v>110</v>
          </cell>
        </row>
        <row r="376">
          <cell r="A376">
            <v>53217</v>
          </cell>
          <cell r="B376" t="str">
            <v>R_PHUOCDONG</v>
          </cell>
          <cell r="C376">
            <v>110</v>
          </cell>
        </row>
        <row r="377">
          <cell r="A377">
            <v>53241</v>
          </cell>
          <cell r="B377" t="str">
            <v>SUOI ROP</v>
          </cell>
          <cell r="C377">
            <v>110</v>
          </cell>
        </row>
        <row r="378">
          <cell r="A378">
            <v>53247</v>
          </cell>
          <cell r="B378" t="str">
            <v>R_SUOIDOP</v>
          </cell>
          <cell r="C378">
            <v>110</v>
          </cell>
        </row>
        <row r="379">
          <cell r="A379">
            <v>53261</v>
          </cell>
          <cell r="B379" t="str">
            <v>TAYNINH_2</v>
          </cell>
          <cell r="C379">
            <v>110</v>
          </cell>
        </row>
        <row r="380">
          <cell r="A380">
            <v>53301</v>
          </cell>
          <cell r="B380" t="str">
            <v>TAYNINH_T1</v>
          </cell>
          <cell r="C380">
            <v>110</v>
          </cell>
        </row>
        <row r="381">
          <cell r="A381">
            <v>53308</v>
          </cell>
          <cell r="B381" t="str">
            <v>TU_TNINH</v>
          </cell>
          <cell r="C381">
            <v>110</v>
          </cell>
        </row>
        <row r="382">
          <cell r="A382">
            <v>53311</v>
          </cell>
          <cell r="B382" t="str">
            <v>TAYNINH_T2</v>
          </cell>
          <cell r="C382">
            <v>110</v>
          </cell>
        </row>
        <row r="383">
          <cell r="A383">
            <v>53351</v>
          </cell>
          <cell r="B383" t="str">
            <v>BOURBON</v>
          </cell>
          <cell r="C383">
            <v>110</v>
          </cell>
        </row>
        <row r="384">
          <cell r="A384">
            <v>53401</v>
          </cell>
          <cell r="B384" t="str">
            <v>TAN HUNG T1</v>
          </cell>
          <cell r="C384">
            <v>110</v>
          </cell>
        </row>
        <row r="385">
          <cell r="A385">
            <v>53408</v>
          </cell>
          <cell r="B385" t="str">
            <v>TU_TANHUNG</v>
          </cell>
          <cell r="C385">
            <v>110</v>
          </cell>
        </row>
        <row r="386">
          <cell r="A386">
            <v>53411</v>
          </cell>
          <cell r="B386" t="str">
            <v>TANHUNG_T2</v>
          </cell>
          <cell r="C386">
            <v>110</v>
          </cell>
        </row>
        <row r="387">
          <cell r="A387">
            <v>53441</v>
          </cell>
          <cell r="B387" t="str">
            <v>TBANG_T1</v>
          </cell>
          <cell r="C387">
            <v>110</v>
          </cell>
        </row>
        <row r="388">
          <cell r="A388">
            <v>53451</v>
          </cell>
          <cell r="B388" t="str">
            <v>TBANG_T2</v>
          </cell>
          <cell r="C388">
            <v>110</v>
          </cell>
        </row>
        <row r="389">
          <cell r="A389">
            <v>53457</v>
          </cell>
          <cell r="B389" t="str">
            <v>R_TBANG_T2</v>
          </cell>
          <cell r="C389">
            <v>110</v>
          </cell>
        </row>
        <row r="390">
          <cell r="A390">
            <v>53461</v>
          </cell>
          <cell r="B390" t="str">
            <v>TBANG2</v>
          </cell>
          <cell r="C390">
            <v>110</v>
          </cell>
        </row>
        <row r="391">
          <cell r="A391">
            <v>53468</v>
          </cell>
          <cell r="B391" t="str">
            <v>TU_TBANG</v>
          </cell>
          <cell r="C391">
            <v>110</v>
          </cell>
        </row>
        <row r="392">
          <cell r="A392">
            <v>53501</v>
          </cell>
          <cell r="B392" t="str">
            <v>CANDON</v>
          </cell>
          <cell r="C392">
            <v>110</v>
          </cell>
        </row>
        <row r="393">
          <cell r="A393">
            <v>53551</v>
          </cell>
          <cell r="B393" t="str">
            <v>TBKCN_T1</v>
          </cell>
          <cell r="C393">
            <v>110</v>
          </cell>
        </row>
        <row r="394">
          <cell r="A394">
            <v>53561</v>
          </cell>
          <cell r="B394" t="str">
            <v>TBKCN_T2</v>
          </cell>
          <cell r="C394">
            <v>110</v>
          </cell>
        </row>
        <row r="395">
          <cell r="A395">
            <v>53601</v>
          </cell>
          <cell r="B395" t="str">
            <v>THANHDUC T1</v>
          </cell>
          <cell r="C395">
            <v>110</v>
          </cell>
        </row>
        <row r="396">
          <cell r="A396">
            <v>53607</v>
          </cell>
          <cell r="B396" t="str">
            <v>TRU 88A2</v>
          </cell>
          <cell r="C396">
            <v>110</v>
          </cell>
        </row>
        <row r="397">
          <cell r="A397">
            <v>53611</v>
          </cell>
          <cell r="B397" t="str">
            <v>TDUC_T2</v>
          </cell>
          <cell r="C397">
            <v>110</v>
          </cell>
        </row>
        <row r="398">
          <cell r="A398">
            <v>53651</v>
          </cell>
          <cell r="B398" t="str">
            <v>BENCAU_T1</v>
          </cell>
          <cell r="C398">
            <v>110</v>
          </cell>
        </row>
        <row r="399">
          <cell r="A399">
            <v>53656</v>
          </cell>
          <cell r="B399" t="str">
            <v>R BEN CAU</v>
          </cell>
          <cell r="C399">
            <v>110</v>
          </cell>
        </row>
        <row r="400">
          <cell r="A400">
            <v>53661</v>
          </cell>
          <cell r="B400" t="str">
            <v>BENCAU_T2</v>
          </cell>
          <cell r="C400">
            <v>110</v>
          </cell>
        </row>
        <row r="401">
          <cell r="A401">
            <v>53701</v>
          </cell>
          <cell r="B401" t="str">
            <v>TAN BIEN T2</v>
          </cell>
          <cell r="C401">
            <v>110</v>
          </cell>
        </row>
        <row r="402">
          <cell r="A402">
            <v>53751</v>
          </cell>
          <cell r="B402" t="str">
            <v>XM TAYNINH</v>
          </cell>
          <cell r="C402">
            <v>110</v>
          </cell>
        </row>
        <row r="403">
          <cell r="A403">
            <v>53901</v>
          </cell>
          <cell r="B403" t="str">
            <v>VINAKRAFTT1</v>
          </cell>
          <cell r="C403">
            <v>110</v>
          </cell>
        </row>
        <row r="404">
          <cell r="A404">
            <v>53906</v>
          </cell>
          <cell r="B404" t="str">
            <v>R_VNKRAFT</v>
          </cell>
          <cell r="C404">
            <v>110</v>
          </cell>
        </row>
        <row r="405">
          <cell r="A405">
            <v>53951</v>
          </cell>
          <cell r="B405" t="str">
            <v>KHANH BINH</v>
          </cell>
          <cell r="C405">
            <v>110</v>
          </cell>
        </row>
        <row r="406">
          <cell r="A406">
            <v>53961</v>
          </cell>
          <cell r="B406" t="str">
            <v>KHANH BINH</v>
          </cell>
          <cell r="C406">
            <v>110</v>
          </cell>
        </row>
        <row r="407">
          <cell r="A407">
            <v>54001</v>
          </cell>
          <cell r="B407" t="str">
            <v>BCAT_T1</v>
          </cell>
          <cell r="C407">
            <v>110</v>
          </cell>
        </row>
        <row r="408">
          <cell r="A408">
            <v>54011</v>
          </cell>
          <cell r="B408" t="str">
            <v>BCAT_T2</v>
          </cell>
          <cell r="C408">
            <v>110</v>
          </cell>
        </row>
        <row r="409">
          <cell r="A409">
            <v>54031</v>
          </cell>
          <cell r="B409" t="str">
            <v>VSIP2_T1</v>
          </cell>
          <cell r="C409">
            <v>110</v>
          </cell>
        </row>
        <row r="410">
          <cell r="A410">
            <v>54041</v>
          </cell>
          <cell r="B410" t="str">
            <v>VSIP2_T2</v>
          </cell>
          <cell r="C410">
            <v>110</v>
          </cell>
        </row>
        <row r="411">
          <cell r="A411">
            <v>54051</v>
          </cell>
          <cell r="B411" t="str">
            <v>BINH AN T1</v>
          </cell>
          <cell r="C411">
            <v>110</v>
          </cell>
        </row>
        <row r="412">
          <cell r="A412">
            <v>54061</v>
          </cell>
          <cell r="B412" t="str">
            <v>BAN_T2</v>
          </cell>
          <cell r="C412">
            <v>110</v>
          </cell>
        </row>
        <row r="413">
          <cell r="A413">
            <v>54101</v>
          </cell>
          <cell r="B413" t="str">
            <v>BHOA_C11</v>
          </cell>
          <cell r="C413">
            <v>110</v>
          </cell>
        </row>
        <row r="414">
          <cell r="A414">
            <v>54108</v>
          </cell>
          <cell r="B414" t="str">
            <v>TU_BHOA</v>
          </cell>
          <cell r="C414">
            <v>110</v>
          </cell>
        </row>
        <row r="415">
          <cell r="A415">
            <v>54111</v>
          </cell>
          <cell r="B415" t="str">
            <v>BINHHOA C11</v>
          </cell>
          <cell r="C415">
            <v>110</v>
          </cell>
        </row>
        <row r="416">
          <cell r="A416">
            <v>54118</v>
          </cell>
          <cell r="B416" t="str">
            <v>TU_BHOA</v>
          </cell>
          <cell r="C416">
            <v>110</v>
          </cell>
        </row>
        <row r="417">
          <cell r="A417">
            <v>54151</v>
          </cell>
          <cell r="B417" t="str">
            <v>GDAU_T1</v>
          </cell>
          <cell r="C417">
            <v>110</v>
          </cell>
        </row>
        <row r="418">
          <cell r="A418">
            <v>54161</v>
          </cell>
          <cell r="B418" t="str">
            <v>GO DAU T2</v>
          </cell>
          <cell r="C418">
            <v>110</v>
          </cell>
        </row>
        <row r="419">
          <cell r="A419">
            <v>54201</v>
          </cell>
          <cell r="B419" t="str">
            <v>PGIAO_T1</v>
          </cell>
          <cell r="C419">
            <v>110</v>
          </cell>
        </row>
        <row r="420">
          <cell r="A420">
            <v>54211</v>
          </cell>
          <cell r="B420" t="str">
            <v>PGIAO_T2</v>
          </cell>
          <cell r="C420">
            <v>110</v>
          </cell>
        </row>
        <row r="421">
          <cell r="A421">
            <v>54251</v>
          </cell>
          <cell r="B421" t="str">
            <v>SONGTHAN T1</v>
          </cell>
          <cell r="C421">
            <v>110</v>
          </cell>
        </row>
        <row r="422">
          <cell r="A422">
            <v>54261</v>
          </cell>
          <cell r="B422" t="str">
            <v>SONGTHAN T2</v>
          </cell>
          <cell r="C422">
            <v>110</v>
          </cell>
        </row>
        <row r="423">
          <cell r="A423">
            <v>54301</v>
          </cell>
          <cell r="B423" t="str">
            <v>TANDONGHIEP</v>
          </cell>
          <cell r="C423">
            <v>110</v>
          </cell>
        </row>
        <row r="424">
          <cell r="A424">
            <v>54311</v>
          </cell>
          <cell r="B424" t="str">
            <v>TANDONGHIEP</v>
          </cell>
          <cell r="C424">
            <v>110</v>
          </cell>
        </row>
        <row r="425">
          <cell r="A425">
            <v>54351</v>
          </cell>
          <cell r="B425" t="str">
            <v>VSIP T1</v>
          </cell>
          <cell r="C425">
            <v>110</v>
          </cell>
        </row>
        <row r="426">
          <cell r="A426">
            <v>54361</v>
          </cell>
          <cell r="B426" t="str">
            <v>VSIP T2</v>
          </cell>
          <cell r="C426">
            <v>110</v>
          </cell>
        </row>
        <row r="427">
          <cell r="A427">
            <v>54401</v>
          </cell>
          <cell r="B427" t="str">
            <v>THOI HOA T1</v>
          </cell>
          <cell r="C427">
            <v>110</v>
          </cell>
        </row>
        <row r="428">
          <cell r="A428">
            <v>54411</v>
          </cell>
          <cell r="B428" t="str">
            <v>THOA_T2</v>
          </cell>
          <cell r="C428">
            <v>110</v>
          </cell>
        </row>
        <row r="429">
          <cell r="A429">
            <v>54451</v>
          </cell>
          <cell r="B429" t="str">
            <v>DTIENG_T1</v>
          </cell>
          <cell r="C429">
            <v>110</v>
          </cell>
        </row>
        <row r="430">
          <cell r="A430">
            <v>54461</v>
          </cell>
          <cell r="B430" t="str">
            <v>DTIENG_T2</v>
          </cell>
          <cell r="C430">
            <v>110</v>
          </cell>
        </row>
        <row r="431">
          <cell r="A431">
            <v>54501</v>
          </cell>
          <cell r="B431" t="str">
            <v>TUYEN_T1</v>
          </cell>
          <cell r="C431">
            <v>110</v>
          </cell>
        </row>
        <row r="432">
          <cell r="A432">
            <v>54506</v>
          </cell>
          <cell r="B432" t="str">
            <v>R_TUYEN</v>
          </cell>
          <cell r="C432">
            <v>110</v>
          </cell>
        </row>
        <row r="433">
          <cell r="A433">
            <v>54511</v>
          </cell>
          <cell r="B433" t="str">
            <v>TAN UYEN T2</v>
          </cell>
          <cell r="C433">
            <v>110</v>
          </cell>
        </row>
        <row r="434">
          <cell r="A434">
            <v>54601</v>
          </cell>
          <cell r="B434" t="str">
            <v>BBEO_T1</v>
          </cell>
          <cell r="C434">
            <v>110</v>
          </cell>
        </row>
        <row r="435">
          <cell r="A435">
            <v>54611</v>
          </cell>
          <cell r="B435" t="str">
            <v>BBEO_T2</v>
          </cell>
          <cell r="C435">
            <v>110</v>
          </cell>
        </row>
        <row r="436">
          <cell r="A436">
            <v>54751</v>
          </cell>
          <cell r="B436" t="str">
            <v>MPHUOC_AT1</v>
          </cell>
          <cell r="C436">
            <v>110</v>
          </cell>
        </row>
        <row r="437">
          <cell r="A437">
            <v>54771</v>
          </cell>
          <cell r="B437" t="str">
            <v>HOATHUAN_T1</v>
          </cell>
          <cell r="C437">
            <v>110</v>
          </cell>
        </row>
        <row r="438">
          <cell r="A438">
            <v>54801</v>
          </cell>
          <cell r="B438" t="str">
            <v>KUMHO T1</v>
          </cell>
          <cell r="C438">
            <v>110</v>
          </cell>
        </row>
        <row r="439">
          <cell r="A439">
            <v>54811</v>
          </cell>
          <cell r="B439" t="str">
            <v>KUMHO T2</v>
          </cell>
          <cell r="C439">
            <v>110</v>
          </cell>
        </row>
        <row r="440">
          <cell r="A440">
            <v>54821</v>
          </cell>
          <cell r="B440" t="str">
            <v>UYENHUNG</v>
          </cell>
          <cell r="C440">
            <v>110</v>
          </cell>
        </row>
        <row r="441">
          <cell r="A441">
            <v>54851</v>
          </cell>
          <cell r="B441" t="str">
            <v>THUAN AN</v>
          </cell>
          <cell r="C441">
            <v>110</v>
          </cell>
        </row>
        <row r="442">
          <cell r="A442">
            <v>54858</v>
          </cell>
          <cell r="B442" t="str">
            <v>TU_THUANAN</v>
          </cell>
          <cell r="C442">
            <v>110</v>
          </cell>
        </row>
        <row r="443">
          <cell r="A443">
            <v>54901</v>
          </cell>
          <cell r="B443" t="str">
            <v>LAI UYEN</v>
          </cell>
          <cell r="C443">
            <v>110</v>
          </cell>
        </row>
        <row r="444">
          <cell r="A444">
            <v>54941</v>
          </cell>
          <cell r="B444" t="str">
            <v>HOA PHU T1</v>
          </cell>
          <cell r="C444">
            <v>110</v>
          </cell>
        </row>
        <row r="445">
          <cell r="A445">
            <v>54951</v>
          </cell>
          <cell r="B445" t="str">
            <v>HOA PHU T2</v>
          </cell>
          <cell r="C445">
            <v>110</v>
          </cell>
        </row>
        <row r="446">
          <cell r="A446">
            <v>55001</v>
          </cell>
          <cell r="B446" t="str">
            <v>SUNSTEEL T1</v>
          </cell>
          <cell r="C446">
            <v>110</v>
          </cell>
        </row>
        <row r="447">
          <cell r="A447">
            <v>55061</v>
          </cell>
          <cell r="B447" t="str">
            <v>AN TAY T1</v>
          </cell>
          <cell r="C447">
            <v>110</v>
          </cell>
        </row>
        <row r="448">
          <cell r="A448">
            <v>55071</v>
          </cell>
          <cell r="B448" t="str">
            <v>AN TAY T2</v>
          </cell>
          <cell r="C448">
            <v>110</v>
          </cell>
        </row>
        <row r="449">
          <cell r="A449">
            <v>55101</v>
          </cell>
          <cell r="B449" t="str">
            <v>DXOAI_T1</v>
          </cell>
          <cell r="C449">
            <v>110</v>
          </cell>
        </row>
        <row r="450">
          <cell r="A450">
            <v>55111</v>
          </cell>
          <cell r="B450" t="str">
            <v>DXOAI_T2</v>
          </cell>
          <cell r="C450">
            <v>110</v>
          </cell>
        </row>
        <row r="451">
          <cell r="A451">
            <v>55151</v>
          </cell>
          <cell r="B451" t="str">
            <v>LOC NINH T1</v>
          </cell>
          <cell r="C451">
            <v>110</v>
          </cell>
        </row>
        <row r="452">
          <cell r="A452">
            <v>55161</v>
          </cell>
          <cell r="B452" t="str">
            <v>LNINH_T2</v>
          </cell>
          <cell r="C452">
            <v>110</v>
          </cell>
        </row>
        <row r="453">
          <cell r="A453">
            <v>55201</v>
          </cell>
          <cell r="B453" t="str">
            <v>THACMO</v>
          </cell>
          <cell r="C453">
            <v>110</v>
          </cell>
        </row>
        <row r="454">
          <cell r="A454">
            <v>55251</v>
          </cell>
          <cell r="B454" t="str">
            <v>VEDAN 2</v>
          </cell>
          <cell r="C454">
            <v>110</v>
          </cell>
        </row>
        <row r="455">
          <cell r="A455">
            <v>55256</v>
          </cell>
          <cell r="B455" t="str">
            <v>R_VEDAN2</v>
          </cell>
          <cell r="C455">
            <v>110</v>
          </cell>
        </row>
        <row r="456">
          <cell r="A456">
            <v>55301</v>
          </cell>
          <cell r="B456" t="str">
            <v>BU DANG T1</v>
          </cell>
          <cell r="C456">
            <v>110</v>
          </cell>
        </row>
        <row r="457">
          <cell r="A457">
            <v>55351</v>
          </cell>
          <cell r="B457" t="str">
            <v>CHONTHANHT1</v>
          </cell>
          <cell r="C457">
            <v>110</v>
          </cell>
        </row>
        <row r="458">
          <cell r="A458">
            <v>55401</v>
          </cell>
          <cell r="B458" t="str">
            <v>XM BNHPHUOC</v>
          </cell>
          <cell r="C458">
            <v>110</v>
          </cell>
        </row>
        <row r="459">
          <cell r="A459">
            <v>55406</v>
          </cell>
          <cell r="B459" t="str">
            <v>RXMB.PHUOC</v>
          </cell>
          <cell r="C459">
            <v>110</v>
          </cell>
        </row>
        <row r="460">
          <cell r="A460">
            <v>55421</v>
          </cell>
          <cell r="B460" t="str">
            <v>BINHLONG2</v>
          </cell>
          <cell r="C460">
            <v>110</v>
          </cell>
        </row>
        <row r="461">
          <cell r="A461">
            <v>55451</v>
          </cell>
          <cell r="B461" t="str">
            <v>BLONG_T1</v>
          </cell>
          <cell r="C461">
            <v>110</v>
          </cell>
        </row>
        <row r="462">
          <cell r="A462">
            <v>55461</v>
          </cell>
          <cell r="B462" t="str">
            <v>BLONG_T2</v>
          </cell>
          <cell r="C462">
            <v>110</v>
          </cell>
        </row>
        <row r="463">
          <cell r="A463">
            <v>55501</v>
          </cell>
          <cell r="B463" t="str">
            <v>PHLONG_T1</v>
          </cell>
          <cell r="C463">
            <v>110</v>
          </cell>
        </row>
        <row r="464">
          <cell r="A464">
            <v>55511</v>
          </cell>
          <cell r="B464" t="str">
            <v>PHUOCLONG_T2</v>
          </cell>
          <cell r="C464">
            <v>110</v>
          </cell>
        </row>
        <row r="465">
          <cell r="A465">
            <v>55601</v>
          </cell>
          <cell r="B465" t="str">
            <v>SROKP.MIENG</v>
          </cell>
          <cell r="C465">
            <v>110</v>
          </cell>
        </row>
        <row r="466">
          <cell r="A466">
            <v>55651</v>
          </cell>
          <cell r="B466" t="str">
            <v>BUDOP_T2</v>
          </cell>
          <cell r="C466">
            <v>110</v>
          </cell>
        </row>
        <row r="467">
          <cell r="A467">
            <v>55657</v>
          </cell>
          <cell r="B467" t="str">
            <v>R_BUDOP</v>
          </cell>
          <cell r="C467">
            <v>110</v>
          </cell>
        </row>
        <row r="468">
          <cell r="A468">
            <v>55701</v>
          </cell>
          <cell r="B468" t="str">
            <v>DAK GLUN</v>
          </cell>
          <cell r="C468">
            <v>110</v>
          </cell>
        </row>
        <row r="469">
          <cell r="A469">
            <v>55706</v>
          </cell>
          <cell r="B469" t="str">
            <v>R DAK GLUN</v>
          </cell>
          <cell r="C469">
            <v>110</v>
          </cell>
        </row>
        <row r="470">
          <cell r="A470">
            <v>55801</v>
          </cell>
          <cell r="B470" t="str">
            <v>NMD BAO LOC</v>
          </cell>
          <cell r="C470">
            <v>110</v>
          </cell>
        </row>
        <row r="471">
          <cell r="A471">
            <v>55851</v>
          </cell>
          <cell r="B471" t="str">
            <v>BLOC</v>
          </cell>
          <cell r="C471">
            <v>110</v>
          </cell>
        </row>
        <row r="472">
          <cell r="A472">
            <v>55901</v>
          </cell>
          <cell r="B472" t="str">
            <v>DA_NHIM</v>
          </cell>
          <cell r="C472">
            <v>110</v>
          </cell>
        </row>
        <row r="473">
          <cell r="A473">
            <v>55951</v>
          </cell>
          <cell r="B473" t="str">
            <v>DA LAT 1 T2</v>
          </cell>
          <cell r="C473">
            <v>110</v>
          </cell>
        </row>
        <row r="474">
          <cell r="A474">
            <v>56001</v>
          </cell>
          <cell r="B474" t="str">
            <v>DTRONG_T1</v>
          </cell>
          <cell r="C474">
            <v>110</v>
          </cell>
        </row>
        <row r="475">
          <cell r="A475">
            <v>56031</v>
          </cell>
          <cell r="B475" t="str">
            <v>DTRONG_T2</v>
          </cell>
          <cell r="C475">
            <v>110</v>
          </cell>
        </row>
        <row r="476">
          <cell r="A476">
            <v>56101</v>
          </cell>
          <cell r="B476" t="str">
            <v>NMD BACBINH</v>
          </cell>
          <cell r="C476">
            <v>110</v>
          </cell>
        </row>
        <row r="477">
          <cell r="A477">
            <v>56251</v>
          </cell>
          <cell r="B477" t="str">
            <v>NMD SONGPHA</v>
          </cell>
          <cell r="C477">
            <v>110</v>
          </cell>
        </row>
        <row r="478">
          <cell r="A478">
            <v>56351</v>
          </cell>
          <cell r="B478" t="str">
            <v>DI LINH T1</v>
          </cell>
          <cell r="C478">
            <v>110</v>
          </cell>
        </row>
        <row r="479">
          <cell r="A479">
            <v>56451</v>
          </cell>
          <cell r="B479" t="str">
            <v>DA LAT 2 T1</v>
          </cell>
          <cell r="C479">
            <v>110</v>
          </cell>
        </row>
        <row r="480">
          <cell r="A480">
            <v>56501</v>
          </cell>
          <cell r="B480" t="str">
            <v>DDUONG_T1</v>
          </cell>
          <cell r="C480">
            <v>110</v>
          </cell>
        </row>
        <row r="481">
          <cell r="A481">
            <v>56701</v>
          </cell>
          <cell r="B481" t="str">
            <v>LAMHA_T1</v>
          </cell>
          <cell r="C481">
            <v>110</v>
          </cell>
        </row>
        <row r="482">
          <cell r="A482">
            <v>56706</v>
          </cell>
          <cell r="B482" t="str">
            <v>R_LAMHA</v>
          </cell>
          <cell r="C482">
            <v>110</v>
          </cell>
        </row>
        <row r="483">
          <cell r="A483">
            <v>56801</v>
          </cell>
          <cell r="B483" t="str">
            <v>DATE_T1</v>
          </cell>
          <cell r="C483">
            <v>110</v>
          </cell>
        </row>
        <row r="484">
          <cell r="A484">
            <v>56851</v>
          </cell>
          <cell r="B484" t="str">
            <v>SVANG_T2</v>
          </cell>
          <cell r="C484">
            <v>110</v>
          </cell>
        </row>
        <row r="485">
          <cell r="A485">
            <v>56881</v>
          </cell>
          <cell r="B485" t="str">
            <v>YANTANNSIEN</v>
          </cell>
          <cell r="C485">
            <v>110</v>
          </cell>
        </row>
        <row r="486">
          <cell r="A486">
            <v>56901</v>
          </cell>
          <cell r="B486" t="str">
            <v>DAI NINH</v>
          </cell>
          <cell r="C486">
            <v>110</v>
          </cell>
        </row>
        <row r="487">
          <cell r="A487">
            <v>56971</v>
          </cell>
          <cell r="B487" t="str">
            <v>BAU XIT</v>
          </cell>
          <cell r="C487">
            <v>110</v>
          </cell>
        </row>
        <row r="488">
          <cell r="A488">
            <v>56976</v>
          </cell>
          <cell r="B488" t="str">
            <v>R BAU XIT</v>
          </cell>
          <cell r="C488">
            <v>110</v>
          </cell>
        </row>
        <row r="489">
          <cell r="A489">
            <v>56981</v>
          </cell>
          <cell r="B489" t="str">
            <v>DAMBRI</v>
          </cell>
          <cell r="C489">
            <v>110</v>
          </cell>
        </row>
        <row r="490">
          <cell r="A490">
            <v>56987</v>
          </cell>
          <cell r="B490" t="str">
            <v>R_DAMBRI</v>
          </cell>
          <cell r="C490">
            <v>110</v>
          </cell>
        </row>
        <row r="491">
          <cell r="A491">
            <v>57001</v>
          </cell>
          <cell r="B491" t="str">
            <v>THCHAM_T1</v>
          </cell>
          <cell r="C491">
            <v>110</v>
          </cell>
        </row>
        <row r="492">
          <cell r="A492">
            <v>57011</v>
          </cell>
          <cell r="B492" t="str">
            <v>THAPCHAM C2</v>
          </cell>
          <cell r="C492">
            <v>110</v>
          </cell>
        </row>
        <row r="493">
          <cell r="A493">
            <v>57021</v>
          </cell>
          <cell r="B493" t="str">
            <v>THAPCHAM_2</v>
          </cell>
          <cell r="C493">
            <v>110</v>
          </cell>
        </row>
        <row r="494">
          <cell r="A494">
            <v>57101</v>
          </cell>
          <cell r="B494" t="str">
            <v>HTHUAN</v>
          </cell>
          <cell r="C494">
            <v>110</v>
          </cell>
        </row>
        <row r="495">
          <cell r="A495">
            <v>57151</v>
          </cell>
          <cell r="B495" t="str">
            <v>NSON_T1</v>
          </cell>
          <cell r="C495">
            <v>110</v>
          </cell>
        </row>
        <row r="496">
          <cell r="A496">
            <v>57171</v>
          </cell>
          <cell r="B496" t="str">
            <v>HASONGPHA</v>
          </cell>
          <cell r="C496">
            <v>110</v>
          </cell>
        </row>
        <row r="497">
          <cell r="A497">
            <v>57201</v>
          </cell>
          <cell r="B497" t="str">
            <v>NINHPHUOCT1</v>
          </cell>
          <cell r="C497">
            <v>110</v>
          </cell>
        </row>
        <row r="498">
          <cell r="A498">
            <v>57241</v>
          </cell>
          <cell r="B498" t="str">
            <v>NINHHAI_T1</v>
          </cell>
          <cell r="C498">
            <v>110</v>
          </cell>
        </row>
        <row r="499">
          <cell r="A499">
            <v>57251</v>
          </cell>
          <cell r="B499" t="str">
            <v>NINHHAI_T2</v>
          </cell>
          <cell r="C499">
            <v>110</v>
          </cell>
        </row>
        <row r="500">
          <cell r="A500">
            <v>57501</v>
          </cell>
          <cell r="B500" t="str">
            <v>PRI_T1T2</v>
          </cell>
          <cell r="C500">
            <v>110</v>
          </cell>
        </row>
        <row r="501">
          <cell r="A501">
            <v>57551</v>
          </cell>
          <cell r="B501" t="str">
            <v>PTHIET_T1</v>
          </cell>
          <cell r="C501">
            <v>110</v>
          </cell>
        </row>
        <row r="502">
          <cell r="A502">
            <v>57561</v>
          </cell>
          <cell r="B502" t="str">
            <v>PTHIET_T2</v>
          </cell>
          <cell r="C502">
            <v>110</v>
          </cell>
        </row>
        <row r="503">
          <cell r="A503">
            <v>57571</v>
          </cell>
          <cell r="B503" t="str">
            <v>PHTHIET_2</v>
          </cell>
          <cell r="C503">
            <v>110</v>
          </cell>
        </row>
        <row r="504">
          <cell r="A504">
            <v>57576</v>
          </cell>
          <cell r="B504" t="str">
            <v>TRU 03</v>
          </cell>
          <cell r="C504">
            <v>110</v>
          </cell>
        </row>
        <row r="505">
          <cell r="A505">
            <v>57581</v>
          </cell>
          <cell r="B505" t="str">
            <v>PHTHIET_2</v>
          </cell>
          <cell r="C505">
            <v>110</v>
          </cell>
        </row>
        <row r="506">
          <cell r="A506">
            <v>57601</v>
          </cell>
          <cell r="B506" t="str">
            <v>HTAN_T1</v>
          </cell>
          <cell r="C506">
            <v>110</v>
          </cell>
        </row>
        <row r="507">
          <cell r="A507">
            <v>57611</v>
          </cell>
          <cell r="B507" t="str">
            <v>HTAN_T2</v>
          </cell>
          <cell r="C507">
            <v>110</v>
          </cell>
        </row>
        <row r="508">
          <cell r="A508">
            <v>57631</v>
          </cell>
          <cell r="B508" t="str">
            <v>MALAM_T1</v>
          </cell>
          <cell r="C508">
            <v>110</v>
          </cell>
        </row>
        <row r="509">
          <cell r="A509">
            <v>57651</v>
          </cell>
          <cell r="B509" t="str">
            <v>LNGSON_T1</v>
          </cell>
          <cell r="C509">
            <v>110</v>
          </cell>
        </row>
        <row r="510">
          <cell r="A510">
            <v>57656</v>
          </cell>
          <cell r="B510" t="str">
            <v>R LUONGSON</v>
          </cell>
          <cell r="C510">
            <v>110</v>
          </cell>
        </row>
        <row r="511">
          <cell r="A511">
            <v>57701</v>
          </cell>
          <cell r="B511" t="str">
            <v>THNAM_T2</v>
          </cell>
          <cell r="C511">
            <v>110</v>
          </cell>
        </row>
        <row r="512">
          <cell r="A512">
            <v>57711</v>
          </cell>
          <cell r="B512" t="str">
            <v>THNAM_T1</v>
          </cell>
          <cell r="C512">
            <v>110</v>
          </cell>
        </row>
        <row r="513">
          <cell r="A513">
            <v>57751</v>
          </cell>
          <cell r="B513" t="str">
            <v>MUI NE T12</v>
          </cell>
          <cell r="C513">
            <v>110</v>
          </cell>
        </row>
        <row r="514">
          <cell r="A514">
            <v>57756</v>
          </cell>
          <cell r="B514" t="str">
            <v>TRU 96</v>
          </cell>
          <cell r="C514">
            <v>110</v>
          </cell>
        </row>
        <row r="515">
          <cell r="A515">
            <v>57921</v>
          </cell>
          <cell r="B515" t="str">
            <v>TUYPHONG T1</v>
          </cell>
          <cell r="C515">
            <v>110</v>
          </cell>
        </row>
        <row r="516">
          <cell r="A516">
            <v>57941</v>
          </cell>
          <cell r="B516" t="str">
            <v>DUCLINH_T1</v>
          </cell>
          <cell r="C516">
            <v>110</v>
          </cell>
        </row>
        <row r="517">
          <cell r="A517">
            <v>57951</v>
          </cell>
          <cell r="B517" t="str">
            <v>DUCLINH_T2</v>
          </cell>
          <cell r="C517">
            <v>110</v>
          </cell>
        </row>
        <row r="518">
          <cell r="A518">
            <v>57961</v>
          </cell>
          <cell r="B518" t="str">
            <v>HKIEM_T1</v>
          </cell>
          <cell r="C518">
            <v>110</v>
          </cell>
        </row>
        <row r="519">
          <cell r="A519">
            <v>57971</v>
          </cell>
          <cell r="B519" t="str">
            <v>HKIEM_T2</v>
          </cell>
          <cell r="C519">
            <v>110</v>
          </cell>
        </row>
        <row r="520">
          <cell r="A520">
            <v>58001</v>
          </cell>
          <cell r="B520" t="str">
            <v>BEN LUC</v>
          </cell>
          <cell r="C520">
            <v>110</v>
          </cell>
        </row>
        <row r="521">
          <cell r="A521">
            <v>58021</v>
          </cell>
          <cell r="B521" t="str">
            <v>DUCHOA2</v>
          </cell>
          <cell r="C521">
            <v>110</v>
          </cell>
        </row>
        <row r="522">
          <cell r="A522">
            <v>58051</v>
          </cell>
          <cell r="B522" t="str">
            <v>DUCHOA_T1</v>
          </cell>
          <cell r="C522">
            <v>110</v>
          </cell>
        </row>
        <row r="523">
          <cell r="A523">
            <v>58057</v>
          </cell>
          <cell r="B523" t="str">
            <v>T_171(1)</v>
          </cell>
          <cell r="C523">
            <v>110</v>
          </cell>
        </row>
        <row r="524">
          <cell r="A524">
            <v>58061</v>
          </cell>
          <cell r="B524" t="str">
            <v>DUC HOA T2</v>
          </cell>
          <cell r="C524">
            <v>110</v>
          </cell>
        </row>
        <row r="525">
          <cell r="A525">
            <v>58101</v>
          </cell>
          <cell r="B525" t="str">
            <v>LONG AN T1</v>
          </cell>
          <cell r="C525">
            <v>110</v>
          </cell>
        </row>
        <row r="526">
          <cell r="A526">
            <v>58111</v>
          </cell>
          <cell r="B526" t="str">
            <v>LAN2</v>
          </cell>
          <cell r="C526">
            <v>110</v>
          </cell>
        </row>
        <row r="527">
          <cell r="A527">
            <v>58116</v>
          </cell>
          <cell r="B527" t="str">
            <v>TRU 164</v>
          </cell>
          <cell r="C527">
            <v>110</v>
          </cell>
        </row>
        <row r="528">
          <cell r="A528">
            <v>58117</v>
          </cell>
          <cell r="B528" t="str">
            <v>T67-68</v>
          </cell>
          <cell r="C528">
            <v>110</v>
          </cell>
        </row>
        <row r="529">
          <cell r="A529">
            <v>58151</v>
          </cell>
          <cell r="B529" t="str">
            <v>FORMOSA T1</v>
          </cell>
          <cell r="C529">
            <v>110</v>
          </cell>
        </row>
        <row r="530">
          <cell r="A530">
            <v>58156</v>
          </cell>
          <cell r="B530" t="str">
            <v>R FORMOSA</v>
          </cell>
          <cell r="C530">
            <v>110</v>
          </cell>
        </row>
        <row r="531">
          <cell r="A531">
            <v>58201</v>
          </cell>
          <cell r="B531" t="str">
            <v>CHUNGSHING</v>
          </cell>
          <cell r="C531">
            <v>110</v>
          </cell>
        </row>
        <row r="532">
          <cell r="A532">
            <v>58206</v>
          </cell>
          <cell r="B532" t="str">
            <v>RCHNGSHING</v>
          </cell>
          <cell r="C532">
            <v>110</v>
          </cell>
        </row>
        <row r="533">
          <cell r="A533">
            <v>58251</v>
          </cell>
          <cell r="B533" t="str">
            <v>CAN DUOC T1</v>
          </cell>
          <cell r="C533">
            <v>110</v>
          </cell>
        </row>
        <row r="534">
          <cell r="A534">
            <v>58261</v>
          </cell>
          <cell r="B534" t="str">
            <v>CAN DUOC T2</v>
          </cell>
          <cell r="C534">
            <v>110</v>
          </cell>
        </row>
        <row r="535">
          <cell r="A535">
            <v>58301</v>
          </cell>
          <cell r="B535" t="str">
            <v>CHINHLUH T1</v>
          </cell>
          <cell r="C535">
            <v>110</v>
          </cell>
        </row>
        <row r="536">
          <cell r="A536">
            <v>58351</v>
          </cell>
          <cell r="B536" t="str">
            <v>MOC HOA T1</v>
          </cell>
          <cell r="C536">
            <v>110</v>
          </cell>
        </row>
        <row r="537">
          <cell r="A537">
            <v>58361</v>
          </cell>
          <cell r="B537" t="str">
            <v>MOC HOA T2</v>
          </cell>
          <cell r="C537">
            <v>110</v>
          </cell>
        </row>
        <row r="538">
          <cell r="A538">
            <v>58401</v>
          </cell>
          <cell r="B538" t="str">
            <v>TAN AN T1</v>
          </cell>
          <cell r="C538">
            <v>110</v>
          </cell>
        </row>
        <row r="539">
          <cell r="A539">
            <v>58411</v>
          </cell>
          <cell r="B539" t="str">
            <v>TAN AN T2</v>
          </cell>
          <cell r="C539">
            <v>110</v>
          </cell>
        </row>
        <row r="540">
          <cell r="A540">
            <v>58451</v>
          </cell>
          <cell r="B540" t="str">
            <v>THANHHOA T1</v>
          </cell>
          <cell r="C540">
            <v>110</v>
          </cell>
        </row>
        <row r="541">
          <cell r="A541">
            <v>58456</v>
          </cell>
          <cell r="B541" t="str">
            <v>TRU 147</v>
          </cell>
          <cell r="C541">
            <v>110</v>
          </cell>
        </row>
        <row r="542">
          <cell r="A542">
            <v>58501</v>
          </cell>
          <cell r="B542" t="str">
            <v>XMLAN_T1</v>
          </cell>
          <cell r="C542">
            <v>110</v>
          </cell>
        </row>
        <row r="543">
          <cell r="A543">
            <v>58507</v>
          </cell>
          <cell r="B543" t="str">
            <v>T_87</v>
          </cell>
          <cell r="C543">
            <v>110</v>
          </cell>
        </row>
        <row r="544">
          <cell r="A544">
            <v>58601</v>
          </cell>
          <cell r="B544" t="str">
            <v>RCHANH_T1</v>
          </cell>
          <cell r="C544">
            <v>110</v>
          </cell>
        </row>
        <row r="545">
          <cell r="A545">
            <v>58607</v>
          </cell>
          <cell r="B545" t="str">
            <v>R_RCHANH_T1</v>
          </cell>
          <cell r="C545">
            <v>110</v>
          </cell>
        </row>
        <row r="546">
          <cell r="A546">
            <v>58611</v>
          </cell>
          <cell r="B546" t="str">
            <v>RCHANH_T2</v>
          </cell>
          <cell r="C546">
            <v>110</v>
          </cell>
        </row>
        <row r="547">
          <cell r="A547">
            <v>58651</v>
          </cell>
          <cell r="B547" t="str">
            <v>DUCHUE_T1</v>
          </cell>
          <cell r="C547">
            <v>110</v>
          </cell>
        </row>
        <row r="548">
          <cell r="A548">
            <v>58751</v>
          </cell>
          <cell r="B548" t="str">
            <v>LONG HAU T1</v>
          </cell>
          <cell r="C548">
            <v>110</v>
          </cell>
        </row>
        <row r="549">
          <cell r="A549">
            <v>58761</v>
          </cell>
          <cell r="B549" t="str">
            <v>LONG HAU</v>
          </cell>
          <cell r="C549">
            <v>110</v>
          </cell>
        </row>
        <row r="550">
          <cell r="A550">
            <v>58841</v>
          </cell>
          <cell r="B550" t="str">
            <v>DUCLAP_T1</v>
          </cell>
          <cell r="C550">
            <v>110</v>
          </cell>
        </row>
        <row r="551">
          <cell r="A551">
            <v>58851</v>
          </cell>
          <cell r="B551" t="str">
            <v>DUCLAP_T2</v>
          </cell>
          <cell r="C551">
            <v>110</v>
          </cell>
        </row>
        <row r="552">
          <cell r="A552">
            <v>58857</v>
          </cell>
          <cell r="B552" t="str">
            <v>T_171(2)</v>
          </cell>
          <cell r="C552">
            <v>110</v>
          </cell>
        </row>
        <row r="553">
          <cell r="A553">
            <v>59001</v>
          </cell>
          <cell r="B553" t="str">
            <v>CAI LAY C1</v>
          </cell>
          <cell r="C553">
            <v>110</v>
          </cell>
        </row>
        <row r="554">
          <cell r="A554">
            <v>59011</v>
          </cell>
          <cell r="B554" t="str">
            <v>CAI LAY C2</v>
          </cell>
          <cell r="C554">
            <v>110</v>
          </cell>
        </row>
        <row r="555">
          <cell r="A555">
            <v>59018</v>
          </cell>
          <cell r="B555" t="str">
            <v>TU_CAILAY</v>
          </cell>
          <cell r="C555">
            <v>110</v>
          </cell>
        </row>
        <row r="556">
          <cell r="A556">
            <v>59041</v>
          </cell>
          <cell r="B556" t="str">
            <v>MTHO2_C11</v>
          </cell>
          <cell r="C556">
            <v>110</v>
          </cell>
        </row>
        <row r="557">
          <cell r="A557">
            <v>59051</v>
          </cell>
          <cell r="B557" t="str">
            <v>MTHO2_C12</v>
          </cell>
          <cell r="C557">
            <v>110</v>
          </cell>
        </row>
        <row r="558">
          <cell r="A558">
            <v>59101</v>
          </cell>
          <cell r="B558" t="str">
            <v>MY THO T3</v>
          </cell>
          <cell r="C558">
            <v>110</v>
          </cell>
        </row>
        <row r="559">
          <cell r="A559">
            <v>59106</v>
          </cell>
          <cell r="B559" t="str">
            <v>R_MYTHO_T3</v>
          </cell>
          <cell r="C559">
            <v>110</v>
          </cell>
        </row>
        <row r="560">
          <cell r="A560">
            <v>59201</v>
          </cell>
          <cell r="B560" t="str">
            <v>GOCONG_T1</v>
          </cell>
          <cell r="C560">
            <v>110</v>
          </cell>
        </row>
        <row r="561">
          <cell r="A561">
            <v>59211</v>
          </cell>
          <cell r="B561" t="str">
            <v>GO CONG T2</v>
          </cell>
          <cell r="C561">
            <v>110</v>
          </cell>
        </row>
        <row r="562">
          <cell r="A562">
            <v>59251</v>
          </cell>
          <cell r="B562" t="str">
            <v>MY THUAN T2</v>
          </cell>
          <cell r="C562">
            <v>110</v>
          </cell>
        </row>
        <row r="563">
          <cell r="A563">
            <v>59351</v>
          </cell>
          <cell r="B563" t="str">
            <v>GCTAY_T1</v>
          </cell>
          <cell r="C563">
            <v>110</v>
          </cell>
        </row>
        <row r="564">
          <cell r="A564">
            <v>59361</v>
          </cell>
          <cell r="B564" t="str">
            <v>TANHUONG_T1</v>
          </cell>
          <cell r="C564">
            <v>110</v>
          </cell>
        </row>
        <row r="565">
          <cell r="A565">
            <v>59371</v>
          </cell>
          <cell r="B565" t="str">
            <v>TANHUONG_T2</v>
          </cell>
          <cell r="C565">
            <v>110</v>
          </cell>
        </row>
        <row r="566">
          <cell r="A566">
            <v>59401</v>
          </cell>
          <cell r="B566" t="str">
            <v>CAIBE_T2</v>
          </cell>
          <cell r="C566">
            <v>110</v>
          </cell>
        </row>
        <row r="567">
          <cell r="A567">
            <v>59451</v>
          </cell>
          <cell r="B567" t="str">
            <v>BINHDUC_T1</v>
          </cell>
          <cell r="C567">
            <v>110</v>
          </cell>
        </row>
        <row r="568">
          <cell r="A568">
            <v>59461</v>
          </cell>
          <cell r="B568" t="str">
            <v>BINHDUC_T2</v>
          </cell>
          <cell r="C568">
            <v>110</v>
          </cell>
        </row>
        <row r="569">
          <cell r="A569">
            <v>60001</v>
          </cell>
          <cell r="B569" t="str">
            <v>BENTRE_T1T2</v>
          </cell>
          <cell r="C569">
            <v>110</v>
          </cell>
        </row>
        <row r="570">
          <cell r="A570">
            <v>60011</v>
          </cell>
          <cell r="B570" t="str">
            <v>BEN TRE 2</v>
          </cell>
          <cell r="C570">
            <v>110</v>
          </cell>
        </row>
        <row r="571">
          <cell r="A571">
            <v>60051</v>
          </cell>
          <cell r="B571" t="str">
            <v>MOCAY_T1T2</v>
          </cell>
          <cell r="C571">
            <v>110</v>
          </cell>
        </row>
        <row r="572">
          <cell r="A572">
            <v>60058</v>
          </cell>
          <cell r="B572" t="str">
            <v>TU_MOCAY</v>
          </cell>
          <cell r="C572">
            <v>110</v>
          </cell>
        </row>
        <row r="573">
          <cell r="A573">
            <v>60101</v>
          </cell>
          <cell r="B573" t="str">
            <v>BA TRI T1</v>
          </cell>
          <cell r="C573">
            <v>110</v>
          </cell>
        </row>
        <row r="574">
          <cell r="A574">
            <v>60151</v>
          </cell>
          <cell r="B574" t="str">
            <v>BINH DAI</v>
          </cell>
          <cell r="C574">
            <v>110</v>
          </cell>
        </row>
        <row r="575">
          <cell r="A575">
            <v>60156</v>
          </cell>
          <cell r="B575" t="str">
            <v>R BINH DAI</v>
          </cell>
          <cell r="C575">
            <v>110</v>
          </cell>
        </row>
        <row r="576">
          <cell r="A576">
            <v>60201</v>
          </cell>
          <cell r="B576" t="str">
            <v>CHO LACH T2</v>
          </cell>
          <cell r="C576">
            <v>110</v>
          </cell>
        </row>
        <row r="577">
          <cell r="A577">
            <v>60251</v>
          </cell>
          <cell r="B577" t="str">
            <v>BINHTHANH_T1</v>
          </cell>
          <cell r="C577">
            <v>110</v>
          </cell>
        </row>
        <row r="578">
          <cell r="A578">
            <v>60701</v>
          </cell>
          <cell r="B578" t="str">
            <v>TRA NOC</v>
          </cell>
          <cell r="C578">
            <v>110</v>
          </cell>
        </row>
        <row r="579">
          <cell r="A579">
            <v>60851</v>
          </cell>
          <cell r="B579" t="str">
            <v>LONG HOA T1</v>
          </cell>
          <cell r="C579">
            <v>110</v>
          </cell>
        </row>
        <row r="580">
          <cell r="A580">
            <v>60861</v>
          </cell>
          <cell r="B580" t="str">
            <v>LONG HOA C2</v>
          </cell>
          <cell r="C580">
            <v>110</v>
          </cell>
        </row>
        <row r="581">
          <cell r="A581">
            <v>60901</v>
          </cell>
          <cell r="B581" t="str">
            <v>CTHO_T1</v>
          </cell>
          <cell r="C581">
            <v>110</v>
          </cell>
        </row>
        <row r="582">
          <cell r="A582">
            <v>60906</v>
          </cell>
          <cell r="B582" t="str">
            <v>R CAN THO</v>
          </cell>
          <cell r="C582">
            <v>110</v>
          </cell>
        </row>
        <row r="583">
          <cell r="A583">
            <v>60911</v>
          </cell>
          <cell r="B583" t="str">
            <v>CTHO_T2</v>
          </cell>
          <cell r="C583">
            <v>110</v>
          </cell>
        </row>
        <row r="584">
          <cell r="A584">
            <v>60921</v>
          </cell>
          <cell r="B584" t="str">
            <v>VINHTHANH_T2</v>
          </cell>
          <cell r="C584">
            <v>110</v>
          </cell>
        </row>
        <row r="585">
          <cell r="A585">
            <v>60951</v>
          </cell>
          <cell r="B585" t="str">
            <v>P.T.NAMBOT1</v>
          </cell>
          <cell r="C585">
            <v>110</v>
          </cell>
        </row>
        <row r="586">
          <cell r="A586">
            <v>60961</v>
          </cell>
          <cell r="B586" t="str">
            <v>P.T.NAMBOT2</v>
          </cell>
          <cell r="C586">
            <v>110</v>
          </cell>
        </row>
        <row r="587">
          <cell r="A587">
            <v>61001</v>
          </cell>
          <cell r="B587" t="str">
            <v>TTHUANT1</v>
          </cell>
          <cell r="C587">
            <v>110</v>
          </cell>
        </row>
        <row r="588">
          <cell r="A588">
            <v>61051</v>
          </cell>
          <cell r="B588" t="str">
            <v>THOT NOT T1</v>
          </cell>
          <cell r="C588">
            <v>110</v>
          </cell>
        </row>
        <row r="589">
          <cell r="A589">
            <v>61056</v>
          </cell>
          <cell r="B589" t="str">
            <v>R_TNOT</v>
          </cell>
          <cell r="C589">
            <v>110</v>
          </cell>
        </row>
        <row r="590">
          <cell r="A590">
            <v>61061</v>
          </cell>
          <cell r="B590" t="str">
            <v>THNOT2</v>
          </cell>
          <cell r="C590">
            <v>110</v>
          </cell>
        </row>
        <row r="591">
          <cell r="A591">
            <v>61068</v>
          </cell>
          <cell r="B591" t="str">
            <v>TU_THNOT</v>
          </cell>
          <cell r="C591">
            <v>110</v>
          </cell>
        </row>
        <row r="592">
          <cell r="A592">
            <v>61101</v>
          </cell>
          <cell r="B592" t="str">
            <v>CTHKCN_T1T2</v>
          </cell>
          <cell r="C592">
            <v>110</v>
          </cell>
        </row>
        <row r="593">
          <cell r="A593">
            <v>61106</v>
          </cell>
          <cell r="B593" t="str">
            <v>R KCNCANTHO</v>
          </cell>
          <cell r="C593">
            <v>110</v>
          </cell>
        </row>
        <row r="594">
          <cell r="A594">
            <v>61201</v>
          </cell>
          <cell r="B594" t="str">
            <v>O MON</v>
          </cell>
          <cell r="C594">
            <v>110</v>
          </cell>
        </row>
        <row r="595">
          <cell r="A595">
            <v>61207</v>
          </cell>
          <cell r="B595" t="str">
            <v>TRU B110_13</v>
          </cell>
          <cell r="C595">
            <v>110</v>
          </cell>
        </row>
        <row r="596">
          <cell r="A596">
            <v>61301</v>
          </cell>
          <cell r="B596" t="str">
            <v>BTHUY_T1</v>
          </cell>
          <cell r="C596">
            <v>110</v>
          </cell>
        </row>
        <row r="597">
          <cell r="A597">
            <v>61351</v>
          </cell>
          <cell r="B597" t="str">
            <v>KCN HUNGPHU</v>
          </cell>
          <cell r="C597">
            <v>110</v>
          </cell>
        </row>
        <row r="598">
          <cell r="A598">
            <v>62401</v>
          </cell>
          <cell r="B598" t="str">
            <v>VI THANH T2</v>
          </cell>
          <cell r="C598">
            <v>110</v>
          </cell>
        </row>
        <row r="599">
          <cell r="A599">
            <v>62421</v>
          </cell>
          <cell r="B599" t="str">
            <v>CHAUTHANHT1</v>
          </cell>
          <cell r="C599">
            <v>110</v>
          </cell>
        </row>
        <row r="600">
          <cell r="A600">
            <v>62441</v>
          </cell>
          <cell r="B600" t="str">
            <v>PH_HIEP_T1</v>
          </cell>
          <cell r="C600">
            <v>110</v>
          </cell>
        </row>
        <row r="601">
          <cell r="A601">
            <v>62451</v>
          </cell>
          <cell r="B601" t="str">
            <v>PHUNGHIEPT2</v>
          </cell>
          <cell r="C601">
            <v>110</v>
          </cell>
        </row>
        <row r="602">
          <cell r="A602">
            <v>62511</v>
          </cell>
          <cell r="B602" t="str">
            <v>LNGMY_T2</v>
          </cell>
          <cell r="C602">
            <v>110</v>
          </cell>
        </row>
        <row r="603">
          <cell r="A603">
            <v>62901</v>
          </cell>
          <cell r="B603" t="str">
            <v>STRANG_T1</v>
          </cell>
          <cell r="C603">
            <v>110</v>
          </cell>
        </row>
        <row r="604">
          <cell r="A604">
            <v>62911</v>
          </cell>
          <cell r="B604" t="str">
            <v>STRANG_T2</v>
          </cell>
          <cell r="C604">
            <v>110</v>
          </cell>
        </row>
        <row r="605">
          <cell r="A605">
            <v>62921</v>
          </cell>
          <cell r="B605" t="str">
            <v>STRANG2_C11</v>
          </cell>
          <cell r="C605">
            <v>110</v>
          </cell>
        </row>
        <row r="606">
          <cell r="A606">
            <v>62931</v>
          </cell>
          <cell r="B606" t="str">
            <v>STRANG2_C12</v>
          </cell>
          <cell r="C606">
            <v>110</v>
          </cell>
        </row>
        <row r="607">
          <cell r="A607">
            <v>62941</v>
          </cell>
          <cell r="B607" t="str">
            <v>THANHTRI_T1</v>
          </cell>
          <cell r="C607">
            <v>110</v>
          </cell>
        </row>
        <row r="608">
          <cell r="A608">
            <v>62947</v>
          </cell>
          <cell r="B608" t="str">
            <v>R_THANHTRI</v>
          </cell>
          <cell r="C608">
            <v>110</v>
          </cell>
        </row>
        <row r="609">
          <cell r="A609">
            <v>62961</v>
          </cell>
          <cell r="B609" t="str">
            <v>DAI NGAI T2</v>
          </cell>
          <cell r="C609">
            <v>110</v>
          </cell>
        </row>
        <row r="610">
          <cell r="A610">
            <v>63001</v>
          </cell>
          <cell r="B610" t="str">
            <v>TRDE_T1</v>
          </cell>
          <cell r="C610">
            <v>110</v>
          </cell>
        </row>
        <row r="611">
          <cell r="A611">
            <v>63011</v>
          </cell>
          <cell r="B611" t="str">
            <v>TRDE_T2</v>
          </cell>
          <cell r="C611">
            <v>110</v>
          </cell>
        </row>
        <row r="612">
          <cell r="A612">
            <v>63051</v>
          </cell>
          <cell r="B612" t="str">
            <v>VINHCHAU_T1</v>
          </cell>
          <cell r="C612">
            <v>110</v>
          </cell>
        </row>
        <row r="613">
          <cell r="A613">
            <v>63101</v>
          </cell>
          <cell r="B613" t="str">
            <v>MY TU T1</v>
          </cell>
          <cell r="C613">
            <v>110</v>
          </cell>
        </row>
        <row r="614">
          <cell r="A614">
            <v>63601</v>
          </cell>
          <cell r="B614" t="str">
            <v>LOXUYEN_T1</v>
          </cell>
          <cell r="C614">
            <v>110</v>
          </cell>
        </row>
        <row r="615">
          <cell r="A615">
            <v>63606</v>
          </cell>
          <cell r="B615" t="str">
            <v>TRU12</v>
          </cell>
          <cell r="C615">
            <v>110</v>
          </cell>
        </row>
        <row r="616">
          <cell r="A616">
            <v>63611</v>
          </cell>
          <cell r="B616" t="str">
            <v>LONGXUYENT2</v>
          </cell>
          <cell r="C616">
            <v>110</v>
          </cell>
        </row>
        <row r="617">
          <cell r="A617">
            <v>63651</v>
          </cell>
          <cell r="B617" t="str">
            <v>ANCHAU_T1</v>
          </cell>
          <cell r="C617">
            <v>110</v>
          </cell>
        </row>
        <row r="618">
          <cell r="A618">
            <v>63661</v>
          </cell>
          <cell r="B618" t="str">
            <v>ANCHAU_T2</v>
          </cell>
          <cell r="C618">
            <v>110</v>
          </cell>
        </row>
        <row r="619">
          <cell r="A619">
            <v>63701</v>
          </cell>
          <cell r="B619" t="str">
            <v>CHAU DOC T1</v>
          </cell>
          <cell r="C619">
            <v>110</v>
          </cell>
        </row>
        <row r="620">
          <cell r="A620">
            <v>63711</v>
          </cell>
          <cell r="B620" t="str">
            <v>CHAU DOC T2</v>
          </cell>
          <cell r="C620">
            <v>110</v>
          </cell>
        </row>
        <row r="621">
          <cell r="A621">
            <v>63718</v>
          </cell>
          <cell r="B621" t="str">
            <v>TU_CDOC</v>
          </cell>
          <cell r="C621">
            <v>110</v>
          </cell>
        </row>
        <row r="622">
          <cell r="A622">
            <v>63721</v>
          </cell>
          <cell r="B622" t="str">
            <v>CHDOC2</v>
          </cell>
          <cell r="C622">
            <v>110</v>
          </cell>
        </row>
        <row r="623">
          <cell r="A623">
            <v>63751</v>
          </cell>
          <cell r="B623" t="str">
            <v>CAIDAU_T1</v>
          </cell>
          <cell r="C623">
            <v>110</v>
          </cell>
        </row>
        <row r="624">
          <cell r="A624">
            <v>63761</v>
          </cell>
          <cell r="B624" t="str">
            <v>CAI DAU T2</v>
          </cell>
          <cell r="C624">
            <v>110</v>
          </cell>
        </row>
        <row r="625">
          <cell r="A625">
            <v>63801</v>
          </cell>
          <cell r="B625" t="str">
            <v>PHU TAN T1</v>
          </cell>
          <cell r="C625">
            <v>110</v>
          </cell>
        </row>
        <row r="626">
          <cell r="A626">
            <v>63851</v>
          </cell>
          <cell r="B626" t="str">
            <v>TRITON_T1</v>
          </cell>
          <cell r="C626">
            <v>110</v>
          </cell>
        </row>
        <row r="627">
          <cell r="A627">
            <v>63901</v>
          </cell>
          <cell r="B627" t="str">
            <v>THSON_T2</v>
          </cell>
          <cell r="C627">
            <v>110</v>
          </cell>
        </row>
        <row r="628">
          <cell r="A628">
            <v>63941</v>
          </cell>
          <cell r="B628" t="str">
            <v>CHOMOI_T1</v>
          </cell>
          <cell r="C628">
            <v>110</v>
          </cell>
        </row>
        <row r="629">
          <cell r="A629">
            <v>63951</v>
          </cell>
          <cell r="B629" t="str">
            <v>CHOMOI_T2</v>
          </cell>
          <cell r="C629">
            <v>110</v>
          </cell>
        </row>
        <row r="630">
          <cell r="A630">
            <v>64001</v>
          </cell>
          <cell r="B630" t="str">
            <v>PHUCHAU_T2</v>
          </cell>
          <cell r="C630">
            <v>110</v>
          </cell>
        </row>
        <row r="631">
          <cell r="A631">
            <v>64101</v>
          </cell>
          <cell r="B631" t="str">
            <v>ANPHU_T2</v>
          </cell>
          <cell r="C631">
            <v>110</v>
          </cell>
        </row>
        <row r="632">
          <cell r="A632">
            <v>64301</v>
          </cell>
          <cell r="B632" t="str">
            <v>HOLCIM</v>
          </cell>
          <cell r="C632">
            <v>110</v>
          </cell>
        </row>
        <row r="633">
          <cell r="A633">
            <v>64351</v>
          </cell>
          <cell r="B633" t="str">
            <v>RGIA2</v>
          </cell>
          <cell r="C633">
            <v>110</v>
          </cell>
        </row>
        <row r="634">
          <cell r="A634">
            <v>64358</v>
          </cell>
          <cell r="B634" t="str">
            <v>TU_RGIA2</v>
          </cell>
          <cell r="C634">
            <v>110</v>
          </cell>
        </row>
        <row r="635">
          <cell r="A635">
            <v>64401</v>
          </cell>
          <cell r="B635" t="str">
            <v>RGIA_T1</v>
          </cell>
          <cell r="C635">
            <v>110</v>
          </cell>
        </row>
        <row r="636">
          <cell r="A636">
            <v>64411</v>
          </cell>
          <cell r="B636" t="str">
            <v>RGIA_T2</v>
          </cell>
          <cell r="C636">
            <v>110</v>
          </cell>
        </row>
        <row r="637">
          <cell r="A637">
            <v>64451</v>
          </cell>
          <cell r="B637" t="str">
            <v>CHUNG SU T1</v>
          </cell>
          <cell r="C637">
            <v>110</v>
          </cell>
        </row>
        <row r="638">
          <cell r="A638">
            <v>64501</v>
          </cell>
          <cell r="B638" t="str">
            <v>KIEN LUONG</v>
          </cell>
          <cell r="C638">
            <v>110</v>
          </cell>
        </row>
        <row r="639">
          <cell r="A639">
            <v>64551</v>
          </cell>
          <cell r="B639" t="str">
            <v>K.LUONG2 T1</v>
          </cell>
          <cell r="C639">
            <v>110</v>
          </cell>
        </row>
        <row r="640">
          <cell r="A640">
            <v>64561</v>
          </cell>
          <cell r="B640" t="str">
            <v>K.LUONG2 T2</v>
          </cell>
          <cell r="C640">
            <v>110</v>
          </cell>
        </row>
        <row r="641">
          <cell r="A641">
            <v>64568</v>
          </cell>
          <cell r="B641" t="str">
            <v>TU_KLUONG2</v>
          </cell>
          <cell r="C641">
            <v>110</v>
          </cell>
        </row>
        <row r="642">
          <cell r="A642">
            <v>64661</v>
          </cell>
          <cell r="B642" t="str">
            <v>ANBIEN_T2</v>
          </cell>
          <cell r="C642">
            <v>110</v>
          </cell>
        </row>
        <row r="643">
          <cell r="A643">
            <v>64701</v>
          </cell>
          <cell r="B643" t="str">
            <v>G.RIENG T1</v>
          </cell>
          <cell r="C643">
            <v>110</v>
          </cell>
        </row>
        <row r="644">
          <cell r="A644">
            <v>64751</v>
          </cell>
          <cell r="B644" t="str">
            <v>KBINH</v>
          </cell>
          <cell r="C644">
            <v>110</v>
          </cell>
        </row>
        <row r="645">
          <cell r="A645">
            <v>64851</v>
          </cell>
          <cell r="B645" t="str">
            <v>VTHUAN_T1</v>
          </cell>
          <cell r="C645">
            <v>110</v>
          </cell>
        </row>
        <row r="646">
          <cell r="A646">
            <v>64901</v>
          </cell>
          <cell r="B646" t="str">
            <v>HATIEN_T2</v>
          </cell>
          <cell r="C646">
            <v>110</v>
          </cell>
        </row>
        <row r="647">
          <cell r="A647">
            <v>64911</v>
          </cell>
          <cell r="B647" t="str">
            <v>HATIEN_C11</v>
          </cell>
          <cell r="C647">
            <v>110</v>
          </cell>
        </row>
        <row r="648">
          <cell r="A648">
            <v>65051</v>
          </cell>
          <cell r="B648" t="str">
            <v>HDAT_T1</v>
          </cell>
          <cell r="C648">
            <v>110</v>
          </cell>
        </row>
        <row r="649">
          <cell r="A649">
            <v>65101</v>
          </cell>
          <cell r="B649" t="str">
            <v>THDONG_T1</v>
          </cell>
          <cell r="C649">
            <v>110</v>
          </cell>
        </row>
        <row r="650">
          <cell r="A650">
            <v>65111</v>
          </cell>
          <cell r="B650" t="str">
            <v>PQUOC_T1</v>
          </cell>
          <cell r="C650">
            <v>110</v>
          </cell>
        </row>
        <row r="651">
          <cell r="A651">
            <v>65121</v>
          </cell>
          <cell r="B651" t="str">
            <v>PQUOC_T2</v>
          </cell>
          <cell r="C651">
            <v>110</v>
          </cell>
        </row>
        <row r="652">
          <cell r="A652">
            <v>65128</v>
          </cell>
          <cell r="B652" t="str">
            <v>KH_PQUOC</v>
          </cell>
          <cell r="C652">
            <v>110</v>
          </cell>
        </row>
        <row r="653">
          <cell r="A653">
            <v>65131</v>
          </cell>
          <cell r="B653" t="str">
            <v>MINHPHONG_T2</v>
          </cell>
          <cell r="C653">
            <v>110</v>
          </cell>
        </row>
        <row r="654">
          <cell r="A654">
            <v>65521</v>
          </cell>
          <cell r="B654" t="str">
            <v>VINH LONG 2</v>
          </cell>
          <cell r="C654">
            <v>110</v>
          </cell>
        </row>
        <row r="655">
          <cell r="A655">
            <v>65551</v>
          </cell>
          <cell r="B655" t="str">
            <v>VINHLONG T1</v>
          </cell>
          <cell r="C655">
            <v>110</v>
          </cell>
        </row>
        <row r="656">
          <cell r="A656">
            <v>65561</v>
          </cell>
          <cell r="B656" t="str">
            <v>VINHLONG T2</v>
          </cell>
          <cell r="C656">
            <v>110</v>
          </cell>
        </row>
        <row r="657">
          <cell r="A657">
            <v>65601</v>
          </cell>
          <cell r="B657" t="str">
            <v>VLIEM_T1T2</v>
          </cell>
          <cell r="C657">
            <v>110</v>
          </cell>
        </row>
        <row r="658">
          <cell r="A658">
            <v>65651</v>
          </cell>
          <cell r="B658" t="str">
            <v>BMINH_T1</v>
          </cell>
          <cell r="C658">
            <v>110</v>
          </cell>
        </row>
        <row r="659">
          <cell r="A659">
            <v>66201</v>
          </cell>
          <cell r="B659" t="str">
            <v>TRAVINH_2</v>
          </cell>
          <cell r="C659">
            <v>110</v>
          </cell>
        </row>
        <row r="660">
          <cell r="A660">
            <v>66221</v>
          </cell>
          <cell r="B660" t="str">
            <v>TVINHT1T2</v>
          </cell>
          <cell r="C660">
            <v>110</v>
          </cell>
        </row>
        <row r="661">
          <cell r="A661">
            <v>66228</v>
          </cell>
          <cell r="B661" t="str">
            <v>TU_TVINH</v>
          </cell>
          <cell r="C661">
            <v>110</v>
          </cell>
        </row>
        <row r="662">
          <cell r="A662">
            <v>66251</v>
          </cell>
          <cell r="B662" t="str">
            <v>DYNTRAT1T2</v>
          </cell>
          <cell r="C662">
            <v>110</v>
          </cell>
        </row>
        <row r="663">
          <cell r="A663">
            <v>66351</v>
          </cell>
          <cell r="B663" t="str">
            <v>CAUKE_T1</v>
          </cell>
          <cell r="C663">
            <v>110</v>
          </cell>
        </row>
        <row r="664">
          <cell r="A664">
            <v>66701</v>
          </cell>
          <cell r="B664" t="str">
            <v>SA DEC T1</v>
          </cell>
          <cell r="C664">
            <v>110</v>
          </cell>
        </row>
        <row r="665">
          <cell r="A665">
            <v>66706</v>
          </cell>
          <cell r="B665" t="str">
            <v>R SADEC T1</v>
          </cell>
          <cell r="C665">
            <v>110</v>
          </cell>
        </row>
        <row r="666">
          <cell r="A666">
            <v>66711</v>
          </cell>
          <cell r="B666" t="str">
            <v>SA DEC T2</v>
          </cell>
          <cell r="C666">
            <v>110</v>
          </cell>
        </row>
        <row r="667">
          <cell r="A667">
            <v>66731</v>
          </cell>
          <cell r="B667" t="str">
            <v>CLANH2_C11</v>
          </cell>
          <cell r="C667">
            <v>110</v>
          </cell>
        </row>
        <row r="668">
          <cell r="A668">
            <v>66741</v>
          </cell>
          <cell r="B668" t="str">
            <v>CAOLANH2 C2</v>
          </cell>
          <cell r="C668">
            <v>110</v>
          </cell>
        </row>
        <row r="669">
          <cell r="A669">
            <v>66751</v>
          </cell>
          <cell r="B669" t="str">
            <v>CAOLANH_T12</v>
          </cell>
          <cell r="C669">
            <v>110</v>
          </cell>
        </row>
        <row r="670">
          <cell r="A670">
            <v>66801</v>
          </cell>
          <cell r="B670" t="str">
            <v>AN LONG T1</v>
          </cell>
          <cell r="C670">
            <v>110</v>
          </cell>
        </row>
        <row r="671">
          <cell r="A671">
            <v>66808</v>
          </cell>
          <cell r="B671" t="str">
            <v>TU_ANLONG</v>
          </cell>
          <cell r="C671">
            <v>110</v>
          </cell>
        </row>
        <row r="672">
          <cell r="A672">
            <v>66851</v>
          </cell>
          <cell r="B672" t="str">
            <v>THHUNG_T1T2</v>
          </cell>
          <cell r="C672">
            <v>110</v>
          </cell>
        </row>
        <row r="673">
          <cell r="A673">
            <v>66901</v>
          </cell>
          <cell r="B673" t="str">
            <v>HONG NGU T1</v>
          </cell>
          <cell r="C673">
            <v>110</v>
          </cell>
        </row>
        <row r="674">
          <cell r="A674">
            <v>66911</v>
          </cell>
          <cell r="B674" t="str">
            <v>HONG NGU T2</v>
          </cell>
          <cell r="C674">
            <v>110</v>
          </cell>
        </row>
        <row r="675">
          <cell r="A675">
            <v>66951</v>
          </cell>
          <cell r="B675" t="str">
            <v>THAPMUOI_T1</v>
          </cell>
          <cell r="C675">
            <v>110</v>
          </cell>
        </row>
        <row r="676">
          <cell r="A676">
            <v>67001</v>
          </cell>
          <cell r="B676" t="str">
            <v>TQTOAN_T1</v>
          </cell>
          <cell r="C676">
            <v>110</v>
          </cell>
        </row>
        <row r="677">
          <cell r="A677">
            <v>67051</v>
          </cell>
          <cell r="B677" t="str">
            <v>AN HOA</v>
          </cell>
          <cell r="C677">
            <v>110</v>
          </cell>
        </row>
        <row r="678">
          <cell r="A678">
            <v>67101</v>
          </cell>
          <cell r="B678" t="str">
            <v>SONG HAU</v>
          </cell>
          <cell r="C678">
            <v>110</v>
          </cell>
        </row>
        <row r="679">
          <cell r="A679">
            <v>67401</v>
          </cell>
          <cell r="B679" t="str">
            <v>VTRCHDNG_T2</v>
          </cell>
          <cell r="C679">
            <v>110</v>
          </cell>
        </row>
        <row r="680">
          <cell r="A680">
            <v>67461</v>
          </cell>
          <cell r="B680" t="str">
            <v>BAC LIEU T1</v>
          </cell>
          <cell r="C680">
            <v>110</v>
          </cell>
        </row>
        <row r="681">
          <cell r="A681">
            <v>67471</v>
          </cell>
          <cell r="B681" t="str">
            <v>BACLIEU_T2</v>
          </cell>
          <cell r="C681">
            <v>110</v>
          </cell>
        </row>
        <row r="682">
          <cell r="A682">
            <v>67481</v>
          </cell>
          <cell r="B682" t="str">
            <v>BAC LIEU 2</v>
          </cell>
          <cell r="C682">
            <v>110</v>
          </cell>
        </row>
        <row r="683">
          <cell r="A683">
            <v>67501</v>
          </cell>
          <cell r="B683" t="str">
            <v>GIARAI_T1</v>
          </cell>
          <cell r="C683">
            <v>110</v>
          </cell>
        </row>
        <row r="684">
          <cell r="A684">
            <v>67511</v>
          </cell>
          <cell r="B684" t="str">
            <v>GIA RAI T2</v>
          </cell>
          <cell r="C684">
            <v>110</v>
          </cell>
        </row>
        <row r="685">
          <cell r="A685">
            <v>67551</v>
          </cell>
          <cell r="B685" t="str">
            <v>HDAN_T1</v>
          </cell>
          <cell r="C685">
            <v>110</v>
          </cell>
        </row>
        <row r="686">
          <cell r="A686">
            <v>67561</v>
          </cell>
          <cell r="B686" t="str">
            <v>HDAN_T2</v>
          </cell>
          <cell r="C686">
            <v>110</v>
          </cell>
        </row>
        <row r="687">
          <cell r="A687">
            <v>67801</v>
          </cell>
          <cell r="B687" t="str">
            <v>DHAI_T1</v>
          </cell>
          <cell r="C687">
            <v>110</v>
          </cell>
        </row>
        <row r="688">
          <cell r="A688">
            <v>67900</v>
          </cell>
          <cell r="B688" t="str">
            <v>CA MAU TU</v>
          </cell>
          <cell r="C688">
            <v>110</v>
          </cell>
        </row>
        <row r="689">
          <cell r="A689">
            <v>67901</v>
          </cell>
          <cell r="B689" t="str">
            <v>CA MAU T1</v>
          </cell>
          <cell r="C689">
            <v>110</v>
          </cell>
        </row>
        <row r="690">
          <cell r="A690">
            <v>67906</v>
          </cell>
          <cell r="B690" t="str">
            <v>R_CAMAU</v>
          </cell>
          <cell r="C690">
            <v>110</v>
          </cell>
        </row>
        <row r="691">
          <cell r="A691">
            <v>67907</v>
          </cell>
          <cell r="B691" t="str">
            <v>R CA MAU</v>
          </cell>
          <cell r="C691">
            <v>110</v>
          </cell>
        </row>
        <row r="692">
          <cell r="A692">
            <v>67911</v>
          </cell>
          <cell r="B692" t="str">
            <v>CA MAU T2</v>
          </cell>
          <cell r="C692">
            <v>110</v>
          </cell>
        </row>
        <row r="693">
          <cell r="A693">
            <v>67916</v>
          </cell>
          <cell r="B693" t="str">
            <v>R CA MAU</v>
          </cell>
          <cell r="C693">
            <v>110</v>
          </cell>
        </row>
        <row r="694">
          <cell r="A694">
            <v>67961</v>
          </cell>
          <cell r="B694" t="str">
            <v>CAI NUOC T2</v>
          </cell>
          <cell r="C694">
            <v>110</v>
          </cell>
        </row>
        <row r="695">
          <cell r="A695">
            <v>68001</v>
          </cell>
          <cell r="B695" t="str">
            <v>DAMDOI_T1</v>
          </cell>
          <cell r="C695">
            <v>110</v>
          </cell>
        </row>
        <row r="696">
          <cell r="A696">
            <v>68011</v>
          </cell>
          <cell r="B696" t="str">
            <v>DAMDOI_T2</v>
          </cell>
          <cell r="C696">
            <v>110</v>
          </cell>
        </row>
        <row r="697">
          <cell r="A697">
            <v>68101</v>
          </cell>
          <cell r="B697" t="str">
            <v>CMAU2</v>
          </cell>
          <cell r="C697">
            <v>110</v>
          </cell>
        </row>
        <row r="698">
          <cell r="A698">
            <v>68151</v>
          </cell>
          <cell r="B698" t="str">
            <v>T.V.THOI T1</v>
          </cell>
          <cell r="C698">
            <v>110</v>
          </cell>
        </row>
        <row r="699">
          <cell r="A699">
            <v>68251</v>
          </cell>
          <cell r="B699" t="str">
            <v>NGOCHIEN T2</v>
          </cell>
          <cell r="C699">
            <v>110</v>
          </cell>
        </row>
        <row r="700">
          <cell r="A700">
            <v>68351</v>
          </cell>
          <cell r="B700" t="str">
            <v>AN XUYEN T1</v>
          </cell>
          <cell r="C700">
            <v>110</v>
          </cell>
        </row>
        <row r="701">
          <cell r="A701">
            <v>68601</v>
          </cell>
          <cell r="B701" t="str">
            <v>DADNG</v>
          </cell>
          <cell r="C701">
            <v>110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tables/table1.xml><?xml version="1.0" encoding="utf-8"?>
<table xmlns="http://schemas.openxmlformats.org/spreadsheetml/2006/main" id="1" name="Table1" displayName="Table1" ref="A1:C40" headerRowCount="1" totalsRowShown="0" headerRowDxfId="42" dataDxfId="40" headerRowBorderDxfId="41" tableBorderDxfId="39">
  <autoFilter ref="A1:C40"/>
  <tableColumns count="3">
    <tableColumn id="1" name="owner_code" dataDxfId="38"/>
    <tableColumn id="2" name="owner_name_en" dataDxfId="37"/>
    <tableColumn id="3" name="owner_name_vi" dataDxfId="36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:D43" headerRowCount="1" totalsRowShown="0" headerRowDxfId="35" dataDxfId="33" headerRowBorderDxfId="34" tableBorderDxfId="32" totalsRowBorderDxfId="31">
  <autoFilter ref="A1:D43"/>
  <tableColumns count="4">
    <tableColumn id="2" name="Sym" dataDxfId="30"/>
    <tableColumn id="3" name="zone_code" dataDxfId="29"/>
    <tableColumn id="7" name="zone_name_en" dataDxfId="28"/>
    <tableColumn id="4" name="zone_name_vi" dataDxfId="27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A1:K1755" headerRowCount="1" totalsRowShown="0" headerRowDxfId="26" dataDxfId="24" headerRowBorderDxfId="25" tableBorderDxfId="23" totalsRowBorderDxfId="22">
  <autoFilter ref="A1:K1755"/>
  <tableColumns count="11">
    <tableColumn id="5" name="bus_code" dataDxfId="21"/>
    <tableColumn id="1" name="bus_name_vi" dataDxfId="20"/>
    <tableColumn id="11" name="TBA_SCADA" dataDxfId="19"/>
    <tableColumn id="2" name="Sym" dataDxfId="18"/>
    <tableColumn id="3" name="Sym_Tran" dataDxfId="17" dataCellStyle="Normal 3"/>
    <tableColumn id="6" name="Note" dataDxfId="16">
      <calculatedColumnFormula>IF(E2&lt;&gt;"","Đã VH","Quy hoạch điện VIII")</calculatedColumnFormula>
    </tableColumn>
    <tableColumn id="7" name="Type" dataDxfId="15">
      <calculatedColumnFormula>LEFT(B2,FIND(" ",B2,1)-1)</calculatedColumnFormula>
    </tableColumn>
    <tableColumn id="8" name="Name" dataDxfId="14">
      <calculatedColumnFormula>TRIM(RIGHT(B2,LEN(B2)-FIND(" ",B2,1)))</calculatedColumnFormula>
    </tableColumn>
    <tableColumn id="9" name="Type2" dataDxfId="13">
      <calculatedColumnFormula>_xlfn.XLOOKUP(Table2[[#This Row],[Type]],Table5[Type],Table5[Type2])</calculatedColumnFormula>
    </tableColumn>
    <tableColumn id="4" name="zone_code" dataDxfId="12">
      <calculatedColumnFormula>_xlfn.XLOOKUP(Table2[[#This Row],[Sym]],Zones!$A$2:$A$21,Zones!$B$2:$B$21)</calculatedColumnFormula>
    </tableColumn>
    <tableColumn id="10" name="owner_code" dataDxfId="11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" name="Table5" displayName="Table5" ref="M1:O14" headerRowCount="1" totalsRowShown="0">
  <autoFilter ref="M1:O14"/>
  <tableColumns count="3">
    <tableColumn id="1" name="Type"/>
    <tableColumn id="2" name="Type2"/>
    <tableColumn id="3" name="Type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C40"/>
  <sheetViews>
    <sheetView zoomScale="115" zoomScaleNormal="115" workbookViewId="0">
      <pane ySplit="1" topLeftCell="A8" activePane="bottomLeft" state="frozen"/>
      <selection pane="bottomLeft" activeCell="B1" sqref="B1"/>
    </sheetView>
  </sheetViews>
  <sheetFormatPr baseColWidth="8" defaultRowHeight="15"/>
  <cols>
    <col width="16.5703125" bestFit="1" customWidth="1" min="1" max="1"/>
    <col width="20.7109375" bestFit="1" customWidth="1" min="2" max="2"/>
    <col width="23.140625" bestFit="1" customWidth="1" min="3" max="3"/>
  </cols>
  <sheetData>
    <row r="1">
      <c r="A1" s="19" t="inlineStr">
        <is>
          <t>owner_code</t>
        </is>
      </c>
      <c r="B1" s="19" t="inlineStr">
        <is>
          <t>owner_name_en</t>
        </is>
      </c>
      <c r="C1" s="19" t="inlineStr">
        <is>
          <t>owner_name_vi</t>
        </is>
      </c>
    </row>
    <row r="2">
      <c r="A2" t="n">
        <v>1</v>
      </c>
    </row>
    <row r="3">
      <c r="A3" t="n">
        <v>10</v>
      </c>
      <c r="B3" t="inlineStr">
        <is>
          <t>PTC_1</t>
        </is>
      </c>
      <c r="C3" t="inlineStr">
        <is>
          <t>Truyền tải điện 1</t>
        </is>
      </c>
    </row>
    <row r="4">
      <c r="A4" t="n">
        <v>20</v>
      </c>
      <c r="B4" t="inlineStr">
        <is>
          <t>PTC_2</t>
        </is>
      </c>
      <c r="C4" t="inlineStr">
        <is>
          <t>Truyền tải điện 2</t>
        </is>
      </c>
    </row>
    <row r="5">
      <c r="A5" t="n">
        <v>30</v>
      </c>
      <c r="B5" t="inlineStr">
        <is>
          <t>PTC_3</t>
        </is>
      </c>
      <c r="C5" t="inlineStr">
        <is>
          <t>Truyền tải điện 3</t>
        </is>
      </c>
    </row>
    <row r="6">
      <c r="A6" t="n">
        <v>40</v>
      </c>
      <c r="B6" t="inlineStr">
        <is>
          <t>PTC_4</t>
        </is>
      </c>
      <c r="C6" t="inlineStr">
        <is>
          <t>Truyền tải điện 4</t>
        </is>
      </c>
    </row>
    <row r="7">
      <c r="A7" t="n">
        <v>50</v>
      </c>
      <c r="B7" t="inlineStr">
        <is>
          <t>500_KV</t>
        </is>
      </c>
      <c r="C7" t="inlineStr">
        <is>
          <t>Lưới 500kV</t>
        </is>
      </c>
    </row>
    <row r="8">
      <c r="A8" t="n">
        <v>100</v>
      </c>
      <c r="B8" t="inlineStr">
        <is>
          <t>NPC</t>
        </is>
      </c>
      <c r="C8" t="inlineStr">
        <is>
          <t>TCT Điện Lực Miền Bắc</t>
        </is>
      </c>
    </row>
    <row r="9">
      <c r="A9" t="n">
        <v>200</v>
      </c>
      <c r="B9" t="inlineStr">
        <is>
          <t>SPC</t>
        </is>
      </c>
      <c r="C9" t="inlineStr">
        <is>
          <t>TCT Điện Lực Miền Nam</t>
        </is>
      </c>
    </row>
    <row r="10">
      <c r="A10" t="n">
        <v>300</v>
      </c>
      <c r="B10" t="inlineStr">
        <is>
          <t>CPC</t>
        </is>
      </c>
      <c r="C10" t="inlineStr">
        <is>
          <t>TCT Điện Lực Miền Trung</t>
        </is>
      </c>
    </row>
    <row r="11">
      <c r="A11" t="n">
        <v>355</v>
      </c>
    </row>
    <row r="12">
      <c r="A12" t="n">
        <v>358</v>
      </c>
    </row>
    <row r="13">
      <c r="A13" t="n">
        <v>400</v>
      </c>
      <c r="B13" t="inlineStr">
        <is>
          <t>HA_NOI</t>
        </is>
      </c>
      <c r="C13" t="inlineStr">
        <is>
          <t>TCT Điện Lực Hà Nội</t>
        </is>
      </c>
    </row>
    <row r="14">
      <c r="A14" t="n">
        <v>450</v>
      </c>
    </row>
    <row r="15">
      <c r="A15" t="n">
        <v>500</v>
      </c>
      <c r="B15" t="inlineStr">
        <is>
          <t>HCM</t>
        </is>
      </c>
      <c r="C15" t="inlineStr">
        <is>
          <t>TCT Điện Lực TP.HCM</t>
        </is>
      </c>
    </row>
    <row r="16">
      <c r="A16" t="n">
        <v>600</v>
      </c>
      <c r="B16" t="inlineStr">
        <is>
          <t>KH_BAC</t>
        </is>
      </c>
      <c r="C16" t="inlineStr">
        <is>
          <t>Khách hàng 110kV Bắc</t>
        </is>
      </c>
    </row>
    <row r="17">
      <c r="A17" t="n">
        <v>700</v>
      </c>
      <c r="B17" t="inlineStr">
        <is>
          <t>KH_NAM</t>
        </is>
      </c>
      <c r="C17" t="inlineStr">
        <is>
          <t>Khách hàng 110kV Nam</t>
        </is>
      </c>
    </row>
    <row r="18">
      <c r="A18" t="n">
        <v>701</v>
      </c>
    </row>
    <row r="19">
      <c r="A19" t="n">
        <v>702</v>
      </c>
    </row>
    <row r="20">
      <c r="A20" t="n">
        <v>703</v>
      </c>
    </row>
    <row r="21">
      <c r="A21" t="n">
        <v>706</v>
      </c>
    </row>
    <row r="22">
      <c r="A22" t="n">
        <v>709</v>
      </c>
    </row>
    <row r="23">
      <c r="A23" t="n">
        <v>710</v>
      </c>
    </row>
    <row r="24">
      <c r="A24" t="n">
        <v>800</v>
      </c>
      <c r="B24" t="inlineStr">
        <is>
          <t>KH_TRUNG</t>
        </is>
      </c>
      <c r="C24" t="inlineStr">
        <is>
          <t>Khách hàng 110kV Trung</t>
        </is>
      </c>
    </row>
    <row r="25">
      <c r="A25" t="n">
        <v>1000</v>
      </c>
      <c r="B25" t="inlineStr">
        <is>
          <t>THUY_DIEN</t>
        </is>
      </c>
      <c r="C25" t="inlineStr">
        <is>
          <t>Thủy điện</t>
        </is>
      </c>
    </row>
    <row r="26">
      <c r="A26" t="n">
        <v>2000</v>
      </c>
      <c r="B26" t="inlineStr">
        <is>
          <t>ND_THAN</t>
        </is>
      </c>
      <c r="C26" t="inlineStr">
        <is>
          <t>Nhiệt điện than</t>
        </is>
      </c>
    </row>
    <row r="27">
      <c r="A27" t="n">
        <v>2100</v>
      </c>
      <c r="B27" t="inlineStr">
        <is>
          <t>ND SINH KHOI</t>
        </is>
      </c>
      <c r="C27" t="inlineStr">
        <is>
          <t>Nhiệt điện sinh khối</t>
        </is>
      </c>
    </row>
    <row r="28">
      <c r="A28" t="n">
        <v>3000</v>
      </c>
      <c r="B28" t="inlineStr">
        <is>
          <t>TBK_GT</t>
        </is>
      </c>
      <c r="C28" t="inlineStr">
        <is>
          <t>Tuabin khí (dùng khí)</t>
        </is>
      </c>
    </row>
    <row r="29">
      <c r="A29" t="n">
        <v>3100</v>
      </c>
      <c r="B29" t="inlineStr">
        <is>
          <t>TBK_ST</t>
        </is>
      </c>
      <c r="C29" t="inlineStr">
        <is>
          <t>Tuabin khí (đuôi hơi)</t>
        </is>
      </c>
    </row>
    <row r="30">
      <c r="A30" t="n">
        <v>4000</v>
      </c>
      <c r="B30" t="inlineStr">
        <is>
          <t>TB_DAU_GT</t>
        </is>
      </c>
      <c r="C30" t="inlineStr">
        <is>
          <t>Tuabin dầu (dùng khí)</t>
        </is>
      </c>
    </row>
    <row r="31">
      <c r="A31" t="n">
        <v>4100</v>
      </c>
      <c r="B31" t="inlineStr">
        <is>
          <t>TB_DAU_ST</t>
        </is>
      </c>
      <c r="C31" t="inlineStr">
        <is>
          <t>Tuabin dầu (đuôi hơi)</t>
        </is>
      </c>
    </row>
    <row r="32">
      <c r="A32" t="n">
        <v>4200</v>
      </c>
      <c r="B32" t="inlineStr">
        <is>
          <t>ND_DAU</t>
        </is>
      </c>
      <c r="C32" t="inlineStr">
        <is>
          <t>Nhiệt điện dầu (đốt dầu)</t>
        </is>
      </c>
    </row>
    <row r="33">
      <c r="A33" t="n">
        <v>5000</v>
      </c>
      <c r="B33" t="inlineStr">
        <is>
          <t>TDN</t>
        </is>
      </c>
      <c r="C33" t="inlineStr">
        <is>
          <t>Thủy điện nhỏ (&lt;30MW)</t>
        </is>
      </c>
    </row>
    <row r="34">
      <c r="A34" t="n">
        <v>6000</v>
      </c>
      <c r="B34" t="inlineStr">
        <is>
          <t>DIESEL</t>
        </is>
      </c>
      <c r="C34" t="inlineStr">
        <is>
          <t>Nguồn Diesel</t>
        </is>
      </c>
    </row>
    <row r="35">
      <c r="A35" t="n">
        <v>6100</v>
      </c>
      <c r="B35" t="inlineStr">
        <is>
          <t>NGUON_KHAC</t>
        </is>
      </c>
      <c r="C35" t="inlineStr">
        <is>
          <t>Nguồn khác</t>
        </is>
      </c>
    </row>
    <row r="36">
      <c r="A36" t="n">
        <v>6200</v>
      </c>
      <c r="B36" t="inlineStr">
        <is>
          <t>NL GIO_EQUI</t>
        </is>
      </c>
      <c r="C36" t="inlineStr">
        <is>
          <t>Điện gió</t>
        </is>
      </c>
    </row>
    <row r="37">
      <c r="A37" t="n">
        <v>6500</v>
      </c>
      <c r="B37" t="inlineStr">
        <is>
          <t>SOLAR</t>
        </is>
      </c>
      <c r="C37" t="inlineStr">
        <is>
          <t>Điện mặt trời</t>
        </is>
      </c>
    </row>
    <row r="38">
      <c r="A38" t="n">
        <v>7000</v>
      </c>
      <c r="B38" t="inlineStr">
        <is>
          <t>TRUNG_QUOC</t>
        </is>
      </c>
      <c r="C38" t="inlineStr">
        <is>
          <t>Nhập khẩu Trung Quốc</t>
        </is>
      </c>
    </row>
    <row r="39">
      <c r="A39" t="n">
        <v>8000</v>
      </c>
      <c r="B39" t="inlineStr">
        <is>
          <t>LAO</t>
        </is>
      </c>
      <c r="C39" t="inlineStr">
        <is>
          <t>Nhập khẩu Lào</t>
        </is>
      </c>
    </row>
    <row r="40">
      <c r="A40" t="n">
        <v>9000</v>
      </c>
      <c r="B40" t="inlineStr">
        <is>
          <t>CAMPUCHIA</t>
        </is>
      </c>
      <c r="C40" t="inlineStr">
        <is>
          <t>Nhập khẩu Campuchia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H45"/>
  <sheetViews>
    <sheetView zoomScale="115" zoomScaleNormal="115" workbookViewId="0">
      <selection activeCell="C7" sqref="C7"/>
    </sheetView>
  </sheetViews>
  <sheetFormatPr baseColWidth="8" defaultRowHeight="15"/>
  <cols>
    <col width="9.140625" customWidth="1" style="2" min="1" max="1"/>
    <col width="15.140625" bestFit="1" customWidth="1" style="2" min="2" max="2"/>
    <col width="19.28515625" bestFit="1" customWidth="1" style="7" min="3" max="3"/>
    <col width="18.5703125" bestFit="1" customWidth="1" min="4" max="4"/>
  </cols>
  <sheetData>
    <row r="1">
      <c r="A1" s="5" t="inlineStr">
        <is>
          <t>Sym</t>
        </is>
      </c>
      <c r="B1" s="19" t="inlineStr">
        <is>
          <t>zone_code</t>
        </is>
      </c>
      <c r="C1" s="19" t="inlineStr">
        <is>
          <t>zone_name_en</t>
        </is>
      </c>
      <c r="D1" s="19" t="inlineStr">
        <is>
          <t>zone_name_vi</t>
        </is>
      </c>
    </row>
    <row r="2">
      <c r="A2" s="3" t="inlineStr">
        <is>
          <t>B1</t>
        </is>
      </c>
      <c r="B2" s="3" t="n">
        <v>150</v>
      </c>
      <c r="C2" s="3" t="inlineStr">
        <is>
          <t>HA_NOI</t>
        </is>
      </c>
      <c r="D2" s="6" t="inlineStr">
        <is>
          <t>Hà Nội</t>
        </is>
      </c>
    </row>
    <row r="3">
      <c r="A3" s="3" t="inlineStr">
        <is>
          <t>B2</t>
        </is>
      </c>
      <c r="B3" s="3" t="n">
        <v>160</v>
      </c>
      <c r="C3" s="3" t="inlineStr">
        <is>
          <t>HAI_PHONG</t>
        </is>
      </c>
      <c r="D3" s="6" t="inlineStr">
        <is>
          <t>Hải Phòng</t>
        </is>
      </c>
    </row>
    <row r="4">
      <c r="A4" s="3" t="inlineStr">
        <is>
          <t>B23</t>
        </is>
      </c>
      <c r="B4" s="3" t="n">
        <v>170</v>
      </c>
      <c r="C4" s="3" t="inlineStr">
        <is>
          <t>NINH_BINH</t>
        </is>
      </c>
      <c r="D4" s="6" t="inlineStr">
        <is>
          <t>Ninh Bình</t>
        </is>
      </c>
    </row>
    <row r="5">
      <c r="A5" s="3" t="inlineStr">
        <is>
          <t>B4</t>
        </is>
      </c>
      <c r="B5" s="3" t="n">
        <v>104</v>
      </c>
      <c r="C5" s="3" t="inlineStr">
        <is>
          <t>PHU_THO</t>
        </is>
      </c>
      <c r="D5" s="6" t="inlineStr">
        <is>
          <t>Phú Thọ</t>
        </is>
      </c>
    </row>
    <row r="6">
      <c r="A6" s="3" t="inlineStr">
        <is>
          <t>B5</t>
        </is>
      </c>
      <c r="B6" s="3" t="n">
        <v>105</v>
      </c>
      <c r="C6" s="3" t="inlineStr">
        <is>
          <t>QUANG_NINH</t>
        </is>
      </c>
      <c r="D6" s="6" t="inlineStr">
        <is>
          <t>Quảng Ninh</t>
        </is>
      </c>
    </row>
    <row r="7">
      <c r="A7" s="3" t="inlineStr">
        <is>
          <t>B6</t>
        </is>
      </c>
      <c r="B7" s="3" t="n">
        <v>106</v>
      </c>
      <c r="C7" s="3" t="inlineStr">
        <is>
          <t>THAI_NGUYEN</t>
        </is>
      </c>
      <c r="D7" s="6" t="inlineStr">
        <is>
          <t>Thái Nguyên</t>
        </is>
      </c>
    </row>
    <row r="8">
      <c r="A8" s="3" t="inlineStr">
        <is>
          <t>B27</t>
        </is>
      </c>
      <c r="B8" s="3" t="n">
        <v>127</v>
      </c>
      <c r="C8" s="3" t="inlineStr">
        <is>
          <t>BAC_NINH</t>
        </is>
      </c>
      <c r="D8" s="6" t="inlineStr">
        <is>
          <t>Bắc Ninh</t>
        </is>
      </c>
    </row>
    <row r="9">
      <c r="A9" s="3" t="inlineStr">
        <is>
          <t>B9</t>
        </is>
      </c>
      <c r="B9" s="3" t="n">
        <v>109</v>
      </c>
      <c r="C9" s="3" t="inlineStr">
        <is>
          <t>THANH_HOA</t>
        </is>
      </c>
      <c r="D9" s="6" t="inlineStr">
        <is>
          <t>Thanh Hóa</t>
        </is>
      </c>
    </row>
    <row r="10">
      <c r="A10" s="3" t="inlineStr">
        <is>
          <t>B28</t>
        </is>
      </c>
      <c r="B10" s="3" t="n">
        <v>128</v>
      </c>
      <c r="C10" s="3" t="inlineStr">
        <is>
          <t>HUNG_YEN</t>
        </is>
      </c>
      <c r="D10" s="6" t="inlineStr">
        <is>
          <t>Hưng Yên</t>
        </is>
      </c>
    </row>
    <row r="11">
      <c r="A11" s="3" t="inlineStr">
        <is>
          <t>B20</t>
        </is>
      </c>
      <c r="B11" s="3" t="n">
        <v>120</v>
      </c>
      <c r="C11" s="3" t="inlineStr">
        <is>
          <t>LAO_CAI</t>
        </is>
      </c>
      <c r="D11" s="6" t="inlineStr">
        <is>
          <t>Lào Cai</t>
        </is>
      </c>
    </row>
    <row r="12">
      <c r="A12" s="3" t="inlineStr">
        <is>
          <t>B13</t>
        </is>
      </c>
      <c r="B12" s="3" t="n">
        <v>113</v>
      </c>
      <c r="C12" s="3" t="inlineStr">
        <is>
          <t>LANG_SON</t>
        </is>
      </c>
      <c r="D12" s="6" t="inlineStr">
        <is>
          <t>Lạng Sơn</t>
        </is>
      </c>
    </row>
    <row r="13">
      <c r="A13" s="3" t="inlineStr">
        <is>
          <t>B14</t>
        </is>
      </c>
      <c r="B13" s="3" t="n">
        <v>114</v>
      </c>
      <c r="C13" s="3" t="inlineStr">
        <is>
          <t>TUYEN_QUANG</t>
        </is>
      </c>
      <c r="D13" s="6" t="inlineStr">
        <is>
          <t>Tuyên Quang</t>
        </is>
      </c>
    </row>
    <row r="14">
      <c r="A14" s="3" t="inlineStr">
        <is>
          <t>B15</t>
        </is>
      </c>
      <c r="B14" s="3" t="n">
        <v>115</v>
      </c>
      <c r="C14" s="3" t="inlineStr">
        <is>
          <t>NGHE_AN</t>
        </is>
      </c>
      <c r="D14" s="6" t="inlineStr">
        <is>
          <t>Nghệ An</t>
        </is>
      </c>
    </row>
    <row r="15">
      <c r="A15" s="3" t="inlineStr">
        <is>
          <t>B16</t>
        </is>
      </c>
      <c r="B15" s="3" t="n">
        <v>116</v>
      </c>
      <c r="C15" s="3" t="inlineStr">
        <is>
          <t>CAO_BANG</t>
        </is>
      </c>
      <c r="D15" s="6" t="inlineStr">
        <is>
          <t>Cao Bằng</t>
        </is>
      </c>
    </row>
    <row r="16">
      <c r="A16" s="3" t="inlineStr">
        <is>
          <t>B17</t>
        </is>
      </c>
      <c r="B16" s="3" t="n">
        <v>117</v>
      </c>
      <c r="C16" s="3" t="inlineStr">
        <is>
          <t>SON_LA</t>
        </is>
      </c>
      <c r="D16" s="6" t="inlineStr">
        <is>
          <t>Sơn La</t>
        </is>
      </c>
    </row>
    <row r="17">
      <c r="A17" s="3" t="inlineStr">
        <is>
          <t>B18</t>
        </is>
      </c>
      <c r="B17" s="3" t="n">
        <v>118</v>
      </c>
      <c r="C17" s="3" t="inlineStr">
        <is>
          <t>HA_TINH</t>
        </is>
      </c>
      <c r="D17" s="6" t="inlineStr">
        <is>
          <t>Hà Tĩnh</t>
        </is>
      </c>
    </row>
    <row r="18">
      <c r="A18" s="3" t="inlineStr">
        <is>
          <t>B21</t>
        </is>
      </c>
      <c r="B18" s="3" t="n">
        <v>121</v>
      </c>
      <c r="C18" s="3" t="inlineStr">
        <is>
          <t>DIEN_BIEN</t>
        </is>
      </c>
      <c r="D18" s="6" t="inlineStr">
        <is>
          <t>Điện Biên</t>
        </is>
      </c>
    </row>
    <row r="19">
      <c r="A19" s="3" t="inlineStr">
        <is>
          <t>B29</t>
        </is>
      </c>
      <c r="B19" s="3" t="n">
        <v>129</v>
      </c>
      <c r="C19" s="3" t="inlineStr">
        <is>
          <t>LAI_CHAU</t>
        </is>
      </c>
      <c r="D19" s="6" t="inlineStr">
        <is>
          <t>Lai Châu</t>
        </is>
      </c>
    </row>
    <row r="20">
      <c r="A20" s="3" t="inlineStr">
        <is>
          <t>Lao</t>
        </is>
      </c>
      <c r="B20" s="3" t="n">
        <v>8000</v>
      </c>
      <c r="C20" s="3" t="inlineStr">
        <is>
          <t>LAO</t>
        </is>
      </c>
      <c r="D20" s="6" t="inlineStr">
        <is>
          <t>Lào</t>
        </is>
      </c>
    </row>
    <row r="21">
      <c r="A21" s="3" t="inlineStr">
        <is>
          <t>TQ</t>
        </is>
      </c>
      <c r="B21" s="3" t="n">
        <v>7000</v>
      </c>
      <c r="C21" s="3" t="inlineStr">
        <is>
          <t>TRUNG_QUOC</t>
        </is>
      </c>
      <c r="D21" s="6" t="inlineStr">
        <is>
          <t>Trung Quốc</t>
        </is>
      </c>
    </row>
    <row r="22">
      <c r="A22" s="3" t="n"/>
      <c r="B22" s="3" t="n">
        <v>10</v>
      </c>
      <c r="C22" s="3" t="inlineStr">
        <is>
          <t>PTC_1</t>
        </is>
      </c>
      <c r="D22" s="6" t="inlineStr">
        <is>
          <t>Truyền tải 1</t>
        </is>
      </c>
    </row>
    <row r="23">
      <c r="A23" s="3" t="n"/>
      <c r="B23" s="3" t="n">
        <v>30</v>
      </c>
      <c r="C23" s="3" t="inlineStr">
        <is>
          <t>PTC_3</t>
        </is>
      </c>
      <c r="D23" s="6" t="n"/>
    </row>
    <row r="24">
      <c r="A24" s="3" t="n"/>
      <c r="B24" s="3" t="n">
        <v>40</v>
      </c>
      <c r="C24" s="3" t="inlineStr">
        <is>
          <t>PTC_4</t>
        </is>
      </c>
      <c r="D24" s="6" t="n"/>
      <c r="G24" s="2" t="n"/>
      <c r="H24" s="7" t="n"/>
    </row>
    <row r="25">
      <c r="A25" s="3" t="n"/>
      <c r="B25" s="3" t="n">
        <v>50</v>
      </c>
      <c r="C25" s="3" t="inlineStr">
        <is>
          <t>500_KV</t>
        </is>
      </c>
      <c r="D25" s="6" t="n"/>
      <c r="G25" s="2" t="n"/>
      <c r="H25" s="7" t="n"/>
    </row>
    <row r="26">
      <c r="A26" s="3" t="n"/>
      <c r="B26" s="3" t="n">
        <v>351</v>
      </c>
      <c r="C26" s="3" t="inlineStr">
        <is>
          <t>TAY_NINH</t>
        </is>
      </c>
      <c r="D26" s="6" t="n"/>
      <c r="G26" s="2" t="n"/>
      <c r="H26" s="7" t="n"/>
    </row>
    <row r="27">
      <c r="A27" s="3" t="n"/>
      <c r="B27" s="3" t="n">
        <v>354</v>
      </c>
      <c r="C27" s="3" t="inlineStr">
        <is>
          <t>LAM_DONG</t>
        </is>
      </c>
      <c r="D27" s="6" t="n"/>
      <c r="G27" s="2" t="n"/>
      <c r="H27" s="7" t="n"/>
    </row>
    <row r="28">
      <c r="A28" s="3" t="n"/>
      <c r="B28" s="3" t="n">
        <v>360</v>
      </c>
      <c r="C28" s="3" t="inlineStr">
        <is>
          <t>CAN_THO</t>
        </is>
      </c>
      <c r="D28" s="6" t="n"/>
      <c r="G28" s="2" t="n"/>
      <c r="H28" s="7" t="n"/>
    </row>
    <row r="29">
      <c r="A29" s="3" t="n"/>
      <c r="B29" s="3" t="n">
        <v>363</v>
      </c>
      <c r="C29" s="3" t="inlineStr">
        <is>
          <t>AN_GIANG</t>
        </is>
      </c>
      <c r="D29" s="6" t="n"/>
      <c r="G29" s="2" t="n"/>
      <c r="H29" s="7" t="n"/>
    </row>
    <row r="30">
      <c r="A30" s="3" t="n"/>
      <c r="B30" s="3" t="n">
        <v>365</v>
      </c>
      <c r="C30" s="3" t="inlineStr">
        <is>
          <t>VINH_LONG</t>
        </is>
      </c>
      <c r="D30" s="6" t="n"/>
      <c r="G30" s="2" t="n"/>
      <c r="H30" s="7" t="n"/>
    </row>
    <row r="31">
      <c r="A31" s="3" t="n"/>
      <c r="B31" s="3" t="n">
        <v>367</v>
      </c>
      <c r="C31" s="3" t="inlineStr">
        <is>
          <t>DONG_THAP</t>
        </is>
      </c>
      <c r="D31" s="6" t="n"/>
      <c r="G31" s="2" t="n"/>
      <c r="H31" s="7" t="n"/>
    </row>
    <row r="32">
      <c r="A32" s="3" t="n"/>
      <c r="B32" s="3" t="n">
        <v>369</v>
      </c>
      <c r="C32" s="3" t="inlineStr">
        <is>
          <t>CA_MAU</t>
        </is>
      </c>
      <c r="D32" s="6" t="n"/>
      <c r="G32" s="2" t="n"/>
      <c r="H32" s="7" t="n"/>
    </row>
    <row r="33">
      <c r="A33" s="3" t="n"/>
      <c r="B33" s="3" t="n">
        <v>400</v>
      </c>
      <c r="C33" s="3" t="inlineStr">
        <is>
          <t>TP_HCM</t>
        </is>
      </c>
      <c r="D33" s="6" t="n"/>
      <c r="G33" s="2" t="n"/>
      <c r="H33" s="7" t="n"/>
    </row>
    <row r="34">
      <c r="A34" s="3" t="n"/>
      <c r="B34" s="3" t="n">
        <v>450</v>
      </c>
      <c r="C34" s="3" t="inlineStr">
        <is>
          <t>DONG_NAI</t>
        </is>
      </c>
      <c r="D34" s="6" t="n"/>
      <c r="G34" s="2" t="n"/>
      <c r="H34" s="7" t="n"/>
    </row>
    <row r="35">
      <c r="A35" s="3" t="n"/>
      <c r="B35" s="3" t="n">
        <v>701</v>
      </c>
      <c r="C35" s="3" t="inlineStr">
        <is>
          <t>QUANG_TRI</t>
        </is>
      </c>
      <c r="D35" s="6" t="n"/>
      <c r="G35" s="2" t="n"/>
      <c r="H35" s="7" t="n"/>
    </row>
    <row r="36">
      <c r="A36" s="3" t="n"/>
      <c r="B36" s="3" t="n">
        <v>702</v>
      </c>
      <c r="C36" s="3" t="inlineStr">
        <is>
          <t>TT_HUE</t>
        </is>
      </c>
      <c r="D36" s="6" t="n"/>
      <c r="G36" s="2" t="n"/>
      <c r="H36" s="7" t="n"/>
    </row>
    <row r="37">
      <c r="A37" s="3" t="n"/>
      <c r="B37" s="3" t="n">
        <v>703</v>
      </c>
      <c r="C37" s="3" t="inlineStr">
        <is>
          <t>DA_NANG</t>
        </is>
      </c>
      <c r="D37" s="6" t="n"/>
      <c r="G37" s="2" t="n"/>
      <c r="H37" s="7" t="n"/>
    </row>
    <row r="38">
      <c r="A38" s="3" t="n"/>
      <c r="B38" s="3" t="n">
        <v>705</v>
      </c>
      <c r="C38" s="3" t="inlineStr">
        <is>
          <t>QUANG_NGAI</t>
        </is>
      </c>
      <c r="D38" s="6" t="n"/>
      <c r="G38" s="2" t="n"/>
      <c r="H38" s="7" t="n"/>
    </row>
    <row r="39">
      <c r="A39" s="3" t="n"/>
      <c r="B39" s="3" t="n">
        <v>708</v>
      </c>
      <c r="C39" s="3" t="inlineStr">
        <is>
          <t>KHANH_HOA</t>
        </is>
      </c>
      <c r="D39" s="6" t="n"/>
      <c r="G39" s="2" t="n"/>
      <c r="H39" s="7" t="n"/>
    </row>
    <row r="40">
      <c r="A40" s="3" t="n"/>
      <c r="B40" s="3" t="n">
        <v>709</v>
      </c>
      <c r="C40" s="3" t="inlineStr">
        <is>
          <t>GIA_LAI</t>
        </is>
      </c>
      <c r="D40" s="6" t="n"/>
      <c r="G40" s="2" t="n"/>
      <c r="H40" s="7" t="n"/>
    </row>
    <row r="41">
      <c r="A41" s="3" t="n"/>
      <c r="B41" s="3" t="n">
        <v>710</v>
      </c>
      <c r="C41" s="3" t="inlineStr">
        <is>
          <t>DAK_LAK</t>
        </is>
      </c>
      <c r="D41" s="6" t="n"/>
      <c r="G41" s="2" t="n"/>
      <c r="H41" s="7" t="n"/>
    </row>
    <row r="42">
      <c r="A42" s="3" t="n"/>
      <c r="B42" s="3" t="n">
        <v>1600</v>
      </c>
      <c r="C42" s="3" t="inlineStr">
        <is>
          <t>KH_BAC</t>
        </is>
      </c>
      <c r="D42" s="6" t="inlineStr">
        <is>
          <t>KH_Bắc</t>
        </is>
      </c>
      <c r="G42" s="2" t="n"/>
      <c r="H42" s="7" t="n"/>
    </row>
    <row r="43">
      <c r="A43" s="4" t="n"/>
      <c r="B43" s="4" t="n">
        <v>9000</v>
      </c>
      <c r="C43" s="4" t="inlineStr">
        <is>
          <t>CAMPUCHIA</t>
        </is>
      </c>
      <c r="D43" s="8" t="inlineStr">
        <is>
          <t>Campuchia</t>
        </is>
      </c>
      <c r="G43" s="2" t="n"/>
      <c r="H43" s="7" t="n"/>
    </row>
    <row r="44">
      <c r="G44" s="2" t="n"/>
      <c r="H44" s="7" t="n"/>
    </row>
    <row r="45">
      <c r="G45" s="2" t="n"/>
      <c r="H45" s="7" t="n"/>
    </row>
  </sheetData>
  <conditionalFormatting sqref="B1:B24 B47:B1048576 C1:C43 G24:G45">
    <cfRule type="duplicateValues" priority="1" dxfId="1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00B0F0"/>
    <outlinePr summaryBelow="1" summaryRight="1"/>
    <pageSetUpPr/>
  </sheetPr>
  <dimension ref="A1:AM1755"/>
  <sheetViews>
    <sheetView tabSelected="1" zoomScale="85" zoomScaleNormal="85" workbookViewId="0">
      <selection activeCell="G2" sqref="G2"/>
    </sheetView>
  </sheetViews>
  <sheetFormatPr baseColWidth="8" defaultRowHeight="15"/>
  <cols>
    <col width="10.42578125" bestFit="1" customWidth="1" style="22" min="1" max="1"/>
    <col width="26" customWidth="1" style="22" min="2" max="2"/>
    <col width="30" customWidth="1" style="22" min="3" max="3"/>
    <col width="11" bestFit="1" customWidth="1" min="4" max="4"/>
    <col width="18" bestFit="1" customWidth="1" min="5" max="5"/>
    <col width="9.140625" customWidth="1" style="18" min="6" max="6"/>
    <col width="20.5703125" bestFit="1" customWidth="1" style="18" min="7" max="7"/>
    <col width="16.85546875" customWidth="1" style="18" min="8" max="8"/>
    <col width="26.28515625" customWidth="1" style="18" min="9" max="9"/>
    <col width="17" bestFit="1" customWidth="1" style="18" min="10" max="10"/>
    <col width="18.42578125" bestFit="1" customWidth="1" style="22" min="11" max="11"/>
    <col width="11.7109375" customWidth="1" min="14" max="14"/>
    <col width="10.28515625" bestFit="1" customWidth="1" min="15" max="15"/>
  </cols>
  <sheetData>
    <row r="1" ht="15.75" customHeight="1">
      <c r="A1" s="23" t="inlineStr">
        <is>
          <t>bus_code</t>
        </is>
      </c>
      <c r="B1" s="23" t="inlineStr">
        <is>
          <t>bus_name_vi</t>
        </is>
      </c>
      <c r="C1" s="28" t="inlineStr">
        <is>
          <t>TBA_SCADA</t>
        </is>
      </c>
      <c r="D1" s="1" t="inlineStr">
        <is>
          <t>Sym</t>
        </is>
      </c>
      <c r="E1" s="1" t="inlineStr">
        <is>
          <t>Sym_Tran</t>
        </is>
      </c>
      <c r="F1" s="13" t="inlineStr">
        <is>
          <t>Note</t>
        </is>
      </c>
      <c r="G1" s="14" t="inlineStr">
        <is>
          <t>Type</t>
        </is>
      </c>
      <c r="H1" s="14" t="inlineStr">
        <is>
          <t>Name</t>
        </is>
      </c>
      <c r="I1" s="14" t="inlineStr">
        <is>
          <t>Type2</t>
        </is>
      </c>
      <c r="J1" s="14" t="inlineStr">
        <is>
          <t>zone_code</t>
        </is>
      </c>
      <c r="K1" s="20" t="inlineStr">
        <is>
          <t>owner_code</t>
        </is>
      </c>
      <c r="M1" t="inlineStr">
        <is>
          <t>Type</t>
        </is>
      </c>
      <c r="N1" t="inlineStr">
        <is>
          <t>Type2</t>
        </is>
      </c>
      <c r="O1" t="inlineStr">
        <is>
          <t>Type3</t>
        </is>
      </c>
    </row>
    <row r="2">
      <c r="A2" s="24" t="n">
        <v>1000</v>
      </c>
      <c r="B2" s="25" t="inlineStr">
        <is>
          <t>T110 Đông Anh</t>
        </is>
      </c>
      <c r="C2" s="25" t="inlineStr">
        <is>
          <t>TBA 110kV Đông Anh</t>
        </is>
      </c>
      <c r="D2" s="3" t="inlineStr">
        <is>
          <t>B1</t>
        </is>
      </c>
      <c r="E2" s="9" t="inlineStr">
        <is>
          <t>E1.1</t>
        </is>
      </c>
      <c r="F2" s="15">
        <f>IF(E2&lt;&gt;"","Đã VH","Quy hoạch điện VIII")</f>
        <v/>
      </c>
      <c r="G2" s="16">
        <f>LEFT(B2,FIND(" ",B2,1)-1)</f>
        <v/>
      </c>
      <c r="H2" s="16">
        <f>TRIM(RIGHT(B2,LEN(B2)-FIND(" ",B2,1)))</f>
        <v/>
      </c>
      <c r="I2" s="16">
        <f>_xlfn.XLOOKUP(Table2[[#This Row],[Type]],Table5[Type],Table5[Type2])</f>
        <v/>
      </c>
      <c r="J2" s="16">
        <f>_xlfn.XLOOKUP(Table2[[#This Row],[Sym]],Zones!$A$2:$A$21,Zones!$B$2:$B$21)</f>
        <v/>
      </c>
      <c r="K2" s="21" t="n"/>
      <c r="M2" t="inlineStr">
        <is>
          <t>T110</t>
        </is>
      </c>
      <c r="N2" t="inlineStr">
        <is>
          <t>TBA</t>
        </is>
      </c>
      <c r="O2" t="inlineStr">
        <is>
          <t>TBA 110kV</t>
        </is>
      </c>
    </row>
    <row r="3">
      <c r="A3" s="24" t="n">
        <v>1001</v>
      </c>
      <c r="B3" s="25" t="inlineStr">
        <is>
          <t>T110 Gia Lâm</t>
        </is>
      </c>
      <c r="C3" s="25" t="inlineStr">
        <is>
          <t>TBA 110kV Gia Lâm</t>
        </is>
      </c>
      <c r="D3" s="3" t="inlineStr">
        <is>
          <t>B1</t>
        </is>
      </c>
      <c r="E3" s="9" t="inlineStr">
        <is>
          <t>E1.2</t>
        </is>
      </c>
      <c r="F3" s="15">
        <f>IF(E3&lt;&gt;"","Đã VH","Quy hoạch điện VIII")</f>
        <v/>
      </c>
      <c r="G3" s="16">
        <f>LEFT(B3,FIND(" ",B3,1)-1)</f>
        <v/>
      </c>
      <c r="H3" s="16">
        <f>TRIM(RIGHT(B3,LEN(B3)-FIND(" ",B3,1)))</f>
        <v/>
      </c>
      <c r="I3" s="16">
        <f>_xlfn.XLOOKUP(Table2[[#This Row],[Type]],Table5[Type],Table5[Type2])</f>
        <v/>
      </c>
      <c r="J3" s="16">
        <f>_xlfn.XLOOKUP(Table2[[#This Row],[Sym]],Zones!$A$2:$A$21,Zones!$B$2:$B$21)</f>
        <v/>
      </c>
      <c r="K3" s="21" t="n"/>
      <c r="M3" t="inlineStr">
        <is>
          <t>T220</t>
        </is>
      </c>
      <c r="N3" t="inlineStr">
        <is>
          <t>TBA</t>
        </is>
      </c>
      <c r="O3" t="inlineStr">
        <is>
          <t>TBA 220kV</t>
        </is>
      </c>
    </row>
    <row r="4">
      <c r="A4" s="24" t="n">
        <v>1002</v>
      </c>
      <c r="B4" s="25" t="inlineStr">
        <is>
          <t>T220 Mai Động</t>
        </is>
      </c>
      <c r="C4" s="25" t="inlineStr">
        <is>
          <t>TBA 220kV Mai Động</t>
        </is>
      </c>
      <c r="D4" s="3" t="inlineStr">
        <is>
          <t>B1</t>
        </is>
      </c>
      <c r="E4" s="9" t="inlineStr">
        <is>
          <t>E1.3</t>
        </is>
      </c>
      <c r="F4" s="15">
        <f>IF(E4&lt;&gt;"","Đã VH","Quy hoạch điện VIII")</f>
        <v/>
      </c>
      <c r="G4" s="16">
        <f>LEFT(B4,FIND(" ",B4,1)-1)</f>
        <v/>
      </c>
      <c r="H4" s="16">
        <f>TRIM(RIGHT(B4,LEN(B4)-FIND(" ",B4,1)))</f>
        <v/>
      </c>
      <c r="I4" s="16">
        <f>_xlfn.XLOOKUP(Table2[[#This Row],[Type]],Table5[Type],Table5[Type2])</f>
        <v/>
      </c>
      <c r="J4" s="16">
        <f>_xlfn.XLOOKUP(Table2[[#This Row],[Sym]],Zones!$A$2:$A$21,Zones!$B$2:$B$21)</f>
        <v/>
      </c>
      <c r="K4" s="21" t="n"/>
      <c r="M4" t="inlineStr">
        <is>
          <t>T500</t>
        </is>
      </c>
      <c r="N4" t="inlineStr">
        <is>
          <t>TBA</t>
        </is>
      </c>
      <c r="O4" t="inlineStr">
        <is>
          <t>TBA 500kV</t>
        </is>
      </c>
    </row>
    <row r="5">
      <c r="A5" s="24" t="n">
        <v>1003</v>
      </c>
      <c r="B5" s="25" t="inlineStr">
        <is>
          <t>T220 Hà Đông</t>
        </is>
      </c>
      <c r="C5" s="25" t="inlineStr">
        <is>
          <t>TBA 220kV Hà Đông</t>
        </is>
      </c>
      <c r="D5" s="3" t="inlineStr">
        <is>
          <t>B1</t>
        </is>
      </c>
      <c r="E5" s="9" t="inlineStr">
        <is>
          <t>E1.4</t>
        </is>
      </c>
      <c r="F5" s="15">
        <f>IF(E5&lt;&gt;"","Đã VH","Quy hoạch điện VIII")</f>
        <v/>
      </c>
      <c r="G5" s="16">
        <f>LEFT(B5,FIND(" ",B5,1)-1)</f>
        <v/>
      </c>
      <c r="H5" s="16">
        <f>TRIM(RIGHT(B5,LEN(B5)-FIND(" ",B5,1)))</f>
        <v/>
      </c>
      <c r="I5" s="16">
        <f>_xlfn.XLOOKUP(Table2[[#This Row],[Type]],Table5[Type],Table5[Type2])</f>
        <v/>
      </c>
      <c r="J5" s="16">
        <f>_xlfn.XLOOKUP(Table2[[#This Row],[Sym]],Zones!$A$2:$A$21,Zones!$B$2:$B$21)</f>
        <v/>
      </c>
      <c r="K5" s="21" t="n"/>
      <c r="M5" t="inlineStr">
        <is>
          <t>ĐR</t>
        </is>
      </c>
      <c r="N5" t="inlineStr">
        <is>
          <t>NLTT</t>
        </is>
      </c>
    </row>
    <row r="6">
      <c r="A6" s="24" t="n">
        <v>1004</v>
      </c>
      <c r="B6" s="25" t="inlineStr">
        <is>
          <t>T110 Thượng Đình</t>
        </is>
      </c>
      <c r="C6" s="25" t="inlineStr">
        <is>
          <t>TBA 110kV Thượng Đình</t>
        </is>
      </c>
      <c r="D6" s="3" t="inlineStr">
        <is>
          <t>B1</t>
        </is>
      </c>
      <c r="E6" s="9" t="inlineStr">
        <is>
          <t>E1.5</t>
        </is>
      </c>
      <c r="F6" s="15">
        <f>IF(E6&lt;&gt;"","Đã VH","Quy hoạch điện VIII")</f>
        <v/>
      </c>
      <c r="G6" s="16">
        <f>LEFT(B6,FIND(" ",B6,1)-1)</f>
        <v/>
      </c>
      <c r="H6" s="16">
        <f>TRIM(RIGHT(B6,LEN(B6)-FIND(" ",B6,1)))</f>
        <v/>
      </c>
      <c r="I6" s="16">
        <f>_xlfn.XLOOKUP(Table2[[#This Row],[Type]],Table5[Type],Table5[Type2])</f>
        <v/>
      </c>
      <c r="J6" s="16">
        <f>_xlfn.XLOOKUP(Table2[[#This Row],[Sym]],Zones!$A$2:$A$21,Zones!$B$2:$B$21)</f>
        <v/>
      </c>
      <c r="K6" s="21" t="n"/>
      <c r="M6" t="inlineStr">
        <is>
          <t>NĐ</t>
        </is>
      </c>
      <c r="N6" t="inlineStr">
        <is>
          <t>NĐ</t>
        </is>
      </c>
    </row>
    <row r="7">
      <c r="A7" s="24" t="n">
        <v>1005</v>
      </c>
      <c r="B7" s="25" t="inlineStr">
        <is>
          <t>T220 Chèm</t>
        </is>
      </c>
      <c r="C7" s="25" t="inlineStr">
        <is>
          <t>TBA 220kV Chèm</t>
        </is>
      </c>
      <c r="D7" s="3" t="inlineStr">
        <is>
          <t>B1</t>
        </is>
      </c>
      <c r="E7" s="9" t="inlineStr">
        <is>
          <t>E1.6</t>
        </is>
      </c>
      <c r="F7" s="15">
        <f>IF(E7&lt;&gt;"","Đã VH","Quy hoạch điện VIII")</f>
        <v/>
      </c>
      <c r="G7" s="16">
        <f>LEFT(B7,FIND(" ",B7,1)-1)</f>
        <v/>
      </c>
      <c r="H7" s="16">
        <f>TRIM(RIGHT(B7,LEN(B7)-FIND(" ",B7,1)))</f>
        <v/>
      </c>
      <c r="I7" s="16">
        <f>_xlfn.XLOOKUP(Table2[[#This Row],[Type]],Table5[Type],Table5[Type2])</f>
        <v/>
      </c>
      <c r="J7" s="16">
        <f>_xlfn.XLOOKUP(Table2[[#This Row],[Sym]],Zones!$A$2:$A$21,Zones!$B$2:$B$21)</f>
        <v/>
      </c>
      <c r="K7" s="21" t="n"/>
      <c r="M7" t="inlineStr">
        <is>
          <t>LNG</t>
        </is>
      </c>
      <c r="N7" t="inlineStr">
        <is>
          <t>LNG</t>
        </is>
      </c>
    </row>
    <row r="8">
      <c r="A8" s="24" t="n">
        <v>1006</v>
      </c>
      <c r="B8" s="25" t="inlineStr">
        <is>
          <t>T110 Sơn Tây</t>
        </is>
      </c>
      <c r="C8" s="25" t="inlineStr">
        <is>
          <t>TBA 110kV Sơn Tây</t>
        </is>
      </c>
      <c r="D8" s="3" t="inlineStr">
        <is>
          <t>B1</t>
        </is>
      </c>
      <c r="E8" s="9" t="inlineStr">
        <is>
          <t>E1.7</t>
        </is>
      </c>
      <c r="F8" s="15">
        <f>IF(E8&lt;&gt;"","Đã VH","Quy hoạch điện VIII")</f>
        <v/>
      </c>
      <c r="G8" s="16">
        <f>LEFT(B8,FIND(" ",B8,1)-1)</f>
        <v/>
      </c>
      <c r="H8" s="16">
        <f>TRIM(RIGHT(B8,LEN(B8)-FIND(" ",B8,1)))</f>
        <v/>
      </c>
      <c r="I8" s="16">
        <f>_xlfn.XLOOKUP(Table2[[#This Row],[Type]],Table5[Type],Table5[Type2])</f>
        <v/>
      </c>
      <c r="J8" s="16">
        <f>_xlfn.XLOOKUP(Table2[[#This Row],[Sym]],Zones!$A$2:$A$21,Zones!$B$2:$B$21)</f>
        <v/>
      </c>
      <c r="K8" s="21" t="n"/>
      <c r="M8" t="inlineStr">
        <is>
          <t>TĐ</t>
        </is>
      </c>
      <c r="N8" t="inlineStr">
        <is>
          <t>TĐ</t>
        </is>
      </c>
      <c r="O8" t="inlineStr">
        <is>
          <t>NM TĐN</t>
        </is>
      </c>
    </row>
    <row r="9">
      <c r="A9" s="24" t="n">
        <v>1007</v>
      </c>
      <c r="B9" s="25" t="inlineStr">
        <is>
          <t>T110 Yên Phụ</t>
        </is>
      </c>
      <c r="C9" s="25" t="inlineStr">
        <is>
          <t>TBA 110kV Yên Phụ</t>
        </is>
      </c>
      <c r="D9" s="3" t="inlineStr">
        <is>
          <t>B1</t>
        </is>
      </c>
      <c r="E9" s="9" t="inlineStr">
        <is>
          <t>E1.8</t>
        </is>
      </c>
      <c r="F9" s="15">
        <f>IF(E9&lt;&gt;"","Đã VH","Quy hoạch điện VIII")</f>
        <v/>
      </c>
      <c r="G9" s="16">
        <f>LEFT(B9,FIND(" ",B9,1)-1)</f>
        <v/>
      </c>
      <c r="H9" s="16">
        <f>TRIM(RIGHT(B9,LEN(B9)-FIND(" ",B9,1)))</f>
        <v/>
      </c>
      <c r="I9" s="16">
        <f>_xlfn.XLOOKUP(Table2[[#This Row],[Type]],Table5[Type],Table5[Type2])</f>
        <v/>
      </c>
      <c r="J9" s="16">
        <f>_xlfn.XLOOKUP(Table2[[#This Row],[Sym]],Zones!$A$2:$A$21,Zones!$B$2:$B$21)</f>
        <v/>
      </c>
      <c r="K9" s="21" t="n"/>
      <c r="M9" t="inlineStr">
        <is>
          <t>ĐMT</t>
        </is>
      </c>
      <c r="N9" t="inlineStr">
        <is>
          <t>NLTT</t>
        </is>
      </c>
    </row>
    <row r="10">
      <c r="A10" s="24" t="n">
        <v>1008</v>
      </c>
      <c r="B10" s="25" t="inlineStr">
        <is>
          <t>T110 Nghĩa Đô</t>
        </is>
      </c>
      <c r="C10" s="25" t="inlineStr">
        <is>
          <t>TBA 110kV Nghĩa Đô</t>
        </is>
      </c>
      <c r="D10" s="3" t="inlineStr">
        <is>
          <t>B1</t>
        </is>
      </c>
      <c r="E10" s="9" t="inlineStr">
        <is>
          <t>E1.9</t>
        </is>
      </c>
      <c r="F10" s="15">
        <f>IF(E10&lt;&gt;"","Đã VH","Quy hoạch điện VIII")</f>
        <v/>
      </c>
      <c r="G10" s="16">
        <f>LEFT(B10,FIND(" ",B10,1)-1)</f>
        <v/>
      </c>
      <c r="H10" s="16">
        <f>TRIM(RIGHT(B10,LEN(B10)-FIND(" ",B10,1)))</f>
        <v/>
      </c>
      <c r="I10" s="16">
        <f>_xlfn.XLOOKUP(Table2[[#This Row],[Type]],Table5[Type],Table5[Type2])</f>
        <v/>
      </c>
      <c r="J10" s="16">
        <f>_xlfn.XLOOKUP(Table2[[#This Row],[Sym]],Zones!$A$2:$A$21,Zones!$B$2:$B$21)</f>
        <v/>
      </c>
      <c r="K10" s="21" t="n"/>
      <c r="M10" t="inlineStr">
        <is>
          <t>SKMĐ</t>
        </is>
      </c>
      <c r="N10" t="inlineStr">
        <is>
          <t>NLTT</t>
        </is>
      </c>
    </row>
    <row r="11">
      <c r="A11" s="24" t="n">
        <v>1009</v>
      </c>
      <c r="B11" s="25" t="inlineStr">
        <is>
          <t>T110 Văn Điển</t>
        </is>
      </c>
      <c r="C11" s="25" t="inlineStr">
        <is>
          <t>TBA 110kV Văn Điển</t>
        </is>
      </c>
      <c r="D11" s="3" t="inlineStr">
        <is>
          <t>B1</t>
        </is>
      </c>
      <c r="E11" s="9" t="inlineStr">
        <is>
          <t>E1.10</t>
        </is>
      </c>
      <c r="F11" s="15">
        <f>IF(E11&lt;&gt;"","Đã VH","Quy hoạch điện VIII")</f>
        <v/>
      </c>
      <c r="G11" s="16">
        <f>LEFT(B11,FIND(" ",B11,1)-1)</f>
        <v/>
      </c>
      <c r="H11" s="16">
        <f>TRIM(RIGHT(B11,LEN(B11)-FIND(" ",B11,1)))</f>
        <v/>
      </c>
      <c r="I11" s="16">
        <f>_xlfn.XLOOKUP(Table2[[#This Row],[Type]],Table5[Type],Table5[Type2])</f>
        <v/>
      </c>
      <c r="J11" s="16">
        <f>_xlfn.XLOOKUP(Table2[[#This Row],[Sym]],Zones!$A$2:$A$21,Zones!$B$2:$B$21)</f>
        <v/>
      </c>
      <c r="K11" s="21" t="n"/>
      <c r="M11" t="inlineStr">
        <is>
          <t>TĐTN</t>
        </is>
      </c>
      <c r="N11" t="inlineStr">
        <is>
          <t>NLTT</t>
        </is>
      </c>
    </row>
    <row r="12">
      <c r="A12" s="24" t="n">
        <v>1010</v>
      </c>
      <c r="B12" s="25" t="inlineStr">
        <is>
          <t>T220 Thành Công</t>
        </is>
      </c>
      <c r="C12" s="25" t="inlineStr">
        <is>
          <t>TBA 220kV Thành Công</t>
        </is>
      </c>
      <c r="D12" s="3" t="inlineStr">
        <is>
          <t>B1</t>
        </is>
      </c>
      <c r="E12" s="9" t="inlineStr">
        <is>
          <t>E1.11</t>
        </is>
      </c>
      <c r="F12" s="15">
        <f>IF(E12&lt;&gt;"","Đã VH","Quy hoạch điện VIII")</f>
        <v/>
      </c>
      <c r="G12" s="16">
        <f>LEFT(B12,FIND(" ",B12,1)-1)</f>
        <v/>
      </c>
      <c r="H12" s="16">
        <f>TRIM(RIGHT(B12,LEN(B12)-FIND(" ",B12,1)))</f>
        <v/>
      </c>
      <c r="I12" s="16">
        <f>_xlfn.XLOOKUP(Table2[[#This Row],[Type]],Table5[Type],Table5[Type2])</f>
        <v/>
      </c>
      <c r="J12" s="16">
        <f>_xlfn.XLOOKUP(Table2[[#This Row],[Sym]],Zones!$A$2:$A$21,Zones!$B$2:$B$21)</f>
        <v/>
      </c>
      <c r="K12" s="21" t="n"/>
      <c r="M12" t="inlineStr">
        <is>
          <t>Formosa</t>
        </is>
      </c>
      <c r="N12" t="inlineStr">
        <is>
          <t>NĐ</t>
        </is>
      </c>
    </row>
    <row r="13">
      <c r="A13" s="24" t="n">
        <v>1011</v>
      </c>
      <c r="B13" s="25" t="inlineStr">
        <is>
          <t>T110 Trần Hưng Đạo</t>
        </is>
      </c>
      <c r="C13" s="25" t="inlineStr">
        <is>
          <t>TBA 110kV Trần Hưng Đạo</t>
        </is>
      </c>
      <c r="D13" s="3" t="inlineStr">
        <is>
          <t>B1</t>
        </is>
      </c>
      <c r="E13" s="9" t="inlineStr">
        <is>
          <t>E1.12</t>
        </is>
      </c>
      <c r="F13" s="15">
        <f>IF(E13&lt;&gt;"","Đã VH","Quy hoạch điện VIII")</f>
        <v/>
      </c>
      <c r="G13" s="16">
        <f>LEFT(B13,FIND(" ",B13,1)-1)</f>
        <v/>
      </c>
      <c r="H13" s="16">
        <f>TRIM(RIGHT(B13,LEN(B13)-FIND(" ",B13,1)))</f>
        <v/>
      </c>
      <c r="I13" s="16">
        <f>_xlfn.XLOOKUP(Table2[[#This Row],[Type]],Table5[Type],Table5[Type2])</f>
        <v/>
      </c>
      <c r="J13" s="16">
        <f>_xlfn.XLOOKUP(Table2[[#This Row],[Sym]],Zones!$A$2:$A$21,Zones!$B$2:$B$21)</f>
        <v/>
      </c>
      <c r="K13" s="21" t="n"/>
      <c r="M13" t="inlineStr">
        <is>
          <t>ĐSK</t>
        </is>
      </c>
      <c r="N13" t="inlineStr">
        <is>
          <t>NLTT</t>
        </is>
      </c>
    </row>
    <row r="14">
      <c r="A14" s="24" t="n">
        <v>1012</v>
      </c>
      <c r="B14" s="25" t="inlineStr">
        <is>
          <t>T110 Phương Liệt</t>
        </is>
      </c>
      <c r="C14" s="25" t="inlineStr">
        <is>
          <t>TBA 110kV Phương Liệt</t>
        </is>
      </c>
      <c r="D14" s="3" t="inlineStr">
        <is>
          <t>B1</t>
        </is>
      </c>
      <c r="E14" s="9" t="inlineStr">
        <is>
          <t>E1.13</t>
        </is>
      </c>
      <c r="F14" s="15">
        <f>IF(E14&lt;&gt;"","Đã VH","Quy hoạch điện VIII")</f>
        <v/>
      </c>
      <c r="G14" s="16">
        <f>LEFT(B14,FIND(" ",B14,1)-1)</f>
        <v/>
      </c>
      <c r="H14" s="16">
        <f>TRIM(RIGHT(B14,LEN(B14)-FIND(" ",B14,1)))</f>
        <v/>
      </c>
      <c r="I14" s="16">
        <f>_xlfn.XLOOKUP(Table2[[#This Row],[Type]],Table5[Type],Table5[Type2])</f>
        <v/>
      </c>
      <c r="J14" s="16">
        <f>_xlfn.XLOOKUP(Table2[[#This Row],[Sym]],Zones!$A$2:$A$21,Zones!$B$2:$B$21)</f>
        <v/>
      </c>
      <c r="K14" s="21" t="n"/>
      <c r="M14" t="inlineStr">
        <is>
          <t>ĐG</t>
        </is>
      </c>
      <c r="N14" t="inlineStr">
        <is>
          <t>NLTT</t>
        </is>
      </c>
    </row>
    <row r="15">
      <c r="A15" s="24" t="n">
        <v>1013</v>
      </c>
      <c r="B15" s="25" t="inlineStr">
        <is>
          <t>T110 Giám</t>
        </is>
      </c>
      <c r="C15" s="25" t="inlineStr">
        <is>
          <t>TBA 110kV Giám</t>
        </is>
      </c>
      <c r="D15" s="3" t="inlineStr">
        <is>
          <t>B1</t>
        </is>
      </c>
      <c r="E15" s="9" t="inlineStr">
        <is>
          <t>E1.14</t>
        </is>
      </c>
      <c r="F15" s="15">
        <f>IF(E15&lt;&gt;"","Đã VH","Quy hoạch điện VIII")</f>
        <v/>
      </c>
      <c r="G15" s="16">
        <f>LEFT(B15,FIND(" ",B15,1)-1)</f>
        <v/>
      </c>
      <c r="H15" s="16">
        <f>TRIM(RIGHT(B15,LEN(B15)-FIND(" ",B15,1)))</f>
        <v/>
      </c>
      <c r="I15" s="16">
        <f>_xlfn.XLOOKUP(Table2[[#This Row],[Type]],Table5[Type],Table5[Type2])</f>
        <v/>
      </c>
      <c r="J15" s="16">
        <f>_xlfn.XLOOKUP(Table2[[#This Row],[Sym]],Zones!$A$2:$A$21,Zones!$B$2:$B$21)</f>
        <v/>
      </c>
      <c r="K15" s="21" t="n"/>
    </row>
    <row r="16">
      <c r="A16" s="24" t="n">
        <v>1014</v>
      </c>
      <c r="B16" s="25" t="inlineStr">
        <is>
          <t>T110 Sài Đồng</t>
        </is>
      </c>
      <c r="C16" s="25" t="inlineStr">
        <is>
          <t>TBA 110kV Sài Đồng</t>
        </is>
      </c>
      <c r="D16" s="3" t="inlineStr">
        <is>
          <t>B1</t>
        </is>
      </c>
      <c r="E16" s="9" t="inlineStr">
        <is>
          <t>E1.15</t>
        </is>
      </c>
      <c r="F16" s="15">
        <f>IF(E16&lt;&gt;"","Đã VH","Quy hoạch điện VIII")</f>
        <v/>
      </c>
      <c r="G16" s="16">
        <f>LEFT(B16,FIND(" ",B16,1)-1)</f>
        <v/>
      </c>
      <c r="H16" s="16">
        <f>TRIM(RIGHT(B16,LEN(B16)-FIND(" ",B16,1)))</f>
        <v/>
      </c>
      <c r="I16" s="16">
        <f>_xlfn.XLOOKUP(Table2[[#This Row],[Type]],Table5[Type],Table5[Type2])</f>
        <v/>
      </c>
      <c r="J16" s="16">
        <f>_xlfn.XLOOKUP(Table2[[#This Row],[Sym]],Zones!$A$2:$A$21,Zones!$B$2:$B$21)</f>
        <v/>
      </c>
      <c r="K16" s="21" t="n"/>
    </row>
    <row r="17">
      <c r="A17" s="24" t="n">
        <v>1015</v>
      </c>
      <c r="B17" s="25" t="inlineStr">
        <is>
          <t>T110 Nội Bài</t>
        </is>
      </c>
      <c r="C17" s="25" t="inlineStr">
        <is>
          <t>TBA 110kV Nội Bài</t>
        </is>
      </c>
      <c r="D17" s="3" t="inlineStr">
        <is>
          <t>B1</t>
        </is>
      </c>
      <c r="E17" s="9" t="inlineStr">
        <is>
          <t>E1.16</t>
        </is>
      </c>
      <c r="F17" s="15">
        <f>IF(E17&lt;&gt;"","Đã VH","Quy hoạch điện VIII")</f>
        <v/>
      </c>
      <c r="G17" s="16">
        <f>LEFT(B17,FIND(" ",B17,1)-1)</f>
        <v/>
      </c>
      <c r="H17" s="16">
        <f>TRIM(RIGHT(B17,LEN(B17)-FIND(" ",B17,1)))</f>
        <v/>
      </c>
      <c r="I17" s="16">
        <f>_xlfn.XLOOKUP(Table2[[#This Row],[Type]],Table5[Type],Table5[Type2])</f>
        <v/>
      </c>
      <c r="J17" s="16">
        <f>_xlfn.XLOOKUP(Table2[[#This Row],[Sym]],Zones!$A$2:$A$21,Zones!$B$2:$B$21)</f>
        <v/>
      </c>
      <c r="K17" s="21" t="n"/>
    </row>
    <row r="18">
      <c r="A18" s="24" t="n">
        <v>1016</v>
      </c>
      <c r="B18" s="25" t="inlineStr">
        <is>
          <t>T110 Bắc Thăng Long</t>
        </is>
      </c>
      <c r="C18" s="25" t="inlineStr">
        <is>
          <t>TBA 110kV Bắc Thăng Long</t>
        </is>
      </c>
      <c r="D18" s="3" t="inlineStr">
        <is>
          <t>B1</t>
        </is>
      </c>
      <c r="E18" s="9" t="inlineStr">
        <is>
          <t>E1.17</t>
        </is>
      </c>
      <c r="F18" s="15">
        <f>IF(E18&lt;&gt;"","Đã VH","Quy hoạch điện VIII")</f>
        <v/>
      </c>
      <c r="G18" s="16">
        <f>LEFT(B18,FIND(" ",B18,1)-1)</f>
        <v/>
      </c>
      <c r="H18" s="16">
        <f>TRIM(RIGHT(B18,LEN(B18)-FIND(" ",B18,1)))</f>
        <v/>
      </c>
      <c r="I18" s="16">
        <f>_xlfn.XLOOKUP(Table2[[#This Row],[Type]],Table5[Type],Table5[Type2])</f>
        <v/>
      </c>
      <c r="J18" s="16">
        <f>_xlfn.XLOOKUP(Table2[[#This Row],[Sym]],Zones!$A$2:$A$21,Zones!$B$2:$B$21)</f>
        <v/>
      </c>
      <c r="K18" s="21" t="n"/>
    </row>
    <row r="19">
      <c r="A19" s="24" t="n">
        <v>1017</v>
      </c>
      <c r="B19" s="25" t="inlineStr">
        <is>
          <t>T110 Bờ Hồ</t>
        </is>
      </c>
      <c r="C19" s="25" t="inlineStr">
        <is>
          <t>TBA 110kV Bờ Hồ</t>
        </is>
      </c>
      <c r="D19" s="3" t="inlineStr">
        <is>
          <t>B1</t>
        </is>
      </c>
      <c r="E19" s="9" t="inlineStr">
        <is>
          <t>E1.18</t>
        </is>
      </c>
      <c r="F19" s="15">
        <f>IF(E19&lt;&gt;"","Đã VH","Quy hoạch điện VIII")</f>
        <v/>
      </c>
      <c r="G19" s="16">
        <f>LEFT(B19,FIND(" ",B19,1)-1)</f>
        <v/>
      </c>
      <c r="H19" s="16">
        <f>TRIM(RIGHT(B19,LEN(B19)-FIND(" ",B19,1)))</f>
        <v/>
      </c>
      <c r="I19" s="16">
        <f>_xlfn.XLOOKUP(Table2[[#This Row],[Type]],Table5[Type],Table5[Type2])</f>
        <v/>
      </c>
      <c r="J19" s="16">
        <f>_xlfn.XLOOKUP(Table2[[#This Row],[Sym]],Zones!$A$2:$A$21,Zones!$B$2:$B$21)</f>
        <v/>
      </c>
      <c r="K19" s="21" t="n"/>
    </row>
    <row r="20">
      <c r="A20" s="24" t="n">
        <v>1018</v>
      </c>
      <c r="B20" s="25" t="inlineStr">
        <is>
          <t>T220 Sóc Sơn</t>
        </is>
      </c>
      <c r="C20" s="25" t="inlineStr">
        <is>
          <t>TBA 220kV Sóc Sơn</t>
        </is>
      </c>
      <c r="D20" s="3" t="inlineStr">
        <is>
          <t>B1</t>
        </is>
      </c>
      <c r="E20" s="9" t="inlineStr">
        <is>
          <t>E1.19</t>
        </is>
      </c>
      <c r="F20" s="15">
        <f>IF(E20&lt;&gt;"","Đã VH","Quy hoạch điện VIII")</f>
        <v/>
      </c>
      <c r="G20" s="16">
        <f>LEFT(B20,FIND(" ",B20,1)-1)</f>
        <v/>
      </c>
      <c r="H20" s="16">
        <f>TRIM(RIGHT(B20,LEN(B20)-FIND(" ",B20,1)))</f>
        <v/>
      </c>
      <c r="I20" s="16">
        <f>_xlfn.XLOOKUP(Table2[[#This Row],[Type]],Table5[Type],Table5[Type2])</f>
        <v/>
      </c>
      <c r="J20" s="16">
        <f>_xlfn.XLOOKUP(Table2[[#This Row],[Sym]],Zones!$A$2:$A$21,Zones!$B$2:$B$21)</f>
        <v/>
      </c>
      <c r="K20" s="21" t="n"/>
    </row>
    <row r="21">
      <c r="A21" s="24" t="n">
        <v>1019</v>
      </c>
      <c r="B21" s="25" t="inlineStr">
        <is>
          <t>T110 Thanh Xuân</t>
        </is>
      </c>
      <c r="C21" s="25" t="inlineStr">
        <is>
          <t>TBA 110kV Thanh Xuân</t>
        </is>
      </c>
      <c r="D21" s="3" t="inlineStr">
        <is>
          <t>B1</t>
        </is>
      </c>
      <c r="E21" s="9" t="inlineStr">
        <is>
          <t>E1.20</t>
        </is>
      </c>
      <c r="F21" s="15">
        <f>IF(E21&lt;&gt;"","Đã VH","Quy hoạch điện VIII")</f>
        <v/>
      </c>
      <c r="G21" s="16">
        <f>LEFT(B21,FIND(" ",B21,1)-1)</f>
        <v/>
      </c>
      <c r="H21" s="16">
        <f>TRIM(RIGHT(B21,LEN(B21)-FIND(" ",B21,1)))</f>
        <v/>
      </c>
      <c r="I21" s="16">
        <f>_xlfn.XLOOKUP(Table2[[#This Row],[Type]],Table5[Type],Table5[Type2])</f>
        <v/>
      </c>
      <c r="J21" s="16">
        <f>_xlfn.XLOOKUP(Table2[[#This Row],[Sym]],Zones!$A$2:$A$21,Zones!$B$2:$B$21)</f>
        <v/>
      </c>
      <c r="K21" s="21" t="n"/>
    </row>
    <row r="22">
      <c r="A22" s="24" t="n">
        <v>1020</v>
      </c>
      <c r="B22" s="25" t="inlineStr">
        <is>
          <t>T110 Nhật Tân</t>
        </is>
      </c>
      <c r="C22" s="25" t="inlineStr">
        <is>
          <t>TBA 110kV Nhật Tân</t>
        </is>
      </c>
      <c r="D22" s="3" t="inlineStr">
        <is>
          <t>B1</t>
        </is>
      </c>
      <c r="E22" s="9" t="inlineStr">
        <is>
          <t>E1.21</t>
        </is>
      </c>
      <c r="F22" s="15">
        <f>IF(E22&lt;&gt;"","Đã VH","Quy hoạch điện VIII")</f>
        <v/>
      </c>
      <c r="G22" s="16">
        <f>LEFT(B22,FIND(" ",B22,1)-1)</f>
        <v/>
      </c>
      <c r="H22" s="16">
        <f>TRIM(RIGHT(B22,LEN(B22)-FIND(" ",B22,1)))</f>
        <v/>
      </c>
      <c r="I22" s="16">
        <f>_xlfn.XLOOKUP(Table2[[#This Row],[Type]],Table5[Type],Table5[Type2])</f>
        <v/>
      </c>
      <c r="J22" s="16">
        <f>_xlfn.XLOOKUP(Table2[[#This Row],[Sym]],Zones!$A$2:$A$21,Zones!$B$2:$B$21)</f>
        <v/>
      </c>
      <c r="K22" s="21" t="n"/>
    </row>
    <row r="23">
      <c r="A23" s="24" t="n">
        <v>1021</v>
      </c>
      <c r="B23" s="25" t="inlineStr">
        <is>
          <t>T110 Thanh Nhàn</t>
        </is>
      </c>
      <c r="C23" s="25" t="inlineStr">
        <is>
          <t>TBA 110kV Thanh Nhàn</t>
        </is>
      </c>
      <c r="D23" s="3" t="inlineStr">
        <is>
          <t>B1</t>
        </is>
      </c>
      <c r="E23" s="9" t="inlineStr">
        <is>
          <t>E1.22</t>
        </is>
      </c>
      <c r="F23" s="15">
        <f>IF(E23&lt;&gt;"","Đã VH","Quy hoạch điện VIII")</f>
        <v/>
      </c>
      <c r="G23" s="16">
        <f>LEFT(B23,FIND(" ",B23,1)-1)</f>
        <v/>
      </c>
      <c r="H23" s="16">
        <f>TRIM(RIGHT(B23,LEN(B23)-FIND(" ",B23,1)))</f>
        <v/>
      </c>
      <c r="I23" s="16">
        <f>_xlfn.XLOOKUP(Table2[[#This Row],[Type]],Table5[Type],Table5[Type2])</f>
        <v/>
      </c>
      <c r="J23" s="16">
        <f>_xlfn.XLOOKUP(Table2[[#This Row],[Sym]],Zones!$A$2:$A$21,Zones!$B$2:$B$21)</f>
        <v/>
      </c>
      <c r="K23" s="21" t="n"/>
    </row>
    <row r="24">
      <c r="A24" s="24" t="n">
        <v>1022</v>
      </c>
      <c r="B24" s="25" t="inlineStr">
        <is>
          <t>T220 Vân Trì</t>
        </is>
      </c>
      <c r="C24" s="25" t="inlineStr">
        <is>
          <t>TBA 220kV Vân Trì</t>
        </is>
      </c>
      <c r="D24" s="3" t="inlineStr">
        <is>
          <t>B1</t>
        </is>
      </c>
      <c r="E24" s="9" t="inlineStr">
        <is>
          <t>E1.23</t>
        </is>
      </c>
      <c r="F24" s="15">
        <f>IF(E24&lt;&gt;"","Đã VH","Quy hoạch điện VIII")</f>
        <v/>
      </c>
      <c r="G24" s="16">
        <f>LEFT(B24,FIND(" ",B24,1)-1)</f>
        <v/>
      </c>
      <c r="H24" s="16">
        <f>TRIM(RIGHT(B24,LEN(B24)-FIND(" ",B24,1)))</f>
        <v/>
      </c>
      <c r="I24" s="16">
        <f>_xlfn.XLOOKUP(Table2[[#This Row],[Type]],Table5[Type],Table5[Type2])</f>
        <v/>
      </c>
      <c r="J24" s="16">
        <f>_xlfn.XLOOKUP(Table2[[#This Row],[Sym]],Zones!$A$2:$A$21,Zones!$B$2:$B$21)</f>
        <v/>
      </c>
      <c r="K24" s="21" t="n"/>
    </row>
    <row r="25">
      <c r="A25" s="24" t="n">
        <v>1023</v>
      </c>
      <c r="B25" s="25" t="inlineStr">
        <is>
          <t>T110 Hải Bối</t>
        </is>
      </c>
      <c r="C25" s="25" t="inlineStr">
        <is>
          <t>TBA 110kV Hải Bối</t>
        </is>
      </c>
      <c r="D25" s="3" t="inlineStr">
        <is>
          <t>B1</t>
        </is>
      </c>
      <c r="E25" s="9" t="inlineStr">
        <is>
          <t>E1.24</t>
        </is>
      </c>
      <c r="F25" s="15">
        <f>IF(E25&lt;&gt;"","Đã VH","Quy hoạch điện VIII")</f>
        <v/>
      </c>
      <c r="G25" s="16">
        <f>LEFT(B25,FIND(" ",B25,1)-1)</f>
        <v/>
      </c>
      <c r="H25" s="16">
        <f>TRIM(RIGHT(B25,LEN(B25)-FIND(" ",B25,1)))</f>
        <v/>
      </c>
      <c r="I25" s="16">
        <f>_xlfn.XLOOKUP(Table2[[#This Row],[Type]],Table5[Type],Table5[Type2])</f>
        <v/>
      </c>
      <c r="J25" s="16">
        <f>_xlfn.XLOOKUP(Table2[[#This Row],[Sym]],Zones!$A$2:$A$21,Zones!$B$2:$B$21)</f>
        <v/>
      </c>
      <c r="K25" s="21" t="n"/>
    </row>
    <row r="26">
      <c r="A26" s="24" t="n">
        <v>1024</v>
      </c>
      <c r="B26" s="25" t="inlineStr">
        <is>
          <t>T110 Mỹ Đình</t>
        </is>
      </c>
      <c r="C26" s="25" t="inlineStr">
        <is>
          <t>TBA 110kV Mỹ Đình</t>
        </is>
      </c>
      <c r="D26" s="3" t="inlineStr">
        <is>
          <t>B1</t>
        </is>
      </c>
      <c r="E26" s="9" t="inlineStr">
        <is>
          <t>E1.25</t>
        </is>
      </c>
      <c r="F26" s="15">
        <f>IF(E26&lt;&gt;"","Đã VH","Quy hoạch điện VIII")</f>
        <v/>
      </c>
      <c r="G26" s="16">
        <f>LEFT(B26,FIND(" ",B26,1)-1)</f>
        <v/>
      </c>
      <c r="H26" s="16">
        <f>TRIM(RIGHT(B26,LEN(B26)-FIND(" ",B26,1)))</f>
        <v/>
      </c>
      <c r="I26" s="16">
        <f>_xlfn.XLOOKUP(Table2[[#This Row],[Type]],Table5[Type],Table5[Type2])</f>
        <v/>
      </c>
      <c r="J26" s="16">
        <f>_xlfn.XLOOKUP(Table2[[#This Row],[Sym]],Zones!$A$2:$A$21,Zones!$B$2:$B$21)</f>
        <v/>
      </c>
      <c r="K26" s="21" t="n"/>
    </row>
    <row r="27">
      <c r="A27" s="24" t="n">
        <v>1025</v>
      </c>
      <c r="B27" s="25" t="inlineStr">
        <is>
          <t>T110 Linh Đàm</t>
        </is>
      </c>
      <c r="C27" s="25" t="inlineStr">
        <is>
          <t>TBA 110kV Linh Đàm</t>
        </is>
      </c>
      <c r="D27" s="3" t="inlineStr">
        <is>
          <t>B1</t>
        </is>
      </c>
      <c r="E27" s="9" t="inlineStr">
        <is>
          <t>E1.26</t>
        </is>
      </c>
      <c r="F27" s="15">
        <f>IF(E27&lt;&gt;"","Đã VH","Quy hoạch điện VIII")</f>
        <v/>
      </c>
      <c r="G27" s="16">
        <f>LEFT(B27,FIND(" ",B27,1)-1)</f>
        <v/>
      </c>
      <c r="H27" s="16">
        <f>TRIM(RIGHT(B27,LEN(B27)-FIND(" ",B27,1)))</f>
        <v/>
      </c>
      <c r="I27" s="16">
        <f>_xlfn.XLOOKUP(Table2[[#This Row],[Type]],Table5[Type],Table5[Type2])</f>
        <v/>
      </c>
      <c r="J27" s="16">
        <f>_xlfn.XLOOKUP(Table2[[#This Row],[Sym]],Zones!$A$2:$A$21,Zones!$B$2:$B$21)</f>
        <v/>
      </c>
      <c r="K27" s="21" t="n"/>
    </row>
    <row r="28">
      <c r="A28" s="24" t="n">
        <v>1026</v>
      </c>
      <c r="B28" s="25" t="inlineStr">
        <is>
          <t>T110 Nam Thăng Long</t>
        </is>
      </c>
      <c r="C28" s="25" t="inlineStr">
        <is>
          <t>TBA 110kV Nam Thăng Long</t>
        </is>
      </c>
      <c r="D28" s="3" t="inlineStr">
        <is>
          <t>B1</t>
        </is>
      </c>
      <c r="E28" s="9" t="inlineStr">
        <is>
          <t>E1.27</t>
        </is>
      </c>
      <c r="F28" s="15">
        <f>IF(E28&lt;&gt;"","Đã VH","Quy hoạch điện VIII")</f>
        <v/>
      </c>
      <c r="G28" s="16">
        <f>LEFT(B28,FIND(" ",B28,1)-1)</f>
        <v/>
      </c>
      <c r="H28" s="16">
        <f>TRIM(RIGHT(B28,LEN(B28)-FIND(" ",B28,1)))</f>
        <v/>
      </c>
      <c r="I28" s="16">
        <f>_xlfn.XLOOKUP(Table2[[#This Row],[Type]],Table5[Type],Table5[Type2])</f>
        <v/>
      </c>
      <c r="J28" s="16">
        <f>_xlfn.XLOOKUP(Table2[[#This Row],[Sym]],Zones!$A$2:$A$21,Zones!$B$2:$B$21)</f>
        <v/>
      </c>
      <c r="K28" s="21" t="n"/>
    </row>
    <row r="29">
      <c r="A29" s="24" t="n">
        <v>1027</v>
      </c>
      <c r="B29" s="25" t="inlineStr">
        <is>
          <t>T110 Văn Quán</t>
        </is>
      </c>
      <c r="C29" s="25" t="inlineStr">
        <is>
          <t>TBA 110kV Văn Quán</t>
        </is>
      </c>
      <c r="D29" s="3" t="inlineStr">
        <is>
          <t>B1</t>
        </is>
      </c>
      <c r="E29" s="9" t="inlineStr">
        <is>
          <t>E1.30</t>
        </is>
      </c>
      <c r="F29" s="15">
        <f>IF(E29&lt;&gt;"","Đã VH","Quy hoạch điện VIII")</f>
        <v/>
      </c>
      <c r="G29" s="16">
        <f>LEFT(B29,FIND(" ",B29,1)-1)</f>
        <v/>
      </c>
      <c r="H29" s="16">
        <f>TRIM(RIGHT(B29,LEN(B29)-FIND(" ",B29,1)))</f>
        <v/>
      </c>
      <c r="I29" s="16">
        <f>_xlfn.XLOOKUP(Table2[[#This Row],[Type]],Table5[Type],Table5[Type2])</f>
        <v/>
      </c>
      <c r="J29" s="16">
        <f>_xlfn.XLOOKUP(Table2[[#This Row],[Sym]],Zones!$A$2:$A$21,Zones!$B$2:$B$21)</f>
        <v/>
      </c>
      <c r="K29" s="21" t="n"/>
    </row>
    <row r="30">
      <c r="A30" s="24" t="n">
        <v>1028</v>
      </c>
      <c r="B30" s="25" t="inlineStr">
        <is>
          <t>T110 Trôi</t>
        </is>
      </c>
      <c r="C30" s="25" t="inlineStr">
        <is>
          <t>TBA 110kV Trôi</t>
        </is>
      </c>
      <c r="D30" s="3" t="inlineStr">
        <is>
          <t>B1</t>
        </is>
      </c>
      <c r="E30" s="9" t="inlineStr">
        <is>
          <t>E1.31</t>
        </is>
      </c>
      <c r="F30" s="15">
        <f>IF(E30&lt;&gt;"","Đã VH","Quy hoạch điện VIII")</f>
        <v/>
      </c>
      <c r="G30" s="16">
        <f>LEFT(B30,FIND(" ",B30,1)-1)</f>
        <v/>
      </c>
      <c r="H30" s="16">
        <f>TRIM(RIGHT(B30,LEN(B30)-FIND(" ",B30,1)))</f>
        <v/>
      </c>
      <c r="I30" s="16">
        <f>_xlfn.XLOOKUP(Table2[[#This Row],[Type]],Table5[Type],Table5[Type2])</f>
        <v/>
      </c>
      <c r="J30" s="16">
        <f>_xlfn.XLOOKUP(Table2[[#This Row],[Sym]],Zones!$A$2:$A$21,Zones!$B$2:$B$21)</f>
        <v/>
      </c>
      <c r="K30" s="21" t="n"/>
    </row>
    <row r="31">
      <c r="A31" s="24" t="n">
        <v>1029</v>
      </c>
      <c r="B31" s="25" t="inlineStr">
        <is>
          <t>T110 Thường Tín</t>
        </is>
      </c>
      <c r="C31" s="25" t="inlineStr">
        <is>
          <t>TBA 110kV Thường Tín</t>
        </is>
      </c>
      <c r="D31" s="3" t="inlineStr">
        <is>
          <t>B1</t>
        </is>
      </c>
      <c r="E31" s="9" t="inlineStr">
        <is>
          <t>E1.32</t>
        </is>
      </c>
      <c r="F31" s="15">
        <f>IF(E31&lt;&gt;"","Đã VH","Quy hoạch điện VIII")</f>
        <v/>
      </c>
      <c r="G31" s="16">
        <f>LEFT(B31,FIND(" ",B31,1)-1)</f>
        <v/>
      </c>
      <c r="H31" s="16">
        <f>TRIM(RIGHT(B31,LEN(B31)-FIND(" ",B31,1)))</f>
        <v/>
      </c>
      <c r="I31" s="16">
        <f>_xlfn.XLOOKUP(Table2[[#This Row],[Type]],Table5[Type],Table5[Type2])</f>
        <v/>
      </c>
      <c r="J31" s="16">
        <f>_xlfn.XLOOKUP(Table2[[#This Row],[Sym]],Zones!$A$2:$A$21,Zones!$B$2:$B$21)</f>
        <v/>
      </c>
      <c r="K31" s="21" t="n"/>
    </row>
    <row r="32">
      <c r="A32" s="24" t="n">
        <v>1030</v>
      </c>
      <c r="B32" s="25" t="inlineStr">
        <is>
          <t>T110 Cầu Diễn</t>
        </is>
      </c>
      <c r="C32" s="25" t="inlineStr">
        <is>
          <t>TBA 110kV Cầu Diễn</t>
        </is>
      </c>
      <c r="D32" s="3" t="inlineStr">
        <is>
          <t>B1</t>
        </is>
      </c>
      <c r="E32" s="9" t="inlineStr">
        <is>
          <t>E1.33</t>
        </is>
      </c>
      <c r="F32" s="15">
        <f>IF(E32&lt;&gt;"","Đã VH","Quy hoạch điện VIII")</f>
        <v/>
      </c>
      <c r="G32" s="16">
        <f>LEFT(B32,FIND(" ",B32,1)-1)</f>
        <v/>
      </c>
      <c r="H32" s="16">
        <f>TRIM(RIGHT(B32,LEN(B32)-FIND(" ",B32,1)))</f>
        <v/>
      </c>
      <c r="I32" s="16">
        <f>_xlfn.XLOOKUP(Table2[[#This Row],[Type]],Table5[Type],Table5[Type2])</f>
        <v/>
      </c>
      <c r="J32" s="16">
        <f>_xlfn.XLOOKUP(Table2[[#This Row],[Sym]],Zones!$A$2:$A$21,Zones!$B$2:$B$21)</f>
        <v/>
      </c>
      <c r="K32" s="21" t="n"/>
    </row>
    <row r="33">
      <c r="A33" s="24" t="n">
        <v>1031</v>
      </c>
      <c r="B33" s="25" t="inlineStr">
        <is>
          <t>T110 Quất Động</t>
        </is>
      </c>
      <c r="C33" s="25" t="inlineStr">
        <is>
          <t>TBA 110kV Quất Động</t>
        </is>
      </c>
      <c r="D33" s="3" t="inlineStr">
        <is>
          <t>B1</t>
        </is>
      </c>
      <c r="E33" s="9" t="inlineStr">
        <is>
          <t>E1.34</t>
        </is>
      </c>
      <c r="F33" s="15">
        <f>IF(E33&lt;&gt;"","Đã VH","Quy hoạch điện VIII")</f>
        <v/>
      </c>
      <c r="G33" s="16">
        <f>LEFT(B33,FIND(" ",B33,1)-1)</f>
        <v/>
      </c>
      <c r="H33" s="16">
        <f>TRIM(RIGHT(B33,LEN(B33)-FIND(" ",B33,1)))</f>
        <v/>
      </c>
      <c r="I33" s="16">
        <f>_xlfn.XLOOKUP(Table2[[#This Row],[Type]],Table5[Type],Table5[Type2])</f>
        <v/>
      </c>
      <c r="J33" s="16">
        <f>_xlfn.XLOOKUP(Table2[[#This Row],[Sym]],Zones!$A$2:$A$21,Zones!$B$2:$B$21)</f>
        <v/>
      </c>
      <c r="K33" s="21" t="n"/>
    </row>
    <row r="34">
      <c r="A34" s="24" t="n">
        <v>1032</v>
      </c>
      <c r="B34" s="25" t="inlineStr">
        <is>
          <t>T220 Sơn Tây</t>
        </is>
      </c>
      <c r="C34" s="25" t="inlineStr">
        <is>
          <t>TBA 220kV Sơn Tây</t>
        </is>
      </c>
      <c r="D34" s="3" t="inlineStr">
        <is>
          <t>B1</t>
        </is>
      </c>
      <c r="E34" s="9" t="inlineStr">
        <is>
          <t>E1.35</t>
        </is>
      </c>
      <c r="F34" s="15">
        <f>IF(E34&lt;&gt;"","Đã VH","Quy hoạch điện VIII")</f>
        <v/>
      </c>
      <c r="G34" s="16">
        <f>LEFT(B34,FIND(" ",B34,1)-1)</f>
        <v/>
      </c>
      <c r="H34" s="16">
        <f>TRIM(RIGHT(B34,LEN(B34)-FIND(" ",B34,1)))</f>
        <v/>
      </c>
      <c r="I34" s="16">
        <f>_xlfn.XLOOKUP(Table2[[#This Row],[Type]],Table5[Type],Table5[Type2])</f>
        <v/>
      </c>
      <c r="J34" s="16">
        <f>_xlfn.XLOOKUP(Table2[[#This Row],[Sym]],Zones!$A$2:$A$21,Zones!$B$2:$B$21)</f>
        <v/>
      </c>
      <c r="K34" s="21" t="n"/>
    </row>
    <row r="35">
      <c r="A35" s="24" t="n">
        <v>1033</v>
      </c>
      <c r="B35" s="25" t="inlineStr">
        <is>
          <t>T110 Quang Minh</t>
        </is>
      </c>
      <c r="C35" s="25" t="inlineStr">
        <is>
          <t>TBA 110kV Quang Minh</t>
        </is>
      </c>
      <c r="D35" s="3" t="inlineStr">
        <is>
          <t>B1</t>
        </is>
      </c>
      <c r="E35" s="9" t="inlineStr">
        <is>
          <t>E1.36</t>
        </is>
      </c>
      <c r="F35" s="15">
        <f>IF(E35&lt;&gt;"","Đã VH","Quy hoạch điện VIII")</f>
        <v/>
      </c>
      <c r="G35" s="16">
        <f>LEFT(B35,FIND(" ",B35,1)-1)</f>
        <v/>
      </c>
      <c r="H35" s="16">
        <f>TRIM(RIGHT(B35,LEN(B35)-FIND(" ",B35,1)))</f>
        <v/>
      </c>
      <c r="I35" s="16">
        <f>_xlfn.XLOOKUP(Table2[[#This Row],[Type]],Table5[Type],Table5[Type2])</f>
        <v/>
      </c>
      <c r="J35" s="16">
        <f>_xlfn.XLOOKUP(Table2[[#This Row],[Sym]],Zones!$A$2:$A$21,Zones!$B$2:$B$21)</f>
        <v/>
      </c>
      <c r="K35" s="21" t="n"/>
    </row>
    <row r="36">
      <c r="A36" s="24" t="n">
        <v>1034</v>
      </c>
      <c r="B36" s="25" t="inlineStr">
        <is>
          <t>T110 Bắc An Khánh</t>
        </is>
      </c>
      <c r="C36" s="25" t="inlineStr">
        <is>
          <t>TBA 110kV Bắc An Khánh</t>
        </is>
      </c>
      <c r="D36" s="3" t="inlineStr">
        <is>
          <t>B1</t>
        </is>
      </c>
      <c r="E36" s="9" t="inlineStr">
        <is>
          <t>E1.37</t>
        </is>
      </c>
      <c r="F36" s="15">
        <f>IF(E36&lt;&gt;"","Đã VH","Quy hoạch điện VIII")</f>
        <v/>
      </c>
      <c r="G36" s="16">
        <f>LEFT(B36,FIND(" ",B36,1)-1)</f>
        <v/>
      </c>
      <c r="H36" s="16">
        <f>TRIM(RIGHT(B36,LEN(B36)-FIND(" ",B36,1)))</f>
        <v/>
      </c>
      <c r="I36" s="16">
        <f>_xlfn.XLOOKUP(Table2[[#This Row],[Type]],Table5[Type],Table5[Type2])</f>
        <v/>
      </c>
      <c r="J36" s="16">
        <f>_xlfn.XLOOKUP(Table2[[#This Row],[Sym]],Zones!$A$2:$A$21,Zones!$B$2:$B$21)</f>
        <v/>
      </c>
      <c r="K36" s="21" t="n"/>
    </row>
    <row r="37">
      <c r="A37" s="24" t="n">
        <v>1035</v>
      </c>
      <c r="B37" s="25" t="inlineStr">
        <is>
          <t>T110 Gia Lâm 2</t>
        </is>
      </c>
      <c r="C37" s="25" t="inlineStr">
        <is>
          <t>TBA 110kV Gia Lâm 2</t>
        </is>
      </c>
      <c r="D37" s="3" t="inlineStr">
        <is>
          <t>B1</t>
        </is>
      </c>
      <c r="E37" s="9" t="inlineStr">
        <is>
          <t>E1.38</t>
        </is>
      </c>
      <c r="F37" s="15">
        <f>IF(E37&lt;&gt;"","Đã VH","Quy hoạch điện VIII")</f>
        <v/>
      </c>
      <c r="G37" s="16">
        <f>LEFT(B37,FIND(" ",B37,1)-1)</f>
        <v/>
      </c>
      <c r="H37" s="16">
        <f>TRIM(RIGHT(B37,LEN(B37)-FIND(" ",B37,1)))</f>
        <v/>
      </c>
      <c r="I37" s="16">
        <f>_xlfn.XLOOKUP(Table2[[#This Row],[Type]],Table5[Type],Table5[Type2])</f>
        <v/>
      </c>
      <c r="J37" s="16">
        <f>_xlfn.XLOOKUP(Table2[[#This Row],[Sym]],Zones!$A$2:$A$21,Zones!$B$2:$B$21)</f>
        <v/>
      </c>
      <c r="K37" s="21" t="n"/>
    </row>
    <row r="38">
      <c r="A38" s="24" t="n">
        <v>1036</v>
      </c>
      <c r="B38" s="25" t="inlineStr">
        <is>
          <t>T110 Thanh Oai</t>
        </is>
      </c>
      <c r="C38" s="25" t="inlineStr">
        <is>
          <t>TBA 110kV Thanh Oai</t>
        </is>
      </c>
      <c r="D38" s="3" t="inlineStr">
        <is>
          <t>B1</t>
        </is>
      </c>
      <c r="E38" s="9" t="inlineStr">
        <is>
          <t>E1.39</t>
        </is>
      </c>
      <c r="F38" s="15">
        <f>IF(E38&lt;&gt;"","Đã VH","Quy hoạch điện VIII")</f>
        <v/>
      </c>
      <c r="G38" s="16">
        <f>LEFT(B38,FIND(" ",B38,1)-1)</f>
        <v/>
      </c>
      <c r="H38" s="16">
        <f>TRIM(RIGHT(B38,LEN(B38)-FIND(" ",B38,1)))</f>
        <v/>
      </c>
      <c r="I38" s="16">
        <f>_xlfn.XLOOKUP(Table2[[#This Row],[Type]],Table5[Type],Table5[Type2])</f>
        <v/>
      </c>
      <c r="J38" s="16">
        <f>_xlfn.XLOOKUP(Table2[[#This Row],[Sym]],Zones!$A$2:$A$21,Zones!$B$2:$B$21)</f>
        <v/>
      </c>
      <c r="K38" s="21" t="n"/>
    </row>
    <row r="39">
      <c r="A39" s="24" t="n">
        <v>1037</v>
      </c>
      <c r="B39" s="25" t="inlineStr">
        <is>
          <t>T220 Tây Hồ</t>
        </is>
      </c>
      <c r="C39" s="25" t="inlineStr">
        <is>
          <t>TBA 220kV Tây Hồ</t>
        </is>
      </c>
      <c r="D39" s="3" t="inlineStr">
        <is>
          <t>B1</t>
        </is>
      </c>
      <c r="E39" s="9" t="inlineStr">
        <is>
          <t>E1.40</t>
        </is>
      </c>
      <c r="F39" s="15">
        <f>IF(E39&lt;&gt;"","Đã VH","Quy hoạch điện VIII")</f>
        <v/>
      </c>
      <c r="G39" s="16">
        <f>LEFT(B39,FIND(" ",B39,1)-1)</f>
        <v/>
      </c>
      <c r="H39" s="16">
        <f>TRIM(RIGHT(B39,LEN(B39)-FIND(" ",B39,1)))</f>
        <v/>
      </c>
      <c r="I39" s="16">
        <f>_xlfn.XLOOKUP(Table2[[#This Row],[Type]],Table5[Type],Table5[Type2])</f>
        <v/>
      </c>
      <c r="J39" s="16">
        <f>_xlfn.XLOOKUP(Table2[[#This Row],[Sym]],Zones!$A$2:$A$21,Zones!$B$2:$B$21)</f>
        <v/>
      </c>
      <c r="K39" s="21" t="n"/>
    </row>
    <row r="40">
      <c r="A40" s="24" t="n">
        <v>1038</v>
      </c>
      <c r="B40" s="25" t="inlineStr">
        <is>
          <t>T110 Mai Lâm</t>
        </is>
      </c>
      <c r="C40" s="25" t="inlineStr">
        <is>
          <t>TBA 110kV Mai Lâm</t>
        </is>
      </c>
      <c r="D40" s="3" t="inlineStr">
        <is>
          <t>B1</t>
        </is>
      </c>
      <c r="E40" s="9" t="inlineStr">
        <is>
          <t>E1.41</t>
        </is>
      </c>
      <c r="F40" s="15">
        <f>IF(E40&lt;&gt;"","Đã VH","Quy hoạch điện VIII")</f>
        <v/>
      </c>
      <c r="G40" s="16">
        <f>LEFT(B40,FIND(" ",B40,1)-1)</f>
        <v/>
      </c>
      <c r="H40" s="16">
        <f>TRIM(RIGHT(B40,LEN(B40)-FIND(" ",B40,1)))</f>
        <v/>
      </c>
      <c r="I40" s="16">
        <f>_xlfn.XLOOKUP(Table2[[#This Row],[Type]],Table5[Type],Table5[Type2])</f>
        <v/>
      </c>
      <c r="J40" s="16">
        <f>_xlfn.XLOOKUP(Table2[[#This Row],[Sym]],Zones!$A$2:$A$21,Zones!$B$2:$B$21)</f>
        <v/>
      </c>
      <c r="K40" s="21" t="n"/>
    </row>
    <row r="41">
      <c r="A41" s="24" t="n">
        <v>1039</v>
      </c>
      <c r="B41" s="25" t="inlineStr">
        <is>
          <t>T110 Sân bay Nội Bài</t>
        </is>
      </c>
      <c r="C41" s="25" t="inlineStr">
        <is>
          <t>TBA 110kV Sân bay Nội Bài</t>
        </is>
      </c>
      <c r="D41" s="3" t="inlineStr">
        <is>
          <t>B1</t>
        </is>
      </c>
      <c r="E41" s="9" t="inlineStr">
        <is>
          <t>E1.42</t>
        </is>
      </c>
      <c r="F41" s="15">
        <f>IF(E41&lt;&gt;"","Đã VH","Quy hoạch điện VIII")</f>
        <v/>
      </c>
      <c r="G41" s="16">
        <f>LEFT(B41,FIND(" ",B41,1)-1)</f>
        <v/>
      </c>
      <c r="H41" s="16">
        <f>TRIM(RIGHT(B41,LEN(B41)-FIND(" ",B41,1)))</f>
        <v/>
      </c>
      <c r="I41" s="16">
        <f>_xlfn.XLOOKUP(Table2[[#This Row],[Type]],Table5[Type],Table5[Type2])</f>
        <v/>
      </c>
      <c r="J41" s="16">
        <f>_xlfn.XLOOKUP(Table2[[#This Row],[Sym]],Zones!$A$2:$A$21,Zones!$B$2:$B$21)</f>
        <v/>
      </c>
      <c r="K41" s="21" t="n"/>
    </row>
    <row r="42">
      <c r="A42" s="24" t="n">
        <v>1040</v>
      </c>
      <c r="B42" s="25" t="inlineStr">
        <is>
          <t>T220 Xuân Mai</t>
        </is>
      </c>
      <c r="C42" s="25" t="inlineStr">
        <is>
          <t>TBA 220kV Xuân Mai</t>
        </is>
      </c>
      <c r="D42" s="3" t="inlineStr">
        <is>
          <t>B1</t>
        </is>
      </c>
      <c r="E42" s="9" t="inlineStr">
        <is>
          <t>E10.5</t>
        </is>
      </c>
      <c r="F42" s="15">
        <f>IF(E42&lt;&gt;"","Đã VH","Quy hoạch điện VIII")</f>
        <v/>
      </c>
      <c r="G42" s="16">
        <f>LEFT(B42,FIND(" ",B42,1)-1)</f>
        <v/>
      </c>
      <c r="H42" s="16">
        <f>TRIM(RIGHT(B42,LEN(B42)-FIND(" ",B42,1)))</f>
        <v/>
      </c>
      <c r="I42" s="16">
        <f>_xlfn.XLOOKUP(Table2[[#This Row],[Type]],Table5[Type],Table5[Type2])</f>
        <v/>
      </c>
      <c r="J42" s="16">
        <f>_xlfn.XLOOKUP(Table2[[#This Row],[Sym]],Zones!$A$2:$A$21,Zones!$B$2:$B$21)</f>
        <v/>
      </c>
      <c r="K42" s="21" t="n"/>
    </row>
    <row r="43">
      <c r="A43" s="24" t="n">
        <v>1041</v>
      </c>
      <c r="B43" s="25" t="inlineStr">
        <is>
          <t>T500 Thường Tín</t>
        </is>
      </c>
      <c r="C43" s="25" t="inlineStr">
        <is>
          <t>TBA 500kV Thường Tín</t>
        </is>
      </c>
      <c r="D43" s="3" t="inlineStr">
        <is>
          <t>B1</t>
        </is>
      </c>
      <c r="E43" s="9" t="inlineStr">
        <is>
          <t>T500 Thường Tín</t>
        </is>
      </c>
      <c r="F43" s="15">
        <f>IF(E43&lt;&gt;"","Đã VH","Quy hoạch điện VIII")</f>
        <v/>
      </c>
      <c r="G43" s="16">
        <f>LEFT(B43,FIND(" ",B43,1)-1)</f>
        <v/>
      </c>
      <c r="H43" s="16">
        <f>TRIM(RIGHT(B43,LEN(B43)-FIND(" ",B43,1)))</f>
        <v/>
      </c>
      <c r="I43" s="16">
        <f>_xlfn.XLOOKUP(Table2[[#This Row],[Type]],Table5[Type],Table5[Type2])</f>
        <v/>
      </c>
      <c r="J43" s="16">
        <f>_xlfn.XLOOKUP(Table2[[#This Row],[Sym]],Zones!$A$2:$A$21,Zones!$B$2:$B$21)</f>
        <v/>
      </c>
      <c r="K43" s="21" t="n"/>
    </row>
    <row r="44">
      <c r="A44" s="24" t="n">
        <v>1042</v>
      </c>
      <c r="B44" s="25" t="inlineStr">
        <is>
          <t>T110 Vân Đình</t>
        </is>
      </c>
      <c r="C44" s="25" t="inlineStr">
        <is>
          <t>TBA 110kV Vân Đình</t>
        </is>
      </c>
      <c r="D44" s="3" t="inlineStr">
        <is>
          <t>B1</t>
        </is>
      </c>
      <c r="E44" s="9" t="inlineStr">
        <is>
          <t>E10.2</t>
        </is>
      </c>
      <c r="F44" s="15">
        <f>IF(E44&lt;&gt;"","Đã VH","Quy hoạch điện VIII")</f>
        <v/>
      </c>
      <c r="G44" s="16">
        <f>LEFT(B44,FIND(" ",B44,1)-1)</f>
        <v/>
      </c>
      <c r="H44" s="16">
        <f>TRIM(RIGHT(B44,LEN(B44)-FIND(" ",B44,1)))</f>
        <v/>
      </c>
      <c r="I44" s="16">
        <f>_xlfn.XLOOKUP(Table2[[#This Row],[Type]],Table5[Type],Table5[Type2])</f>
        <v/>
      </c>
      <c r="J44" s="16">
        <f>_xlfn.XLOOKUP(Table2[[#This Row],[Sym]],Zones!$A$2:$A$21,Zones!$B$2:$B$21)</f>
        <v/>
      </c>
      <c r="K44" s="21" t="n"/>
    </row>
    <row r="45">
      <c r="A45" s="24" t="n">
        <v>1043</v>
      </c>
      <c r="B45" s="25" t="inlineStr">
        <is>
          <t>T110 Tía</t>
        </is>
      </c>
      <c r="C45" s="25" t="inlineStr">
        <is>
          <t>TBA 110kV Tía</t>
        </is>
      </c>
      <c r="D45" s="3" t="inlineStr">
        <is>
          <t>B1</t>
        </is>
      </c>
      <c r="E45" s="9" t="inlineStr">
        <is>
          <t>E10.4</t>
        </is>
      </c>
      <c r="F45" s="15">
        <f>IF(E45&lt;&gt;"","Đã VH","Quy hoạch điện VIII")</f>
        <v/>
      </c>
      <c r="G45" s="16">
        <f>LEFT(B45,FIND(" ",B45,1)-1)</f>
        <v/>
      </c>
      <c r="H45" s="16">
        <f>TRIM(RIGHT(B45,LEN(B45)-FIND(" ",B45,1)))</f>
        <v/>
      </c>
      <c r="I45" s="16">
        <f>_xlfn.XLOOKUP(Table2[[#This Row],[Type]],Table5[Type],Table5[Type2])</f>
        <v/>
      </c>
      <c r="J45" s="16">
        <f>_xlfn.XLOOKUP(Table2[[#This Row],[Sym]],Zones!$A$2:$A$21,Zones!$B$2:$B$21)</f>
        <v/>
      </c>
      <c r="K45" s="21" t="n"/>
    </row>
    <row r="46">
      <c r="A46" s="24" t="n">
        <v>1044</v>
      </c>
      <c r="B46" s="25" t="inlineStr">
        <is>
          <t>T110 Xuân Mai</t>
        </is>
      </c>
      <c r="C46" s="25" t="inlineStr">
        <is>
          <t>TBA 110kV Xuân Mai</t>
        </is>
      </c>
      <c r="D46" s="3" t="inlineStr">
        <is>
          <t>B1</t>
        </is>
      </c>
      <c r="E46" s="9" t="inlineStr">
        <is>
          <t>E10.9</t>
        </is>
      </c>
      <c r="F46" s="15">
        <f>IF(E46&lt;&gt;"","Đã VH","Quy hoạch điện VIII")</f>
        <v/>
      </c>
      <c r="G46" s="16">
        <f>LEFT(B46,FIND(" ",B46,1)-1)</f>
        <v/>
      </c>
      <c r="H46" s="16">
        <f>TRIM(RIGHT(B46,LEN(B46)-FIND(" ",B46,1)))</f>
        <v/>
      </c>
      <c r="I46" s="16">
        <f>_xlfn.XLOOKUP(Table2[[#This Row],[Type]],Table5[Type],Table5[Type2])</f>
        <v/>
      </c>
      <c r="J46" s="16">
        <f>_xlfn.XLOOKUP(Table2[[#This Row],[Sym]],Zones!$A$2:$A$21,Zones!$B$2:$B$21)</f>
        <v/>
      </c>
      <c r="K46" s="21" t="n"/>
    </row>
    <row r="47">
      <c r="A47" s="24" t="n">
        <v>1045</v>
      </c>
      <c r="B47" s="25" t="inlineStr">
        <is>
          <t>T110 Phúc Thọ</t>
        </is>
      </c>
      <c r="C47" s="25" t="inlineStr">
        <is>
          <t>TBA 110kV Phúc Thọ</t>
        </is>
      </c>
      <c r="D47" s="3" t="inlineStr">
        <is>
          <t>B1</t>
        </is>
      </c>
      <c r="E47" s="9" t="inlineStr">
        <is>
          <t>E10.6</t>
        </is>
      </c>
      <c r="F47" s="15">
        <f>IF(E47&lt;&gt;"","Đã VH","Quy hoạch điện VIII")</f>
        <v/>
      </c>
      <c r="G47" s="16">
        <f>LEFT(B47,FIND(" ",B47,1)-1)</f>
        <v/>
      </c>
      <c r="H47" s="16">
        <f>TRIM(RIGHT(B47,LEN(B47)-FIND(" ",B47,1)))</f>
        <v/>
      </c>
      <c r="I47" s="16">
        <f>_xlfn.XLOOKUP(Table2[[#This Row],[Type]],Table5[Type],Table5[Type2])</f>
        <v/>
      </c>
      <c r="J47" s="16">
        <f>_xlfn.XLOOKUP(Table2[[#This Row],[Sym]],Zones!$A$2:$A$21,Zones!$B$2:$B$21)</f>
        <v/>
      </c>
      <c r="K47" s="21" t="n"/>
    </row>
    <row r="48">
      <c r="A48" s="24" t="n">
        <v>1046</v>
      </c>
      <c r="B48" s="25" t="inlineStr">
        <is>
          <t>T110 Sài Đồng 2</t>
        </is>
      </c>
      <c r="C48" s="25" t="inlineStr">
        <is>
          <t>TBA 110kV Sài Đồng 2</t>
        </is>
      </c>
      <c r="D48" s="3" t="inlineStr">
        <is>
          <t>B1</t>
        </is>
      </c>
      <c r="E48" s="9" t="inlineStr">
        <is>
          <t>E1.59</t>
        </is>
      </c>
      <c r="F48" s="15">
        <f>IF(E48&lt;&gt;"","Đã VH","Quy hoạch điện VIII")</f>
        <v/>
      </c>
      <c r="G48" s="16">
        <f>LEFT(B48,FIND(" ",B48,1)-1)</f>
        <v/>
      </c>
      <c r="H48" s="16">
        <f>TRIM(RIGHT(B48,LEN(B48)-FIND(" ",B48,1)))</f>
        <v/>
      </c>
      <c r="I48" s="16">
        <f>_xlfn.XLOOKUP(Table2[[#This Row],[Type]],Table5[Type],Table5[Type2])</f>
        <v/>
      </c>
      <c r="J48" s="16">
        <f>_xlfn.XLOOKUP(Table2[[#This Row],[Sym]],Zones!$A$2:$A$21,Zones!$B$2:$B$21)</f>
        <v/>
      </c>
      <c r="K48" s="21" t="n"/>
    </row>
    <row r="49">
      <c r="A49" s="24" t="n">
        <v>1047</v>
      </c>
      <c r="B49" s="25" t="inlineStr">
        <is>
          <t>T110 Phùng Xá</t>
        </is>
      </c>
      <c r="C49" s="25" t="inlineStr">
        <is>
          <t>TBA 110kV Phùng Xá</t>
        </is>
      </c>
      <c r="D49" s="3" t="inlineStr">
        <is>
          <t>B1</t>
        </is>
      </c>
      <c r="E49" s="9" t="inlineStr">
        <is>
          <t>E1.28</t>
        </is>
      </c>
      <c r="F49" s="15">
        <f>IF(E49&lt;&gt;"","Đã VH","Quy hoạch điện VIII")</f>
        <v/>
      </c>
      <c r="G49" s="16">
        <f>LEFT(B49,FIND(" ",B49,1)-1)</f>
        <v/>
      </c>
      <c r="H49" s="16">
        <f>TRIM(RIGHT(B49,LEN(B49)-FIND(" ",B49,1)))</f>
        <v/>
      </c>
      <c r="I49" s="16">
        <f>_xlfn.XLOOKUP(Table2[[#This Row],[Type]],Table5[Type],Table5[Type2])</f>
        <v/>
      </c>
      <c r="J49" s="16">
        <f>_xlfn.XLOOKUP(Table2[[#This Row],[Sym]],Zones!$A$2:$A$21,Zones!$B$2:$B$21)</f>
        <v/>
      </c>
      <c r="K49" s="21" t="n"/>
    </row>
    <row r="50">
      <c r="A50" s="24" t="n">
        <v>1048</v>
      </c>
      <c r="B50" s="25" t="inlineStr">
        <is>
          <t>T110 Từ Liêm</t>
        </is>
      </c>
      <c r="C50" s="25" t="inlineStr">
        <is>
          <t>TBA 110kV Từ Liêm</t>
        </is>
      </c>
      <c r="D50" s="3" t="inlineStr">
        <is>
          <t>B1</t>
        </is>
      </c>
      <c r="E50" s="9" t="inlineStr">
        <is>
          <t>E1.46</t>
        </is>
      </c>
      <c r="F50" s="15">
        <f>IF(E50&lt;&gt;"","Đã VH","Quy hoạch điện VIII")</f>
        <v/>
      </c>
      <c r="G50" s="16">
        <f>LEFT(B50,FIND(" ",B50,1)-1)</f>
        <v/>
      </c>
      <c r="H50" s="16">
        <f>TRIM(RIGHT(B50,LEN(B50)-FIND(" ",B50,1)))</f>
        <v/>
      </c>
      <c r="I50" s="16">
        <f>_xlfn.XLOOKUP(Table2[[#This Row],[Type]],Table5[Type],Table5[Type2])</f>
        <v/>
      </c>
      <c r="J50" s="16">
        <f>_xlfn.XLOOKUP(Table2[[#This Row],[Sym]],Zones!$A$2:$A$21,Zones!$B$2:$B$21)</f>
        <v/>
      </c>
      <c r="K50" s="21" t="n"/>
    </row>
    <row r="51">
      <c r="A51" s="24" t="n">
        <v>1049</v>
      </c>
      <c r="B51" s="25" t="inlineStr">
        <is>
          <t>T110 Sơn Tây 2</t>
        </is>
      </c>
      <c r="C51" s="25" t="inlineStr">
        <is>
          <t>TBA 110kV Sơn Tây 2</t>
        </is>
      </c>
      <c r="D51" s="3" t="inlineStr">
        <is>
          <t>B1</t>
        </is>
      </c>
      <c r="E51" s="9" t="inlineStr">
        <is>
          <t>E1.44</t>
        </is>
      </c>
      <c r="F51" s="15">
        <f>IF(E51&lt;&gt;"","Đã VH","Quy hoạch điện VIII")</f>
        <v/>
      </c>
      <c r="G51" s="16">
        <f>LEFT(B51,FIND(" ",B51,1)-1)</f>
        <v/>
      </c>
      <c r="H51" s="16">
        <f>TRIM(RIGHT(B51,LEN(B51)-FIND(" ",B51,1)))</f>
        <v/>
      </c>
      <c r="I51" s="16">
        <f>_xlfn.XLOOKUP(Table2[[#This Row],[Type]],Table5[Type],Table5[Type2])</f>
        <v/>
      </c>
      <c r="J51" s="16">
        <f>_xlfn.XLOOKUP(Table2[[#This Row],[Sym]],Zones!$A$2:$A$21,Zones!$B$2:$B$21)</f>
        <v/>
      </c>
      <c r="K51" s="21" t="n"/>
    </row>
    <row r="52">
      <c r="A52" s="24" t="n">
        <v>1050</v>
      </c>
      <c r="B52" s="25" t="inlineStr">
        <is>
          <t>T110 Phú Nghĩa</t>
        </is>
      </c>
      <c r="C52" s="25" t="inlineStr">
        <is>
          <t>TBA 110kV Phú Nghĩa</t>
        </is>
      </c>
      <c r="D52" s="3" t="inlineStr">
        <is>
          <t>B1</t>
        </is>
      </c>
      <c r="E52" s="9" t="inlineStr">
        <is>
          <t>E1.51</t>
        </is>
      </c>
      <c r="F52" s="15">
        <f>IF(E52&lt;&gt;"","Đã VH","Quy hoạch điện VIII")</f>
        <v/>
      </c>
      <c r="G52" s="16">
        <f>LEFT(B52,FIND(" ",B52,1)-1)</f>
        <v/>
      </c>
      <c r="H52" s="16">
        <f>TRIM(RIGHT(B52,LEN(B52)-FIND(" ",B52,1)))</f>
        <v/>
      </c>
      <c r="I52" s="16">
        <f>_xlfn.XLOOKUP(Table2[[#This Row],[Type]],Table5[Type],Table5[Type2])</f>
        <v/>
      </c>
      <c r="J52" s="16">
        <f>_xlfn.XLOOKUP(Table2[[#This Row],[Sym]],Zones!$A$2:$A$21,Zones!$B$2:$B$21)</f>
        <v/>
      </c>
      <c r="K52" s="21" t="n"/>
    </row>
    <row r="53">
      <c r="A53" s="24" t="n">
        <v>1051</v>
      </c>
      <c r="B53" s="25" t="inlineStr">
        <is>
          <t>T110 Đông Anh 2</t>
        </is>
      </c>
      <c r="C53" s="25" t="inlineStr">
        <is>
          <t>TBA 110kV Đông Anh 2</t>
        </is>
      </c>
      <c r="D53" s="3" t="inlineStr">
        <is>
          <t>B1</t>
        </is>
      </c>
      <c r="E53" s="9" t="inlineStr">
        <is>
          <t>E1.49</t>
        </is>
      </c>
      <c r="F53" s="15">
        <f>IF(E53&lt;&gt;"","Đã VH","Quy hoạch điện VIII")</f>
        <v/>
      </c>
      <c r="G53" s="16">
        <f>LEFT(B53,FIND(" ",B53,1)-1)</f>
        <v/>
      </c>
      <c r="H53" s="16">
        <f>TRIM(RIGHT(B53,LEN(B53)-FIND(" ",B53,1)))</f>
        <v/>
      </c>
      <c r="I53" s="16">
        <f>_xlfn.XLOOKUP(Table2[[#This Row],[Type]],Table5[Type],Table5[Type2])</f>
        <v/>
      </c>
      <c r="J53" s="16">
        <f>_xlfn.XLOOKUP(Table2[[#This Row],[Sym]],Zones!$A$2:$A$21,Zones!$B$2:$B$21)</f>
        <v/>
      </c>
      <c r="K53" s="21" t="n"/>
    </row>
    <row r="54">
      <c r="A54" s="24" t="n">
        <v>1052</v>
      </c>
      <c r="B54" s="25" t="inlineStr">
        <is>
          <t>T110 Mỗ Lao</t>
        </is>
      </c>
      <c r="C54" s="25" t="inlineStr">
        <is>
          <t>TBA 110kV Mỗ Lao</t>
        </is>
      </c>
      <c r="D54" s="3" t="inlineStr">
        <is>
          <t>B1</t>
        </is>
      </c>
      <c r="E54" s="9" t="inlineStr">
        <is>
          <t>E1.43</t>
        </is>
      </c>
      <c r="F54" s="15">
        <f>IF(E54&lt;&gt;"","Đã VH","Quy hoạch điện VIII")</f>
        <v/>
      </c>
      <c r="G54" s="16">
        <f>LEFT(B54,FIND(" ",B54,1)-1)</f>
        <v/>
      </c>
      <c r="H54" s="16">
        <f>TRIM(RIGHT(B54,LEN(B54)-FIND(" ",B54,1)))</f>
        <v/>
      </c>
      <c r="I54" s="16">
        <f>_xlfn.XLOOKUP(Table2[[#This Row],[Type]],Table5[Type],Table5[Type2])</f>
        <v/>
      </c>
      <c r="J54" s="16">
        <f>_xlfn.XLOOKUP(Table2[[#This Row],[Sym]],Zones!$A$2:$A$21,Zones!$B$2:$B$21)</f>
        <v/>
      </c>
      <c r="K54" s="21" t="n"/>
    </row>
    <row r="55">
      <c r="A55" s="24" t="n">
        <v>1053</v>
      </c>
      <c r="B55" s="25" t="inlineStr">
        <is>
          <t>T110 Long Biên</t>
        </is>
      </c>
      <c r="C55" s="25" t="inlineStr">
        <is>
          <t>TBA 110kV Long Biên</t>
        </is>
      </c>
      <c r="D55" s="3" t="inlineStr">
        <is>
          <t>B1</t>
        </is>
      </c>
      <c r="E55" s="9" t="inlineStr">
        <is>
          <t>E1.47</t>
        </is>
      </c>
      <c r="F55" s="15">
        <f>IF(E55&lt;&gt;"","Đã VH","Quy hoạch điện VIII")</f>
        <v/>
      </c>
      <c r="G55" s="16">
        <f>LEFT(B55,FIND(" ",B55,1)-1)</f>
        <v/>
      </c>
      <c r="H55" s="16">
        <f>TRIM(RIGHT(B55,LEN(B55)-FIND(" ",B55,1)))</f>
        <v/>
      </c>
      <c r="I55" s="16">
        <f>_xlfn.XLOOKUP(Table2[[#This Row],[Type]],Table5[Type],Table5[Type2])</f>
        <v/>
      </c>
      <c r="J55" s="16">
        <f>_xlfn.XLOOKUP(Table2[[#This Row],[Sym]],Zones!$A$2:$A$21,Zones!$B$2:$B$21)</f>
        <v/>
      </c>
      <c r="K55" s="21" t="n"/>
    </row>
    <row r="56">
      <c r="A56" s="24" t="n">
        <v>1054</v>
      </c>
      <c r="B56" s="25" t="inlineStr">
        <is>
          <t>T110 Quốc Oai</t>
        </is>
      </c>
      <c r="C56" s="25" t="inlineStr">
        <is>
          <t>TBA 110kV Quốc Oai</t>
        </is>
      </c>
      <c r="D56" s="3" t="inlineStr">
        <is>
          <t>B1</t>
        </is>
      </c>
      <c r="E56" s="9" t="inlineStr">
        <is>
          <t>E1.48</t>
        </is>
      </c>
      <c r="F56" s="15">
        <f>IF(E56&lt;&gt;"","Đã VH","Quy hoạch điện VIII")</f>
        <v/>
      </c>
      <c r="G56" s="16">
        <f>LEFT(B56,FIND(" ",B56,1)-1)</f>
        <v/>
      </c>
      <c r="H56" s="16">
        <f>TRIM(RIGHT(B56,LEN(B56)-FIND(" ",B56,1)))</f>
        <v/>
      </c>
      <c r="I56" s="16">
        <f>_xlfn.XLOOKUP(Table2[[#This Row],[Type]],Table5[Type],Table5[Type2])</f>
        <v/>
      </c>
      <c r="J56" s="16">
        <f>_xlfn.XLOOKUP(Table2[[#This Row],[Sym]],Zones!$A$2:$A$21,Zones!$B$2:$B$21)</f>
        <v/>
      </c>
      <c r="K56" s="21" t="n"/>
    </row>
    <row r="57">
      <c r="A57" s="24" t="n">
        <v>1055</v>
      </c>
      <c r="B57" s="25" t="inlineStr">
        <is>
          <t>T110 Công viên Thống Nhất</t>
        </is>
      </c>
      <c r="C57" s="25" t="inlineStr">
        <is>
          <t>TBA 110kV Công viên Thống Nhất</t>
        </is>
      </c>
      <c r="D57" s="3" t="inlineStr">
        <is>
          <t>B1</t>
        </is>
      </c>
      <c r="E57" s="9" t="inlineStr">
        <is>
          <t>E1.52</t>
        </is>
      </c>
      <c r="F57" s="15">
        <f>IF(E57&lt;&gt;"","Đã VH","Quy hoạch điện VIII")</f>
        <v/>
      </c>
      <c r="G57" s="16">
        <f>LEFT(B57,FIND(" ",B57,1)-1)</f>
        <v/>
      </c>
      <c r="H57" s="16">
        <f>TRIM(RIGHT(B57,LEN(B57)-FIND(" ",B57,1)))</f>
        <v/>
      </c>
      <c r="I57" s="16">
        <f>_xlfn.XLOOKUP(Table2[[#This Row],[Type]],Table5[Type],Table5[Type2])</f>
        <v/>
      </c>
      <c r="J57" s="16">
        <f>_xlfn.XLOOKUP(Table2[[#This Row],[Sym]],Zones!$A$2:$A$21,Zones!$B$2:$B$21)</f>
        <v/>
      </c>
      <c r="K57" s="21" t="n"/>
    </row>
    <row r="58">
      <c r="A58" s="24" t="n">
        <v>1056</v>
      </c>
      <c r="B58" s="25" t="inlineStr">
        <is>
          <t>T110 Ba Vì</t>
        </is>
      </c>
      <c r="C58" s="25" t="inlineStr">
        <is>
          <t>TBA 110kV Ba Vì</t>
        </is>
      </c>
      <c r="D58" s="3" t="inlineStr">
        <is>
          <t>B1</t>
        </is>
      </c>
      <c r="E58" s="9" t="inlineStr">
        <is>
          <t>E1.53</t>
        </is>
      </c>
      <c r="F58" s="15">
        <f>IF(E58&lt;&gt;"","Đã VH","Quy hoạch điện VIII")</f>
        <v/>
      </c>
      <c r="G58" s="16">
        <f>LEFT(B58,FIND(" ",B58,1)-1)</f>
        <v/>
      </c>
      <c r="H58" s="16">
        <f>TRIM(RIGHT(B58,LEN(B58)-FIND(" ",B58,1)))</f>
        <v/>
      </c>
      <c r="I58" s="16">
        <f>_xlfn.XLOOKUP(Table2[[#This Row],[Type]],Table5[Type],Table5[Type2])</f>
        <v/>
      </c>
      <c r="J58" s="16">
        <f>_xlfn.XLOOKUP(Table2[[#This Row],[Sym]],Zones!$A$2:$A$21,Zones!$B$2:$B$21)</f>
        <v/>
      </c>
      <c r="K58" s="21" t="n"/>
    </row>
    <row r="59">
      <c r="A59" s="24" t="n">
        <v>1057</v>
      </c>
      <c r="B59" s="25" t="inlineStr">
        <is>
          <t>T110 Hòa Lạc</t>
        </is>
      </c>
      <c r="C59" s="25" t="inlineStr">
        <is>
          <t>TBA 110kV Hòa Lạc</t>
        </is>
      </c>
      <c r="D59" s="3" t="inlineStr">
        <is>
          <t>B1</t>
        </is>
      </c>
      <c r="E59" s="9" t="inlineStr">
        <is>
          <t>E1.54</t>
        </is>
      </c>
      <c r="F59" s="15">
        <f>IF(E59&lt;&gt;"","Đã VH","Quy hoạch điện VIII")</f>
        <v/>
      </c>
      <c r="G59" s="16">
        <f>LEFT(B59,FIND(" ",B59,1)-1)</f>
        <v/>
      </c>
      <c r="H59" s="16">
        <f>TRIM(RIGHT(B59,LEN(B59)-FIND(" ",B59,1)))</f>
        <v/>
      </c>
      <c r="I59" s="16">
        <f>_xlfn.XLOOKUP(Table2[[#This Row],[Type]],Table5[Type],Table5[Type2])</f>
        <v/>
      </c>
      <c r="J59" s="16">
        <f>_xlfn.XLOOKUP(Table2[[#This Row],[Sym]],Zones!$A$2:$A$21,Zones!$B$2:$B$21)</f>
        <v/>
      </c>
      <c r="K59" s="21" t="n"/>
    </row>
    <row r="60">
      <c r="A60" s="24" t="n">
        <v>1058</v>
      </c>
      <c r="B60" s="25" t="inlineStr">
        <is>
          <t>T110 Phùng</t>
        </is>
      </c>
      <c r="C60" s="25" t="inlineStr">
        <is>
          <t>TBA 110kV Phùng</t>
        </is>
      </c>
      <c r="D60" s="3" t="inlineStr">
        <is>
          <t>B1</t>
        </is>
      </c>
      <c r="E60" s="9" t="inlineStr">
        <is>
          <t>E1.56</t>
        </is>
      </c>
      <c r="F60" s="15">
        <f>IF(E60&lt;&gt;"","Đã VH","Quy hoạch điện VIII")</f>
        <v/>
      </c>
      <c r="G60" s="16">
        <f>LEFT(B60,FIND(" ",B60,1)-1)</f>
        <v/>
      </c>
      <c r="H60" s="16">
        <f>TRIM(RIGHT(B60,LEN(B60)-FIND(" ",B60,1)))</f>
        <v/>
      </c>
      <c r="I60" s="16">
        <f>_xlfn.XLOOKUP(Table2[[#This Row],[Type]],Table5[Type],Table5[Type2])</f>
        <v/>
      </c>
      <c r="J60" s="16">
        <f>_xlfn.XLOOKUP(Table2[[#This Row],[Sym]],Zones!$A$2:$A$21,Zones!$B$2:$B$21)</f>
        <v/>
      </c>
      <c r="K60" s="21" t="n"/>
    </row>
    <row r="61">
      <c r="A61" s="24" t="n">
        <v>1059</v>
      </c>
      <c r="B61" s="25" t="inlineStr">
        <is>
          <t>T110 Minh Khai</t>
        </is>
      </c>
      <c r="C61" s="25" t="inlineStr">
        <is>
          <t>TBA 110kV Minh Khai</t>
        </is>
      </c>
      <c r="D61" s="3" t="inlineStr">
        <is>
          <t>B1</t>
        </is>
      </c>
      <c r="E61" s="9" t="inlineStr">
        <is>
          <t>E1.57</t>
        </is>
      </c>
      <c r="F61" s="15">
        <f>IF(E61&lt;&gt;"","Đã VH","Quy hoạch điện VIII")</f>
        <v/>
      </c>
      <c r="G61" s="16">
        <f>LEFT(B61,FIND(" ",B61,1)-1)</f>
        <v/>
      </c>
      <c r="H61" s="16">
        <f>TRIM(RIGHT(B61,LEN(B61)-FIND(" ",B61,1)))</f>
        <v/>
      </c>
      <c r="I61" s="16">
        <f>_xlfn.XLOOKUP(Table2[[#This Row],[Type]],Table5[Type],Table5[Type2])</f>
        <v/>
      </c>
      <c r="J61" s="16">
        <f>_xlfn.XLOOKUP(Table2[[#This Row],[Sym]],Zones!$A$2:$A$21,Zones!$B$2:$B$21)</f>
        <v/>
      </c>
      <c r="K61" s="21" t="n"/>
    </row>
    <row r="62">
      <c r="A62" s="24" t="n">
        <v>1060</v>
      </c>
      <c r="B62" s="25" t="inlineStr">
        <is>
          <t>T110 Dương Nội</t>
        </is>
      </c>
      <c r="C62" s="25" t="inlineStr">
        <is>
          <t>TBA 110kV Dương Nội</t>
        </is>
      </c>
      <c r="D62" s="3" t="inlineStr">
        <is>
          <t>B1</t>
        </is>
      </c>
      <c r="E62" s="9" t="inlineStr">
        <is>
          <t>E1.61</t>
        </is>
      </c>
      <c r="F62" s="15">
        <f>IF(E62&lt;&gt;"","Đã VH","Quy hoạch điện VIII")</f>
        <v/>
      </c>
      <c r="G62" s="16">
        <f>LEFT(B62,FIND(" ",B62,1)-1)</f>
        <v/>
      </c>
      <c r="H62" s="16">
        <f>TRIM(RIGHT(B62,LEN(B62)-FIND(" ",B62,1)))</f>
        <v/>
      </c>
      <c r="I62" s="16">
        <f>_xlfn.XLOOKUP(Table2[[#This Row],[Type]],Table5[Type],Table5[Type2])</f>
        <v/>
      </c>
      <c r="J62" s="16">
        <f>_xlfn.XLOOKUP(Table2[[#This Row],[Sym]],Zones!$A$2:$A$21,Zones!$B$2:$B$21)</f>
        <v/>
      </c>
      <c r="K62" s="21" t="n"/>
    </row>
    <row r="63">
      <c r="A63" s="24" t="n">
        <v>1061</v>
      </c>
      <c r="B63" s="25" t="inlineStr">
        <is>
          <t>T110 Ngọc Hồi</t>
        </is>
      </c>
      <c r="C63" s="25" t="inlineStr">
        <is>
          <t>TBA 110kV Ngọc Hồi</t>
        </is>
      </c>
      <c r="D63" s="3" t="inlineStr">
        <is>
          <t>B1</t>
        </is>
      </c>
      <c r="E63" s="9" t="inlineStr">
        <is>
          <t>E1.62</t>
        </is>
      </c>
      <c r="F63" s="15">
        <f>IF(E63&lt;&gt;"","Đã VH","Quy hoạch điện VIII")</f>
        <v/>
      </c>
      <c r="G63" s="16">
        <f>LEFT(B63,FIND(" ",B63,1)-1)</f>
        <v/>
      </c>
      <c r="H63" s="16">
        <f>TRIM(RIGHT(B63,LEN(B63)-FIND(" ",B63,1)))</f>
        <v/>
      </c>
      <c r="I63" s="16">
        <f>_xlfn.XLOOKUP(Table2[[#This Row],[Type]],Table5[Type],Table5[Type2])</f>
        <v/>
      </c>
      <c r="J63" s="16">
        <f>_xlfn.XLOOKUP(Table2[[#This Row],[Sym]],Zones!$A$2:$A$21,Zones!$B$2:$B$21)</f>
        <v/>
      </c>
      <c r="K63" s="21" t="n"/>
    </row>
    <row r="64">
      <c r="A64" s="24" t="n">
        <v>1062</v>
      </c>
      <c r="B64" s="25" t="inlineStr">
        <is>
          <t>T110 Phú Xuyên</t>
        </is>
      </c>
      <c r="C64" s="25" t="inlineStr">
        <is>
          <t>TBA 110kV Phú Xuyên</t>
        </is>
      </c>
      <c r="D64" s="3" t="inlineStr">
        <is>
          <t>B1</t>
        </is>
      </c>
      <c r="E64" s="9" t="inlineStr">
        <is>
          <t>E1.58</t>
        </is>
      </c>
      <c r="F64" s="15">
        <f>IF(E64&lt;&gt;"","Đã VH","Quy hoạch điện VIII")</f>
        <v/>
      </c>
      <c r="G64" s="16">
        <f>LEFT(B64,FIND(" ",B64,1)-1)</f>
        <v/>
      </c>
      <c r="H64" s="16">
        <f>TRIM(RIGHT(B64,LEN(B64)-FIND(" ",B64,1)))</f>
        <v/>
      </c>
      <c r="I64" s="16">
        <f>_xlfn.XLOOKUP(Table2[[#This Row],[Type]],Table5[Type],Table5[Type2])</f>
        <v/>
      </c>
      <c r="J64" s="16">
        <f>_xlfn.XLOOKUP(Table2[[#This Row],[Sym]],Zones!$A$2:$A$21,Zones!$B$2:$B$21)</f>
        <v/>
      </c>
      <c r="K64" s="21" t="n"/>
    </row>
    <row r="65">
      <c r="A65" s="24" t="n">
        <v>1063</v>
      </c>
      <c r="B65" s="25" t="inlineStr">
        <is>
          <t>ĐR Sóc Sơn</t>
        </is>
      </c>
      <c r="C65" s="25" t="inlineStr">
        <is>
          <t xml:space="preserve"> Sóc Sơn</t>
        </is>
      </c>
      <c r="D65" s="3" t="inlineStr">
        <is>
          <t>B1</t>
        </is>
      </c>
      <c r="E65" s="9" t="inlineStr">
        <is>
          <t>A1.55</t>
        </is>
      </c>
      <c r="F65" s="15">
        <f>IF(E65&lt;&gt;"","Đã VH","Quy hoạch điện VIII")</f>
        <v/>
      </c>
      <c r="G65" s="16">
        <f>LEFT(B65,FIND(" ",B65,1)-1)</f>
        <v/>
      </c>
      <c r="H65" s="16">
        <f>TRIM(RIGHT(B65,LEN(B65)-FIND(" ",B65,1)))</f>
        <v/>
      </c>
      <c r="I65" s="16">
        <f>_xlfn.XLOOKUP(Table2[[#This Row],[Type]],Table5[Type],Table5[Type2])</f>
        <v/>
      </c>
      <c r="J65" s="16">
        <f>_xlfn.XLOOKUP(Table2[[#This Row],[Sym]],Zones!$A$2:$A$21,Zones!$B$2:$B$21)</f>
        <v/>
      </c>
      <c r="K65" s="21" t="n"/>
    </row>
    <row r="66">
      <c r="A66" s="24" t="n">
        <v>1064</v>
      </c>
      <c r="B66" s="25" t="inlineStr">
        <is>
          <t>T110 Bắc Thành Công</t>
        </is>
      </c>
      <c r="C66" s="25" t="inlineStr">
        <is>
          <t>TBA 110kV Bắc Thành Công</t>
        </is>
      </c>
      <c r="D66" s="3" t="inlineStr">
        <is>
          <t>B1</t>
        </is>
      </c>
      <c r="E66" s="9" t="inlineStr">
        <is>
          <t>E1.63</t>
        </is>
      </c>
      <c r="F66" s="15">
        <f>IF(E66&lt;&gt;"","Đã VH","Quy hoạch điện VIII")</f>
        <v/>
      </c>
      <c r="G66" s="16">
        <f>LEFT(B66,FIND(" ",B66,1)-1)</f>
        <v/>
      </c>
      <c r="H66" s="16">
        <f>TRIM(RIGHT(B66,LEN(B66)-FIND(" ",B66,1)))</f>
        <v/>
      </c>
      <c r="I66" s="16">
        <f>_xlfn.XLOOKUP(Table2[[#This Row],[Type]],Table5[Type],Table5[Type2])</f>
        <v/>
      </c>
      <c r="J66" s="16">
        <f>_xlfn.XLOOKUP(Table2[[#This Row],[Sym]],Zones!$A$2:$A$21,Zones!$B$2:$B$21)</f>
        <v/>
      </c>
      <c r="K66" s="21" t="n"/>
    </row>
    <row r="67">
      <c r="A67" s="24" t="n">
        <v>1065</v>
      </c>
      <c r="B67" s="25" t="inlineStr">
        <is>
          <t>T110 Hồ Yên Sở</t>
        </is>
      </c>
      <c r="C67" s="25" t="inlineStr">
        <is>
          <t>TBA 110kV Hồ Yên Sở</t>
        </is>
      </c>
      <c r="D67" s="3" t="inlineStr">
        <is>
          <t>B1</t>
        </is>
      </c>
      <c r="E67" s="9" t="inlineStr">
        <is>
          <t>E1.64</t>
        </is>
      </c>
      <c r="F67" s="15">
        <f>IF(E67&lt;&gt;"","Đã VH","Quy hoạch điện VIII")</f>
        <v/>
      </c>
      <c r="G67" s="16">
        <f>LEFT(B67,FIND(" ",B67,1)-1)</f>
        <v/>
      </c>
      <c r="H67" s="16">
        <f>TRIM(RIGHT(B67,LEN(B67)-FIND(" ",B67,1)))</f>
        <v/>
      </c>
      <c r="I67" s="16">
        <f>_xlfn.XLOOKUP(Table2[[#This Row],[Type]],Table5[Type],Table5[Type2])</f>
        <v/>
      </c>
      <c r="J67" s="16">
        <f>_xlfn.XLOOKUP(Table2[[#This Row],[Sym]],Zones!$A$2:$A$21,Zones!$B$2:$B$21)</f>
        <v/>
      </c>
      <c r="K67" s="21" t="n"/>
    </row>
    <row r="68">
      <c r="A68" s="24" t="n">
        <v>1066</v>
      </c>
      <c r="B68" s="25" t="inlineStr">
        <is>
          <t>T110 Mỹ Đức</t>
        </is>
      </c>
      <c r="C68" s="25" t="inlineStr">
        <is>
          <t>TBA 110kV Mỹ Đức</t>
        </is>
      </c>
      <c r="D68" s="3" t="inlineStr">
        <is>
          <t>B1</t>
        </is>
      </c>
      <c r="E68" s="9" t="inlineStr">
        <is>
          <t>E1.66</t>
        </is>
      </c>
      <c r="F68" s="15">
        <f>IF(E68&lt;&gt;"","Đã VH","Quy hoạch điện VIII")</f>
        <v/>
      </c>
      <c r="G68" s="16">
        <f>LEFT(B68,FIND(" ",B68,1)-1)</f>
        <v/>
      </c>
      <c r="H68" s="16">
        <f>TRIM(RIGHT(B68,LEN(B68)-FIND(" ",B68,1)))</f>
        <v/>
      </c>
      <c r="I68" s="16">
        <f>_xlfn.XLOOKUP(Table2[[#This Row],[Type]],Table5[Type],Table5[Type2])</f>
        <v/>
      </c>
      <c r="J68" s="16">
        <f>_xlfn.XLOOKUP(Table2[[#This Row],[Sym]],Zones!$A$2:$A$21,Zones!$B$2:$B$21)</f>
        <v/>
      </c>
      <c r="K68" s="21" t="n"/>
    </row>
    <row r="69">
      <c r="A69" s="24" t="n">
        <v>1067</v>
      </c>
      <c r="B69" s="25" t="inlineStr">
        <is>
          <t>T110 Công viên Thủ Lệ</t>
        </is>
      </c>
      <c r="C69" s="25" t="inlineStr">
        <is>
          <t>TBA 110kV Công viên Thủ Lệ</t>
        </is>
      </c>
      <c r="D69" s="3" t="inlineStr">
        <is>
          <t>B1</t>
        </is>
      </c>
      <c r="E69" s="9" t="inlineStr">
        <is>
          <t>E1.67</t>
        </is>
      </c>
      <c r="F69" s="15">
        <f>IF(E69&lt;&gt;"","Đã VH","Quy hoạch điện VIII")</f>
        <v/>
      </c>
      <c r="G69" s="16">
        <f>LEFT(B69,FIND(" ",B69,1)-1)</f>
        <v/>
      </c>
      <c r="H69" s="16">
        <f>TRIM(RIGHT(B69,LEN(B69)-FIND(" ",B69,1)))</f>
        <v/>
      </c>
      <c r="I69" s="16">
        <f>_xlfn.XLOOKUP(Table2[[#This Row],[Type]],Table5[Type],Table5[Type2])</f>
        <v/>
      </c>
      <c r="J69" s="16">
        <f>_xlfn.XLOOKUP(Table2[[#This Row],[Sym]],Zones!$A$2:$A$21,Zones!$B$2:$B$21)</f>
        <v/>
      </c>
      <c r="K69" s="21" t="n"/>
    </row>
    <row r="70">
      <c r="A70" s="24" t="n">
        <v>1068</v>
      </c>
      <c r="B70" s="25" t="inlineStr">
        <is>
          <t>T110 Thạch Thất 2</t>
        </is>
      </c>
      <c r="C70" s="25" t="inlineStr">
        <is>
          <t>TBA 110kV Thạch Thất 2</t>
        </is>
      </c>
      <c r="D70" s="3" t="inlineStr">
        <is>
          <t>B1</t>
        </is>
      </c>
      <c r="E70" s="9" t="inlineStr">
        <is>
          <t>E1.74</t>
        </is>
      </c>
      <c r="F70" s="15">
        <f>IF(E70&lt;&gt;"","Đã VH","Quy hoạch điện VIII")</f>
        <v/>
      </c>
      <c r="G70" s="16">
        <f>LEFT(B70,FIND(" ",B70,1)-1)</f>
        <v/>
      </c>
      <c r="H70" s="16">
        <f>TRIM(RIGHT(B70,LEN(B70)-FIND(" ",B70,1)))</f>
        <v/>
      </c>
      <c r="I70" s="16">
        <f>_xlfn.XLOOKUP(Table2[[#This Row],[Type]],Table5[Type],Table5[Type2])</f>
        <v/>
      </c>
      <c r="J70" s="16">
        <f>_xlfn.XLOOKUP(Table2[[#This Row],[Sym]],Zones!$A$2:$A$21,Zones!$B$2:$B$21)</f>
        <v/>
      </c>
      <c r="K70" s="21" t="n"/>
    </row>
    <row r="71">
      <c r="A71" s="24" t="n">
        <v>1069</v>
      </c>
      <c r="B71" s="25" t="inlineStr">
        <is>
          <t>T110 Lĩnh Nam</t>
        </is>
      </c>
      <c r="C71" s="25" t="inlineStr">
        <is>
          <t>TBA 110kV Lĩnh Nam</t>
        </is>
      </c>
      <c r="D71" s="3" t="inlineStr">
        <is>
          <t>B1</t>
        </is>
      </c>
      <c r="E71" s="9" t="inlineStr">
        <is>
          <t>E1.77</t>
        </is>
      </c>
      <c r="F71" s="15">
        <f>IF(E71&lt;&gt;"","Đã VH","Quy hoạch điện VIII")</f>
        <v/>
      </c>
      <c r="G71" s="16">
        <f>LEFT(B71,FIND(" ",B71,1)-1)</f>
        <v/>
      </c>
      <c r="H71" s="16">
        <f>TRIM(RIGHT(B71,LEN(B71)-FIND(" ",B71,1)))</f>
        <v/>
      </c>
      <c r="I71" s="16">
        <f>_xlfn.XLOOKUP(Table2[[#This Row],[Type]],Table5[Type],Table5[Type2])</f>
        <v/>
      </c>
      <c r="J71" s="16">
        <f>_xlfn.XLOOKUP(Table2[[#This Row],[Sym]],Zones!$A$2:$A$21,Zones!$B$2:$B$21)</f>
        <v/>
      </c>
      <c r="K71" s="21" t="n"/>
    </row>
    <row r="72">
      <c r="A72" s="24" t="n">
        <v>1071</v>
      </c>
      <c r="B72" s="25" t="inlineStr">
        <is>
          <t>T500 Đông Anh</t>
        </is>
      </c>
      <c r="C72" s="25" t="inlineStr">
        <is>
          <t>TBA 500kV Đông Anh</t>
        </is>
      </c>
      <c r="D72" s="3" t="inlineStr">
        <is>
          <t>B1</t>
        </is>
      </c>
      <c r="E72" s="9" t="inlineStr">
        <is>
          <t>T500 Đông Anh</t>
        </is>
      </c>
      <c r="F72" s="15">
        <f>IF(E72&lt;&gt;"","Đã VH","Quy hoạch điện VIII")</f>
        <v/>
      </c>
      <c r="G72" s="16">
        <f>LEFT(B72,FIND(" ",B72,1)-1)</f>
        <v/>
      </c>
      <c r="H72" s="16">
        <f>TRIM(RIGHT(B72,LEN(B72)-FIND(" ",B72,1)))</f>
        <v/>
      </c>
      <c r="I72" s="16">
        <f>_xlfn.XLOOKUP(Table2[[#This Row],[Type]],Table5[Type],Table5[Type2])</f>
        <v/>
      </c>
      <c r="J72" s="16">
        <f>_xlfn.XLOOKUP(Table2[[#This Row],[Sym]],Zones!$A$2:$A$21,Zones!$B$2:$B$21)</f>
        <v/>
      </c>
      <c r="K72" s="21" t="n"/>
    </row>
    <row r="73">
      <c r="A73" s="24" t="n">
        <v>1072</v>
      </c>
      <c r="B73" s="10" t="inlineStr">
        <is>
          <t>T500 Long Biên</t>
        </is>
      </c>
      <c r="C73" s="10" t="inlineStr">
        <is>
          <t>TBA 500kV Long Biên</t>
        </is>
      </c>
      <c r="D73" s="3" t="inlineStr">
        <is>
          <t>B1</t>
        </is>
      </c>
      <c r="E73" s="9" t="n"/>
      <c r="F73" s="15">
        <f>IF(E73&lt;&gt;"","Đã VH","Quy hoạch điện VIII")</f>
        <v/>
      </c>
      <c r="G73" s="16">
        <f>LEFT(B73,FIND(" ",B73,1)-1)</f>
        <v/>
      </c>
      <c r="H73" s="16">
        <f>TRIM(RIGHT(B73,LEN(B73)-FIND(" ",B73,1)))</f>
        <v/>
      </c>
      <c r="I73" s="16">
        <f>_xlfn.XLOOKUP(Table2[[#This Row],[Type]],Table5[Type],Table5[Type2])</f>
        <v/>
      </c>
      <c r="J73" s="16">
        <f>_xlfn.XLOOKUP(Table2[[#This Row],[Sym]],Zones!$A$2:$A$21,Zones!$B$2:$B$21)</f>
        <v/>
      </c>
      <c r="K73" s="21" t="n"/>
    </row>
    <row r="74">
      <c r="A74" s="24" t="n">
        <v>1073</v>
      </c>
      <c r="B74" s="10" t="inlineStr">
        <is>
          <t>T500 Sơn Tây</t>
        </is>
      </c>
      <c r="C74" s="10" t="inlineStr">
        <is>
          <t>TBA 500kV Sơn Tây</t>
        </is>
      </c>
      <c r="D74" s="3" t="inlineStr">
        <is>
          <t>B1</t>
        </is>
      </c>
      <c r="E74" s="9" t="n"/>
      <c r="F74" s="15">
        <f>IF(E74&lt;&gt;"","Đã VH","Quy hoạch điện VIII")</f>
        <v/>
      </c>
      <c r="G74" s="16">
        <f>LEFT(B74,FIND(" ",B74,1)-1)</f>
        <v/>
      </c>
      <c r="H74" s="16">
        <f>TRIM(RIGHT(B74,LEN(B74)-FIND(" ",B74,1)))</f>
        <v/>
      </c>
      <c r="I74" s="16">
        <f>_xlfn.XLOOKUP(Table2[[#This Row],[Type]],Table5[Type],Table5[Type2])</f>
        <v/>
      </c>
      <c r="J74" s="16">
        <f>_xlfn.XLOOKUP(Table2[[#This Row],[Sym]],Zones!$A$2:$A$21,Zones!$B$2:$B$21)</f>
        <v/>
      </c>
      <c r="K74" s="21" t="n"/>
    </row>
    <row r="75">
      <c r="A75" s="24" t="n">
        <v>1074</v>
      </c>
      <c r="B75" s="10" t="inlineStr">
        <is>
          <t>T500 Nam Hà Nội</t>
        </is>
      </c>
      <c r="C75" s="10" t="inlineStr">
        <is>
          <t>TBA 500kV Nam Hà Nội</t>
        </is>
      </c>
      <c r="D75" s="3" t="inlineStr">
        <is>
          <t>B1</t>
        </is>
      </c>
      <c r="E75" s="9" t="n"/>
      <c r="F75" s="15">
        <f>IF(E75&lt;&gt;"","Đã VH","Quy hoạch điện VIII")</f>
        <v/>
      </c>
      <c r="G75" s="16">
        <f>LEFT(B75,FIND(" ",B75,1)-1)</f>
        <v/>
      </c>
      <c r="H75" s="16">
        <f>TRIM(RIGHT(B75,LEN(B75)-FIND(" ",B75,1)))</f>
        <v/>
      </c>
      <c r="I75" s="16">
        <f>_xlfn.XLOOKUP(Table2[[#This Row],[Type]],Table5[Type],Table5[Type2])</f>
        <v/>
      </c>
      <c r="J75" s="16">
        <f>_xlfn.XLOOKUP(Table2[[#This Row],[Sym]],Zones!$A$2:$A$21,Zones!$B$2:$B$21)</f>
        <v/>
      </c>
      <c r="K75" s="21" t="n"/>
    </row>
    <row r="76">
      <c r="A76" s="24" t="n">
        <v>1075</v>
      </c>
      <c r="B76" s="25" t="inlineStr">
        <is>
          <t>T220 Long Biên</t>
        </is>
      </c>
      <c r="C76" s="31" t="inlineStr">
        <is>
          <t>TBA 220 KV Long Biên</t>
        </is>
      </c>
      <c r="D76" s="3" t="inlineStr">
        <is>
          <t>B1</t>
        </is>
      </c>
      <c r="E76" s="9" t="inlineStr">
        <is>
          <t>E1.45</t>
        </is>
      </c>
      <c r="F76" s="15">
        <f>IF(E76&lt;&gt;"","Đã VH","Quy hoạch điện VIII")</f>
        <v/>
      </c>
      <c r="G76" s="16">
        <f>LEFT(B76,FIND(" ",B76,1)-1)</f>
        <v/>
      </c>
      <c r="H76" s="16">
        <f>TRIM(RIGHT(B76,LEN(B76)-FIND(" ",B76,1)))</f>
        <v/>
      </c>
      <c r="I76" s="16">
        <f>_xlfn.XLOOKUP(Table2[[#This Row],[Type]],Table5[Type],Table5[Type2])</f>
        <v/>
      </c>
      <c r="J76" s="16">
        <f>_xlfn.XLOOKUP(Table2[[#This Row],[Sym]],Zones!$A$2:$A$21,Zones!$B$2:$B$21)</f>
        <v/>
      </c>
      <c r="K76" s="21" t="n"/>
      <c r="AH76" t="inlineStr">
        <is>
          <t>Đã sửa từ dashboard (TBA 220kV Long Biên ➔ TBA 220 KV Long Biên )</t>
        </is>
      </c>
    </row>
    <row r="77">
      <c r="A77" s="24" t="n">
        <v>1076</v>
      </c>
      <c r="B77" s="25" t="inlineStr">
        <is>
          <t>T500 Tây Hà Nội</t>
        </is>
      </c>
      <c r="C77" s="25" t="inlineStr">
        <is>
          <t>TBA 500kV Tây Hà Nội</t>
        </is>
      </c>
      <c r="D77" s="3" t="inlineStr">
        <is>
          <t>B1</t>
        </is>
      </c>
      <c r="E77" s="9" t="inlineStr">
        <is>
          <t>T500 Tây Hà Nội</t>
        </is>
      </c>
      <c r="F77" s="15">
        <f>IF(E77&lt;&gt;"","Đã VH","Quy hoạch điện VIII")</f>
        <v/>
      </c>
      <c r="G77" s="16">
        <f>LEFT(B77,FIND(" ",B77,1)-1)</f>
        <v/>
      </c>
      <c r="H77" s="16">
        <f>TRIM(RIGHT(B77,LEN(B77)-FIND(" ",B77,1)))</f>
        <v/>
      </c>
      <c r="I77" s="16">
        <f>_xlfn.XLOOKUP(Table2[[#This Row],[Type]],Table5[Type],Table5[Type2])</f>
        <v/>
      </c>
      <c r="J77" s="16">
        <f>_xlfn.XLOOKUP(Table2[[#This Row],[Sym]],Zones!$A$2:$A$21,Zones!$B$2:$B$21)</f>
        <v/>
      </c>
      <c r="K77" s="21" t="n"/>
    </row>
    <row r="78">
      <c r="A78" s="24" t="n">
        <v>1077</v>
      </c>
      <c r="B78" s="10" t="inlineStr">
        <is>
          <t>T220 Đông Anh</t>
        </is>
      </c>
      <c r="C78" s="10" t="inlineStr">
        <is>
          <t>TBA 220kV Đông Anh</t>
        </is>
      </c>
      <c r="D78" s="3" t="inlineStr">
        <is>
          <t>B1</t>
        </is>
      </c>
      <c r="E78" s="9" t="n"/>
      <c r="F78" s="15">
        <f>IF(E78&lt;&gt;"","Đã VH","Quy hoạch điện VIII")</f>
        <v/>
      </c>
      <c r="G78" s="16">
        <f>LEFT(B78,FIND(" ",B78,1)-1)</f>
        <v/>
      </c>
      <c r="H78" s="16">
        <f>TRIM(RIGHT(B78,LEN(B78)-FIND(" ",B78,1)))</f>
        <v/>
      </c>
      <c r="I78" s="16">
        <f>_xlfn.XLOOKUP(Table2[[#This Row],[Type]],Table5[Type],Table5[Type2])</f>
        <v/>
      </c>
      <c r="J78" s="16">
        <f>_xlfn.XLOOKUP(Table2[[#This Row],[Sym]],Zones!$A$2:$A$21,Zones!$B$2:$B$21)</f>
        <v/>
      </c>
      <c r="K78" s="21" t="n"/>
    </row>
    <row r="79">
      <c r="A79" s="24" t="n">
        <v>1078</v>
      </c>
      <c r="B79" s="25" t="inlineStr">
        <is>
          <t>T220 Văn Điển</t>
        </is>
      </c>
      <c r="C79" s="25" t="inlineStr">
        <is>
          <t>TBA 220kV Văn Điển</t>
        </is>
      </c>
      <c r="D79" s="3" t="inlineStr">
        <is>
          <t>B1</t>
        </is>
      </c>
      <c r="E79" s="9" t="n"/>
      <c r="F79" s="15">
        <f>IF(E79&lt;&gt;"","Đã VH","Quy hoạch điện VIII")</f>
        <v/>
      </c>
      <c r="G79" s="16">
        <f>LEFT(B79,FIND(" ",B79,1)-1)</f>
        <v/>
      </c>
      <c r="H79" s="16">
        <f>TRIM(RIGHT(B79,LEN(B79)-FIND(" ",B79,1)))</f>
        <v/>
      </c>
      <c r="I79" s="16">
        <f>_xlfn.XLOOKUP(Table2[[#This Row],[Type]],Table5[Type],Table5[Type2])</f>
        <v/>
      </c>
      <c r="J79" s="16">
        <f>_xlfn.XLOOKUP(Table2[[#This Row],[Sym]],Zones!$A$2:$A$21,Zones!$B$2:$B$21)</f>
        <v/>
      </c>
      <c r="K79" s="21" t="n"/>
    </row>
    <row r="80">
      <c r="A80" s="24" t="n">
        <v>1079</v>
      </c>
      <c r="B80" s="25" t="inlineStr">
        <is>
          <t>T220 Mê Linh</t>
        </is>
      </c>
      <c r="C80" s="25" t="inlineStr">
        <is>
          <t>TBA 220kV Mê Linh</t>
        </is>
      </c>
      <c r="D80" s="3" t="inlineStr">
        <is>
          <t>B1</t>
        </is>
      </c>
      <c r="E80" s="9" t="n"/>
      <c r="F80" s="15">
        <f>IF(E80&lt;&gt;"","Đã VH","Quy hoạch điện VIII")</f>
        <v/>
      </c>
      <c r="G80" s="16">
        <f>LEFT(B80,FIND(" ",B80,1)-1)</f>
        <v/>
      </c>
      <c r="H80" s="16">
        <f>TRIM(RIGHT(B80,LEN(B80)-FIND(" ",B80,1)))</f>
        <v/>
      </c>
      <c r="I80" s="16">
        <f>_xlfn.XLOOKUP(Table2[[#This Row],[Type]],Table5[Type],Table5[Type2])</f>
        <v/>
      </c>
      <c r="J80" s="16">
        <f>_xlfn.XLOOKUP(Table2[[#This Row],[Sym]],Zones!$A$2:$A$21,Zones!$B$2:$B$21)</f>
        <v/>
      </c>
      <c r="K80" s="21" t="n"/>
    </row>
    <row r="81">
      <c r="A81" s="24" t="n">
        <v>1080</v>
      </c>
      <c r="B81" s="25" t="inlineStr">
        <is>
          <t>T220 Ứng Hòa</t>
        </is>
      </c>
      <c r="C81" s="25" t="inlineStr">
        <is>
          <t>TBA 220kV Ứng Hòa</t>
        </is>
      </c>
      <c r="D81" s="3" t="inlineStr">
        <is>
          <t>B1</t>
        </is>
      </c>
      <c r="E81" s="9" t="n"/>
      <c r="F81" s="15">
        <f>IF(E81&lt;&gt;"","Đã VH","Quy hoạch điện VIII")</f>
        <v/>
      </c>
      <c r="G81" s="16">
        <f>LEFT(B81,FIND(" ",B81,1)-1)</f>
        <v/>
      </c>
      <c r="H81" s="16">
        <f>TRIM(RIGHT(B81,LEN(B81)-FIND(" ",B81,1)))</f>
        <v/>
      </c>
      <c r="I81" s="16">
        <f>_xlfn.XLOOKUP(Table2[[#This Row],[Type]],Table5[Type],Table5[Type2])</f>
        <v/>
      </c>
      <c r="J81" s="16">
        <f>_xlfn.XLOOKUP(Table2[[#This Row],[Sym]],Zones!$A$2:$A$21,Zones!$B$2:$B$21)</f>
        <v/>
      </c>
      <c r="K81" s="21" t="n"/>
    </row>
    <row r="82">
      <c r="A82" s="24" t="n">
        <v>1081</v>
      </c>
      <c r="B82" s="25" t="inlineStr">
        <is>
          <t>T220 Đại Mỗ</t>
        </is>
      </c>
      <c r="C82" s="25" t="inlineStr">
        <is>
          <t>TBA 220kV Đại Mỗ</t>
        </is>
      </c>
      <c r="D82" s="3" t="inlineStr">
        <is>
          <t>B1</t>
        </is>
      </c>
      <c r="E82" s="9" t="n"/>
      <c r="F82" s="15">
        <f>IF(E82&lt;&gt;"","Đã VH","Quy hoạch điện VIII")</f>
        <v/>
      </c>
      <c r="G82" s="16">
        <f>LEFT(B82,FIND(" ",B82,1)-1)</f>
        <v/>
      </c>
      <c r="H82" s="16">
        <f>TRIM(RIGHT(B82,LEN(B82)-FIND(" ",B82,1)))</f>
        <v/>
      </c>
      <c r="I82" s="16">
        <f>_xlfn.XLOOKUP(Table2[[#This Row],[Type]],Table5[Type],Table5[Type2])</f>
        <v/>
      </c>
      <c r="J82" s="16">
        <f>_xlfn.XLOOKUP(Table2[[#This Row],[Sym]],Zones!$A$2:$A$21,Zones!$B$2:$B$21)</f>
        <v/>
      </c>
      <c r="K82" s="21" t="n"/>
    </row>
    <row r="83">
      <c r="A83" s="24" t="n">
        <v>1082</v>
      </c>
      <c r="B83" s="10" t="inlineStr">
        <is>
          <t>T220 Đông Anh 2</t>
        </is>
      </c>
      <c r="C83" s="10" t="inlineStr">
        <is>
          <t>TBA 220kV Đông Anh 2</t>
        </is>
      </c>
      <c r="D83" s="3" t="inlineStr">
        <is>
          <t>B1</t>
        </is>
      </c>
      <c r="E83" s="9" t="n"/>
      <c r="F83" s="15">
        <f>IF(E83&lt;&gt;"","Đã VH","Quy hoạch điện VIII")</f>
        <v/>
      </c>
      <c r="G83" s="16">
        <f>LEFT(B83,FIND(" ",B83,1)-1)</f>
        <v/>
      </c>
      <c r="H83" s="16">
        <f>TRIM(RIGHT(B83,LEN(B83)-FIND(" ",B83,1)))</f>
        <v/>
      </c>
      <c r="I83" s="16">
        <f>_xlfn.XLOOKUP(Table2[[#This Row],[Type]],Table5[Type],Table5[Type2])</f>
        <v/>
      </c>
      <c r="J83" s="16">
        <f>_xlfn.XLOOKUP(Table2[[#This Row],[Sym]],Zones!$A$2:$A$21,Zones!$B$2:$B$21)</f>
        <v/>
      </c>
      <c r="K83" s="21" t="n"/>
    </row>
    <row r="84">
      <c r="A84" s="24" t="n">
        <v>1083</v>
      </c>
      <c r="B84" s="10" t="inlineStr">
        <is>
          <t>T220 Sóc Sơn 2</t>
        </is>
      </c>
      <c r="C84" s="10" t="inlineStr">
        <is>
          <t>TBA 220kV Sóc Sơn 2</t>
        </is>
      </c>
      <c r="D84" s="3" t="inlineStr">
        <is>
          <t>B1</t>
        </is>
      </c>
      <c r="E84" s="9" t="n"/>
      <c r="F84" s="15">
        <f>IF(E84&lt;&gt;"","Đã VH","Quy hoạch điện VIII")</f>
        <v/>
      </c>
      <c r="G84" s="16">
        <f>LEFT(B84,FIND(" ",B84,1)-1)</f>
        <v/>
      </c>
      <c r="H84" s="16">
        <f>TRIM(RIGHT(B84,LEN(B84)-FIND(" ",B84,1)))</f>
        <v/>
      </c>
      <c r="I84" s="16">
        <f>_xlfn.XLOOKUP(Table2[[#This Row],[Type]],Table5[Type],Table5[Type2])</f>
        <v/>
      </c>
      <c r="J84" s="16">
        <f>_xlfn.XLOOKUP(Table2[[#This Row],[Sym]],Zones!$A$2:$A$21,Zones!$B$2:$B$21)</f>
        <v/>
      </c>
      <c r="K84" s="21" t="n"/>
    </row>
    <row r="85">
      <c r="A85" s="24" t="n">
        <v>1084</v>
      </c>
      <c r="B85" s="10" t="inlineStr">
        <is>
          <t>T220 Long Biên 2</t>
        </is>
      </c>
      <c r="C85" s="10" t="inlineStr">
        <is>
          <t>TBA 220kV Long Biên 2</t>
        </is>
      </c>
      <c r="D85" s="3" t="inlineStr">
        <is>
          <t>B1</t>
        </is>
      </c>
      <c r="E85" s="9" t="n"/>
      <c r="F85" s="15">
        <f>IF(E85&lt;&gt;"","Đã VH","Quy hoạch điện VIII")</f>
        <v/>
      </c>
      <c r="G85" s="16">
        <f>LEFT(B85,FIND(" ",B85,1)-1)</f>
        <v/>
      </c>
      <c r="H85" s="16">
        <f>TRIM(RIGHT(B85,LEN(B85)-FIND(" ",B85,1)))</f>
        <v/>
      </c>
      <c r="I85" s="16">
        <f>_xlfn.XLOOKUP(Table2[[#This Row],[Type]],Table5[Type],Table5[Type2])</f>
        <v/>
      </c>
      <c r="J85" s="16">
        <f>_xlfn.XLOOKUP(Table2[[#This Row],[Sym]],Zones!$A$2:$A$21,Zones!$B$2:$B$21)</f>
        <v/>
      </c>
      <c r="K85" s="21" t="n"/>
    </row>
    <row r="86">
      <c r="A86" s="24" t="n">
        <v>1085</v>
      </c>
      <c r="B86" s="10" t="inlineStr">
        <is>
          <t>T220 Chương Mỹ</t>
        </is>
      </c>
      <c r="C86" s="10" t="inlineStr">
        <is>
          <t>TBA 220kV Chương Mỹ</t>
        </is>
      </c>
      <c r="D86" s="3" t="inlineStr">
        <is>
          <t>B1</t>
        </is>
      </c>
      <c r="E86" s="9" t="n"/>
      <c r="F86" s="15">
        <f>IF(E86&lt;&gt;"","Đã VH","Quy hoạch điện VIII")</f>
        <v/>
      </c>
      <c r="G86" s="16">
        <f>LEFT(B86,FIND(" ",B86,1)-1)</f>
        <v/>
      </c>
      <c r="H86" s="16">
        <f>TRIM(RIGHT(B86,LEN(B86)-FIND(" ",B86,1)))</f>
        <v/>
      </c>
      <c r="I86" s="16">
        <f>_xlfn.XLOOKUP(Table2[[#This Row],[Type]],Table5[Type],Table5[Type2])</f>
        <v/>
      </c>
      <c r="J86" s="16">
        <f>_xlfn.XLOOKUP(Table2[[#This Row],[Sym]],Zones!$A$2:$A$21,Zones!$B$2:$B$21)</f>
        <v/>
      </c>
      <c r="K86" s="21" t="n"/>
    </row>
    <row r="87">
      <c r="A87" s="24" t="n">
        <v>1086</v>
      </c>
      <c r="B87" s="25" t="inlineStr">
        <is>
          <t>T220 Thanh Xuân</t>
        </is>
      </c>
      <c r="C87" s="25" t="inlineStr">
        <is>
          <t>TBA 220kV Thanh Xuân</t>
        </is>
      </c>
      <c r="D87" s="3" t="inlineStr">
        <is>
          <t>B1</t>
        </is>
      </c>
      <c r="E87" s="9" t="n"/>
      <c r="F87" s="15">
        <f>IF(E87&lt;&gt;"","Đã VH","Quy hoạch điện VIII")</f>
        <v/>
      </c>
      <c r="G87" s="16">
        <f>LEFT(B87,FIND(" ",B87,1)-1)</f>
        <v/>
      </c>
      <c r="H87" s="16">
        <f>TRIM(RIGHT(B87,LEN(B87)-FIND(" ",B87,1)))</f>
        <v/>
      </c>
      <c r="I87" s="16">
        <f>_xlfn.XLOOKUP(Table2[[#This Row],[Type]],Table5[Type],Table5[Type2])</f>
        <v/>
      </c>
      <c r="J87" s="16">
        <f>_xlfn.XLOOKUP(Table2[[#This Row],[Sym]],Zones!$A$2:$A$21,Zones!$B$2:$B$21)</f>
        <v/>
      </c>
      <c r="K87" s="21" t="n"/>
    </row>
    <row r="88">
      <c r="A88" s="24" t="n">
        <v>1087</v>
      </c>
      <c r="B88" s="25" t="inlineStr">
        <is>
          <t>T110 CNC 2</t>
        </is>
      </c>
      <c r="C88" s="25" t="inlineStr">
        <is>
          <t>TBA 110kV CNC 2</t>
        </is>
      </c>
      <c r="D88" s="3" t="inlineStr">
        <is>
          <t>B1</t>
        </is>
      </c>
      <c r="E88" s="9" t="inlineStr">
        <is>
          <t>E1.73</t>
        </is>
      </c>
      <c r="F88" s="15">
        <f>IF(E88&lt;&gt;"","Đã VH","Quy hoạch điện VIII")</f>
        <v/>
      </c>
      <c r="G88" s="16">
        <f>LEFT(B88,FIND(" ",B88,1)-1)</f>
        <v/>
      </c>
      <c r="H88" s="16">
        <f>TRIM(RIGHT(B88,LEN(B88)-FIND(" ",B88,1)))</f>
        <v/>
      </c>
      <c r="I88" s="16">
        <f>_xlfn.XLOOKUP(Table2[[#This Row],[Type]],Table5[Type],Table5[Type2])</f>
        <v/>
      </c>
      <c r="J88" s="16">
        <f>_xlfn.XLOOKUP(Table2[[#This Row],[Sym]],Zones!$A$2:$A$21,Zones!$B$2:$B$21)</f>
        <v/>
      </c>
      <c r="K88" s="21" t="n"/>
    </row>
    <row r="89">
      <c r="A89" s="24" t="n">
        <v>1088</v>
      </c>
      <c r="B89" s="25" t="inlineStr">
        <is>
          <t>T110 Hồng Dương</t>
        </is>
      </c>
      <c r="C89" s="25" t="inlineStr">
        <is>
          <t>TBA 110kV Hồng Dương</t>
        </is>
      </c>
      <c r="D89" s="3" t="inlineStr">
        <is>
          <t>B1</t>
        </is>
      </c>
      <c r="E89" s="9" t="inlineStr">
        <is>
          <t>E1.71</t>
        </is>
      </c>
      <c r="F89" s="15">
        <f>IF(E89&lt;&gt;"","Đã VH","Quy hoạch điện VIII")</f>
        <v/>
      </c>
      <c r="G89" s="16">
        <f>LEFT(B89,FIND(" ",B89,1)-1)</f>
        <v/>
      </c>
      <c r="H89" s="16">
        <f>TRIM(RIGHT(B89,LEN(B89)-FIND(" ",B89,1)))</f>
        <v/>
      </c>
      <c r="I89" s="16">
        <f>_xlfn.XLOOKUP(Table2[[#This Row],[Type]],Table5[Type],Table5[Type2])</f>
        <v/>
      </c>
      <c r="J89" s="16">
        <f>_xlfn.XLOOKUP(Table2[[#This Row],[Sym]],Zones!$A$2:$A$21,Zones!$B$2:$B$21)</f>
        <v/>
      </c>
      <c r="K89" s="21" t="n"/>
    </row>
    <row r="90">
      <c r="A90" s="24" t="n">
        <v>1089</v>
      </c>
      <c r="B90" s="25" t="inlineStr">
        <is>
          <t>T110 Chương Mỹ</t>
        </is>
      </c>
      <c r="C90" s="25" t="inlineStr">
        <is>
          <t>TBA 110kV Chương Mỹ</t>
        </is>
      </c>
      <c r="D90" s="3" t="inlineStr">
        <is>
          <t>B1</t>
        </is>
      </c>
      <c r="E90" s="9" t="inlineStr">
        <is>
          <t>E1.68</t>
        </is>
      </c>
      <c r="F90" s="15">
        <f>IF(E90&lt;&gt;"","Đã VH","Quy hoạch điện VIII")</f>
        <v/>
      </c>
      <c r="G90" s="16">
        <f>LEFT(B90,FIND(" ",B90,1)-1)</f>
        <v/>
      </c>
      <c r="H90" s="16">
        <f>TRIM(RIGHT(B90,LEN(B90)-FIND(" ",B90,1)))</f>
        <v/>
      </c>
      <c r="I90" s="16">
        <f>_xlfn.XLOOKUP(Table2[[#This Row],[Type]],Table5[Type],Table5[Type2])</f>
        <v/>
      </c>
      <c r="J90" s="16">
        <f>_xlfn.XLOOKUP(Table2[[#This Row],[Sym]],Zones!$A$2:$A$21,Zones!$B$2:$B$21)</f>
        <v/>
      </c>
      <c r="K90" s="21" t="n"/>
    </row>
    <row r="91">
      <c r="A91" s="24" t="n">
        <v>1090</v>
      </c>
      <c r="B91" s="25" t="inlineStr">
        <is>
          <t>T110 Kim Chung</t>
        </is>
      </c>
      <c r="C91" s="25" t="inlineStr">
        <is>
          <t>TBA 110kV Kim Chung</t>
        </is>
      </c>
      <c r="D91" s="3" t="inlineStr">
        <is>
          <t>B1</t>
        </is>
      </c>
      <c r="E91" s="9" t="inlineStr">
        <is>
          <t>E1.72</t>
        </is>
      </c>
      <c r="F91" s="15">
        <f>IF(E91&lt;&gt;"","Đã VH","Quy hoạch điện VIII")</f>
        <v/>
      </c>
      <c r="G91" s="16">
        <f>LEFT(B91,FIND(" ",B91,1)-1)</f>
        <v/>
      </c>
      <c r="H91" s="16">
        <f>TRIM(RIGHT(B91,LEN(B91)-FIND(" ",B91,1)))</f>
        <v/>
      </c>
      <c r="I91" s="16">
        <f>_xlfn.XLOOKUP(Table2[[#This Row],[Type]],Table5[Type],Table5[Type2])</f>
        <v/>
      </c>
      <c r="J91" s="16">
        <f>_xlfn.XLOOKUP(Table2[[#This Row],[Sym]],Zones!$A$2:$A$21,Zones!$B$2:$B$21)</f>
        <v/>
      </c>
      <c r="K91" s="21" t="n"/>
    </row>
    <row r="92">
      <c r="A92" s="24" t="n">
        <v>1091</v>
      </c>
      <c r="B92" s="25" t="inlineStr">
        <is>
          <t>T110 Trâu Quỳ</t>
        </is>
      </c>
      <c r="C92" s="25" t="inlineStr">
        <is>
          <t>TBA 110kV Trâu Quỳ</t>
        </is>
      </c>
      <c r="D92" s="3" t="inlineStr">
        <is>
          <t>B1</t>
        </is>
      </c>
      <c r="E92" s="9" t="inlineStr">
        <is>
          <t>E1.69</t>
        </is>
      </c>
      <c r="F92" s="15">
        <f>IF(E92&lt;&gt;"","Đã VH","Quy hoạch điện VIII")</f>
        <v/>
      </c>
      <c r="G92" s="16">
        <f>LEFT(B92,FIND(" ",B92,1)-1)</f>
        <v/>
      </c>
      <c r="H92" s="16">
        <f>TRIM(RIGHT(B92,LEN(B92)-FIND(" ",B92,1)))</f>
        <v/>
      </c>
      <c r="I92" s="16">
        <f>_xlfn.XLOOKUP(Table2[[#This Row],[Type]],Table5[Type],Table5[Type2])</f>
        <v/>
      </c>
      <c r="J92" s="16">
        <f>_xlfn.XLOOKUP(Table2[[#This Row],[Sym]],Zones!$A$2:$A$21,Zones!$B$2:$B$21)</f>
        <v/>
      </c>
      <c r="K92" s="21" t="n"/>
    </row>
    <row r="93">
      <c r="A93" s="24" t="n">
        <v>1092</v>
      </c>
      <c r="B93" s="25" t="inlineStr">
        <is>
          <t>T110 Sóc Sơn 2</t>
        </is>
      </c>
      <c r="C93" s="25" t="inlineStr">
        <is>
          <t>TBA 110kV Sóc Sơn 2</t>
        </is>
      </c>
      <c r="D93" s="3" t="inlineStr">
        <is>
          <t>B1</t>
        </is>
      </c>
      <c r="E93" s="9" t="inlineStr">
        <is>
          <t>E1.78</t>
        </is>
      </c>
      <c r="F93" s="15">
        <f>IF(E93&lt;&gt;"","Đã VH","Quy hoạch điện VIII")</f>
        <v/>
      </c>
      <c r="G93" s="16">
        <f>LEFT(B93,FIND(" ",B93,1)-1)</f>
        <v/>
      </c>
      <c r="H93" s="16">
        <f>TRIM(RIGHT(B93,LEN(B93)-FIND(" ",B93,1)))</f>
        <v/>
      </c>
      <c r="I93" s="16">
        <f>_xlfn.XLOOKUP(Table2[[#This Row],[Type]],Table5[Type],Table5[Type2])</f>
        <v/>
      </c>
      <c r="J93" s="16">
        <f>_xlfn.XLOOKUP(Table2[[#This Row],[Sym]],Zones!$A$2:$A$21,Zones!$B$2:$B$21)</f>
        <v/>
      </c>
      <c r="K93" s="21" t="n"/>
    </row>
    <row r="94">
      <c r="A94" s="24" t="n">
        <v>1093</v>
      </c>
      <c r="B94" s="25" t="inlineStr">
        <is>
          <t>T110 Phú Lương</t>
        </is>
      </c>
      <c r="C94" s="25" t="inlineStr">
        <is>
          <t>TBA 110kV Phú Lương</t>
        </is>
      </c>
      <c r="D94" s="3" t="inlineStr">
        <is>
          <t>B1</t>
        </is>
      </c>
      <c r="E94" s="9" t="n"/>
      <c r="F94" s="15">
        <f>IF(E94&lt;&gt;"","Đã VH","Quy hoạch điện VIII")</f>
        <v/>
      </c>
      <c r="G94" s="16">
        <f>LEFT(B94,FIND(" ",B94,1)-1)</f>
        <v/>
      </c>
      <c r="H94" s="16">
        <f>TRIM(RIGHT(B94,LEN(B94)-FIND(" ",B94,1)))</f>
        <v/>
      </c>
      <c r="I94" s="16">
        <f>_xlfn.XLOOKUP(Table2[[#This Row],[Type]],Table5[Type],Table5[Type2])</f>
        <v/>
      </c>
      <c r="J94" s="16">
        <f>_xlfn.XLOOKUP(Table2[[#This Row],[Sym]],Zones!$A$2:$A$21,Zones!$B$2:$B$21)</f>
        <v/>
      </c>
      <c r="K94" s="21" t="n"/>
    </row>
    <row r="95">
      <c r="A95" s="24" t="n">
        <v>1094</v>
      </c>
      <c r="B95" s="25" t="inlineStr">
        <is>
          <t>T110 Đại Kim</t>
        </is>
      </c>
      <c r="C95" s="25" t="inlineStr">
        <is>
          <t>TBA 110kV Đại Kim</t>
        </is>
      </c>
      <c r="D95" s="3" t="inlineStr">
        <is>
          <t>B1</t>
        </is>
      </c>
      <c r="E95" s="9" t="inlineStr">
        <is>
          <t>E1.76</t>
        </is>
      </c>
      <c r="F95" s="15">
        <f>IF(E95&lt;&gt;"","Đã VH","Quy hoạch điện VIII")</f>
        <v/>
      </c>
      <c r="G95" s="16">
        <f>LEFT(B95,FIND(" ",B95,1)-1)</f>
        <v/>
      </c>
      <c r="H95" s="16">
        <f>TRIM(RIGHT(B95,LEN(B95)-FIND(" ",B95,1)))</f>
        <v/>
      </c>
      <c r="I95" s="16">
        <f>_xlfn.XLOOKUP(Table2[[#This Row],[Type]],Table5[Type],Table5[Type2])</f>
        <v/>
      </c>
      <c r="J95" s="16">
        <f>_xlfn.XLOOKUP(Table2[[#This Row],[Sym]],Zones!$A$2:$A$21,Zones!$B$2:$B$21)</f>
        <v/>
      </c>
      <c r="K95" s="21" t="n"/>
    </row>
    <row r="96">
      <c r="A96" s="24" t="n">
        <v>1095</v>
      </c>
      <c r="B96" s="25" t="inlineStr">
        <is>
          <t>T110 Ba Vì 2</t>
        </is>
      </c>
      <c r="C96" s="25" t="inlineStr">
        <is>
          <t>TBA 110kV Ba Vì 2</t>
        </is>
      </c>
      <c r="D96" s="3" t="inlineStr">
        <is>
          <t>B1</t>
        </is>
      </c>
      <c r="E96" s="9" t="n"/>
      <c r="F96" s="15">
        <f>IF(E96&lt;&gt;"","Đã VH","Quy hoạch điện VIII")</f>
        <v/>
      </c>
      <c r="G96" s="16">
        <f>LEFT(B96,FIND(" ",B96,1)-1)</f>
        <v/>
      </c>
      <c r="H96" s="16">
        <f>TRIM(RIGHT(B96,LEN(B96)-FIND(" ",B96,1)))</f>
        <v/>
      </c>
      <c r="I96" s="16">
        <f>_xlfn.XLOOKUP(Table2[[#This Row],[Type]],Table5[Type],Table5[Type2])</f>
        <v/>
      </c>
      <c r="J96" s="16">
        <f>_xlfn.XLOOKUP(Table2[[#This Row],[Sym]],Zones!$A$2:$A$21,Zones!$B$2:$B$21)</f>
        <v/>
      </c>
      <c r="K96" s="21" t="n"/>
    </row>
    <row r="97">
      <c r="A97" s="24" t="n">
        <v>1096</v>
      </c>
      <c r="B97" s="25" t="inlineStr">
        <is>
          <t>T110 Nam An Khánh</t>
        </is>
      </c>
      <c r="C97" s="25" t="inlineStr">
        <is>
          <t>TBA 110kV Nam An Khánh</t>
        </is>
      </c>
      <c r="D97" s="3" t="inlineStr">
        <is>
          <t>B1</t>
        </is>
      </c>
      <c r="E97" s="9" t="n"/>
      <c r="F97" s="15">
        <f>IF(E97&lt;&gt;"","Đã VH","Quy hoạch điện VIII")</f>
        <v/>
      </c>
      <c r="G97" s="16">
        <f>LEFT(B97,FIND(" ",B97,1)-1)</f>
        <v/>
      </c>
      <c r="H97" s="16">
        <f>TRIM(RIGHT(B97,LEN(B97)-FIND(" ",B97,1)))</f>
        <v/>
      </c>
      <c r="I97" s="16">
        <f>_xlfn.XLOOKUP(Table2[[#This Row],[Type]],Table5[Type],Table5[Type2])</f>
        <v/>
      </c>
      <c r="J97" s="16">
        <f>_xlfn.XLOOKUP(Table2[[#This Row],[Sym]],Zones!$A$2:$A$21,Zones!$B$2:$B$21)</f>
        <v/>
      </c>
      <c r="K97" s="21" t="n"/>
    </row>
    <row r="98">
      <c r="A98" s="24" t="n">
        <v>1097</v>
      </c>
      <c r="B98" s="25" t="inlineStr">
        <is>
          <t>T110 Ngọc Thụy</t>
        </is>
      </c>
      <c r="C98" s="25" t="inlineStr">
        <is>
          <t>TBA 110kV Ngọc Thụy</t>
        </is>
      </c>
      <c r="D98" s="3" t="inlineStr">
        <is>
          <t>B1</t>
        </is>
      </c>
      <c r="E98" s="9" t="inlineStr">
        <is>
          <t>E1.79</t>
        </is>
      </c>
      <c r="F98" s="15">
        <f>IF(E98&lt;&gt;"","Đã VH","Quy hoạch điện VIII")</f>
        <v/>
      </c>
      <c r="G98" s="16">
        <f>LEFT(B98,FIND(" ",B98,1)-1)</f>
        <v/>
      </c>
      <c r="H98" s="16">
        <f>TRIM(RIGHT(B98,LEN(B98)-FIND(" ",B98,1)))</f>
        <v/>
      </c>
      <c r="I98" s="16">
        <f>_xlfn.XLOOKUP(Table2[[#This Row],[Type]],Table5[Type],Table5[Type2])</f>
        <v/>
      </c>
      <c r="J98" s="16">
        <f>_xlfn.XLOOKUP(Table2[[#This Row],[Sym]],Zones!$A$2:$A$21,Zones!$B$2:$B$21)</f>
        <v/>
      </c>
      <c r="K98" s="21" t="n"/>
    </row>
    <row r="99">
      <c r="A99" s="24" t="n">
        <v>1098</v>
      </c>
      <c r="B99" s="25" t="inlineStr">
        <is>
          <t>T110 Thạch Thất</t>
        </is>
      </c>
      <c r="C99" s="25" t="inlineStr">
        <is>
          <t>TBA 110kV Thạch Thất</t>
        </is>
      </c>
      <c r="D99" s="3" t="inlineStr">
        <is>
          <t>B1</t>
        </is>
      </c>
      <c r="E99" s="9" t="n"/>
      <c r="F99" s="15">
        <f>IF(E99&lt;&gt;"","Đã VH","Quy hoạch điện VIII")</f>
        <v/>
      </c>
      <c r="G99" s="16">
        <f>LEFT(B99,FIND(" ",B99,1)-1)</f>
        <v/>
      </c>
      <c r="H99" s="16">
        <f>TRIM(RIGHT(B99,LEN(B99)-FIND(" ",B99,1)))</f>
        <v/>
      </c>
      <c r="I99" s="16">
        <f>_xlfn.XLOOKUP(Table2[[#This Row],[Type]],Table5[Type],Table5[Type2])</f>
        <v/>
      </c>
      <c r="J99" s="16">
        <f>_xlfn.XLOOKUP(Table2[[#This Row],[Sym]],Zones!$A$2:$A$21,Zones!$B$2:$B$21)</f>
        <v/>
      </c>
      <c r="K99" s="21" t="n"/>
    </row>
    <row r="100">
      <c r="A100" s="24" t="n">
        <v>1099</v>
      </c>
      <c r="B100" s="25" t="inlineStr">
        <is>
          <t>T110 Phú Cát</t>
        </is>
      </c>
      <c r="C100" s="25" t="inlineStr">
        <is>
          <t>TBA 110kV Phú Cát</t>
        </is>
      </c>
      <c r="D100" s="3" t="inlineStr">
        <is>
          <t>B1</t>
        </is>
      </c>
      <c r="E100" s="9" t="n"/>
      <c r="F100" s="15">
        <f>IF(E100&lt;&gt;"","Đã VH","Quy hoạch điện VIII")</f>
        <v/>
      </c>
      <c r="G100" s="16">
        <f>LEFT(B100,FIND(" ",B100,1)-1)</f>
        <v/>
      </c>
      <c r="H100" s="16">
        <f>TRIM(RIGHT(B100,LEN(B100)-FIND(" ",B100,1)))</f>
        <v/>
      </c>
      <c r="I100" s="16">
        <f>_xlfn.XLOOKUP(Table2[[#This Row],[Type]],Table5[Type],Table5[Type2])</f>
        <v/>
      </c>
      <c r="J100" s="16">
        <f>_xlfn.XLOOKUP(Table2[[#This Row],[Sym]],Zones!$A$2:$A$21,Zones!$B$2:$B$21)</f>
        <v/>
      </c>
      <c r="K100" s="21" t="n"/>
    </row>
    <row r="101">
      <c r="A101" s="24" t="n">
        <v>1100</v>
      </c>
      <c r="B101" s="25" t="inlineStr">
        <is>
          <t>ĐR Seraphin</t>
        </is>
      </c>
      <c r="C101" s="25" t="inlineStr">
        <is>
          <t xml:space="preserve"> Seraphin</t>
        </is>
      </c>
      <c r="D101" s="3" t="inlineStr">
        <is>
          <t>B1</t>
        </is>
      </c>
      <c r="E101" s="9" t="inlineStr">
        <is>
          <t>A1.60</t>
        </is>
      </c>
      <c r="F101" s="15">
        <f>IF(E101&lt;&gt;"","Đã VH","Quy hoạch điện VIII")</f>
        <v/>
      </c>
      <c r="G101" s="16">
        <f>LEFT(B101,FIND(" ",B101,1)-1)</f>
        <v/>
      </c>
      <c r="H101" s="16">
        <f>TRIM(RIGHT(B101,LEN(B101)-FIND(" ",B101,1)))</f>
        <v/>
      </c>
      <c r="I101" s="16">
        <f>_xlfn.XLOOKUP(Table2[[#This Row],[Type]],Table5[Type],Table5[Type2])</f>
        <v/>
      </c>
      <c r="J101" s="16">
        <f>_xlfn.XLOOKUP(Table2[[#This Row],[Sym]],Zones!$A$2:$A$21,Zones!$B$2:$B$21)</f>
        <v/>
      </c>
      <c r="K101" s="21" t="n"/>
    </row>
    <row r="102">
      <c r="A102" s="24" t="n">
        <v>1101</v>
      </c>
      <c r="B102" s="25" t="inlineStr">
        <is>
          <t>T110 Mê Linh 2</t>
        </is>
      </c>
      <c r="C102" s="25" t="inlineStr">
        <is>
          <t>TBA 110kV Mê Linh 2</t>
        </is>
      </c>
      <c r="D102" s="3" t="inlineStr">
        <is>
          <t>B1</t>
        </is>
      </c>
      <c r="E102" s="9" t="n"/>
      <c r="F102" s="15">
        <f>IF(E102&lt;&gt;"","Đã VH","Quy hoạch điện VIII")</f>
        <v/>
      </c>
      <c r="G102" s="16">
        <f>LEFT(B102,FIND(" ",B102,1)-1)</f>
        <v/>
      </c>
      <c r="H102" s="16">
        <f>TRIM(RIGHT(B102,LEN(B102)-FIND(" ",B102,1)))</f>
        <v/>
      </c>
      <c r="I102" s="16">
        <f>_xlfn.XLOOKUP(Table2[[#This Row],[Type]],Table5[Type],Table5[Type2])</f>
        <v/>
      </c>
      <c r="J102" s="16">
        <f>_xlfn.XLOOKUP(Table2[[#This Row],[Sym]],Zones!$A$2:$A$21,Zones!$B$2:$B$21)</f>
        <v/>
      </c>
      <c r="K102" s="21" t="n"/>
    </row>
    <row r="103">
      <c r="A103" s="24" t="n">
        <v>1102</v>
      </c>
      <c r="B103" s="25" t="inlineStr">
        <is>
          <t>T110 Đông Dư</t>
        </is>
      </c>
      <c r="C103" s="25" t="inlineStr">
        <is>
          <t>TBA 110kV Đông Dư</t>
        </is>
      </c>
      <c r="D103" s="3" t="inlineStr">
        <is>
          <t>B1</t>
        </is>
      </c>
      <c r="E103" s="9" t="n"/>
      <c r="F103" s="15">
        <f>IF(E103&lt;&gt;"","Đã VH","Quy hoạch điện VIII")</f>
        <v/>
      </c>
      <c r="G103" s="16">
        <f>LEFT(B103,FIND(" ",B103,1)-1)</f>
        <v/>
      </c>
      <c r="H103" s="16">
        <f>TRIM(RIGHT(B103,LEN(B103)-FIND(" ",B103,1)))</f>
        <v/>
      </c>
      <c r="I103" s="16">
        <f>_xlfn.XLOOKUP(Table2[[#This Row],[Type]],Table5[Type],Table5[Type2])</f>
        <v/>
      </c>
      <c r="J103" s="16">
        <f>_xlfn.XLOOKUP(Table2[[#This Row],[Sym]],Zones!$A$2:$A$21,Zones!$B$2:$B$21)</f>
        <v/>
      </c>
      <c r="K103" s="21" t="n"/>
    </row>
    <row r="104">
      <c r="A104" s="24" t="n">
        <v>1103</v>
      </c>
      <c r="B104" s="25" t="inlineStr">
        <is>
          <t>T110 Phù Đổng</t>
        </is>
      </c>
      <c r="C104" s="25" t="inlineStr">
        <is>
          <t>TBA 110kV Phù Đổng</t>
        </is>
      </c>
      <c r="D104" s="3" t="inlineStr">
        <is>
          <t>B1</t>
        </is>
      </c>
      <c r="E104" s="9" t="n"/>
      <c r="F104" s="15">
        <f>IF(E104&lt;&gt;"","Đã VH","Quy hoạch điện VIII")</f>
        <v/>
      </c>
      <c r="G104" s="16">
        <f>LEFT(B104,FIND(" ",B104,1)-1)</f>
        <v/>
      </c>
      <c r="H104" s="16">
        <f>TRIM(RIGHT(B104,LEN(B104)-FIND(" ",B104,1)))</f>
        <v/>
      </c>
      <c r="I104" s="16">
        <f>_xlfn.XLOOKUP(Table2[[#This Row],[Type]],Table5[Type],Table5[Type2])</f>
        <v/>
      </c>
      <c r="J104" s="16">
        <f>_xlfn.XLOOKUP(Table2[[#This Row],[Sym]],Zones!$A$2:$A$21,Zones!$B$2:$B$21)</f>
        <v/>
      </c>
      <c r="K104" s="21" t="n"/>
    </row>
    <row r="105">
      <c r="A105" s="24" t="n">
        <v>1104</v>
      </c>
      <c r="B105" s="25" t="inlineStr">
        <is>
          <t>T110 Thanh Hà</t>
        </is>
      </c>
      <c r="C105" s="25" t="inlineStr">
        <is>
          <t>TBA 110kV Thanh Hà</t>
        </is>
      </c>
      <c r="D105" s="3" t="inlineStr">
        <is>
          <t>B1</t>
        </is>
      </c>
      <c r="E105" s="9" t="n"/>
      <c r="F105" s="15">
        <f>IF(E105&lt;&gt;"","Đã VH","Quy hoạch điện VIII")</f>
        <v/>
      </c>
      <c r="G105" s="16">
        <f>LEFT(B105,FIND(" ",B105,1)-1)</f>
        <v/>
      </c>
      <c r="H105" s="16">
        <f>TRIM(RIGHT(B105,LEN(B105)-FIND(" ",B105,1)))</f>
        <v/>
      </c>
      <c r="I105" s="16">
        <f>_xlfn.XLOOKUP(Table2[[#This Row],[Type]],Table5[Type],Table5[Type2])</f>
        <v/>
      </c>
      <c r="J105" s="16">
        <f>_xlfn.XLOOKUP(Table2[[#This Row],[Sym]],Zones!$A$2:$A$21,Zones!$B$2:$B$21)</f>
        <v/>
      </c>
      <c r="K105" s="21" t="n"/>
    </row>
    <row r="106">
      <c r="A106" s="24" t="n">
        <v>1105</v>
      </c>
      <c r="B106" s="25" t="inlineStr">
        <is>
          <t>T110 Hoài Đức</t>
        </is>
      </c>
      <c r="C106" s="25" t="inlineStr">
        <is>
          <t>TBA 110kV Hoài Đức</t>
        </is>
      </c>
      <c r="D106" s="3" t="inlineStr">
        <is>
          <t>B1</t>
        </is>
      </c>
      <c r="E106" s="9" t="n"/>
      <c r="F106" s="15">
        <f>IF(E106&lt;&gt;"","Đã VH","Quy hoạch điện VIII")</f>
        <v/>
      </c>
      <c r="G106" s="16">
        <f>LEFT(B106,FIND(" ",B106,1)-1)</f>
        <v/>
      </c>
      <c r="H106" s="16">
        <f>TRIM(RIGHT(B106,LEN(B106)-FIND(" ",B106,1)))</f>
        <v/>
      </c>
      <c r="I106" s="16">
        <f>_xlfn.XLOOKUP(Table2[[#This Row],[Type]],Table5[Type],Table5[Type2])</f>
        <v/>
      </c>
      <c r="J106" s="16">
        <f>_xlfn.XLOOKUP(Table2[[#This Row],[Sym]],Zones!$A$2:$A$21,Zones!$B$2:$B$21)</f>
        <v/>
      </c>
      <c r="K106" s="21" t="n"/>
    </row>
    <row r="107">
      <c r="A107" s="24" t="n">
        <v>1106</v>
      </c>
      <c r="B107" s="25" t="inlineStr">
        <is>
          <t>T110 Hà Đông 2</t>
        </is>
      </c>
      <c r="C107" s="25" t="inlineStr">
        <is>
          <t>TBA 110kV Hà Đông 2</t>
        </is>
      </c>
      <c r="D107" s="3" t="inlineStr">
        <is>
          <t>B1</t>
        </is>
      </c>
      <c r="E107" s="9" t="n"/>
      <c r="F107" s="15">
        <f>IF(E107&lt;&gt;"","Đã VH","Quy hoạch điện VIII")</f>
        <v/>
      </c>
      <c r="G107" s="16">
        <f>LEFT(B107,FIND(" ",B107,1)-1)</f>
        <v/>
      </c>
      <c r="H107" s="16">
        <f>TRIM(RIGHT(B107,LEN(B107)-FIND(" ",B107,1)))</f>
        <v/>
      </c>
      <c r="I107" s="16">
        <f>_xlfn.XLOOKUP(Table2[[#This Row],[Type]],Table5[Type],Table5[Type2])</f>
        <v/>
      </c>
      <c r="J107" s="16">
        <f>_xlfn.XLOOKUP(Table2[[#This Row],[Sym]],Zones!$A$2:$A$21,Zones!$B$2:$B$21)</f>
        <v/>
      </c>
      <c r="K107" s="21" t="n"/>
    </row>
    <row r="108">
      <c r="A108" s="24" t="n">
        <v>1107</v>
      </c>
      <c r="B108" s="25" t="inlineStr">
        <is>
          <t>T110 ĐH Quốc Gia</t>
        </is>
      </c>
      <c r="C108" s="25" t="inlineStr">
        <is>
          <t>TBA 110kV ĐH Quốc Gia</t>
        </is>
      </c>
      <c r="D108" s="3" t="inlineStr">
        <is>
          <t>B1</t>
        </is>
      </c>
      <c r="E108" s="9" t="n"/>
      <c r="F108" s="15">
        <f>IF(E108&lt;&gt;"","Đã VH","Quy hoạch điện VIII")</f>
        <v/>
      </c>
      <c r="G108" s="16">
        <f>LEFT(B108,FIND(" ",B108,1)-1)</f>
        <v/>
      </c>
      <c r="H108" s="16">
        <f>TRIM(RIGHT(B108,LEN(B108)-FIND(" ",B108,1)))</f>
        <v/>
      </c>
      <c r="I108" s="16">
        <f>_xlfn.XLOOKUP(Table2[[#This Row],[Type]],Table5[Type],Table5[Type2])</f>
        <v/>
      </c>
      <c r="J108" s="16">
        <f>_xlfn.XLOOKUP(Table2[[#This Row],[Sym]],Zones!$A$2:$A$21,Zones!$B$2:$B$21)</f>
        <v/>
      </c>
      <c r="K108" s="21" t="n"/>
    </row>
    <row r="109">
      <c r="A109" s="24" t="n">
        <v>1108</v>
      </c>
      <c r="B109" s="25" t="inlineStr">
        <is>
          <t>T110 Hoàng Mai</t>
        </is>
      </c>
      <c r="C109" s="25" t="inlineStr">
        <is>
          <t>TBA 110kV Hoàng Mai</t>
        </is>
      </c>
      <c r="D109" s="3" t="inlineStr">
        <is>
          <t>B1</t>
        </is>
      </c>
      <c r="E109" s="9" t="n"/>
      <c r="F109" s="15">
        <f>IF(E109&lt;&gt;"","Đã VH","Quy hoạch điện VIII")</f>
        <v/>
      </c>
      <c r="G109" s="16">
        <f>LEFT(B109,FIND(" ",B109,1)-1)</f>
        <v/>
      </c>
      <c r="H109" s="16">
        <f>TRIM(RIGHT(B109,LEN(B109)-FIND(" ",B109,1)))</f>
        <v/>
      </c>
      <c r="I109" s="16">
        <f>_xlfn.XLOOKUP(Table2[[#This Row],[Type]],Table5[Type],Table5[Type2])</f>
        <v/>
      </c>
      <c r="J109" s="16">
        <f>_xlfn.XLOOKUP(Table2[[#This Row],[Sym]],Zones!$A$2:$A$21,Zones!$B$2:$B$21)</f>
        <v/>
      </c>
      <c r="K109" s="21" t="n"/>
    </row>
    <row r="110">
      <c r="A110" s="24" t="n">
        <v>1109</v>
      </c>
      <c r="B110" s="25" t="inlineStr">
        <is>
          <t>T110 Phúc Thọ 2</t>
        </is>
      </c>
      <c r="C110" s="25" t="inlineStr">
        <is>
          <t>TBA 110kV Phúc Thọ 2</t>
        </is>
      </c>
      <c r="D110" s="3" t="inlineStr">
        <is>
          <t>B1</t>
        </is>
      </c>
      <c r="E110" s="9" t="n"/>
      <c r="F110" s="15">
        <f>IF(E110&lt;&gt;"","Đã VH","Quy hoạch điện VIII")</f>
        <v/>
      </c>
      <c r="G110" s="16">
        <f>LEFT(B110,FIND(" ",B110,1)-1)</f>
        <v/>
      </c>
      <c r="H110" s="16">
        <f>TRIM(RIGHT(B110,LEN(B110)-FIND(" ",B110,1)))</f>
        <v/>
      </c>
      <c r="I110" s="16">
        <f>_xlfn.XLOOKUP(Table2[[#This Row],[Type]],Table5[Type],Table5[Type2])</f>
        <v/>
      </c>
      <c r="J110" s="16">
        <f>_xlfn.XLOOKUP(Table2[[#This Row],[Sym]],Zones!$A$2:$A$21,Zones!$B$2:$B$21)</f>
        <v/>
      </c>
      <c r="K110" s="21" t="n"/>
    </row>
    <row r="111">
      <c r="A111" s="24" t="n">
        <v>1110</v>
      </c>
      <c r="B111" s="25" t="inlineStr">
        <is>
          <t>T110 Sóc Sơn 3</t>
        </is>
      </c>
      <c r="C111" s="25" t="inlineStr">
        <is>
          <t>TBA 110kV Sóc Sơn 3</t>
        </is>
      </c>
      <c r="D111" s="3" t="inlineStr">
        <is>
          <t>B1</t>
        </is>
      </c>
      <c r="E111" s="9" t="n"/>
      <c r="F111" s="15">
        <f>IF(E111&lt;&gt;"","Đã VH","Quy hoạch điện VIII")</f>
        <v/>
      </c>
      <c r="G111" s="16">
        <f>LEFT(B111,FIND(" ",B111,1)-1)</f>
        <v/>
      </c>
      <c r="H111" s="16">
        <f>TRIM(RIGHT(B111,LEN(B111)-FIND(" ",B111,1)))</f>
        <v/>
      </c>
      <c r="I111" s="16">
        <f>_xlfn.XLOOKUP(Table2[[#This Row],[Type]],Table5[Type],Table5[Type2])</f>
        <v/>
      </c>
      <c r="J111" s="16">
        <f>_xlfn.XLOOKUP(Table2[[#This Row],[Sym]],Zones!$A$2:$A$21,Zones!$B$2:$B$21)</f>
        <v/>
      </c>
      <c r="K111" s="21" t="n"/>
    </row>
    <row r="112">
      <c r="A112" s="24" t="n">
        <v>1111</v>
      </c>
      <c r="B112" s="25" t="inlineStr">
        <is>
          <t>T110 Đan Phượng</t>
        </is>
      </c>
      <c r="C112" s="25" t="inlineStr">
        <is>
          <t>TBA 110kV Đan Phượng</t>
        </is>
      </c>
      <c r="D112" s="3" t="inlineStr">
        <is>
          <t>B1</t>
        </is>
      </c>
      <c r="E112" s="9" t="n"/>
      <c r="F112" s="15">
        <f>IF(E112&lt;&gt;"","Đã VH","Quy hoạch điện VIII")</f>
        <v/>
      </c>
      <c r="G112" s="16">
        <f>LEFT(B112,FIND(" ",B112,1)-1)</f>
        <v/>
      </c>
      <c r="H112" s="16">
        <f>TRIM(RIGHT(B112,LEN(B112)-FIND(" ",B112,1)))</f>
        <v/>
      </c>
      <c r="I112" s="16">
        <f>_xlfn.XLOOKUP(Table2[[#This Row],[Type]],Table5[Type],Table5[Type2])</f>
        <v/>
      </c>
      <c r="J112" s="16">
        <f>_xlfn.XLOOKUP(Table2[[#This Row],[Sym]],Zones!$A$2:$A$21,Zones!$B$2:$B$21)</f>
        <v/>
      </c>
      <c r="K112" s="21" t="n"/>
    </row>
    <row r="113">
      <c r="A113" s="24" t="n">
        <v>1112</v>
      </c>
      <c r="B113" s="25" t="inlineStr">
        <is>
          <t>T110 Vân Nội</t>
        </is>
      </c>
      <c r="C113" s="25" t="inlineStr">
        <is>
          <t>TBA 110kV Vân Nội</t>
        </is>
      </c>
      <c r="D113" s="3" t="inlineStr">
        <is>
          <t>B1</t>
        </is>
      </c>
      <c r="E113" s="9" t="n"/>
      <c r="F113" s="15">
        <f>IF(E113&lt;&gt;"","Đã VH","Quy hoạch điện VIII")</f>
        <v/>
      </c>
      <c r="G113" s="16">
        <f>LEFT(B113,FIND(" ",B113,1)-1)</f>
        <v/>
      </c>
      <c r="H113" s="16">
        <f>TRIM(RIGHT(B113,LEN(B113)-FIND(" ",B113,1)))</f>
        <v/>
      </c>
      <c r="I113" s="16">
        <f>_xlfn.XLOOKUP(Table2[[#This Row],[Type]],Table5[Type],Table5[Type2])</f>
        <v/>
      </c>
      <c r="J113" s="16">
        <f>_xlfn.XLOOKUP(Table2[[#This Row],[Sym]],Zones!$A$2:$A$21,Zones!$B$2:$B$21)</f>
        <v/>
      </c>
      <c r="K113" s="21" t="n"/>
    </row>
    <row r="114">
      <c r="A114" s="24" t="n">
        <v>1113</v>
      </c>
      <c r="B114" s="25" t="inlineStr">
        <is>
          <t>T110 Thanh Trì</t>
        </is>
      </c>
      <c r="C114" s="25" t="inlineStr">
        <is>
          <t>TBA 110kV Thanh Trì</t>
        </is>
      </c>
      <c r="D114" s="3" t="inlineStr">
        <is>
          <t>B1</t>
        </is>
      </c>
      <c r="E114" s="9" t="n"/>
      <c r="F114" s="15">
        <f>IF(E114&lt;&gt;"","Đã VH","Quy hoạch điện VIII")</f>
        <v/>
      </c>
      <c r="G114" s="16">
        <f>LEFT(B114,FIND(" ",B114,1)-1)</f>
        <v/>
      </c>
      <c r="H114" s="16">
        <f>TRIM(RIGHT(B114,LEN(B114)-FIND(" ",B114,1)))</f>
        <v/>
      </c>
      <c r="I114" s="16">
        <f>_xlfn.XLOOKUP(Table2[[#This Row],[Type]],Table5[Type],Table5[Type2])</f>
        <v/>
      </c>
      <c r="J114" s="16">
        <f>_xlfn.XLOOKUP(Table2[[#This Row],[Sym]],Zones!$A$2:$A$21,Zones!$B$2:$B$21)</f>
        <v/>
      </c>
      <c r="K114" s="21" t="n"/>
    </row>
    <row r="115">
      <c r="A115" s="24" t="n">
        <v>1114</v>
      </c>
      <c r="B115" s="25" t="inlineStr">
        <is>
          <t>T110 Đại Mỗ</t>
        </is>
      </c>
      <c r="C115" s="25" t="inlineStr">
        <is>
          <t>TBA 110kV Đại Mỗ</t>
        </is>
      </c>
      <c r="D115" s="3" t="inlineStr">
        <is>
          <t>B1</t>
        </is>
      </c>
      <c r="E115" s="9" t="n"/>
      <c r="F115" s="15">
        <f>IF(E115&lt;&gt;"","Đã VH","Quy hoạch điện VIII")</f>
        <v/>
      </c>
      <c r="G115" s="16">
        <f>LEFT(B115,FIND(" ",B115,1)-1)</f>
        <v/>
      </c>
      <c r="H115" s="16">
        <f>TRIM(RIGHT(B115,LEN(B115)-FIND(" ",B115,1)))</f>
        <v/>
      </c>
      <c r="I115" s="16">
        <f>_xlfn.XLOOKUP(Table2[[#This Row],[Type]],Table5[Type],Table5[Type2])</f>
        <v/>
      </c>
      <c r="J115" s="16">
        <f>_xlfn.XLOOKUP(Table2[[#This Row],[Sym]],Zones!$A$2:$A$21,Zones!$B$2:$B$21)</f>
        <v/>
      </c>
      <c r="K115" s="21" t="n"/>
    </row>
    <row r="116">
      <c r="A116" s="24" t="n">
        <v>1115</v>
      </c>
      <c r="B116" s="25" t="inlineStr">
        <is>
          <t>T110 Làng VH</t>
        </is>
      </c>
      <c r="C116" s="25" t="inlineStr">
        <is>
          <t>TBA 110kV Làng VH</t>
        </is>
      </c>
      <c r="D116" s="3" t="inlineStr">
        <is>
          <t>B1</t>
        </is>
      </c>
      <c r="E116" s="9" t="n"/>
      <c r="F116" s="15">
        <f>IF(E116&lt;&gt;"","Đã VH","Quy hoạch điện VIII")</f>
        <v/>
      </c>
      <c r="G116" s="16">
        <f>LEFT(B116,FIND(" ",B116,1)-1)</f>
        <v/>
      </c>
      <c r="H116" s="16">
        <f>TRIM(RIGHT(B116,LEN(B116)-FIND(" ",B116,1)))</f>
        <v/>
      </c>
      <c r="I116" s="16">
        <f>_xlfn.XLOOKUP(Table2[[#This Row],[Type]],Table5[Type],Table5[Type2])</f>
        <v/>
      </c>
      <c r="J116" s="16">
        <f>_xlfn.XLOOKUP(Table2[[#This Row],[Sym]],Zones!$A$2:$A$21,Zones!$B$2:$B$21)</f>
        <v/>
      </c>
      <c r="K116" s="21" t="n"/>
    </row>
    <row r="117">
      <c r="A117" s="24" t="n">
        <v>1116</v>
      </c>
      <c r="B117" s="25" t="inlineStr">
        <is>
          <t>T110 Cầu Giấy</t>
        </is>
      </c>
      <c r="C117" s="25" t="inlineStr">
        <is>
          <t>TBA 110kV Cầu Giấy</t>
        </is>
      </c>
      <c r="D117" s="3" t="inlineStr">
        <is>
          <t>B1</t>
        </is>
      </c>
      <c r="E117" s="9" t="n"/>
      <c r="F117" s="15">
        <f>IF(E117&lt;&gt;"","Đã VH","Quy hoạch điện VIII")</f>
        <v/>
      </c>
      <c r="G117" s="16">
        <f>LEFT(B117,FIND(" ",B117,1)-1)</f>
        <v/>
      </c>
      <c r="H117" s="16">
        <f>TRIM(RIGHT(B117,LEN(B117)-FIND(" ",B117,1)))</f>
        <v/>
      </c>
      <c r="I117" s="16">
        <f>_xlfn.XLOOKUP(Table2[[#This Row],[Type]],Table5[Type],Table5[Type2])</f>
        <v/>
      </c>
      <c r="J117" s="16">
        <f>_xlfn.XLOOKUP(Table2[[#This Row],[Sym]],Zones!$A$2:$A$21,Zones!$B$2:$B$21)</f>
        <v/>
      </c>
      <c r="K117" s="21" t="n"/>
    </row>
    <row r="118">
      <c r="A118" s="24" t="n">
        <v>1117</v>
      </c>
      <c r="B118" s="25" t="inlineStr">
        <is>
          <t>T110 Đồng Mai</t>
        </is>
      </c>
      <c r="C118" s="25" t="inlineStr">
        <is>
          <t>TBA 110kV Đồng Mai</t>
        </is>
      </c>
      <c r="D118" s="3" t="inlineStr">
        <is>
          <t>B1</t>
        </is>
      </c>
      <c r="E118" s="9" t="n"/>
      <c r="F118" s="15">
        <f>IF(E118&lt;&gt;"","Đã VH","Quy hoạch điện VIII")</f>
        <v/>
      </c>
      <c r="G118" s="16">
        <f>LEFT(B118,FIND(" ",B118,1)-1)</f>
        <v/>
      </c>
      <c r="H118" s="16">
        <f>TRIM(RIGHT(B118,LEN(B118)-FIND(" ",B118,1)))</f>
        <v/>
      </c>
      <c r="I118" s="16">
        <f>_xlfn.XLOOKUP(Table2[[#This Row],[Type]],Table5[Type],Table5[Type2])</f>
        <v/>
      </c>
      <c r="J118" s="16">
        <f>_xlfn.XLOOKUP(Table2[[#This Row],[Sym]],Zones!$A$2:$A$21,Zones!$B$2:$B$21)</f>
        <v/>
      </c>
      <c r="K118" s="21" t="n"/>
    </row>
    <row r="119">
      <c r="A119" s="24" t="n">
        <v>1118</v>
      </c>
      <c r="B119" s="25" t="inlineStr">
        <is>
          <t>T110 Xa La</t>
        </is>
      </c>
      <c r="C119" s="25" t="inlineStr">
        <is>
          <t>TBA 110kV Xa La</t>
        </is>
      </c>
      <c r="D119" s="3" t="inlineStr">
        <is>
          <t>B1</t>
        </is>
      </c>
      <c r="E119" s="9" t="n"/>
      <c r="F119" s="15">
        <f>IF(E119&lt;&gt;"","Đã VH","Quy hoạch điện VIII")</f>
        <v/>
      </c>
      <c r="G119" s="16">
        <f>LEFT(B119,FIND(" ",B119,1)-1)</f>
        <v/>
      </c>
      <c r="H119" s="16">
        <f>TRIM(RIGHT(B119,LEN(B119)-FIND(" ",B119,1)))</f>
        <v/>
      </c>
      <c r="I119" s="16">
        <f>_xlfn.XLOOKUP(Table2[[#This Row],[Type]],Table5[Type],Table5[Type2])</f>
        <v/>
      </c>
      <c r="J119" s="16">
        <f>_xlfn.XLOOKUP(Table2[[#This Row],[Sym]],Zones!$A$2:$A$21,Zones!$B$2:$B$21)</f>
        <v/>
      </c>
      <c r="K119" s="21" t="n"/>
    </row>
    <row r="120">
      <c r="A120" s="24" t="n">
        <v>1119</v>
      </c>
      <c r="B120" s="25" t="inlineStr">
        <is>
          <t>T110 Tây Hồ Tây</t>
        </is>
      </c>
      <c r="C120" s="25" t="inlineStr">
        <is>
          <t>TBA 110kV Tây Hồ Tây</t>
        </is>
      </c>
      <c r="D120" s="3" t="inlineStr">
        <is>
          <t>B1</t>
        </is>
      </c>
      <c r="E120" s="9" t="n"/>
      <c r="F120" s="15">
        <f>IF(E120&lt;&gt;"","Đã VH","Quy hoạch điện VIII")</f>
        <v/>
      </c>
      <c r="G120" s="16">
        <f>LEFT(B120,FIND(" ",B120,1)-1)</f>
        <v/>
      </c>
      <c r="H120" s="16">
        <f>TRIM(RIGHT(B120,LEN(B120)-FIND(" ",B120,1)))</f>
        <v/>
      </c>
      <c r="I120" s="16">
        <f>_xlfn.XLOOKUP(Table2[[#This Row],[Type]],Table5[Type],Table5[Type2])</f>
        <v/>
      </c>
      <c r="J120" s="16">
        <f>_xlfn.XLOOKUP(Table2[[#This Row],[Sym]],Zones!$A$2:$A$21,Zones!$B$2:$B$21)</f>
        <v/>
      </c>
      <c r="K120" s="21" t="n"/>
    </row>
    <row r="121">
      <c r="A121" s="24" t="n">
        <v>1120</v>
      </c>
      <c r="B121" s="10" t="inlineStr">
        <is>
          <t>T500 Đan Phượng</t>
        </is>
      </c>
      <c r="C121" s="10" t="inlineStr">
        <is>
          <t>TBA 500kV Đan Phượng</t>
        </is>
      </c>
      <c r="D121" s="3" t="inlineStr">
        <is>
          <t>B1</t>
        </is>
      </c>
      <c r="E121" s="9" t="n"/>
      <c r="F121" s="15">
        <f>IF(E121&lt;&gt;"","Đã VH","Quy hoạch điện VIII")</f>
        <v/>
      </c>
      <c r="G121" s="16">
        <f>LEFT(B121,FIND(" ",B121,1)-1)</f>
        <v/>
      </c>
      <c r="H121" s="16">
        <f>TRIM(RIGHT(B121,LEN(B121)-FIND(" ",B121,1)))</f>
        <v/>
      </c>
      <c r="I121" s="16">
        <f>_xlfn.XLOOKUP(Table2[[#This Row],[Type]],Table5[Type],Table5[Type2])</f>
        <v/>
      </c>
      <c r="J121" s="16">
        <f>_xlfn.XLOOKUP(Table2[[#This Row],[Sym]],Zones!$A$2:$A$21,Zones!$B$2:$B$21)</f>
        <v/>
      </c>
      <c r="K121" s="21" t="n"/>
    </row>
    <row r="122">
      <c r="A122" s="24" t="n">
        <v>1121</v>
      </c>
      <c r="B122" s="25" t="inlineStr">
        <is>
          <t>T220 Hòa Lạc</t>
        </is>
      </c>
      <c r="C122" s="25" t="inlineStr">
        <is>
          <t>TBA 220kV Hòa Lạc</t>
        </is>
      </c>
      <c r="D122" s="3" t="inlineStr">
        <is>
          <t>B1</t>
        </is>
      </c>
      <c r="E122" s="9" t="n"/>
      <c r="F122" s="15">
        <f>IF(E122&lt;&gt;"","Đã VH","Quy hoạch điện VIII")</f>
        <v/>
      </c>
      <c r="G122" s="16">
        <f>LEFT(B122,FIND(" ",B122,1)-1)</f>
        <v/>
      </c>
      <c r="H122" s="16">
        <f>TRIM(RIGHT(B122,LEN(B122)-FIND(" ",B122,1)))</f>
        <v/>
      </c>
      <c r="I122" s="16">
        <f>_xlfn.XLOOKUP(Table2[[#This Row],[Type]],Table5[Type],Table5[Type2])</f>
        <v/>
      </c>
      <c r="J122" s="16">
        <f>_xlfn.XLOOKUP(Table2[[#This Row],[Sym]],Zones!$A$2:$A$21,Zones!$B$2:$B$21)</f>
        <v/>
      </c>
      <c r="K122" s="21" t="n"/>
    </row>
    <row r="123">
      <c r="A123" s="24" t="n">
        <v>1122</v>
      </c>
      <c r="B123" s="10" t="inlineStr">
        <is>
          <t>T220 Phú Xuyên</t>
        </is>
      </c>
      <c r="C123" s="10" t="inlineStr">
        <is>
          <t>TBA 220kV Phú Xuyên</t>
        </is>
      </c>
      <c r="D123" s="3" t="inlineStr">
        <is>
          <t>B1</t>
        </is>
      </c>
      <c r="E123" s="9" t="n"/>
      <c r="F123" s="15">
        <f>IF(E123&lt;&gt;"","Đã VH","Quy hoạch điện VIII")</f>
        <v/>
      </c>
      <c r="G123" s="16">
        <f>LEFT(B123,FIND(" ",B123,1)-1)</f>
        <v/>
      </c>
      <c r="H123" s="16">
        <f>TRIM(RIGHT(B123,LEN(B123)-FIND(" ",B123,1)))</f>
        <v/>
      </c>
      <c r="I123" s="16">
        <f>_xlfn.XLOOKUP(Table2[[#This Row],[Type]],Table5[Type],Table5[Type2])</f>
        <v/>
      </c>
      <c r="J123" s="16">
        <f>_xlfn.XLOOKUP(Table2[[#This Row],[Sym]],Zones!$A$2:$A$21,Zones!$B$2:$B$21)</f>
        <v/>
      </c>
      <c r="K123" s="21" t="n"/>
    </row>
    <row r="124">
      <c r="A124" s="24" t="n">
        <v>1123</v>
      </c>
      <c r="B124" s="10" t="inlineStr">
        <is>
          <t>T220 Hòa Lạc 2</t>
        </is>
      </c>
      <c r="C124" s="10" t="inlineStr">
        <is>
          <t>TBA 220kV Hòa Lạc 2</t>
        </is>
      </c>
      <c r="D124" s="3" t="inlineStr">
        <is>
          <t>B1</t>
        </is>
      </c>
      <c r="E124" s="9" t="n"/>
      <c r="F124" s="15">
        <f>IF(E124&lt;&gt;"","Đã VH","Quy hoạch điện VIII")</f>
        <v/>
      </c>
      <c r="G124" s="16">
        <f>LEFT(B124,FIND(" ",B124,1)-1)</f>
        <v/>
      </c>
      <c r="H124" s="16">
        <f>TRIM(RIGHT(B124,LEN(B124)-FIND(" ",B124,1)))</f>
        <v/>
      </c>
      <c r="I124" s="16">
        <f>_xlfn.XLOOKUP(Table2[[#This Row],[Type]],Table5[Type],Table5[Type2])</f>
        <v/>
      </c>
      <c r="J124" s="16">
        <f>_xlfn.XLOOKUP(Table2[[#This Row],[Sym]],Zones!$A$2:$A$21,Zones!$B$2:$B$21)</f>
        <v/>
      </c>
      <c r="K124" s="21" t="n"/>
    </row>
    <row r="125">
      <c r="A125" s="24" t="n">
        <v>1124</v>
      </c>
      <c r="B125" s="10" t="inlineStr">
        <is>
          <t>T220 Cầu Giấy</t>
        </is>
      </c>
      <c r="C125" s="10" t="inlineStr">
        <is>
          <t>TBA 220kV Cầu Giấy</t>
        </is>
      </c>
      <c r="D125" s="3" t="inlineStr">
        <is>
          <t>B1</t>
        </is>
      </c>
      <c r="E125" s="9" t="n"/>
      <c r="F125" s="15">
        <f>IF(E125&lt;&gt;"","Đã VH","Quy hoạch điện VIII")</f>
        <v/>
      </c>
      <c r="G125" s="16">
        <f>LEFT(B125,FIND(" ",B125,1)-1)</f>
        <v/>
      </c>
      <c r="H125" s="16">
        <f>TRIM(RIGHT(B125,LEN(B125)-FIND(" ",B125,1)))</f>
        <v/>
      </c>
      <c r="I125" s="16">
        <f>_xlfn.XLOOKUP(Table2[[#This Row],[Type]],Table5[Type],Table5[Type2])</f>
        <v/>
      </c>
      <c r="J125" s="16">
        <f>_xlfn.XLOOKUP(Table2[[#This Row],[Sym]],Zones!$A$2:$A$21,Zones!$B$2:$B$21)</f>
        <v/>
      </c>
      <c r="K125" s="21" t="n"/>
    </row>
    <row r="126">
      <c r="A126" s="24" t="n">
        <v>1125</v>
      </c>
      <c r="B126" s="10" t="inlineStr">
        <is>
          <t>T220 Hai Bà Trưng</t>
        </is>
      </c>
      <c r="C126" s="10" t="inlineStr">
        <is>
          <t>TBA 220kV Hai Bà Trưng</t>
        </is>
      </c>
      <c r="D126" s="3" t="inlineStr">
        <is>
          <t>B1</t>
        </is>
      </c>
      <c r="E126" s="9" t="n"/>
      <c r="F126" s="15">
        <f>IF(E126&lt;&gt;"","Đã VH","Quy hoạch điện VIII")</f>
        <v/>
      </c>
      <c r="G126" s="16">
        <f>LEFT(B126,FIND(" ",B126,1)-1)</f>
        <v/>
      </c>
      <c r="H126" s="16">
        <f>TRIM(RIGHT(B126,LEN(B126)-FIND(" ",B126,1)))</f>
        <v/>
      </c>
      <c r="I126" s="16">
        <f>_xlfn.XLOOKUP(Table2[[#This Row],[Type]],Table5[Type],Table5[Type2])</f>
        <v/>
      </c>
      <c r="J126" s="16">
        <f>_xlfn.XLOOKUP(Table2[[#This Row],[Sym]],Zones!$A$2:$A$21,Zones!$B$2:$B$21)</f>
        <v/>
      </c>
      <c r="K126" s="21" t="n"/>
    </row>
    <row r="127">
      <c r="A127" s="24" t="n">
        <v>1126</v>
      </c>
      <c r="B127" s="25" t="inlineStr">
        <is>
          <t>T110 KCN Khu Cháy</t>
        </is>
      </c>
      <c r="C127" s="25" t="inlineStr">
        <is>
          <t>TBA 110kV KCN Khu Cháy</t>
        </is>
      </c>
      <c r="D127" s="3" t="inlineStr">
        <is>
          <t>B1</t>
        </is>
      </c>
      <c r="E127" s="9" t="n"/>
      <c r="F127" s="15">
        <f>IF(E127&lt;&gt;"","Đã VH","Quy hoạch điện VIII")</f>
        <v/>
      </c>
      <c r="G127" s="16">
        <f>LEFT(B127,FIND(" ",B127,1)-1)</f>
        <v/>
      </c>
      <c r="H127" s="16">
        <f>TRIM(RIGHT(B127,LEN(B127)-FIND(" ",B127,1)))</f>
        <v/>
      </c>
      <c r="I127" s="16">
        <f>_xlfn.XLOOKUP(Table2[[#This Row],[Type]],Table5[Type],Table5[Type2])</f>
        <v/>
      </c>
      <c r="J127" s="16">
        <f>_xlfn.XLOOKUP(Table2[[#This Row],[Sym]],Zones!$A$2:$A$21,Zones!$B$2:$B$21)</f>
        <v/>
      </c>
      <c r="K127" s="21" t="n"/>
    </row>
    <row r="128">
      <c r="A128" s="24" t="n">
        <v>1127</v>
      </c>
      <c r="B128" s="25" t="inlineStr">
        <is>
          <t>T110 Ga Ngọc Hồi</t>
        </is>
      </c>
      <c r="C128" s="25" t="inlineStr">
        <is>
          <t>TBA 110kV Ga Ngọc Hồi</t>
        </is>
      </c>
      <c r="D128" s="3" t="inlineStr">
        <is>
          <t>B1</t>
        </is>
      </c>
      <c r="E128" s="9" t="n"/>
      <c r="F128" s="15">
        <f>IF(E128&lt;&gt;"","Đã VH","Quy hoạch điện VIII")</f>
        <v/>
      </c>
      <c r="G128" s="16">
        <f>LEFT(B128,FIND(" ",B128,1)-1)</f>
        <v/>
      </c>
      <c r="H128" s="16">
        <f>TRIM(RIGHT(B128,LEN(B128)-FIND(" ",B128,1)))</f>
        <v/>
      </c>
      <c r="I128" s="16">
        <f>_xlfn.XLOOKUP(Table2[[#This Row],[Type]],Table5[Type],Table5[Type2])</f>
        <v/>
      </c>
      <c r="J128" s="16">
        <f>_xlfn.XLOOKUP(Table2[[#This Row],[Sym]],Zones!$A$2:$A$21,Zones!$B$2:$B$21)</f>
        <v/>
      </c>
      <c r="K128" s="21" t="n"/>
    </row>
    <row r="129">
      <c r="A129" s="24" t="n">
        <v>1128</v>
      </c>
      <c r="B129" s="25" t="inlineStr">
        <is>
          <t>T110 Giảng Võ</t>
        </is>
      </c>
      <c r="C129" s="25" t="inlineStr">
        <is>
          <t>TBA 110kV Giảng Võ</t>
        </is>
      </c>
      <c r="D129" s="3" t="inlineStr">
        <is>
          <t>B1</t>
        </is>
      </c>
      <c r="E129" s="9" t="n"/>
      <c r="F129" s="15">
        <f>IF(E129&lt;&gt;"","Đã VH","Quy hoạch điện VIII")</f>
        <v/>
      </c>
      <c r="G129" s="16">
        <f>LEFT(B129,FIND(" ",B129,1)-1)</f>
        <v/>
      </c>
      <c r="H129" s="16">
        <f>TRIM(RIGHT(B129,LEN(B129)-FIND(" ",B129,1)))</f>
        <v/>
      </c>
      <c r="I129" s="16">
        <f>_xlfn.XLOOKUP(Table2[[#This Row],[Type]],Table5[Type],Table5[Type2])</f>
        <v/>
      </c>
      <c r="J129" s="16">
        <f>_xlfn.XLOOKUP(Table2[[#This Row],[Sym]],Zones!$A$2:$A$21,Zones!$B$2:$B$21)</f>
        <v/>
      </c>
      <c r="K129" s="21" t="n"/>
    </row>
    <row r="130">
      <c r="A130" s="24" t="n">
        <v>1129</v>
      </c>
      <c r="B130" s="25" t="inlineStr">
        <is>
          <t>T110 KCN Nam HN</t>
        </is>
      </c>
      <c r="C130" s="25" t="inlineStr">
        <is>
          <t>TBA 110kV KCN Nam HN</t>
        </is>
      </c>
      <c r="D130" s="3" t="inlineStr">
        <is>
          <t>B1</t>
        </is>
      </c>
      <c r="E130" s="9" t="n"/>
      <c r="F130" s="15">
        <f>IF(E130&lt;&gt;"","Đã VH","Quy hoạch điện VIII")</f>
        <v/>
      </c>
      <c r="G130" s="16">
        <f>LEFT(B130,FIND(" ",B130,1)-1)</f>
        <v/>
      </c>
      <c r="H130" s="16">
        <f>TRIM(RIGHT(B130,LEN(B130)-FIND(" ",B130,1)))</f>
        <v/>
      </c>
      <c r="I130" s="16">
        <f>_xlfn.XLOOKUP(Table2[[#This Row],[Type]],Table5[Type],Table5[Type2])</f>
        <v/>
      </c>
      <c r="J130" s="16">
        <f>_xlfn.XLOOKUP(Table2[[#This Row],[Sym]],Zones!$A$2:$A$21,Zones!$B$2:$B$21)</f>
        <v/>
      </c>
      <c r="K130" s="21" t="n"/>
    </row>
    <row r="131">
      <c r="A131" s="24" t="n">
        <v>1130</v>
      </c>
      <c r="B131" s="25" t="inlineStr">
        <is>
          <t>T110 Phú Xuyên 3</t>
        </is>
      </c>
      <c r="C131" s="25" t="inlineStr">
        <is>
          <t>TBA 110kV Phú Xuyên 3</t>
        </is>
      </c>
      <c r="D131" s="3" t="inlineStr">
        <is>
          <t>B1</t>
        </is>
      </c>
      <c r="E131" s="9" t="n"/>
      <c r="F131" s="15">
        <f>IF(E131&lt;&gt;"","Đã VH","Quy hoạch điện VIII")</f>
        <v/>
      </c>
      <c r="G131" s="16">
        <f>LEFT(B131,FIND(" ",B131,1)-1)</f>
        <v/>
      </c>
      <c r="H131" s="16">
        <f>TRIM(RIGHT(B131,LEN(B131)-FIND(" ",B131,1)))</f>
        <v/>
      </c>
      <c r="I131" s="16">
        <f>_xlfn.XLOOKUP(Table2[[#This Row],[Type]],Table5[Type],Table5[Type2])</f>
        <v/>
      </c>
      <c r="J131" s="16">
        <f>_xlfn.XLOOKUP(Table2[[#This Row],[Sym]],Zones!$A$2:$A$21,Zones!$B$2:$B$21)</f>
        <v/>
      </c>
      <c r="K131" s="21" t="n"/>
    </row>
    <row r="132">
      <c r="A132" s="24" t="n">
        <v>1131</v>
      </c>
      <c r="B132" s="25" t="inlineStr">
        <is>
          <t>T110 Yên Viên</t>
        </is>
      </c>
      <c r="C132" s="25" t="inlineStr">
        <is>
          <t>TBA 110kV Yên Viên</t>
        </is>
      </c>
      <c r="D132" s="3" t="inlineStr">
        <is>
          <t>B1</t>
        </is>
      </c>
      <c r="E132" s="9" t="n"/>
      <c r="F132" s="15">
        <f>IF(E132&lt;&gt;"","Đã VH","Quy hoạch điện VIII")</f>
        <v/>
      </c>
      <c r="G132" s="16">
        <f>LEFT(B132,FIND(" ",B132,1)-1)</f>
        <v/>
      </c>
      <c r="H132" s="16">
        <f>TRIM(RIGHT(B132,LEN(B132)-FIND(" ",B132,1)))</f>
        <v/>
      </c>
      <c r="I132" s="16">
        <f>_xlfn.XLOOKUP(Table2[[#This Row],[Type]],Table5[Type],Table5[Type2])</f>
        <v/>
      </c>
      <c r="J132" s="16">
        <f>_xlfn.XLOOKUP(Table2[[#This Row],[Sym]],Zones!$A$2:$A$21,Zones!$B$2:$B$21)</f>
        <v/>
      </c>
      <c r="K132" s="21" t="n"/>
    </row>
    <row r="133">
      <c r="A133" s="24" t="n">
        <v>1260</v>
      </c>
      <c r="B133" s="10" t="inlineStr">
        <is>
          <t>T220 Đồng Hòa</t>
        </is>
      </c>
      <c r="C133" s="10" t="inlineStr">
        <is>
          <t>TBA 220kV Đồng Hòa</t>
        </is>
      </c>
      <c r="D133" s="3" t="inlineStr">
        <is>
          <t>B2</t>
        </is>
      </c>
      <c r="E133" s="9" t="inlineStr">
        <is>
          <t>E2.1</t>
        </is>
      </c>
      <c r="F133" s="15">
        <f>IF(E133&lt;&gt;"","Đã VH","Quy hoạch điện VIII")</f>
        <v/>
      </c>
      <c r="G133" s="16">
        <f>LEFT(B133,FIND(" ",B133,1)-1)</f>
        <v/>
      </c>
      <c r="H133" s="16">
        <f>TRIM(RIGHT(B133,LEN(B133)-FIND(" ",B133,1)))</f>
        <v/>
      </c>
      <c r="I133" s="16">
        <f>_xlfn.XLOOKUP(Table2[[#This Row],[Type]],Table5[Type],Table5[Type2])</f>
        <v/>
      </c>
      <c r="J133" s="16">
        <f>_xlfn.XLOOKUP(Table2[[#This Row],[Sym]],Zones!$A$2:$A$21,Zones!$B$2:$B$21)</f>
        <v/>
      </c>
      <c r="K133" s="21" t="n"/>
    </row>
    <row r="134">
      <c r="A134" s="24" t="n">
        <v>1261</v>
      </c>
      <c r="B134" s="10" t="inlineStr">
        <is>
          <t>T110 An Lạc</t>
        </is>
      </c>
      <c r="C134" s="10" t="inlineStr">
        <is>
          <t>TBA 110kV An Lạc</t>
        </is>
      </c>
      <c r="D134" s="3" t="inlineStr">
        <is>
          <t>B2</t>
        </is>
      </c>
      <c r="E134" s="9" t="inlineStr">
        <is>
          <t>E2.2</t>
        </is>
      </c>
      <c r="F134" s="15">
        <f>IF(E134&lt;&gt;"","Đã VH","Quy hoạch điện VIII")</f>
        <v/>
      </c>
      <c r="G134" s="16">
        <f>LEFT(B134,FIND(" ",B134,1)-1)</f>
        <v/>
      </c>
      <c r="H134" s="16">
        <f>TRIM(RIGHT(B134,LEN(B134)-FIND(" ",B134,1)))</f>
        <v/>
      </c>
      <c r="I134" s="16">
        <f>_xlfn.XLOOKUP(Table2[[#This Row],[Type]],Table5[Type],Table5[Type2])</f>
        <v/>
      </c>
      <c r="J134" s="16">
        <f>_xlfn.XLOOKUP(Table2[[#This Row],[Sym]],Zones!$A$2:$A$21,Zones!$B$2:$B$21)</f>
        <v/>
      </c>
      <c r="K134" s="21" t="n"/>
    </row>
    <row r="135">
      <c r="A135" s="24" t="n">
        <v>1262</v>
      </c>
      <c r="B135" s="10" t="inlineStr">
        <is>
          <t>T110 Lạch Tray</t>
        </is>
      </c>
      <c r="C135" s="10" t="inlineStr">
        <is>
          <t>TBA 110kV Lạch Tray</t>
        </is>
      </c>
      <c r="D135" s="3" t="inlineStr">
        <is>
          <t>B2</t>
        </is>
      </c>
      <c r="E135" s="9" t="inlineStr">
        <is>
          <t>E2.3</t>
        </is>
      </c>
      <c r="F135" s="15">
        <f>IF(E135&lt;&gt;"","Đã VH","Quy hoạch điện VIII")</f>
        <v/>
      </c>
      <c r="G135" s="16">
        <f>LEFT(B135,FIND(" ",B135,1)-1)</f>
        <v/>
      </c>
      <c r="H135" s="16">
        <f>TRIM(RIGHT(B135,LEN(B135)-FIND(" ",B135,1)))</f>
        <v/>
      </c>
      <c r="I135" s="16">
        <f>_xlfn.XLOOKUP(Table2[[#This Row],[Type]],Table5[Type],Table5[Type2])</f>
        <v/>
      </c>
      <c r="J135" s="16">
        <f>_xlfn.XLOOKUP(Table2[[#This Row],[Sym]],Zones!$A$2:$A$21,Zones!$B$2:$B$21)</f>
        <v/>
      </c>
      <c r="K135" s="21" t="n"/>
    </row>
    <row r="136">
      <c r="A136" s="24" t="n">
        <v>1263</v>
      </c>
      <c r="B136" s="10" t="inlineStr">
        <is>
          <t>T110 Thủy Nguyên 1</t>
        </is>
      </c>
      <c r="C136" s="10" t="inlineStr">
        <is>
          <t>TBA 110kV Thủy Nguyên 1</t>
        </is>
      </c>
      <c r="D136" s="3" t="inlineStr">
        <is>
          <t>B2</t>
        </is>
      </c>
      <c r="E136" s="9" t="inlineStr">
        <is>
          <t>E2.4</t>
        </is>
      </c>
      <c r="F136" s="15">
        <f>IF(E136&lt;&gt;"","Đã VH","Quy hoạch điện VIII")</f>
        <v/>
      </c>
      <c r="G136" s="16">
        <f>LEFT(B136,FIND(" ",B136,1)-1)</f>
        <v/>
      </c>
      <c r="H136" s="16">
        <f>TRIM(RIGHT(B136,LEN(B136)-FIND(" ",B136,1)))</f>
        <v/>
      </c>
      <c r="I136" s="16">
        <f>_xlfn.XLOOKUP(Table2[[#This Row],[Type]],Table5[Type],Table5[Type2])</f>
        <v/>
      </c>
      <c r="J136" s="16">
        <f>_xlfn.XLOOKUP(Table2[[#This Row],[Sym]],Zones!$A$2:$A$21,Zones!$B$2:$B$21)</f>
        <v/>
      </c>
      <c r="K136" s="21" t="n"/>
    </row>
    <row r="137">
      <c r="A137" s="24" t="n">
        <v>1264</v>
      </c>
      <c r="B137" s="10" t="inlineStr">
        <is>
          <t>T110 Cửa Cấm</t>
        </is>
      </c>
      <c r="C137" s="10" t="inlineStr">
        <is>
          <t>TBA 110kV Cửa Cấm</t>
        </is>
      </c>
      <c r="D137" s="3" t="inlineStr">
        <is>
          <t>B2</t>
        </is>
      </c>
      <c r="E137" s="9" t="inlineStr">
        <is>
          <t>E2.5</t>
        </is>
      </c>
      <c r="F137" s="15">
        <f>IF(E137&lt;&gt;"","Đã VH","Quy hoạch điện VIII")</f>
        <v/>
      </c>
      <c r="G137" s="16">
        <f>LEFT(B137,FIND(" ",B137,1)-1)</f>
        <v/>
      </c>
      <c r="H137" s="16">
        <f>TRIM(RIGHT(B137,LEN(B137)-FIND(" ",B137,1)))</f>
        <v/>
      </c>
      <c r="I137" s="16">
        <f>_xlfn.XLOOKUP(Table2[[#This Row],[Type]],Table5[Type],Table5[Type2])</f>
        <v/>
      </c>
      <c r="J137" s="16">
        <f>_xlfn.XLOOKUP(Table2[[#This Row],[Sym]],Zones!$A$2:$A$21,Zones!$B$2:$B$21)</f>
        <v/>
      </c>
      <c r="K137" s="21" t="n"/>
    </row>
    <row r="138">
      <c r="A138" s="24" t="n">
        <v>1265</v>
      </c>
      <c r="B138" s="10" t="inlineStr">
        <is>
          <t>T110 Hạ Lý</t>
        </is>
      </c>
      <c r="C138" s="10" t="inlineStr">
        <is>
          <t>TBA 110kV Hạ Lý</t>
        </is>
      </c>
      <c r="D138" s="3" t="inlineStr">
        <is>
          <t>B2</t>
        </is>
      </c>
      <c r="E138" s="9" t="inlineStr">
        <is>
          <t>E2.6</t>
        </is>
      </c>
      <c r="F138" s="15">
        <f>IF(E138&lt;&gt;"","Đã VH","Quy hoạch điện VIII")</f>
        <v/>
      </c>
      <c r="G138" s="16">
        <f>LEFT(B138,FIND(" ",B138,1)-1)</f>
        <v/>
      </c>
      <c r="H138" s="16">
        <f>TRIM(RIGHT(B138,LEN(B138)-FIND(" ",B138,1)))</f>
        <v/>
      </c>
      <c r="I138" s="16">
        <f>_xlfn.XLOOKUP(Table2[[#This Row],[Type]],Table5[Type],Table5[Type2])</f>
        <v/>
      </c>
      <c r="J138" s="16">
        <f>_xlfn.XLOOKUP(Table2[[#This Row],[Sym]],Zones!$A$2:$A$21,Zones!$B$2:$B$21)</f>
        <v/>
      </c>
      <c r="K138" s="21" t="n"/>
    </row>
    <row r="139">
      <c r="A139" s="24" t="n">
        <v>1266</v>
      </c>
      <c r="B139" s="10" t="inlineStr">
        <is>
          <t>T110 Thép Posco</t>
        </is>
      </c>
      <c r="C139" s="10" t="inlineStr">
        <is>
          <t>TBA 110kV Thép Posco</t>
        </is>
      </c>
      <c r="D139" s="3" t="inlineStr">
        <is>
          <t>B2</t>
        </is>
      </c>
      <c r="E139" s="9" t="inlineStr">
        <is>
          <t>E2.7</t>
        </is>
      </c>
      <c r="F139" s="15">
        <f>IF(E139&lt;&gt;"","Đã VH","Quy hoạch điện VIII")</f>
        <v/>
      </c>
      <c r="G139" s="16">
        <f>LEFT(B139,FIND(" ",B139,1)-1)</f>
        <v/>
      </c>
      <c r="H139" s="16">
        <f>TRIM(RIGHT(B139,LEN(B139)-FIND(" ",B139,1)))</f>
        <v/>
      </c>
      <c r="I139" s="16">
        <f>_xlfn.XLOOKUP(Table2[[#This Row],[Type]],Table5[Type],Table5[Type2])</f>
        <v/>
      </c>
      <c r="J139" s="16">
        <f>_xlfn.XLOOKUP(Table2[[#This Row],[Sym]],Zones!$A$2:$A$21,Zones!$B$2:$B$21)</f>
        <v/>
      </c>
      <c r="K139" s="21" t="n"/>
    </row>
    <row r="140">
      <c r="A140" s="24" t="n">
        <v>1267</v>
      </c>
      <c r="B140" s="10" t="inlineStr">
        <is>
          <t>T110 XM Chinfon</t>
        </is>
      </c>
      <c r="C140" s="10" t="inlineStr">
        <is>
          <t>TBA 110kV XM Chinfon</t>
        </is>
      </c>
      <c r="D140" s="3" t="inlineStr">
        <is>
          <t>B2</t>
        </is>
      </c>
      <c r="E140" s="9" t="inlineStr">
        <is>
          <t>E2.8</t>
        </is>
      </c>
      <c r="F140" s="15">
        <f>IF(E140&lt;&gt;"","Đã VH","Quy hoạch điện VIII")</f>
        <v/>
      </c>
      <c r="G140" s="16">
        <f>LEFT(B140,FIND(" ",B140,1)-1)</f>
        <v/>
      </c>
      <c r="H140" s="16">
        <f>TRIM(RIGHT(B140,LEN(B140)-FIND(" ",B140,1)))</f>
        <v/>
      </c>
      <c r="I140" s="16">
        <f>_xlfn.XLOOKUP(Table2[[#This Row],[Type]],Table5[Type],Table5[Type2])</f>
        <v/>
      </c>
      <c r="J140" s="16">
        <f>_xlfn.XLOOKUP(Table2[[#This Row],[Sym]],Zones!$A$2:$A$21,Zones!$B$2:$B$21)</f>
        <v/>
      </c>
      <c r="K140" s="21" t="n"/>
    </row>
    <row r="141">
      <c r="A141" s="24" t="n">
        <v>1268</v>
      </c>
      <c r="B141" s="10" t="inlineStr">
        <is>
          <t>T220 Vật Cách</t>
        </is>
      </c>
      <c r="C141" s="10" t="inlineStr">
        <is>
          <t>TBA 220kV Vật Cách</t>
        </is>
      </c>
      <c r="D141" s="3" t="inlineStr">
        <is>
          <t>B2</t>
        </is>
      </c>
      <c r="E141" s="9" t="inlineStr">
        <is>
          <t>E2.9</t>
        </is>
      </c>
      <c r="F141" s="15">
        <f>IF(E141&lt;&gt;"","Đã VH","Quy hoạch điện VIII")</f>
        <v/>
      </c>
      <c r="G141" s="16">
        <f>LEFT(B141,FIND(" ",B141,1)-1)</f>
        <v/>
      </c>
      <c r="H141" s="16">
        <f>TRIM(RIGHT(B141,LEN(B141)-FIND(" ",B141,1)))</f>
        <v/>
      </c>
      <c r="I141" s="16">
        <f>_xlfn.XLOOKUP(Table2[[#This Row],[Type]],Table5[Type],Table5[Type2])</f>
        <v/>
      </c>
      <c r="J141" s="16">
        <f>_xlfn.XLOOKUP(Table2[[#This Row],[Sym]],Zones!$A$2:$A$21,Zones!$B$2:$B$21)</f>
        <v/>
      </c>
      <c r="K141" s="21" t="n"/>
    </row>
    <row r="142">
      <c r="A142" s="24" t="n">
        <v>1269</v>
      </c>
      <c r="B142" s="10" t="inlineStr">
        <is>
          <t>T110 Vĩnh Bảo</t>
        </is>
      </c>
      <c r="C142" s="10" t="inlineStr">
        <is>
          <t>TBA 110kV Vĩnh Bảo</t>
        </is>
      </c>
      <c r="D142" s="3" t="inlineStr">
        <is>
          <t>B2</t>
        </is>
      </c>
      <c r="E142" s="9" t="inlineStr">
        <is>
          <t>E2.10</t>
        </is>
      </c>
      <c r="F142" s="15">
        <f>IF(E142&lt;&gt;"","Đã VH","Quy hoạch điện VIII")</f>
        <v/>
      </c>
      <c r="G142" s="16">
        <f>LEFT(B142,FIND(" ",B142,1)-1)</f>
        <v/>
      </c>
      <c r="H142" s="16">
        <f>TRIM(RIGHT(B142,LEN(B142)-FIND(" ",B142,1)))</f>
        <v/>
      </c>
      <c r="I142" s="16">
        <f>_xlfn.XLOOKUP(Table2[[#This Row],[Type]],Table5[Type],Table5[Type2])</f>
        <v/>
      </c>
      <c r="J142" s="16">
        <f>_xlfn.XLOOKUP(Table2[[#This Row],[Sym]],Zones!$A$2:$A$21,Zones!$B$2:$B$21)</f>
        <v/>
      </c>
      <c r="K142" s="21" t="n"/>
    </row>
    <row r="143">
      <c r="A143" s="24" t="n">
        <v>1270</v>
      </c>
      <c r="B143" s="10" t="inlineStr">
        <is>
          <t>T110 Thủy Nguyên 2</t>
        </is>
      </c>
      <c r="C143" s="10" t="inlineStr">
        <is>
          <t>TBA 110kV Thủy Nguyên 2</t>
        </is>
      </c>
      <c r="D143" s="3" t="inlineStr">
        <is>
          <t>B2</t>
        </is>
      </c>
      <c r="E143" s="9" t="inlineStr">
        <is>
          <t>E2.11</t>
        </is>
      </c>
      <c r="F143" s="15">
        <f>IF(E143&lt;&gt;"","Đã VH","Quy hoạch điện VIII")</f>
        <v/>
      </c>
      <c r="G143" s="16">
        <f>LEFT(B143,FIND(" ",B143,1)-1)</f>
        <v/>
      </c>
      <c r="H143" s="16">
        <f>TRIM(RIGHT(B143,LEN(B143)-FIND(" ",B143,1)))</f>
        <v/>
      </c>
      <c r="I143" s="16">
        <f>_xlfn.XLOOKUP(Table2[[#This Row],[Type]],Table5[Type],Table5[Type2])</f>
        <v/>
      </c>
      <c r="J143" s="16">
        <f>_xlfn.XLOOKUP(Table2[[#This Row],[Sym]],Zones!$A$2:$A$21,Zones!$B$2:$B$21)</f>
        <v/>
      </c>
      <c r="K143" s="21" t="n"/>
    </row>
    <row r="144">
      <c r="A144" s="24" t="n">
        <v>1271</v>
      </c>
      <c r="B144" s="10" t="inlineStr">
        <is>
          <t>T110 Lê Chân</t>
        </is>
      </c>
      <c r="C144" s="10" t="inlineStr">
        <is>
          <t>TBA 110kV Lê Chân</t>
        </is>
      </c>
      <c r="D144" s="3" t="inlineStr">
        <is>
          <t>B2</t>
        </is>
      </c>
      <c r="E144" s="9" t="inlineStr">
        <is>
          <t>E2.12</t>
        </is>
      </c>
      <c r="F144" s="15">
        <f>IF(E144&lt;&gt;"","Đã VH","Quy hoạch điện VIII")</f>
        <v/>
      </c>
      <c r="G144" s="16">
        <f>LEFT(B144,FIND(" ",B144,1)-1)</f>
        <v/>
      </c>
      <c r="H144" s="16">
        <f>TRIM(RIGHT(B144,LEN(B144)-FIND(" ",B144,1)))</f>
        <v/>
      </c>
      <c r="I144" s="16">
        <f>_xlfn.XLOOKUP(Table2[[#This Row],[Type]],Table5[Type],Table5[Type2])</f>
        <v/>
      </c>
      <c r="J144" s="16">
        <f>_xlfn.XLOOKUP(Table2[[#This Row],[Sym]],Zones!$A$2:$A$21,Zones!$B$2:$B$21)</f>
        <v/>
      </c>
      <c r="K144" s="21" t="n"/>
    </row>
    <row r="145">
      <c r="A145" s="24" t="n">
        <v>1272</v>
      </c>
      <c r="B145" s="10" t="inlineStr">
        <is>
          <t>T110 Cát Bi</t>
        </is>
      </c>
      <c r="C145" s="10" t="inlineStr">
        <is>
          <t>TBA 110kV Cát Bi</t>
        </is>
      </c>
      <c r="D145" s="3" t="inlineStr">
        <is>
          <t>B2</t>
        </is>
      </c>
      <c r="E145" s="9" t="inlineStr">
        <is>
          <t>E2.13</t>
        </is>
      </c>
      <c r="F145" s="15">
        <f>IF(E145&lt;&gt;"","Đã VH","Quy hoạch điện VIII")</f>
        <v/>
      </c>
      <c r="G145" s="16">
        <f>LEFT(B145,FIND(" ",B145,1)-1)</f>
        <v/>
      </c>
      <c r="H145" s="16">
        <f>TRIM(RIGHT(B145,LEN(B145)-FIND(" ",B145,1)))</f>
        <v/>
      </c>
      <c r="I145" s="16">
        <f>_xlfn.XLOOKUP(Table2[[#This Row],[Type]],Table5[Type],Table5[Type2])</f>
        <v/>
      </c>
      <c r="J145" s="16">
        <f>_xlfn.XLOOKUP(Table2[[#This Row],[Sym]],Zones!$A$2:$A$21,Zones!$B$2:$B$21)</f>
        <v/>
      </c>
      <c r="K145" s="21" t="n"/>
    </row>
    <row r="146">
      <c r="A146" s="24" t="n">
        <v>1273</v>
      </c>
      <c r="B146" s="10" t="inlineStr">
        <is>
          <t>T110 Kiến An</t>
        </is>
      </c>
      <c r="C146" s="10" t="inlineStr">
        <is>
          <t>TBA 110kV Kiến An</t>
        </is>
      </c>
      <c r="D146" s="3" t="inlineStr">
        <is>
          <t>B2</t>
        </is>
      </c>
      <c r="E146" s="9" t="inlineStr">
        <is>
          <t>E2.14</t>
        </is>
      </c>
      <c r="F146" s="15">
        <f>IF(E146&lt;&gt;"","Đã VH","Quy hoạch điện VIII")</f>
        <v/>
      </c>
      <c r="G146" s="16">
        <f>LEFT(B146,FIND(" ",B146,1)-1)</f>
        <v/>
      </c>
      <c r="H146" s="16">
        <f>TRIM(RIGHT(B146,LEN(B146)-FIND(" ",B146,1)))</f>
        <v/>
      </c>
      <c r="I146" s="16">
        <f>_xlfn.XLOOKUP(Table2[[#This Row],[Type]],Table5[Type],Table5[Type2])</f>
        <v/>
      </c>
      <c r="J146" s="16">
        <f>_xlfn.XLOOKUP(Table2[[#This Row],[Sym]],Zones!$A$2:$A$21,Zones!$B$2:$B$21)</f>
        <v/>
      </c>
      <c r="K146" s="21" t="n"/>
    </row>
    <row r="147">
      <c r="A147" s="24" t="n">
        <v>1274</v>
      </c>
      <c r="B147" s="10" t="inlineStr">
        <is>
          <t>T110 Đồ Sơn</t>
        </is>
      </c>
      <c r="C147" s="10" t="inlineStr">
        <is>
          <t>TBA 110kV Đồ Sơn</t>
        </is>
      </c>
      <c r="D147" s="3" t="inlineStr">
        <is>
          <t>B2</t>
        </is>
      </c>
      <c r="E147" s="9" t="inlineStr">
        <is>
          <t>E2.15</t>
        </is>
      </c>
      <c r="F147" s="15">
        <f>IF(E147&lt;&gt;"","Đã VH","Quy hoạch điện VIII")</f>
        <v/>
      </c>
      <c r="G147" s="16">
        <f>LEFT(B147,FIND(" ",B147,1)-1)</f>
        <v/>
      </c>
      <c r="H147" s="16">
        <f>TRIM(RIGHT(B147,LEN(B147)-FIND(" ",B147,1)))</f>
        <v/>
      </c>
      <c r="I147" s="16">
        <f>_xlfn.XLOOKUP(Table2[[#This Row],[Type]],Table5[Type],Table5[Type2])</f>
        <v/>
      </c>
      <c r="J147" s="16">
        <f>_xlfn.XLOOKUP(Table2[[#This Row],[Sym]],Zones!$A$2:$A$21,Zones!$B$2:$B$21)</f>
        <v/>
      </c>
      <c r="K147" s="21" t="n"/>
    </row>
    <row r="148">
      <c r="A148" s="24" t="n">
        <v>1275</v>
      </c>
      <c r="B148" s="10" t="inlineStr">
        <is>
          <t>T110 XM Hải Phòng</t>
        </is>
      </c>
      <c r="C148" s="10" t="inlineStr">
        <is>
          <t>TBA 110kV XM Hải Phòng</t>
        </is>
      </c>
      <c r="D148" s="3" t="inlineStr">
        <is>
          <t>B2</t>
        </is>
      </c>
      <c r="E148" s="9" t="inlineStr">
        <is>
          <t>E2.16</t>
        </is>
      </c>
      <c r="F148" s="15">
        <f>IF(E148&lt;&gt;"","Đã VH","Quy hoạch điện VIII")</f>
        <v/>
      </c>
      <c r="G148" s="16">
        <f>LEFT(B148,FIND(" ",B148,1)-1)</f>
        <v/>
      </c>
      <c r="H148" s="16">
        <f>TRIM(RIGHT(B148,LEN(B148)-FIND(" ",B148,1)))</f>
        <v/>
      </c>
      <c r="I148" s="16">
        <f>_xlfn.XLOOKUP(Table2[[#This Row],[Type]],Table5[Type],Table5[Type2])</f>
        <v/>
      </c>
      <c r="J148" s="16">
        <f>_xlfn.XLOOKUP(Table2[[#This Row],[Sym]],Zones!$A$2:$A$21,Zones!$B$2:$B$21)</f>
        <v/>
      </c>
      <c r="K148" s="21" t="n"/>
    </row>
    <row r="149">
      <c r="A149" s="24" t="n">
        <v>1276</v>
      </c>
      <c r="B149" s="10" t="inlineStr">
        <is>
          <t>T110 Thép Đình Vũ</t>
        </is>
      </c>
      <c r="C149" s="10" t="inlineStr">
        <is>
          <t>TBA 110kV Thép Đình Vũ</t>
        </is>
      </c>
      <c r="D149" s="3" t="inlineStr">
        <is>
          <t>B2</t>
        </is>
      </c>
      <c r="E149" s="9" t="inlineStr">
        <is>
          <t>E2.17</t>
        </is>
      </c>
      <c r="F149" s="15">
        <f>IF(E149&lt;&gt;"","Đã VH","Quy hoạch điện VIII")</f>
        <v/>
      </c>
      <c r="G149" s="16">
        <f>LEFT(B149,FIND(" ",B149,1)-1)</f>
        <v/>
      </c>
      <c r="H149" s="16">
        <f>TRIM(RIGHT(B149,LEN(B149)-FIND(" ",B149,1)))</f>
        <v/>
      </c>
      <c r="I149" s="16">
        <f>_xlfn.XLOOKUP(Table2[[#This Row],[Type]],Table5[Type],Table5[Type2])</f>
        <v/>
      </c>
      <c r="J149" s="16">
        <f>_xlfn.XLOOKUP(Table2[[#This Row],[Sym]],Zones!$A$2:$A$21,Zones!$B$2:$B$21)</f>
        <v/>
      </c>
      <c r="K149" s="21" t="n"/>
    </row>
    <row r="150">
      <c r="A150" s="24" t="n">
        <v>1277</v>
      </c>
      <c r="B150" s="10" t="inlineStr">
        <is>
          <t>T110 Thép Cửu Long</t>
        </is>
      </c>
      <c r="C150" s="10" t="inlineStr">
        <is>
          <t>TBA 110kV Thép Cửu Long</t>
        </is>
      </c>
      <c r="D150" s="3" t="inlineStr">
        <is>
          <t>B2</t>
        </is>
      </c>
      <c r="E150" s="9" t="inlineStr">
        <is>
          <t>E2.18</t>
        </is>
      </c>
      <c r="F150" s="15">
        <f>IF(E150&lt;&gt;"","Đã VH","Quy hoạch điện VIII")</f>
        <v/>
      </c>
      <c r="G150" s="16">
        <f>LEFT(B150,FIND(" ",B150,1)-1)</f>
        <v/>
      </c>
      <c r="H150" s="16">
        <f>TRIM(RIGHT(B150,LEN(B150)-FIND(" ",B150,1)))</f>
        <v/>
      </c>
      <c r="I150" s="16">
        <f>_xlfn.XLOOKUP(Table2[[#This Row],[Type]],Table5[Type],Table5[Type2])</f>
        <v/>
      </c>
      <c r="J150" s="16">
        <f>_xlfn.XLOOKUP(Table2[[#This Row],[Sym]],Zones!$A$2:$A$21,Zones!$B$2:$B$21)</f>
        <v/>
      </c>
      <c r="K150" s="21" t="n"/>
    </row>
    <row r="151">
      <c r="A151" s="24" t="n">
        <v>1278</v>
      </c>
      <c r="B151" s="10" t="inlineStr">
        <is>
          <t>T110 Thép Vạn Lợi</t>
        </is>
      </c>
      <c r="C151" s="10" t="inlineStr">
        <is>
          <t>TBA 110kV Thép Vạn Lợi</t>
        </is>
      </c>
      <c r="D151" s="3" t="inlineStr">
        <is>
          <t>B2</t>
        </is>
      </c>
      <c r="E151" s="9" t="inlineStr">
        <is>
          <t>E2.19</t>
        </is>
      </c>
      <c r="F151" s="15">
        <f>IF(E151&lt;&gt;"","Đã VH","Quy hoạch điện VIII")</f>
        <v/>
      </c>
      <c r="G151" s="16">
        <f>LEFT(B151,FIND(" ",B151,1)-1)</f>
        <v/>
      </c>
      <c r="H151" s="16">
        <f>TRIM(RIGHT(B151,LEN(B151)-FIND(" ",B151,1)))</f>
        <v/>
      </c>
      <c r="I151" s="16">
        <f>_xlfn.XLOOKUP(Table2[[#This Row],[Type]],Table5[Type],Table5[Type2])</f>
        <v/>
      </c>
      <c r="J151" s="16">
        <f>_xlfn.XLOOKUP(Table2[[#This Row],[Sym]],Zones!$A$2:$A$21,Zones!$B$2:$B$21)</f>
        <v/>
      </c>
      <c r="K151" s="21" t="n"/>
    </row>
    <row r="152">
      <c r="A152" s="24" t="n">
        <v>1279</v>
      </c>
      <c r="B152" s="10" t="inlineStr">
        <is>
          <t>T220 Đình Vũ</t>
        </is>
      </c>
      <c r="C152" s="10" t="inlineStr">
        <is>
          <t>TBA 220kV Đình Vũ</t>
        </is>
      </c>
      <c r="D152" s="3" t="inlineStr">
        <is>
          <t>B2</t>
        </is>
      </c>
      <c r="E152" s="9" t="inlineStr">
        <is>
          <t>E2.20</t>
        </is>
      </c>
      <c r="F152" s="15">
        <f>IF(E152&lt;&gt;"","Đã VH","Quy hoạch điện VIII")</f>
        <v/>
      </c>
      <c r="G152" s="16">
        <f>LEFT(B152,FIND(" ",B152,1)-1)</f>
        <v/>
      </c>
      <c r="H152" s="16">
        <f>TRIM(RIGHT(B152,LEN(B152)-FIND(" ",B152,1)))</f>
        <v/>
      </c>
      <c r="I152" s="16">
        <f>_xlfn.XLOOKUP(Table2[[#This Row],[Type]],Table5[Type],Table5[Type2])</f>
        <v/>
      </c>
      <c r="J152" s="16">
        <f>_xlfn.XLOOKUP(Table2[[#This Row],[Sym]],Zones!$A$2:$A$21,Zones!$B$2:$B$21)</f>
        <v/>
      </c>
      <c r="K152" s="21" t="n"/>
    </row>
    <row r="153">
      <c r="A153" s="24" t="n">
        <v>1280</v>
      </c>
      <c r="B153" s="10" t="inlineStr">
        <is>
          <t>T110 Tràng Duệ</t>
        </is>
      </c>
      <c r="C153" s="10" t="inlineStr">
        <is>
          <t>TBA 110kV Tràng Duệ</t>
        </is>
      </c>
      <c r="D153" s="3" t="inlineStr">
        <is>
          <t>B2</t>
        </is>
      </c>
      <c r="E153" s="9" t="inlineStr">
        <is>
          <t>E2.21</t>
        </is>
      </c>
      <c r="F153" s="15">
        <f>IF(E153&lt;&gt;"","Đã VH","Quy hoạch điện VIII")</f>
        <v/>
      </c>
      <c r="G153" s="16">
        <f>LEFT(B153,FIND(" ",B153,1)-1)</f>
        <v/>
      </c>
      <c r="H153" s="16">
        <f>TRIM(RIGHT(B153,LEN(B153)-FIND(" ",B153,1)))</f>
        <v/>
      </c>
      <c r="I153" s="16">
        <f>_xlfn.XLOOKUP(Table2[[#This Row],[Type]],Table5[Type],Table5[Type2])</f>
        <v/>
      </c>
      <c r="J153" s="16">
        <f>_xlfn.XLOOKUP(Table2[[#This Row],[Sym]],Zones!$A$2:$A$21,Zones!$B$2:$B$21)</f>
        <v/>
      </c>
      <c r="K153" s="21" t="n"/>
    </row>
    <row r="154">
      <c r="A154" s="24" t="n">
        <v>1281</v>
      </c>
      <c r="B154" s="10" t="inlineStr">
        <is>
          <t>T110 Thép Việt Ý</t>
        </is>
      </c>
      <c r="C154" s="10" t="inlineStr">
        <is>
          <t>TBA 110kV Thép Việt Ý</t>
        </is>
      </c>
      <c r="D154" s="3" t="inlineStr">
        <is>
          <t>B2</t>
        </is>
      </c>
      <c r="E154" s="9" t="inlineStr">
        <is>
          <t>E2.22</t>
        </is>
      </c>
      <c r="F154" s="15">
        <f>IF(E154&lt;&gt;"","Đã VH","Quy hoạch điện VIII")</f>
        <v/>
      </c>
      <c r="G154" s="16">
        <f>LEFT(B154,FIND(" ",B154,1)-1)</f>
        <v/>
      </c>
      <c r="H154" s="16">
        <f>TRIM(RIGHT(B154,LEN(B154)-FIND(" ",B154,1)))</f>
        <v/>
      </c>
      <c r="I154" s="16">
        <f>_xlfn.XLOOKUP(Table2[[#This Row],[Type]],Table5[Type],Table5[Type2])</f>
        <v/>
      </c>
      <c r="J154" s="16">
        <f>_xlfn.XLOOKUP(Table2[[#This Row],[Sym]],Zones!$A$2:$A$21,Zones!$B$2:$B$21)</f>
        <v/>
      </c>
      <c r="K154" s="21" t="n"/>
    </row>
    <row r="155">
      <c r="A155" s="24" t="n">
        <v>1282</v>
      </c>
      <c r="B155" s="10" t="inlineStr">
        <is>
          <t>T110 KCN HP 96</t>
        </is>
      </c>
      <c r="C155" s="10" t="inlineStr">
        <is>
          <t>TBA 110kV KCN HP 96</t>
        </is>
      </c>
      <c r="D155" s="3" t="inlineStr">
        <is>
          <t>B2</t>
        </is>
      </c>
      <c r="E155" s="9" t="inlineStr">
        <is>
          <t>E2.23</t>
        </is>
      </c>
      <c r="F155" s="15">
        <f>IF(E155&lt;&gt;"","Đã VH","Quy hoạch điện VIII")</f>
        <v/>
      </c>
      <c r="G155" s="16">
        <f>LEFT(B155,FIND(" ",B155,1)-1)</f>
        <v/>
      </c>
      <c r="H155" s="16">
        <f>TRIM(RIGHT(B155,LEN(B155)-FIND(" ",B155,1)))</f>
        <v/>
      </c>
      <c r="I155" s="16">
        <f>_xlfn.XLOOKUP(Table2[[#This Row],[Type]],Table5[Type],Table5[Type2])</f>
        <v/>
      </c>
      <c r="J155" s="16">
        <f>_xlfn.XLOOKUP(Table2[[#This Row],[Sym]],Zones!$A$2:$A$21,Zones!$B$2:$B$21)</f>
        <v/>
      </c>
      <c r="K155" s="21" t="n"/>
    </row>
    <row r="156">
      <c r="A156" s="24" t="n">
        <v>1283</v>
      </c>
      <c r="B156" s="10" t="inlineStr">
        <is>
          <t>T110 Cát Hải</t>
        </is>
      </c>
      <c r="C156" s="10" t="inlineStr">
        <is>
          <t>TBA 110kV Cát Hải</t>
        </is>
      </c>
      <c r="D156" s="3" t="inlineStr">
        <is>
          <t>B2</t>
        </is>
      </c>
      <c r="E156" s="9" t="inlineStr">
        <is>
          <t>E2.24</t>
        </is>
      </c>
      <c r="F156" s="15">
        <f>IF(E156&lt;&gt;"","Đã VH","Quy hoạch điện VIII")</f>
        <v/>
      </c>
      <c r="G156" s="16">
        <f>LEFT(B156,FIND(" ",B156,1)-1)</f>
        <v/>
      </c>
      <c r="H156" s="16">
        <f>TRIM(RIGHT(B156,LEN(B156)-FIND(" ",B156,1)))</f>
        <v/>
      </c>
      <c r="I156" s="16">
        <f>_xlfn.XLOOKUP(Table2[[#This Row],[Type]],Table5[Type],Table5[Type2])</f>
        <v/>
      </c>
      <c r="J156" s="16">
        <f>_xlfn.XLOOKUP(Table2[[#This Row],[Sym]],Zones!$A$2:$A$21,Zones!$B$2:$B$21)</f>
        <v/>
      </c>
      <c r="K156" s="21" t="n"/>
    </row>
    <row r="157">
      <c r="A157" s="24" t="n">
        <v>1284</v>
      </c>
      <c r="B157" s="10" t="inlineStr">
        <is>
          <t>T110 Bắc Sông Cấm</t>
        </is>
      </c>
      <c r="C157" s="10" t="inlineStr">
        <is>
          <t>TBA 110kV Bắc Sông Cấm</t>
        </is>
      </c>
      <c r="D157" s="3" t="inlineStr">
        <is>
          <t>B2</t>
        </is>
      </c>
      <c r="E157" s="9" t="inlineStr">
        <is>
          <t>E2.26</t>
        </is>
      </c>
      <c r="F157" s="15">
        <f>IF(E157&lt;&gt;"","Đã VH","Quy hoạch điện VIII")</f>
        <v/>
      </c>
      <c r="G157" s="16">
        <f>LEFT(B157,FIND(" ",B157,1)-1)</f>
        <v/>
      </c>
      <c r="H157" s="16">
        <f>TRIM(RIGHT(B157,LEN(B157)-FIND(" ",B157,1)))</f>
        <v/>
      </c>
      <c r="I157" s="16">
        <f>_xlfn.XLOOKUP(Table2[[#This Row],[Type]],Table5[Type],Table5[Type2])</f>
        <v/>
      </c>
      <c r="J157" s="16">
        <f>_xlfn.XLOOKUP(Table2[[#This Row],[Sym]],Zones!$A$2:$A$21,Zones!$B$2:$B$21)</f>
        <v/>
      </c>
      <c r="K157" s="21" t="n"/>
    </row>
    <row r="158">
      <c r="A158" s="24" t="n">
        <v>1285</v>
      </c>
      <c r="B158" s="10" t="inlineStr">
        <is>
          <t>T110 Tiên Lãng</t>
        </is>
      </c>
      <c r="C158" s="10" t="inlineStr">
        <is>
          <t>TBA 110kV Tiên Lãng</t>
        </is>
      </c>
      <c r="D158" s="3" t="inlineStr">
        <is>
          <t>B2</t>
        </is>
      </c>
      <c r="E158" s="9" t="inlineStr">
        <is>
          <t>E2.27</t>
        </is>
      </c>
      <c r="F158" s="15">
        <f>IF(E158&lt;&gt;"","Đã VH","Quy hoạch điện VIII")</f>
        <v/>
      </c>
      <c r="G158" s="16">
        <f>LEFT(B158,FIND(" ",B158,1)-1)</f>
        <v/>
      </c>
      <c r="H158" s="16">
        <f>TRIM(RIGHT(B158,LEN(B158)-FIND(" ",B158,1)))</f>
        <v/>
      </c>
      <c r="I158" s="16">
        <f>_xlfn.XLOOKUP(Table2[[#This Row],[Type]],Table5[Type],Table5[Type2])</f>
        <v/>
      </c>
      <c r="J158" s="16">
        <f>_xlfn.XLOOKUP(Table2[[#This Row],[Sym]],Zones!$A$2:$A$21,Zones!$B$2:$B$21)</f>
        <v/>
      </c>
      <c r="K158" s="21" t="n"/>
    </row>
    <row r="159">
      <c r="A159" s="24" t="n">
        <v>1286</v>
      </c>
      <c r="B159" s="10" t="inlineStr">
        <is>
          <t>T110 Nam Cầu Kiền</t>
        </is>
      </c>
      <c r="C159" s="10" t="inlineStr">
        <is>
          <t>TBA 110kV Nam Cầu Kiền</t>
        </is>
      </c>
      <c r="D159" s="3" t="inlineStr">
        <is>
          <t>B2</t>
        </is>
      </c>
      <c r="E159" s="9" t="inlineStr">
        <is>
          <t>E2.28</t>
        </is>
      </c>
      <c r="F159" s="15">
        <f>IF(E159&lt;&gt;"","Đã VH","Quy hoạch điện VIII")</f>
        <v/>
      </c>
      <c r="G159" s="16">
        <f>LEFT(B159,FIND(" ",B159,1)-1)</f>
        <v/>
      </c>
      <c r="H159" s="16">
        <f>TRIM(RIGHT(B159,LEN(B159)-FIND(" ",B159,1)))</f>
        <v/>
      </c>
      <c r="I159" s="16">
        <f>_xlfn.XLOOKUP(Table2[[#This Row],[Type]],Table5[Type],Table5[Type2])</f>
        <v/>
      </c>
      <c r="J159" s="16">
        <f>_xlfn.XLOOKUP(Table2[[#This Row],[Sym]],Zones!$A$2:$A$21,Zones!$B$2:$B$21)</f>
        <v/>
      </c>
      <c r="K159" s="21" t="n"/>
    </row>
    <row r="160">
      <c r="A160" s="24" t="n">
        <v>1287</v>
      </c>
      <c r="B160" s="10" t="inlineStr">
        <is>
          <t>T110 Bridgestone</t>
        </is>
      </c>
      <c r="C160" s="10" t="inlineStr">
        <is>
          <t>TBA 110kV Bridgestone</t>
        </is>
      </c>
      <c r="D160" s="3" t="inlineStr">
        <is>
          <t>B2</t>
        </is>
      </c>
      <c r="E160" s="9" t="inlineStr">
        <is>
          <t>E2.29</t>
        </is>
      </c>
      <c r="F160" s="15">
        <f>IF(E160&lt;&gt;"","Đã VH","Quy hoạch điện VIII")</f>
        <v/>
      </c>
      <c r="G160" s="16">
        <f>LEFT(B160,FIND(" ",B160,1)-1)</f>
        <v/>
      </c>
      <c r="H160" s="16">
        <f>TRIM(RIGHT(B160,LEN(B160)-FIND(" ",B160,1)))</f>
        <v/>
      </c>
      <c r="I160" s="16">
        <f>_xlfn.XLOOKUP(Table2[[#This Row],[Type]],Table5[Type],Table5[Type2])</f>
        <v/>
      </c>
      <c r="J160" s="16">
        <f>_xlfn.XLOOKUP(Table2[[#This Row],[Sym]],Zones!$A$2:$A$21,Zones!$B$2:$B$21)</f>
        <v/>
      </c>
      <c r="K160" s="21" t="n"/>
    </row>
    <row r="161">
      <c r="A161" s="24" t="n">
        <v>1288</v>
      </c>
      <c r="B161" s="10" t="inlineStr">
        <is>
          <t>NĐ Hải Phòng</t>
        </is>
      </c>
      <c r="C161" s="10" t="inlineStr">
        <is>
          <t xml:space="preserve"> Hải Phòng</t>
        </is>
      </c>
      <c r="D161" s="3" t="inlineStr">
        <is>
          <t>B2</t>
        </is>
      </c>
      <c r="E161" s="9" t="inlineStr">
        <is>
          <t>A2.25</t>
        </is>
      </c>
      <c r="F161" s="15">
        <f>IF(E161&lt;&gt;"","Đã VH","Quy hoạch điện VIII")</f>
        <v/>
      </c>
      <c r="G161" s="16">
        <f>LEFT(B161,FIND(" ",B161,1)-1)</f>
        <v/>
      </c>
      <c r="H161" s="16">
        <f>TRIM(RIGHT(B161,LEN(B161)-FIND(" ",B161,1)))</f>
        <v/>
      </c>
      <c r="I161" s="16">
        <f>_xlfn.XLOOKUP(Table2[[#This Row],[Type]],Table5[Type],Table5[Type2])</f>
        <v/>
      </c>
      <c r="J161" s="16">
        <f>_xlfn.XLOOKUP(Table2[[#This Row],[Sym]],Zones!$A$2:$A$21,Zones!$B$2:$B$21)</f>
        <v/>
      </c>
      <c r="K161" s="21" t="n"/>
    </row>
    <row r="162">
      <c r="A162" s="24" t="n">
        <v>1289</v>
      </c>
      <c r="B162" s="10" t="inlineStr">
        <is>
          <t>T110 Nhật Bản</t>
        </is>
      </c>
      <c r="C162" s="10" t="inlineStr">
        <is>
          <t>TBA 110kV Nhật Bản</t>
        </is>
      </c>
      <c r="D162" s="3" t="inlineStr">
        <is>
          <t>B2</t>
        </is>
      </c>
      <c r="E162" s="9" t="inlineStr">
        <is>
          <t>A2.0</t>
        </is>
      </c>
      <c r="F162" s="15">
        <f>IF(E162&lt;&gt;"","Đã VH","Quy hoạch điện VIII")</f>
        <v/>
      </c>
      <c r="G162" s="16">
        <f>LEFT(B162,FIND(" ",B162,1)-1)</f>
        <v/>
      </c>
      <c r="H162" s="16">
        <f>TRIM(RIGHT(B162,LEN(B162)-FIND(" ",B162,1)))</f>
        <v/>
      </c>
      <c r="I162" s="16">
        <f>_xlfn.XLOOKUP(Table2[[#This Row],[Type]],Table5[Type],Table5[Type2])</f>
        <v/>
      </c>
      <c r="J162" s="16">
        <f>_xlfn.XLOOKUP(Table2[[#This Row],[Sym]],Zones!$A$2:$A$21,Zones!$B$2:$B$21)</f>
        <v/>
      </c>
      <c r="K162" s="21" t="n"/>
    </row>
    <row r="163">
      <c r="A163" s="24" t="n">
        <v>1290</v>
      </c>
      <c r="B163" s="10" t="inlineStr">
        <is>
          <t>T110 Nam Đình Vũ</t>
        </is>
      </c>
      <c r="C163" s="10" t="inlineStr">
        <is>
          <t>TBA 110kV Nam Đình Vũ</t>
        </is>
      </c>
      <c r="D163" s="3" t="inlineStr">
        <is>
          <t>B2</t>
        </is>
      </c>
      <c r="E163" s="9" t="inlineStr">
        <is>
          <t>E2.32</t>
        </is>
      </c>
      <c r="F163" s="15">
        <f>IF(E163&lt;&gt;"","Đã VH","Quy hoạch điện VIII")</f>
        <v/>
      </c>
      <c r="G163" s="16">
        <f>LEFT(B163,FIND(" ",B163,1)-1)</f>
        <v/>
      </c>
      <c r="H163" s="16">
        <f>TRIM(RIGHT(B163,LEN(B163)-FIND(" ",B163,1)))</f>
        <v/>
      </c>
      <c r="I163" s="16">
        <f>_xlfn.XLOOKUP(Table2[[#This Row],[Type]],Table5[Type],Table5[Type2])</f>
        <v/>
      </c>
      <c r="J163" s="16">
        <f>_xlfn.XLOOKUP(Table2[[#This Row],[Sym]],Zones!$A$2:$A$21,Zones!$B$2:$B$21)</f>
        <v/>
      </c>
      <c r="K163" s="21" t="n"/>
    </row>
    <row r="164">
      <c r="A164" s="24" t="n">
        <v>1291</v>
      </c>
      <c r="B164" s="10" t="inlineStr">
        <is>
          <t>T110 Thép Việt Nhật</t>
        </is>
      </c>
      <c r="C164" s="10" t="inlineStr">
        <is>
          <t>TBA 110kV Thép Việt Nhật</t>
        </is>
      </c>
      <c r="D164" s="3" t="inlineStr">
        <is>
          <t>B2</t>
        </is>
      </c>
      <c r="E164" s="9" t="inlineStr">
        <is>
          <t>E2.34</t>
        </is>
      </c>
      <c r="F164" s="15">
        <f>IF(E164&lt;&gt;"","Đã VH","Quy hoạch điện VIII")</f>
        <v/>
      </c>
      <c r="G164" s="16">
        <f>LEFT(B164,FIND(" ",B164,1)-1)</f>
        <v/>
      </c>
      <c r="H164" s="16">
        <f>TRIM(RIGHT(B164,LEN(B164)-FIND(" ",B164,1)))</f>
        <v/>
      </c>
      <c r="I164" s="16">
        <f>_xlfn.XLOOKUP(Table2[[#This Row],[Type]],Table5[Type],Table5[Type2])</f>
        <v/>
      </c>
      <c r="J164" s="16">
        <f>_xlfn.XLOOKUP(Table2[[#This Row],[Sym]],Zones!$A$2:$A$21,Zones!$B$2:$B$21)</f>
        <v/>
      </c>
      <c r="K164" s="21" t="n"/>
    </row>
    <row r="165">
      <c r="A165" s="24" t="n">
        <v>1292</v>
      </c>
      <c r="B165" s="10" t="inlineStr">
        <is>
          <t>T110 An Lão</t>
        </is>
      </c>
      <c r="C165" s="10" t="inlineStr">
        <is>
          <t>TBA 110kV An Lão</t>
        </is>
      </c>
      <c r="D165" s="3" t="inlineStr">
        <is>
          <t>B2</t>
        </is>
      </c>
      <c r="E165" s="9" t="inlineStr">
        <is>
          <t>E2.31</t>
        </is>
      </c>
      <c r="F165" s="15">
        <f>IF(E165&lt;&gt;"","Đã VH","Quy hoạch điện VIII")</f>
        <v/>
      </c>
      <c r="G165" s="16">
        <f>LEFT(B165,FIND(" ",B165,1)-1)</f>
        <v/>
      </c>
      <c r="H165" s="16">
        <f>TRIM(RIGHT(B165,LEN(B165)-FIND(" ",B165,1)))</f>
        <v/>
      </c>
      <c r="I165" s="16">
        <f>_xlfn.XLOOKUP(Table2[[#This Row],[Type]],Table5[Type],Table5[Type2])</f>
        <v/>
      </c>
      <c r="J165" s="16">
        <f>_xlfn.XLOOKUP(Table2[[#This Row],[Sym]],Zones!$A$2:$A$21,Zones!$B$2:$B$21)</f>
        <v/>
      </c>
      <c r="K165" s="21" t="n"/>
    </row>
    <row r="166">
      <c r="A166" s="24" t="n">
        <v>1293</v>
      </c>
      <c r="B166" s="10" t="inlineStr">
        <is>
          <t>T110 LG Display</t>
        </is>
      </c>
      <c r="C166" s="10" t="inlineStr">
        <is>
          <t>TBA 110kV LG Display</t>
        </is>
      </c>
      <c r="D166" s="3" t="inlineStr">
        <is>
          <t>B2</t>
        </is>
      </c>
      <c r="E166" s="9" t="inlineStr">
        <is>
          <t>E2.33</t>
        </is>
      </c>
      <c r="F166" s="15">
        <f>IF(E166&lt;&gt;"","Đã VH","Quy hoạch điện VIII")</f>
        <v/>
      </c>
      <c r="G166" s="16">
        <f>LEFT(B166,FIND(" ",B166,1)-1)</f>
        <v/>
      </c>
      <c r="H166" s="16">
        <f>TRIM(RIGHT(B166,LEN(B166)-FIND(" ",B166,1)))</f>
        <v/>
      </c>
      <c r="I166" s="16">
        <f>_xlfn.XLOOKUP(Table2[[#This Row],[Type]],Table5[Type],Table5[Type2])</f>
        <v/>
      </c>
      <c r="J166" s="16">
        <f>_xlfn.XLOOKUP(Table2[[#This Row],[Sym]],Zones!$A$2:$A$21,Zones!$B$2:$B$21)</f>
        <v/>
      </c>
      <c r="K166" s="21" t="n"/>
    </row>
    <row r="167">
      <c r="A167" s="24" t="n">
        <v>1294</v>
      </c>
      <c r="B167" s="10" t="inlineStr">
        <is>
          <t>T110 Cầu Cựu</t>
        </is>
      </c>
      <c r="C167" s="10" t="inlineStr">
        <is>
          <t>TBA 110kV Cầu Cựu</t>
        </is>
      </c>
      <c r="D167" s="3" t="inlineStr">
        <is>
          <t>B2</t>
        </is>
      </c>
      <c r="E167" s="9" t="n"/>
      <c r="F167" s="15">
        <f>IF(E167&lt;&gt;"","Đã VH","Quy hoạch điện VIII")</f>
        <v/>
      </c>
      <c r="G167" s="16">
        <f>LEFT(B167,FIND(" ",B167,1)-1)</f>
        <v/>
      </c>
      <c r="H167" s="16">
        <f>TRIM(RIGHT(B167,LEN(B167)-FIND(" ",B167,1)))</f>
        <v/>
      </c>
      <c r="I167" s="16">
        <f>_xlfn.XLOOKUP(Table2[[#This Row],[Type]],Table5[Type],Table5[Type2])</f>
        <v/>
      </c>
      <c r="J167" s="16">
        <f>_xlfn.XLOOKUP(Table2[[#This Row],[Sym]],Zones!$A$2:$A$21,Zones!$B$2:$B$21)</f>
        <v/>
      </c>
      <c r="K167" s="21" t="n"/>
    </row>
    <row r="168">
      <c r="A168" s="24" t="n">
        <v>1295</v>
      </c>
      <c r="B168" s="10" t="inlineStr">
        <is>
          <t>T110 Quán Trữ</t>
        </is>
      </c>
      <c r="C168" s="10" t="inlineStr">
        <is>
          <t>TBA 110kV Quán Trữ</t>
        </is>
      </c>
      <c r="D168" s="3" t="inlineStr">
        <is>
          <t>B2</t>
        </is>
      </c>
      <c r="E168" s="9" t="inlineStr">
        <is>
          <t>E2.36</t>
        </is>
      </c>
      <c r="F168" s="15">
        <f>IF(E168&lt;&gt;"","Đã VH","Quy hoạch điện VIII")</f>
        <v/>
      </c>
      <c r="G168" s="16">
        <f>LEFT(B168,FIND(" ",B168,1)-1)</f>
        <v/>
      </c>
      <c r="H168" s="16">
        <f>TRIM(RIGHT(B168,LEN(B168)-FIND(" ",B168,1)))</f>
        <v/>
      </c>
      <c r="I168" s="16">
        <f>_xlfn.XLOOKUP(Table2[[#This Row],[Type]],Table5[Type],Table5[Type2])</f>
        <v/>
      </c>
      <c r="J168" s="16">
        <f>_xlfn.XLOOKUP(Table2[[#This Row],[Sym]],Zones!$A$2:$A$21,Zones!$B$2:$B$21)</f>
        <v/>
      </c>
      <c r="K168" s="21" t="n"/>
    </row>
    <row r="169">
      <c r="A169" s="24" t="n">
        <v>1296</v>
      </c>
      <c r="B169" s="10" t="inlineStr">
        <is>
          <t>NĐ Hải Phòng III</t>
        </is>
      </c>
      <c r="C169" s="10" t="inlineStr">
        <is>
          <t xml:space="preserve"> Hải Phòng III</t>
        </is>
      </c>
      <c r="D169" s="3" t="inlineStr">
        <is>
          <t>B2</t>
        </is>
      </c>
      <c r="E169" s="9" t="n"/>
      <c r="F169" s="15">
        <f>IF(E169&lt;&gt;"","Đã VH","Quy hoạch điện VIII")</f>
        <v/>
      </c>
      <c r="G169" s="16">
        <f>LEFT(B169,FIND(" ",B169,1)-1)</f>
        <v/>
      </c>
      <c r="H169" s="16">
        <f>TRIM(RIGHT(B169,LEN(B169)-FIND(" ",B169,1)))</f>
        <v/>
      </c>
      <c r="I169" s="16">
        <f>_xlfn.XLOOKUP(Table2[[#This Row],[Type]],Table5[Type],Table5[Type2])</f>
        <v/>
      </c>
      <c r="J169" s="16">
        <f>_xlfn.XLOOKUP(Table2[[#This Row],[Sym]],Zones!$A$2:$A$21,Zones!$B$2:$B$21)</f>
        <v/>
      </c>
      <c r="K169" s="21" t="n"/>
    </row>
    <row r="170">
      <c r="A170" s="24" t="n">
        <v>1297</v>
      </c>
      <c r="B170" s="10" t="inlineStr">
        <is>
          <t>T110 Đồng Bài</t>
        </is>
      </c>
      <c r="C170" s="10" t="inlineStr">
        <is>
          <t>TBA 110kV Đồng Bài</t>
        </is>
      </c>
      <c r="D170" s="3" t="inlineStr">
        <is>
          <t>B2</t>
        </is>
      </c>
      <c r="E170" s="9" t="inlineStr">
        <is>
          <t>E2.37</t>
        </is>
      </c>
      <c r="F170" s="15">
        <f>IF(E170&lt;&gt;"","Đã VH","Quy hoạch điện VIII")</f>
        <v/>
      </c>
      <c r="G170" s="16">
        <f>LEFT(B170,FIND(" ",B170,1)-1)</f>
        <v/>
      </c>
      <c r="H170" s="16">
        <f>TRIM(RIGHT(B170,LEN(B170)-FIND(" ",B170,1)))</f>
        <v/>
      </c>
      <c r="I170" s="16">
        <f>_xlfn.XLOOKUP(Table2[[#This Row],[Type]],Table5[Type],Table5[Type2])</f>
        <v/>
      </c>
      <c r="J170" s="16">
        <f>_xlfn.XLOOKUP(Table2[[#This Row],[Sym]],Zones!$A$2:$A$21,Zones!$B$2:$B$21)</f>
        <v/>
      </c>
      <c r="K170" s="21" t="n"/>
    </row>
    <row r="171">
      <c r="A171" s="24" t="n">
        <v>1298</v>
      </c>
      <c r="B171" s="10" t="inlineStr">
        <is>
          <t>T110 KCN An Dương</t>
        </is>
      </c>
      <c r="C171" s="10" t="inlineStr">
        <is>
          <t>TBA 110kV KCN An Dương</t>
        </is>
      </c>
      <c r="D171" s="3" t="inlineStr">
        <is>
          <t>B2</t>
        </is>
      </c>
      <c r="E171" s="9" t="inlineStr">
        <is>
          <t>E2.38</t>
        </is>
      </c>
      <c r="F171" s="15">
        <f>IF(E171&lt;&gt;"","Đã VH","Quy hoạch điện VIII")</f>
        <v/>
      </c>
      <c r="G171" s="16">
        <f>LEFT(B171,FIND(" ",B171,1)-1)</f>
        <v/>
      </c>
      <c r="H171" s="16">
        <f>TRIM(RIGHT(B171,LEN(B171)-FIND(" ",B171,1)))</f>
        <v/>
      </c>
      <c r="I171" s="16">
        <f>_xlfn.XLOOKUP(Table2[[#This Row],[Type]],Table5[Type],Table5[Type2])</f>
        <v/>
      </c>
      <c r="J171" s="16">
        <f>_xlfn.XLOOKUP(Table2[[#This Row],[Sym]],Zones!$A$2:$A$21,Zones!$B$2:$B$21)</f>
        <v/>
      </c>
      <c r="K171" s="21" t="n"/>
    </row>
    <row r="172">
      <c r="A172" s="24" t="n">
        <v>1299</v>
      </c>
      <c r="B172" s="10" t="inlineStr">
        <is>
          <t>T110 Flat Glass</t>
        </is>
      </c>
      <c r="C172" s="10" t="inlineStr">
        <is>
          <t>TBA 110kV Flat Glass</t>
        </is>
      </c>
      <c r="D172" s="3" t="inlineStr">
        <is>
          <t>B2</t>
        </is>
      </c>
      <c r="E172" s="9" t="inlineStr">
        <is>
          <t>E2.39</t>
        </is>
      </c>
      <c r="F172" s="15">
        <f>IF(E172&lt;&gt;"","Đã VH","Quy hoạch điện VIII")</f>
        <v/>
      </c>
      <c r="G172" s="16">
        <f>LEFT(B172,FIND(" ",B172,1)-1)</f>
        <v/>
      </c>
      <c r="H172" s="16">
        <f>TRIM(RIGHT(B172,LEN(B172)-FIND(" ",B172,1)))</f>
        <v/>
      </c>
      <c r="I172" s="16">
        <f>_xlfn.XLOOKUP(Table2[[#This Row],[Type]],Table5[Type],Table5[Type2])</f>
        <v/>
      </c>
      <c r="J172" s="16">
        <f>_xlfn.XLOOKUP(Table2[[#This Row],[Sym]],Zones!$A$2:$A$21,Zones!$B$2:$B$21)</f>
        <v/>
      </c>
      <c r="K172" s="21" t="n"/>
    </row>
    <row r="173">
      <c r="A173" s="24" t="n">
        <v>1300</v>
      </c>
      <c r="B173" s="10" t="inlineStr">
        <is>
          <t>T220 Thủy Nguyên</t>
        </is>
      </c>
      <c r="C173" s="10" t="inlineStr">
        <is>
          <t>TBA 220kV Thủy Nguyên</t>
        </is>
      </c>
      <c r="D173" s="3" t="inlineStr">
        <is>
          <t>B2</t>
        </is>
      </c>
      <c r="E173" s="9" t="inlineStr">
        <is>
          <t>E2.35</t>
        </is>
      </c>
      <c r="F173" s="15">
        <f>IF(E173&lt;&gt;"","Đã VH","Quy hoạch điện VIII")</f>
        <v/>
      </c>
      <c r="G173" s="16">
        <f>LEFT(B173,FIND(" ",B173,1)-1)</f>
        <v/>
      </c>
      <c r="H173" s="16">
        <f>TRIM(RIGHT(B173,LEN(B173)-FIND(" ",B173,1)))</f>
        <v/>
      </c>
      <c r="I173" s="16">
        <f>_xlfn.XLOOKUP(Table2[[#This Row],[Type]],Table5[Type],Table5[Type2])</f>
        <v/>
      </c>
      <c r="J173" s="16">
        <f>_xlfn.XLOOKUP(Table2[[#This Row],[Sym]],Zones!$A$2:$A$21,Zones!$B$2:$B$21)</f>
        <v/>
      </c>
      <c r="K173" s="21" t="n"/>
    </row>
    <row r="174">
      <c r="A174" s="24" t="n">
        <v>1301</v>
      </c>
      <c r="B174" s="10" t="inlineStr">
        <is>
          <t>T110 Lưu Kiếm</t>
        </is>
      </c>
      <c r="C174" s="10" t="inlineStr">
        <is>
          <t>TBA 110kV Lưu Kiếm</t>
        </is>
      </c>
      <c r="D174" s="3" t="inlineStr">
        <is>
          <t>B2</t>
        </is>
      </c>
      <c r="E174" s="9" t="inlineStr">
        <is>
          <t>E2.41</t>
        </is>
      </c>
      <c r="F174" s="15">
        <f>IF(E174&lt;&gt;"","Đã VH","Quy hoạch điện VIII")</f>
        <v/>
      </c>
      <c r="G174" s="16">
        <f>LEFT(B174,FIND(" ",B174,1)-1)</f>
        <v/>
      </c>
      <c r="H174" s="16">
        <f>TRIM(RIGHT(B174,LEN(B174)-FIND(" ",B174,1)))</f>
        <v/>
      </c>
      <c r="I174" s="16">
        <f>_xlfn.XLOOKUP(Table2[[#This Row],[Type]],Table5[Type],Table5[Type2])</f>
        <v/>
      </c>
      <c r="J174" s="16">
        <f>_xlfn.XLOOKUP(Table2[[#This Row],[Sym]],Zones!$A$2:$A$21,Zones!$B$2:$B$21)</f>
        <v/>
      </c>
      <c r="K174" s="21" t="n"/>
    </row>
    <row r="175">
      <c r="A175" s="24" t="n">
        <v>1302</v>
      </c>
      <c r="B175" s="10" t="inlineStr">
        <is>
          <t>T110 Bắc Sông Cấm 1</t>
        </is>
      </c>
      <c r="C175" s="10" t="inlineStr">
        <is>
          <t>TBA 110kV Bắc Sông Cấm 1</t>
        </is>
      </c>
      <c r="D175" s="3" t="inlineStr">
        <is>
          <t>B2</t>
        </is>
      </c>
      <c r="E175" s="9" t="n"/>
      <c r="F175" s="15">
        <f>IF(E175&lt;&gt;"","Đã VH","Quy hoạch điện VIII")</f>
        <v/>
      </c>
      <c r="G175" s="16">
        <f>LEFT(B175,FIND(" ",B175,1)-1)</f>
        <v/>
      </c>
      <c r="H175" s="16">
        <f>TRIM(RIGHT(B175,LEN(B175)-FIND(" ",B175,1)))</f>
        <v/>
      </c>
      <c r="I175" s="16">
        <f>_xlfn.XLOOKUP(Table2[[#This Row],[Type]],Table5[Type],Table5[Type2])</f>
        <v/>
      </c>
      <c r="J175" s="16">
        <f>_xlfn.XLOOKUP(Table2[[#This Row],[Sym]],Zones!$A$2:$A$21,Zones!$B$2:$B$21)</f>
        <v/>
      </c>
      <c r="K175" s="21" t="n"/>
    </row>
    <row r="176">
      <c r="A176" s="24" t="n">
        <v>1303</v>
      </c>
      <c r="B176" s="10" t="inlineStr">
        <is>
          <t>T110 Kiến Thụy</t>
        </is>
      </c>
      <c r="C176" s="10" t="inlineStr">
        <is>
          <t>TBA 110kV Kiến Thụy</t>
        </is>
      </c>
      <c r="D176" s="3" t="inlineStr">
        <is>
          <t>B2</t>
        </is>
      </c>
      <c r="E176" s="9" t="inlineStr">
        <is>
          <t>E2.46</t>
        </is>
      </c>
      <c r="F176" s="15">
        <f>IF(E176&lt;&gt;"","Đã VH","Quy hoạch điện VIII")</f>
        <v/>
      </c>
      <c r="G176" s="16">
        <f>LEFT(B176,FIND(" ",B176,1)-1)</f>
        <v/>
      </c>
      <c r="H176" s="16">
        <f>TRIM(RIGHT(B176,LEN(B176)-FIND(" ",B176,1)))</f>
        <v/>
      </c>
      <c r="I176" s="16">
        <f>_xlfn.XLOOKUP(Table2[[#This Row],[Type]],Table5[Type],Table5[Type2])</f>
        <v/>
      </c>
      <c r="J176" s="16">
        <f>_xlfn.XLOOKUP(Table2[[#This Row],[Sym]],Zones!$A$2:$A$21,Zones!$B$2:$B$21)</f>
        <v/>
      </c>
      <c r="K176" s="21" t="n"/>
    </row>
    <row r="177">
      <c r="A177" s="24" t="n">
        <v>1304</v>
      </c>
      <c r="B177" s="10" t="inlineStr">
        <is>
          <t>T110 An Dương</t>
        </is>
      </c>
      <c r="C177" s="10" t="inlineStr">
        <is>
          <t>TBA 110kV An Dương</t>
        </is>
      </c>
      <c r="D177" s="3" t="inlineStr">
        <is>
          <t>B2</t>
        </is>
      </c>
      <c r="E177" s="9" t="inlineStr">
        <is>
          <t>E2.44</t>
        </is>
      </c>
      <c r="F177" s="15">
        <f>IF(E177&lt;&gt;"","Đã VH","Quy hoạch điện VIII")</f>
        <v/>
      </c>
      <c r="G177" s="16">
        <f>LEFT(B177,FIND(" ",B177,1)-1)</f>
        <v/>
      </c>
      <c r="H177" s="16">
        <f>TRIM(RIGHT(B177,LEN(B177)-FIND(" ",B177,1)))</f>
        <v/>
      </c>
      <c r="I177" s="16">
        <f>_xlfn.XLOOKUP(Table2[[#This Row],[Type]],Table5[Type],Table5[Type2])</f>
        <v/>
      </c>
      <c r="J177" s="16">
        <f>_xlfn.XLOOKUP(Table2[[#This Row],[Sym]],Zones!$A$2:$A$21,Zones!$B$2:$B$21)</f>
        <v/>
      </c>
      <c r="K177" s="21" t="n"/>
    </row>
    <row r="178">
      <c r="A178" s="24" t="n">
        <v>1305</v>
      </c>
      <c r="B178" s="10" t="inlineStr">
        <is>
          <t>T110 KCN Giang Biên 2</t>
        </is>
      </c>
      <c r="C178" s="10" t="inlineStr">
        <is>
          <t>TBA 110kV KCN Giang Biên 2</t>
        </is>
      </c>
      <c r="D178" s="3" t="inlineStr">
        <is>
          <t>B2</t>
        </is>
      </c>
      <c r="E178" s="9" t="n"/>
      <c r="F178" s="15">
        <f>IF(E178&lt;&gt;"","Đã VH","Quy hoạch điện VIII")</f>
        <v/>
      </c>
      <c r="G178" s="16">
        <f>LEFT(B178,FIND(" ",B178,1)-1)</f>
        <v/>
      </c>
      <c r="H178" s="16">
        <f>TRIM(RIGHT(B178,LEN(B178)-FIND(" ",B178,1)))</f>
        <v/>
      </c>
      <c r="I178" s="16">
        <f>_xlfn.XLOOKUP(Table2[[#This Row],[Type]],Table5[Type],Table5[Type2])</f>
        <v/>
      </c>
      <c r="J178" s="16">
        <f>_xlfn.XLOOKUP(Table2[[#This Row],[Sym]],Zones!$A$2:$A$21,Zones!$B$2:$B$21)</f>
        <v/>
      </c>
      <c r="K178" s="21" t="n"/>
    </row>
    <row r="179">
      <c r="A179" s="24" t="n">
        <v>1306</v>
      </c>
      <c r="B179" s="10" t="inlineStr">
        <is>
          <t>T110 Bắc Sông Cấm 2</t>
        </is>
      </c>
      <c r="C179" s="10" t="inlineStr">
        <is>
          <t>TBA 110kV Bắc Sông Cấm 2</t>
        </is>
      </c>
      <c r="D179" s="3" t="inlineStr">
        <is>
          <t>B2</t>
        </is>
      </c>
      <c r="E179" s="9" t="n"/>
      <c r="F179" s="15">
        <f>IF(E179&lt;&gt;"","Đã VH","Quy hoạch điện VIII")</f>
        <v/>
      </c>
      <c r="G179" s="16">
        <f>LEFT(B179,FIND(" ",B179,1)-1)</f>
        <v/>
      </c>
      <c r="H179" s="16">
        <f>TRIM(RIGHT(B179,LEN(B179)-FIND(" ",B179,1)))</f>
        <v/>
      </c>
      <c r="I179" s="16">
        <f>_xlfn.XLOOKUP(Table2[[#This Row],[Type]],Table5[Type],Table5[Type2])</f>
        <v/>
      </c>
      <c r="J179" s="16">
        <f>_xlfn.XLOOKUP(Table2[[#This Row],[Sym]],Zones!$A$2:$A$21,Zones!$B$2:$B$21)</f>
        <v/>
      </c>
      <c r="K179" s="21" t="n"/>
    </row>
    <row r="180">
      <c r="A180" s="24" t="n">
        <v>1307</v>
      </c>
      <c r="B180" s="10" t="inlineStr">
        <is>
          <t>T110 KCN An Hòa</t>
        </is>
      </c>
      <c r="C180" s="10" t="inlineStr">
        <is>
          <t>TBA 110kV KCN An Hòa</t>
        </is>
      </c>
      <c r="D180" s="3" t="inlineStr">
        <is>
          <t>B2</t>
        </is>
      </c>
      <c r="E180" s="9" t="n"/>
      <c r="F180" s="15">
        <f>IF(E180&lt;&gt;"","Đã VH","Quy hoạch điện VIII")</f>
        <v/>
      </c>
      <c r="G180" s="16">
        <f>LEFT(B180,FIND(" ",B180,1)-1)</f>
        <v/>
      </c>
      <c r="H180" s="16">
        <f>TRIM(RIGHT(B180,LEN(B180)-FIND(" ",B180,1)))</f>
        <v/>
      </c>
      <c r="I180" s="16">
        <f>_xlfn.XLOOKUP(Table2[[#This Row],[Type]],Table5[Type],Table5[Type2])</f>
        <v/>
      </c>
      <c r="J180" s="16">
        <f>_xlfn.XLOOKUP(Table2[[#This Row],[Sym]],Zones!$A$2:$A$21,Zones!$B$2:$B$21)</f>
        <v/>
      </c>
      <c r="K180" s="21" t="n"/>
    </row>
    <row r="181">
      <c r="A181" s="24" t="n">
        <v>1308</v>
      </c>
      <c r="B181" s="10" t="inlineStr">
        <is>
          <t>T110 Nam Đình Vũ 2</t>
        </is>
      </c>
      <c r="C181" s="10" t="inlineStr">
        <is>
          <t>TBA 110kV Nam Đình Vũ 2</t>
        </is>
      </c>
      <c r="D181" s="3" t="inlineStr">
        <is>
          <t>B2</t>
        </is>
      </c>
      <c r="E181" s="9" t="inlineStr">
        <is>
          <t>E2.42</t>
        </is>
      </c>
      <c r="F181" s="15">
        <f>IF(E181&lt;&gt;"","Đã VH","Quy hoạch điện VIII")</f>
        <v/>
      </c>
      <c r="G181" s="16">
        <f>LEFT(B181,FIND(" ",B181,1)-1)</f>
        <v/>
      </c>
      <c r="H181" s="16">
        <f>TRIM(RIGHT(B181,LEN(B181)-FIND(" ",B181,1)))</f>
        <v/>
      </c>
      <c r="I181" s="16">
        <f>_xlfn.XLOOKUP(Table2[[#This Row],[Type]],Table5[Type],Table5[Type2])</f>
        <v/>
      </c>
      <c r="J181" s="16">
        <f>_xlfn.XLOOKUP(Table2[[#This Row],[Sym]],Zones!$A$2:$A$21,Zones!$B$2:$B$21)</f>
        <v/>
      </c>
      <c r="K181" s="21" t="n"/>
    </row>
    <row r="182">
      <c r="A182" s="24" t="n">
        <v>1309</v>
      </c>
      <c r="B182" s="10" t="inlineStr">
        <is>
          <t>T110 Đoàn Xá</t>
        </is>
      </c>
      <c r="C182" s="10" t="inlineStr">
        <is>
          <t>TBA 110kV Đoàn Xá</t>
        </is>
      </c>
      <c r="D182" s="3" t="inlineStr">
        <is>
          <t>B2</t>
        </is>
      </c>
      <c r="E182" s="9" t="n"/>
      <c r="F182" s="15">
        <f>IF(E182&lt;&gt;"","Đã VH","Quy hoạch điện VIII")</f>
        <v/>
      </c>
      <c r="G182" s="16">
        <f>LEFT(B182,FIND(" ",B182,1)-1)</f>
        <v/>
      </c>
      <c r="H182" s="16">
        <f>TRIM(RIGHT(B182,LEN(B182)-FIND(" ",B182,1)))</f>
        <v/>
      </c>
      <c r="I182" s="16">
        <f>_xlfn.XLOOKUP(Table2[[#This Row],[Type]],Table5[Type],Table5[Type2])</f>
        <v/>
      </c>
      <c r="J182" s="16">
        <f>_xlfn.XLOOKUP(Table2[[#This Row],[Sym]],Zones!$A$2:$A$21,Zones!$B$2:$B$21)</f>
        <v/>
      </c>
      <c r="K182" s="21" t="n"/>
    </row>
    <row r="183">
      <c r="A183" s="24" t="n">
        <v>1310</v>
      </c>
      <c r="B183" s="10" t="inlineStr">
        <is>
          <t>T110 Dương Kinh</t>
        </is>
      </c>
      <c r="C183" s="10" t="inlineStr">
        <is>
          <t>TBA 110kV Dương Kinh</t>
        </is>
      </c>
      <c r="D183" s="3" t="inlineStr">
        <is>
          <t>B2</t>
        </is>
      </c>
      <c r="E183" s="9" t="n"/>
      <c r="F183" s="15">
        <f>IF(E183&lt;&gt;"","Đã VH","Quy hoạch điện VIII")</f>
        <v/>
      </c>
      <c r="G183" s="16">
        <f>LEFT(B183,FIND(" ",B183,1)-1)</f>
        <v/>
      </c>
      <c r="H183" s="16">
        <f>TRIM(RIGHT(B183,LEN(B183)-FIND(" ",B183,1)))</f>
        <v/>
      </c>
      <c r="I183" s="16">
        <f>_xlfn.XLOOKUP(Table2[[#This Row],[Type]],Table5[Type],Table5[Type2])</f>
        <v/>
      </c>
      <c r="J183" s="16">
        <f>_xlfn.XLOOKUP(Table2[[#This Row],[Sym]],Zones!$A$2:$A$21,Zones!$B$2:$B$21)</f>
        <v/>
      </c>
      <c r="K183" s="21" t="n"/>
    </row>
    <row r="184">
      <c r="A184" s="24" t="n">
        <v>1311</v>
      </c>
      <c r="B184" s="10" t="inlineStr">
        <is>
          <t>T500 Hải Phòng</t>
        </is>
      </c>
      <c r="C184" s="10" t="inlineStr">
        <is>
          <t>TBA 500kV Hải Phòng</t>
        </is>
      </c>
      <c r="D184" s="3" t="inlineStr">
        <is>
          <t>B2</t>
        </is>
      </c>
      <c r="E184" s="9" t="n"/>
      <c r="F184" s="15">
        <f>IF(E184&lt;&gt;"","Đã VH","Quy hoạch điện VIII")</f>
        <v/>
      </c>
      <c r="G184" s="16">
        <f>LEFT(B184,FIND(" ",B184,1)-1)</f>
        <v/>
      </c>
      <c r="H184" s="16">
        <f>TRIM(RIGHT(B184,LEN(B184)-FIND(" ",B184,1)))</f>
        <v/>
      </c>
      <c r="I184" s="16">
        <f>_xlfn.XLOOKUP(Table2[[#This Row],[Type]],Table5[Type],Table5[Type2])</f>
        <v/>
      </c>
      <c r="J184" s="16">
        <f>_xlfn.XLOOKUP(Table2[[#This Row],[Sym]],Zones!$A$2:$A$21,Zones!$B$2:$B$21)</f>
        <v/>
      </c>
      <c r="K184" s="21" t="n"/>
    </row>
    <row r="185">
      <c r="A185" s="24" t="n">
        <v>1312</v>
      </c>
      <c r="B185" s="10" t="inlineStr">
        <is>
          <t>T220 Dương Kinh</t>
        </is>
      </c>
      <c r="C185" s="10" t="inlineStr">
        <is>
          <t>TBA 220kV Dương Kinh</t>
        </is>
      </c>
      <c r="D185" s="3" t="inlineStr">
        <is>
          <t>B2</t>
        </is>
      </c>
      <c r="E185" s="9" t="n"/>
      <c r="F185" s="15">
        <f>IF(E185&lt;&gt;"","Đã VH","Quy hoạch điện VIII")</f>
        <v/>
      </c>
      <c r="G185" s="16">
        <f>LEFT(B185,FIND(" ",B185,1)-1)</f>
        <v/>
      </c>
      <c r="H185" s="16">
        <f>TRIM(RIGHT(B185,LEN(B185)-FIND(" ",B185,1)))</f>
        <v/>
      </c>
      <c r="I185" s="16">
        <f>_xlfn.XLOOKUP(Table2[[#This Row],[Type]],Table5[Type],Table5[Type2])</f>
        <v/>
      </c>
      <c r="J185" s="16">
        <f>_xlfn.XLOOKUP(Table2[[#This Row],[Sym]],Zones!$A$2:$A$21,Zones!$B$2:$B$21)</f>
        <v/>
      </c>
      <c r="K185" s="21" t="n"/>
    </row>
    <row r="186">
      <c r="A186" s="24" t="n">
        <v>1313</v>
      </c>
      <c r="B186" s="10" t="inlineStr">
        <is>
          <t>T220 An Lão</t>
        </is>
      </c>
      <c r="C186" s="10" t="inlineStr">
        <is>
          <t>TBA 220kV An Lão</t>
        </is>
      </c>
      <c r="D186" s="3" t="inlineStr">
        <is>
          <t>B2</t>
        </is>
      </c>
      <c r="E186" s="9" t="n"/>
      <c r="F186" s="15">
        <f>IF(E186&lt;&gt;"","Đã VH","Quy hoạch điện VIII")</f>
        <v/>
      </c>
      <c r="G186" s="16">
        <f>LEFT(B186,FIND(" ",B186,1)-1)</f>
        <v/>
      </c>
      <c r="H186" s="16">
        <f>TRIM(RIGHT(B186,LEN(B186)-FIND(" ",B186,1)))</f>
        <v/>
      </c>
      <c r="I186" s="16">
        <f>_xlfn.XLOOKUP(Table2[[#This Row],[Type]],Table5[Type],Table5[Type2])</f>
        <v/>
      </c>
      <c r="J186" s="16">
        <f>_xlfn.XLOOKUP(Table2[[#This Row],[Sym]],Zones!$A$2:$A$21,Zones!$B$2:$B$21)</f>
        <v/>
      </c>
      <c r="K186" s="21" t="n"/>
    </row>
    <row r="187">
      <c r="A187" s="24" t="n">
        <v>1314</v>
      </c>
      <c r="B187" s="10" t="inlineStr">
        <is>
          <t>T220 Đồ Sơn</t>
        </is>
      </c>
      <c r="C187" s="10" t="inlineStr">
        <is>
          <t>TBA 220kV Đồ Sơn</t>
        </is>
      </c>
      <c r="D187" s="3" t="inlineStr">
        <is>
          <t>B2</t>
        </is>
      </c>
      <c r="E187" s="9" t="n"/>
      <c r="F187" s="15">
        <f>IF(E187&lt;&gt;"","Đã VH","Quy hoạch điện VIII")</f>
        <v/>
      </c>
      <c r="G187" s="16">
        <f>LEFT(B187,FIND(" ",B187,1)-1)</f>
        <v/>
      </c>
      <c r="H187" s="16">
        <f>TRIM(RIGHT(B187,LEN(B187)-FIND(" ",B187,1)))</f>
        <v/>
      </c>
      <c r="I187" s="16">
        <f>_xlfn.XLOOKUP(Table2[[#This Row],[Type]],Table5[Type],Table5[Type2])</f>
        <v/>
      </c>
      <c r="J187" s="16">
        <f>_xlfn.XLOOKUP(Table2[[#This Row],[Sym]],Zones!$A$2:$A$21,Zones!$B$2:$B$21)</f>
        <v/>
      </c>
      <c r="K187" s="21" t="n"/>
    </row>
    <row r="188">
      <c r="A188" s="24" t="n">
        <v>1315</v>
      </c>
      <c r="B188" s="10" t="inlineStr">
        <is>
          <t>T220 Đại Bản</t>
        </is>
      </c>
      <c r="C188" s="10" t="inlineStr">
        <is>
          <t>TBA 220kV Đại Bản</t>
        </is>
      </c>
      <c r="D188" s="3" t="inlineStr">
        <is>
          <t>B2</t>
        </is>
      </c>
      <c r="E188" s="9" t="n"/>
      <c r="F188" s="15">
        <f>IF(E188&lt;&gt;"","Đã VH","Quy hoạch điện VIII")</f>
        <v/>
      </c>
      <c r="G188" s="16">
        <f>LEFT(B188,FIND(" ",B188,1)-1)</f>
        <v/>
      </c>
      <c r="H188" s="16">
        <f>TRIM(RIGHT(B188,LEN(B188)-FIND(" ",B188,1)))</f>
        <v/>
      </c>
      <c r="I188" s="16">
        <f>_xlfn.XLOOKUP(Table2[[#This Row],[Type]],Table5[Type],Table5[Type2])</f>
        <v/>
      </c>
      <c r="J188" s="16">
        <f>_xlfn.XLOOKUP(Table2[[#This Row],[Sym]],Zones!$A$2:$A$21,Zones!$B$2:$B$21)</f>
        <v/>
      </c>
      <c r="K188" s="21" t="n"/>
    </row>
    <row r="189">
      <c r="A189" s="24" t="n">
        <v>1316</v>
      </c>
      <c r="B189" s="10" t="inlineStr">
        <is>
          <t>T220 Cát Hải</t>
        </is>
      </c>
      <c r="C189" s="10" t="inlineStr">
        <is>
          <t>TBA 220kV Cát Hải</t>
        </is>
      </c>
      <c r="D189" s="3" t="inlineStr">
        <is>
          <t>B2</t>
        </is>
      </c>
      <c r="E189" s="9" t="n"/>
      <c r="F189" s="15">
        <f>IF(E189&lt;&gt;"","Đã VH","Quy hoạch điện VIII")</f>
        <v/>
      </c>
      <c r="G189" s="16">
        <f>LEFT(B189,FIND(" ",B189,1)-1)</f>
        <v/>
      </c>
      <c r="H189" s="16">
        <f>TRIM(RIGHT(B189,LEN(B189)-FIND(" ",B189,1)))</f>
        <v/>
      </c>
      <c r="I189" s="16">
        <f>_xlfn.XLOOKUP(Table2[[#This Row],[Type]],Table5[Type],Table5[Type2])</f>
        <v/>
      </c>
      <c r="J189" s="16">
        <f>_xlfn.XLOOKUP(Table2[[#This Row],[Sym]],Zones!$A$2:$A$21,Zones!$B$2:$B$21)</f>
        <v/>
      </c>
      <c r="K189" s="21" t="n"/>
    </row>
    <row r="190">
      <c r="A190" s="24" t="n">
        <v>1317</v>
      </c>
      <c r="B190" s="10" t="inlineStr">
        <is>
          <t>T110 XM Liên Khê</t>
        </is>
      </c>
      <c r="C190" s="10" t="inlineStr">
        <is>
          <t>TBA 110kV XM Liên Khê</t>
        </is>
      </c>
      <c r="D190" s="3" t="inlineStr">
        <is>
          <t>B2</t>
        </is>
      </c>
      <c r="E190" s="9" t="n"/>
      <c r="F190" s="15">
        <f>IF(E190&lt;&gt;"","Đã VH","Quy hoạch điện VIII")</f>
        <v/>
      </c>
      <c r="G190" s="16">
        <f>LEFT(B190,FIND(" ",B190,1)-1)</f>
        <v/>
      </c>
      <c r="H190" s="16">
        <f>TRIM(RIGHT(B190,LEN(B190)-FIND(" ",B190,1)))</f>
        <v/>
      </c>
      <c r="I190" s="16">
        <f>_xlfn.XLOOKUP(Table2[[#This Row],[Type]],Table5[Type],Table5[Type2])</f>
        <v/>
      </c>
      <c r="J190" s="16">
        <f>_xlfn.XLOOKUP(Table2[[#This Row],[Sym]],Zones!$A$2:$A$21,Zones!$B$2:$B$21)</f>
        <v/>
      </c>
      <c r="K190" s="21" t="n"/>
    </row>
    <row r="191">
      <c r="A191" s="24" t="n">
        <v>1318</v>
      </c>
      <c r="B191" s="10" t="inlineStr">
        <is>
          <t>T220 Tiên Lãng</t>
        </is>
      </c>
      <c r="C191" s="10" t="inlineStr">
        <is>
          <t>TBA 220kV Tiên Lãng</t>
        </is>
      </c>
      <c r="D191" s="3" t="inlineStr">
        <is>
          <t>B2</t>
        </is>
      </c>
      <c r="E191" s="9" t="n"/>
      <c r="F191" s="15">
        <f>IF(E191&lt;&gt;"","Đã VH","Quy hoạch điện VIII")</f>
        <v/>
      </c>
      <c r="G191" s="16">
        <f>LEFT(B191,FIND(" ",B191,1)-1)</f>
        <v/>
      </c>
      <c r="H191" s="16">
        <f>TRIM(RIGHT(B191,LEN(B191)-FIND(" ",B191,1)))</f>
        <v/>
      </c>
      <c r="I191" s="16">
        <f>_xlfn.XLOOKUP(Table2[[#This Row],[Type]],Table5[Type],Table5[Type2])</f>
        <v/>
      </c>
      <c r="J191" s="16">
        <f>_xlfn.XLOOKUP(Table2[[#This Row],[Sym]],Zones!$A$2:$A$21,Zones!$B$2:$B$21)</f>
        <v/>
      </c>
      <c r="K191" s="21" t="n"/>
    </row>
    <row r="192">
      <c r="A192" s="24" t="n">
        <v>1319</v>
      </c>
      <c r="B192" s="10" t="inlineStr">
        <is>
          <t>T110 Cầu Rào</t>
        </is>
      </c>
      <c r="C192" s="10" t="inlineStr">
        <is>
          <t>TBA 110kV Cầu Rào</t>
        </is>
      </c>
      <c r="D192" s="3" t="inlineStr">
        <is>
          <t>B2</t>
        </is>
      </c>
      <c r="E192" s="9" t="n"/>
      <c r="F192" s="15">
        <f>IF(E192&lt;&gt;"","Đã VH","Quy hoạch điện VIII")</f>
        <v/>
      </c>
      <c r="G192" s="16">
        <f>LEFT(B192,FIND(" ",B192,1)-1)</f>
        <v/>
      </c>
      <c r="H192" s="16">
        <f>TRIM(RIGHT(B192,LEN(B192)-FIND(" ",B192,1)))</f>
        <v/>
      </c>
      <c r="I192" s="16">
        <f>_xlfn.XLOOKUP(Table2[[#This Row],[Type]],Table5[Type],Table5[Type2])</f>
        <v/>
      </c>
      <c r="J192" s="16">
        <f>_xlfn.XLOOKUP(Table2[[#This Row],[Sym]],Zones!$A$2:$A$21,Zones!$B$2:$B$21)</f>
        <v/>
      </c>
      <c r="K192" s="21" t="n"/>
    </row>
    <row r="193">
      <c r="A193" s="24" t="n">
        <v>1320</v>
      </c>
      <c r="B193" s="10" t="inlineStr">
        <is>
          <t>T110 Vạn Hương</t>
        </is>
      </c>
      <c r="C193" s="10" t="inlineStr">
        <is>
          <t>TBA 110kV Vạn Hương</t>
        </is>
      </c>
      <c r="D193" s="3" t="inlineStr">
        <is>
          <t>B2</t>
        </is>
      </c>
      <c r="E193" s="9" t="n"/>
      <c r="F193" s="15">
        <f>IF(E193&lt;&gt;"","Đã VH","Quy hoạch điện VIII")</f>
        <v/>
      </c>
      <c r="G193" s="16">
        <f>LEFT(B193,FIND(" ",B193,1)-1)</f>
        <v/>
      </c>
      <c r="H193" s="16">
        <f>TRIM(RIGHT(B193,LEN(B193)-FIND(" ",B193,1)))</f>
        <v/>
      </c>
      <c r="I193" s="16">
        <f>_xlfn.XLOOKUP(Table2[[#This Row],[Type]],Table5[Type],Table5[Type2])</f>
        <v/>
      </c>
      <c r="J193" s="16">
        <f>_xlfn.XLOOKUP(Table2[[#This Row],[Sym]],Zones!$A$2:$A$21,Zones!$B$2:$B$21)</f>
        <v/>
      </c>
      <c r="K193" s="21" t="n"/>
    </row>
    <row r="194">
      <c r="A194" s="24" t="n">
        <v>1321</v>
      </c>
      <c r="B194" s="10" t="inlineStr">
        <is>
          <t>T110 Nam Tràng Cát</t>
        </is>
      </c>
      <c r="C194" s="10" t="inlineStr">
        <is>
          <t>TBA 110kV Nam Tràng Cát</t>
        </is>
      </c>
      <c r="D194" s="3" t="inlineStr">
        <is>
          <t>B2</t>
        </is>
      </c>
      <c r="E194" s="9" t="n"/>
      <c r="F194" s="15">
        <f>IF(E194&lt;&gt;"","Đã VH","Quy hoạch điện VIII")</f>
        <v/>
      </c>
      <c r="G194" s="16">
        <f>LEFT(B194,FIND(" ",B194,1)-1)</f>
        <v/>
      </c>
      <c r="H194" s="16">
        <f>TRIM(RIGHT(B194,LEN(B194)-FIND(" ",B194,1)))</f>
        <v/>
      </c>
      <c r="I194" s="16">
        <f>_xlfn.XLOOKUP(Table2[[#This Row],[Type]],Table5[Type],Table5[Type2])</f>
        <v/>
      </c>
      <c r="J194" s="16">
        <f>_xlfn.XLOOKUP(Table2[[#This Row],[Sym]],Zones!$A$2:$A$21,Zones!$B$2:$B$21)</f>
        <v/>
      </c>
      <c r="K194" s="21" t="n"/>
    </row>
    <row r="195">
      <c r="A195" s="24" t="n">
        <v>1322</v>
      </c>
      <c r="B195" s="10" t="inlineStr">
        <is>
          <t>T110 KCN Sân bay Tiên Lãng</t>
        </is>
      </c>
      <c r="C195" s="10" t="inlineStr">
        <is>
          <t>TBA 110kV KCN Sân bay Tiên Lãng</t>
        </is>
      </c>
      <c r="D195" s="3" t="inlineStr">
        <is>
          <t>B2</t>
        </is>
      </c>
      <c r="E195" s="9" t="n"/>
      <c r="F195" s="15">
        <f>IF(E195&lt;&gt;"","Đã VH","Quy hoạch điện VIII")</f>
        <v/>
      </c>
      <c r="G195" s="16">
        <f>LEFT(B195,FIND(" ",B195,1)-1)</f>
        <v/>
      </c>
      <c r="H195" s="16">
        <f>TRIM(RIGHT(B195,LEN(B195)-FIND(" ",B195,1)))</f>
        <v/>
      </c>
      <c r="I195" s="16">
        <f>_xlfn.XLOOKUP(Table2[[#This Row],[Type]],Table5[Type],Table5[Type2])</f>
        <v/>
      </c>
      <c r="J195" s="16">
        <f>_xlfn.XLOOKUP(Table2[[#This Row],[Sym]],Zones!$A$2:$A$21,Zones!$B$2:$B$21)</f>
        <v/>
      </c>
      <c r="K195" s="21" t="n"/>
    </row>
    <row r="196">
      <c r="A196" s="24" t="n">
        <v>1323</v>
      </c>
      <c r="B196" s="10" t="inlineStr">
        <is>
          <t>T110 Tiên Thắng</t>
        </is>
      </c>
      <c r="C196" s="10" t="inlineStr">
        <is>
          <t>TBA 110kV Tiên Thắng</t>
        </is>
      </c>
      <c r="D196" s="3" t="inlineStr">
        <is>
          <t>B2</t>
        </is>
      </c>
      <c r="E196" s="9" t="n"/>
      <c r="F196" s="15">
        <f>IF(E196&lt;&gt;"","Đã VH","Quy hoạch điện VIII")</f>
        <v/>
      </c>
      <c r="G196" s="16">
        <f>LEFT(B196,FIND(" ",B196,1)-1)</f>
        <v/>
      </c>
      <c r="H196" s="16">
        <f>TRIM(RIGHT(B196,LEN(B196)-FIND(" ",B196,1)))</f>
        <v/>
      </c>
      <c r="I196" s="16">
        <f>_xlfn.XLOOKUP(Table2[[#This Row],[Type]],Table5[Type],Table5[Type2])</f>
        <v/>
      </c>
      <c r="J196" s="16">
        <f>_xlfn.XLOOKUP(Table2[[#This Row],[Sym]],Zones!$A$2:$A$21,Zones!$B$2:$B$21)</f>
        <v/>
      </c>
      <c r="K196" s="21" t="n"/>
    </row>
    <row r="197">
      <c r="A197" s="24" t="n">
        <v>1324</v>
      </c>
      <c r="B197" s="10" t="inlineStr">
        <is>
          <t>T110 Tân Thành</t>
        </is>
      </c>
      <c r="C197" s="10" t="inlineStr">
        <is>
          <t>TBA 110kV Tân Thành</t>
        </is>
      </c>
      <c r="D197" s="3" t="inlineStr">
        <is>
          <t>B2</t>
        </is>
      </c>
      <c r="E197" s="9" t="n"/>
      <c r="F197" s="15">
        <f>IF(E197&lt;&gt;"","Đã VH","Quy hoạch điện VIII")</f>
        <v/>
      </c>
      <c r="G197" s="16">
        <f>LEFT(B197,FIND(" ",B197,1)-1)</f>
        <v/>
      </c>
      <c r="H197" s="16">
        <f>TRIM(RIGHT(B197,LEN(B197)-FIND(" ",B197,1)))</f>
        <v/>
      </c>
      <c r="I197" s="16">
        <f>_xlfn.XLOOKUP(Table2[[#This Row],[Type]],Table5[Type],Table5[Type2])</f>
        <v/>
      </c>
      <c r="J197" s="16">
        <f>_xlfn.XLOOKUP(Table2[[#This Row],[Sym]],Zones!$A$2:$A$21,Zones!$B$2:$B$21)</f>
        <v/>
      </c>
      <c r="K197" s="21" t="n"/>
    </row>
    <row r="198">
      <c r="A198" s="24" t="n">
        <v>1325</v>
      </c>
      <c r="B198" s="10" t="inlineStr">
        <is>
          <t>T110 KCN Tiên Thanh</t>
        </is>
      </c>
      <c r="C198" s="10" t="inlineStr">
        <is>
          <t>TBA 110kV KCN Tiên Thanh</t>
        </is>
      </c>
      <c r="D198" s="3" t="inlineStr">
        <is>
          <t>B2</t>
        </is>
      </c>
      <c r="E198" s="9" t="n"/>
      <c r="F198" s="15">
        <f>IF(E198&lt;&gt;"","Đã VH","Quy hoạch điện VIII")</f>
        <v/>
      </c>
      <c r="G198" s="16">
        <f>LEFT(B198,FIND(" ",B198,1)-1)</f>
        <v/>
      </c>
      <c r="H198" s="16">
        <f>TRIM(RIGHT(B198,LEN(B198)-FIND(" ",B198,1)))</f>
        <v/>
      </c>
      <c r="I198" s="16">
        <f>_xlfn.XLOOKUP(Table2[[#This Row],[Type]],Table5[Type],Table5[Type2])</f>
        <v/>
      </c>
      <c r="J198" s="16">
        <f>_xlfn.XLOOKUP(Table2[[#This Row],[Sym]],Zones!$A$2:$A$21,Zones!$B$2:$B$21)</f>
        <v/>
      </c>
      <c r="K198" s="21" t="n"/>
    </row>
    <row r="199">
      <c r="A199" s="24" t="n">
        <v>1326</v>
      </c>
      <c r="B199" s="10" t="inlineStr">
        <is>
          <t>T110 Cát Hải 2</t>
        </is>
      </c>
      <c r="C199" s="10" t="inlineStr">
        <is>
          <t>TBA 110kV Cát Hải 2</t>
        </is>
      </c>
      <c r="D199" s="3" t="inlineStr">
        <is>
          <t>B2</t>
        </is>
      </c>
      <c r="E199" s="9" t="n"/>
      <c r="F199" s="15">
        <f>IF(E199&lt;&gt;"","Đã VH","Quy hoạch điện VIII")</f>
        <v/>
      </c>
      <c r="G199" s="16">
        <f>LEFT(B199,FIND(" ",B199,1)-1)</f>
        <v/>
      </c>
      <c r="H199" s="16">
        <f>TRIM(RIGHT(B199,LEN(B199)-FIND(" ",B199,1)))</f>
        <v/>
      </c>
      <c r="I199" s="16">
        <f>_xlfn.XLOOKUP(Table2[[#This Row],[Type]],Table5[Type],Table5[Type2])</f>
        <v/>
      </c>
      <c r="J199" s="16">
        <f>_xlfn.XLOOKUP(Table2[[#This Row],[Sym]],Zones!$A$2:$A$21,Zones!$B$2:$B$21)</f>
        <v/>
      </c>
      <c r="K199" s="21" t="n"/>
    </row>
    <row r="200">
      <c r="A200" s="24" t="n">
        <v>1327</v>
      </c>
      <c r="B200" s="10" t="inlineStr">
        <is>
          <t>T110 KCN Đình Vũ</t>
        </is>
      </c>
      <c r="C200" s="10" t="inlineStr">
        <is>
          <t>TBA 110kV KCN Đình Vũ</t>
        </is>
      </c>
      <c r="D200" s="3" t="inlineStr">
        <is>
          <t>B2</t>
        </is>
      </c>
      <c r="E200" s="9" t="n"/>
      <c r="F200" s="15">
        <f>IF(E200&lt;&gt;"","Đã VH","Quy hoạch điện VIII")</f>
        <v/>
      </c>
      <c r="G200" s="16">
        <f>LEFT(B200,FIND(" ",B200,1)-1)</f>
        <v/>
      </c>
      <c r="H200" s="16">
        <f>TRIM(RIGHT(B200,LEN(B200)-FIND(" ",B200,1)))</f>
        <v/>
      </c>
      <c r="I200" s="16">
        <f>_xlfn.XLOOKUP(Table2[[#This Row],[Type]],Table5[Type],Table5[Type2])</f>
        <v/>
      </c>
      <c r="J200" s="16">
        <f>_xlfn.XLOOKUP(Table2[[#This Row],[Sym]],Zones!$A$2:$A$21,Zones!$B$2:$B$21)</f>
        <v/>
      </c>
      <c r="K200" s="21" t="n"/>
    </row>
    <row r="201">
      <c r="A201" s="24" t="n">
        <v>1328</v>
      </c>
      <c r="B201" s="10" t="inlineStr">
        <is>
          <t>T110 Núi Đèo</t>
        </is>
      </c>
      <c r="C201" s="10" t="inlineStr">
        <is>
          <t>TBA 110kV Núi Đèo</t>
        </is>
      </c>
      <c r="D201" s="3" t="inlineStr">
        <is>
          <t>B2</t>
        </is>
      </c>
      <c r="E201" s="9" t="n"/>
      <c r="F201" s="15">
        <f>IF(E201&lt;&gt;"","Đã VH","Quy hoạch điện VIII")</f>
        <v/>
      </c>
      <c r="G201" s="16">
        <f>LEFT(B201,FIND(" ",B201,1)-1)</f>
        <v/>
      </c>
      <c r="H201" s="16">
        <f>TRIM(RIGHT(B201,LEN(B201)-FIND(" ",B201,1)))</f>
        <v/>
      </c>
      <c r="I201" s="16">
        <f>_xlfn.XLOOKUP(Table2[[#This Row],[Type]],Table5[Type],Table5[Type2])</f>
        <v/>
      </c>
      <c r="J201" s="16">
        <f>_xlfn.XLOOKUP(Table2[[#This Row],[Sym]],Zones!$A$2:$A$21,Zones!$B$2:$B$21)</f>
        <v/>
      </c>
      <c r="K201" s="21" t="n"/>
    </row>
    <row r="202">
      <c r="A202" s="24" t="n">
        <v>1329</v>
      </c>
      <c r="B202" s="10" t="inlineStr">
        <is>
          <t>T110 KCN Thủy Nguyên 2</t>
        </is>
      </c>
      <c r="C202" s="10" t="inlineStr">
        <is>
          <t>TBA 110kV KCN Thủy Nguyên 2</t>
        </is>
      </c>
      <c r="D202" s="3" t="inlineStr">
        <is>
          <t>B2</t>
        </is>
      </c>
      <c r="E202" s="9" t="n"/>
      <c r="F202" s="15">
        <f>IF(E202&lt;&gt;"","Đã VH","Quy hoạch điện VIII")</f>
        <v/>
      </c>
      <c r="G202" s="16">
        <f>LEFT(B202,FIND(" ",B202,1)-1)</f>
        <v/>
      </c>
      <c r="H202" s="16">
        <f>TRIM(RIGHT(B202,LEN(B202)-FIND(" ",B202,1)))</f>
        <v/>
      </c>
      <c r="I202" s="16">
        <f>_xlfn.XLOOKUP(Table2[[#This Row],[Type]],Table5[Type],Table5[Type2])</f>
        <v/>
      </c>
      <c r="J202" s="16">
        <f>_xlfn.XLOOKUP(Table2[[#This Row],[Sym]],Zones!$A$2:$A$21,Zones!$B$2:$B$21)</f>
        <v/>
      </c>
      <c r="K202" s="21" t="n"/>
    </row>
    <row r="203">
      <c r="A203" s="24" t="n">
        <v>1330</v>
      </c>
      <c r="B203" s="10" t="inlineStr">
        <is>
          <t>T110 Kỳ Sơn</t>
        </is>
      </c>
      <c r="C203" s="10" t="inlineStr">
        <is>
          <t>TBA 110kV Kỳ Sơn</t>
        </is>
      </c>
      <c r="D203" s="3" t="inlineStr">
        <is>
          <t>B2</t>
        </is>
      </c>
      <c r="E203" s="9" t="n"/>
      <c r="F203" s="15">
        <f>IF(E203&lt;&gt;"","Đã VH","Quy hoạch điện VIII")</f>
        <v/>
      </c>
      <c r="G203" s="16">
        <f>LEFT(B203,FIND(" ",B203,1)-1)</f>
        <v/>
      </c>
      <c r="H203" s="16">
        <f>TRIM(RIGHT(B203,LEN(B203)-FIND(" ",B203,1)))</f>
        <v/>
      </c>
      <c r="I203" s="16">
        <f>_xlfn.XLOOKUP(Table2[[#This Row],[Type]],Table5[Type],Table5[Type2])</f>
        <v/>
      </c>
      <c r="J203" s="16">
        <f>_xlfn.XLOOKUP(Table2[[#This Row],[Sym]],Zones!$A$2:$A$21,Zones!$B$2:$B$21)</f>
        <v/>
      </c>
      <c r="K203" s="21" t="n"/>
    </row>
    <row r="204">
      <c r="A204" s="24" t="n">
        <v>1331</v>
      </c>
      <c r="B204" s="10" t="inlineStr">
        <is>
          <t>T110 KĐT Xi Măng</t>
        </is>
      </c>
      <c r="C204" s="10" t="inlineStr">
        <is>
          <t>TBA 110kV KĐT Xi Măng</t>
        </is>
      </c>
      <c r="D204" s="3" t="inlineStr">
        <is>
          <t>B2</t>
        </is>
      </c>
      <c r="E204" s="9" t="n"/>
      <c r="F204" s="15">
        <f>IF(E204&lt;&gt;"","Đã VH","Quy hoạch điện VIII")</f>
        <v/>
      </c>
      <c r="G204" s="16">
        <f>LEFT(B204,FIND(" ",B204,1)-1)</f>
        <v/>
      </c>
      <c r="H204" s="16">
        <f>TRIM(RIGHT(B204,LEN(B204)-FIND(" ",B204,1)))</f>
        <v/>
      </c>
      <c r="I204" s="16">
        <f>_xlfn.XLOOKUP(Table2[[#This Row],[Type]],Table5[Type],Table5[Type2])</f>
        <v/>
      </c>
      <c r="J204" s="16">
        <f>_xlfn.XLOOKUP(Table2[[#This Row],[Sym]],Zones!$A$2:$A$21,Zones!$B$2:$B$21)</f>
        <v/>
      </c>
      <c r="K204" s="21" t="n"/>
    </row>
    <row r="205">
      <c r="A205" s="24" t="n">
        <v>1332</v>
      </c>
      <c r="B205" s="10" t="inlineStr">
        <is>
          <t>T110 Hồ Đông</t>
        </is>
      </c>
      <c r="C205" s="10" t="inlineStr">
        <is>
          <t>TBA 110kV Hồ Đông</t>
        </is>
      </c>
      <c r="D205" s="3" t="inlineStr">
        <is>
          <t>B2</t>
        </is>
      </c>
      <c r="E205" s="9" t="n"/>
      <c r="F205" s="15">
        <f>IF(E205&lt;&gt;"","Đã VH","Quy hoạch điện VIII")</f>
        <v/>
      </c>
      <c r="G205" s="16">
        <f>LEFT(B205,FIND(" ",B205,1)-1)</f>
        <v/>
      </c>
      <c r="H205" s="16">
        <f>TRIM(RIGHT(B205,LEN(B205)-FIND(" ",B205,1)))</f>
        <v/>
      </c>
      <c r="I205" s="16">
        <f>_xlfn.XLOOKUP(Table2[[#This Row],[Type]],Table5[Type],Table5[Type2])</f>
        <v/>
      </c>
      <c r="J205" s="16">
        <f>_xlfn.XLOOKUP(Table2[[#This Row],[Sym]],Zones!$A$2:$A$21,Zones!$B$2:$B$21)</f>
        <v/>
      </c>
      <c r="K205" s="21" t="n"/>
    </row>
    <row r="206">
      <c r="A206" s="24" t="n">
        <v>1333</v>
      </c>
      <c r="B206" s="10" t="inlineStr">
        <is>
          <t>T110 KCN Đóng tàu Vinh Quang</t>
        </is>
      </c>
      <c r="C206" s="10" t="inlineStr">
        <is>
          <t>TBA 110kV KCN Đóng tàu Vinh Quang</t>
        </is>
      </c>
      <c r="D206" s="3" t="inlineStr">
        <is>
          <t>B2</t>
        </is>
      </c>
      <c r="E206" s="9" t="n"/>
      <c r="F206" s="15">
        <f>IF(E206&lt;&gt;"","Đã VH","Quy hoạch điện VIII")</f>
        <v/>
      </c>
      <c r="G206" s="16">
        <f>LEFT(B206,FIND(" ",B206,1)-1)</f>
        <v/>
      </c>
      <c r="H206" s="16">
        <f>TRIM(RIGHT(B206,LEN(B206)-FIND(" ",B206,1)))</f>
        <v/>
      </c>
      <c r="I206" s="16">
        <f>_xlfn.XLOOKUP(Table2[[#This Row],[Type]],Table5[Type],Table5[Type2])</f>
        <v/>
      </c>
      <c r="J206" s="16">
        <f>_xlfn.XLOOKUP(Table2[[#This Row],[Sym]],Zones!$A$2:$A$21,Zones!$B$2:$B$21)</f>
        <v/>
      </c>
      <c r="K206" s="21" t="n"/>
    </row>
    <row r="207">
      <c r="A207" s="24" t="n">
        <v>1334</v>
      </c>
      <c r="B207" s="10" t="inlineStr">
        <is>
          <t>T110 Cát Bà</t>
        </is>
      </c>
      <c r="C207" s="10" t="inlineStr">
        <is>
          <t>TBA 110kV Cát Bà</t>
        </is>
      </c>
      <c r="D207" s="3" t="inlineStr">
        <is>
          <t>B2</t>
        </is>
      </c>
      <c r="E207" s="9" t="inlineStr">
        <is>
          <t>E2.43</t>
        </is>
      </c>
      <c r="F207" s="15">
        <f>IF(E207&lt;&gt;"","Đã VH","Quy hoạch điện VIII")</f>
        <v/>
      </c>
      <c r="G207" s="16">
        <f>LEFT(B207,FIND(" ",B207,1)-1)</f>
        <v/>
      </c>
      <c r="H207" s="16">
        <f>TRIM(RIGHT(B207,LEN(B207)-FIND(" ",B207,1)))</f>
        <v/>
      </c>
      <c r="I207" s="16">
        <f>_xlfn.XLOOKUP(Table2[[#This Row],[Type]],Table5[Type],Table5[Type2])</f>
        <v/>
      </c>
      <c r="J207" s="16">
        <f>_xlfn.XLOOKUP(Table2[[#This Row],[Sym]],Zones!$A$2:$A$21,Zones!$B$2:$B$21)</f>
        <v/>
      </c>
      <c r="K207" s="21" t="n"/>
    </row>
    <row r="208">
      <c r="A208" s="24" t="n">
        <v>1335</v>
      </c>
      <c r="B208" s="10" t="inlineStr">
        <is>
          <t>T110 Tràng Cát</t>
        </is>
      </c>
      <c r="C208" s="10" t="inlineStr">
        <is>
          <t>TBA 110kV Tràng Cát</t>
        </is>
      </c>
      <c r="D208" s="3" t="inlineStr">
        <is>
          <t>B2</t>
        </is>
      </c>
      <c r="E208" s="9" t="n"/>
      <c r="F208" s="15">
        <f>IF(E208&lt;&gt;"","Đã VH","Quy hoạch điện VIII")</f>
        <v/>
      </c>
      <c r="G208" s="16">
        <f>LEFT(B208,FIND(" ",B208,1)-1)</f>
        <v/>
      </c>
      <c r="H208" s="16">
        <f>TRIM(RIGHT(B208,LEN(B208)-FIND(" ",B208,1)))</f>
        <v/>
      </c>
      <c r="I208" s="16">
        <f>_xlfn.XLOOKUP(Table2[[#This Row],[Type]],Table5[Type],Table5[Type2])</f>
        <v/>
      </c>
      <c r="J208" s="16">
        <f>_xlfn.XLOOKUP(Table2[[#This Row],[Sym]],Zones!$A$2:$A$21,Zones!$B$2:$B$21)</f>
        <v/>
      </c>
      <c r="K208" s="21" t="n"/>
    </row>
    <row r="209">
      <c r="A209" s="24" t="n">
        <v>1336</v>
      </c>
      <c r="B209" s="10" t="inlineStr">
        <is>
          <t>T110 Tam Cường</t>
        </is>
      </c>
      <c r="C209" s="10" t="inlineStr">
        <is>
          <t>TBA 110kV Tam Cường</t>
        </is>
      </c>
      <c r="D209" s="3" t="inlineStr">
        <is>
          <t>B2</t>
        </is>
      </c>
      <c r="E209" s="9" t="n"/>
      <c r="F209" s="15">
        <f>IF(E209&lt;&gt;"","Đã VH","Quy hoạch điện VIII")</f>
        <v/>
      </c>
      <c r="G209" s="16">
        <f>LEFT(B209,FIND(" ",B209,1)-1)</f>
        <v/>
      </c>
      <c r="H209" s="16">
        <f>TRIM(RIGHT(B209,LEN(B209)-FIND(" ",B209,1)))</f>
        <v/>
      </c>
      <c r="I209" s="16">
        <f>_xlfn.XLOOKUP(Table2[[#This Row],[Type]],Table5[Type],Table5[Type2])</f>
        <v/>
      </c>
      <c r="J209" s="16">
        <f>_xlfn.XLOOKUP(Table2[[#This Row],[Sym]],Zones!$A$2:$A$21,Zones!$B$2:$B$21)</f>
        <v/>
      </c>
      <c r="K209" s="21" t="n"/>
    </row>
    <row r="210">
      <c r="A210" s="24" t="n">
        <v>1337</v>
      </c>
      <c r="B210" s="10" t="inlineStr">
        <is>
          <t>T110 KCN Ngũ Phúc</t>
        </is>
      </c>
      <c r="C210" s="10" t="inlineStr">
        <is>
          <t>TBA 110kV KCN Ngũ Phúc</t>
        </is>
      </c>
      <c r="D210" s="3" t="inlineStr">
        <is>
          <t>B2</t>
        </is>
      </c>
      <c r="E210" s="9" t="n"/>
      <c r="F210" s="15">
        <f>IF(E210&lt;&gt;"","Đã VH","Quy hoạch điện VIII")</f>
        <v/>
      </c>
      <c r="G210" s="16">
        <f>LEFT(B210,FIND(" ",B210,1)-1)</f>
        <v/>
      </c>
      <c r="H210" s="16">
        <f>TRIM(RIGHT(B210,LEN(B210)-FIND(" ",B210,1)))</f>
        <v/>
      </c>
      <c r="I210" s="16">
        <f>_xlfn.XLOOKUP(Table2[[#This Row],[Type]],Table5[Type],Table5[Type2])</f>
        <v/>
      </c>
      <c r="J210" s="16">
        <f>_xlfn.XLOOKUP(Table2[[#This Row],[Sym]],Zones!$A$2:$A$21,Zones!$B$2:$B$21)</f>
        <v/>
      </c>
      <c r="K210" s="21" t="n"/>
    </row>
    <row r="211">
      <c r="A211" s="24" t="n">
        <v>1338</v>
      </c>
      <c r="B211" s="10" t="inlineStr">
        <is>
          <t>T110 KDL Đồi Rồng</t>
        </is>
      </c>
      <c r="C211" s="10" t="inlineStr">
        <is>
          <t>TBA 110kV KDL Đồi Rồng</t>
        </is>
      </c>
      <c r="D211" s="3" t="inlineStr">
        <is>
          <t>B2</t>
        </is>
      </c>
      <c r="E211" s="9" t="n"/>
      <c r="F211" s="15">
        <f>IF(E211&lt;&gt;"","Đã VH","Quy hoạch điện VIII")</f>
        <v/>
      </c>
      <c r="G211" s="16">
        <f>LEFT(B211,FIND(" ",B211,1)-1)</f>
        <v/>
      </c>
      <c r="H211" s="16">
        <f>TRIM(RIGHT(B211,LEN(B211)-FIND(" ",B211,1)))</f>
        <v/>
      </c>
      <c r="I211" s="16">
        <f>_xlfn.XLOOKUP(Table2[[#This Row],[Type]],Table5[Type],Table5[Type2])</f>
        <v/>
      </c>
      <c r="J211" s="16">
        <f>_xlfn.XLOOKUP(Table2[[#This Row],[Sym]],Zones!$A$2:$A$21,Zones!$B$2:$B$21)</f>
        <v/>
      </c>
      <c r="K211" s="21" t="n"/>
    </row>
    <row r="212">
      <c r="A212" s="24" t="n">
        <v>1339</v>
      </c>
      <c r="B212" s="10" t="inlineStr">
        <is>
          <t>T110 KCN Tân Trào</t>
        </is>
      </c>
      <c r="C212" s="10" t="inlineStr">
        <is>
          <t>TBA 110kV KCN Tân Trào</t>
        </is>
      </c>
      <c r="D212" s="3" t="inlineStr">
        <is>
          <t>B2</t>
        </is>
      </c>
      <c r="E212" s="9" t="n"/>
      <c r="F212" s="15">
        <f>IF(E212&lt;&gt;"","Đã VH","Quy hoạch điện VIII")</f>
        <v/>
      </c>
      <c r="G212" s="16">
        <f>LEFT(B212,FIND(" ",B212,1)-1)</f>
        <v/>
      </c>
      <c r="H212" s="16">
        <f>TRIM(RIGHT(B212,LEN(B212)-FIND(" ",B212,1)))</f>
        <v/>
      </c>
      <c r="I212" s="16">
        <f>_xlfn.XLOOKUP(Table2[[#This Row],[Type]],Table5[Type],Table5[Type2])</f>
        <v/>
      </c>
      <c r="J212" s="16">
        <f>_xlfn.XLOOKUP(Table2[[#This Row],[Sym]],Zones!$A$2:$A$21,Zones!$B$2:$B$21)</f>
        <v/>
      </c>
      <c r="K212" s="21" t="n"/>
    </row>
    <row r="213">
      <c r="A213" s="24" t="n">
        <v>1340</v>
      </c>
      <c r="B213" s="10" t="inlineStr">
        <is>
          <t>T110 Bến Rừng</t>
        </is>
      </c>
      <c r="C213" s="10" t="inlineStr">
        <is>
          <t>TBA 110kV Bến Rừng</t>
        </is>
      </c>
      <c r="D213" s="3" t="inlineStr">
        <is>
          <t>B2</t>
        </is>
      </c>
      <c r="E213" s="9" t="n"/>
      <c r="F213" s="15">
        <f>IF(E213&lt;&gt;"","Đã VH","Quy hoạch điện VIII")</f>
        <v/>
      </c>
      <c r="G213" s="16">
        <f>LEFT(B213,FIND(" ",B213,1)-1)</f>
        <v/>
      </c>
      <c r="H213" s="16">
        <f>TRIM(RIGHT(B213,LEN(B213)-FIND(" ",B213,1)))</f>
        <v/>
      </c>
      <c r="I213" s="16">
        <f>_xlfn.XLOOKUP(Table2[[#This Row],[Type]],Table5[Type],Table5[Type2])</f>
        <v/>
      </c>
      <c r="J213" s="16">
        <f>_xlfn.XLOOKUP(Table2[[#This Row],[Sym]],Zones!$A$2:$A$21,Zones!$B$2:$B$21)</f>
        <v/>
      </c>
      <c r="K213" s="21" t="n"/>
    </row>
    <row r="214">
      <c r="A214" s="24" t="n">
        <v>1341</v>
      </c>
      <c r="B214" s="10" t="inlineStr">
        <is>
          <t>T110 Đại Bản</t>
        </is>
      </c>
      <c r="C214" s="10" t="inlineStr">
        <is>
          <t>TBA 110kV Đại Bản</t>
        </is>
      </c>
      <c r="D214" s="3" t="inlineStr">
        <is>
          <t>B2</t>
        </is>
      </c>
      <c r="E214" s="9" t="n"/>
      <c r="F214" s="15">
        <f>IF(E214&lt;&gt;"","Đã VH","Quy hoạch điện VIII")</f>
        <v/>
      </c>
      <c r="G214" s="16">
        <f>LEFT(B214,FIND(" ",B214,1)-1)</f>
        <v/>
      </c>
      <c r="H214" s="16">
        <f>TRIM(RIGHT(B214,LEN(B214)-FIND(" ",B214,1)))</f>
        <v/>
      </c>
      <c r="I214" s="16">
        <f>_xlfn.XLOOKUP(Table2[[#This Row],[Type]],Table5[Type],Table5[Type2])</f>
        <v/>
      </c>
      <c r="J214" s="16">
        <f>_xlfn.XLOOKUP(Table2[[#This Row],[Sym]],Zones!$A$2:$A$21,Zones!$B$2:$B$21)</f>
        <v/>
      </c>
      <c r="K214" s="21" t="n"/>
    </row>
    <row r="215">
      <c r="A215" s="24" t="n">
        <v>1342</v>
      </c>
      <c r="B215" s="10" t="inlineStr">
        <is>
          <t>T110 Nam Đình Vũ 1-2</t>
        </is>
      </c>
      <c r="C215" s="10" t="inlineStr">
        <is>
          <t>TBA 110kV Nam Đình Vũ 1-2</t>
        </is>
      </c>
      <c r="D215" s="3" t="inlineStr">
        <is>
          <t>B2</t>
        </is>
      </c>
      <c r="E215" s="9" t="n"/>
      <c r="F215" s="15">
        <f>IF(E215&lt;&gt;"","Đã VH","Quy hoạch điện VIII")</f>
        <v/>
      </c>
      <c r="G215" s="16">
        <f>LEFT(B215,FIND(" ",B215,1)-1)</f>
        <v/>
      </c>
      <c r="H215" s="16">
        <f>TRIM(RIGHT(B215,LEN(B215)-FIND(" ",B215,1)))</f>
        <v/>
      </c>
      <c r="I215" s="16">
        <f>_xlfn.XLOOKUP(Table2[[#This Row],[Type]],Table5[Type],Table5[Type2])</f>
        <v/>
      </c>
      <c r="J215" s="16">
        <f>_xlfn.XLOOKUP(Table2[[#This Row],[Sym]],Zones!$A$2:$A$21,Zones!$B$2:$B$21)</f>
        <v/>
      </c>
      <c r="K215" s="21" t="n"/>
    </row>
    <row r="216">
      <c r="A216" s="24" t="n">
        <v>1343</v>
      </c>
      <c r="B216" s="10" t="inlineStr">
        <is>
          <t>T110 KCN Vin 1</t>
        </is>
      </c>
      <c r="C216" s="10" t="inlineStr">
        <is>
          <t>TBA 110kV KCN Vin 1</t>
        </is>
      </c>
      <c r="D216" s="3" t="inlineStr">
        <is>
          <t>B2</t>
        </is>
      </c>
      <c r="E216" s="9" t="n"/>
      <c r="F216" s="15">
        <f>IF(E216&lt;&gt;"","Đã VH","Quy hoạch điện VIII")</f>
        <v/>
      </c>
      <c r="G216" s="16">
        <f>LEFT(B216,FIND(" ",B216,1)-1)</f>
        <v/>
      </c>
      <c r="H216" s="16">
        <f>TRIM(RIGHT(B216,LEN(B216)-FIND(" ",B216,1)))</f>
        <v/>
      </c>
      <c r="I216" s="16">
        <f>_xlfn.XLOOKUP(Table2[[#This Row],[Type]],Table5[Type],Table5[Type2])</f>
        <v/>
      </c>
      <c r="J216" s="16">
        <f>_xlfn.XLOOKUP(Table2[[#This Row],[Sym]],Zones!$A$2:$A$21,Zones!$B$2:$B$21)</f>
        <v/>
      </c>
      <c r="K216" s="21" t="n"/>
    </row>
    <row r="217">
      <c r="A217" s="24" t="n">
        <v>1344</v>
      </c>
      <c r="B217" s="10" t="inlineStr">
        <is>
          <t>T110 KCN Vin 2</t>
        </is>
      </c>
      <c r="C217" s="10" t="inlineStr">
        <is>
          <t>TBA 110kV KCN Vin 2</t>
        </is>
      </c>
      <c r="D217" s="3" t="inlineStr">
        <is>
          <t>B2</t>
        </is>
      </c>
      <c r="E217" s="9" t="n"/>
      <c r="F217" s="15">
        <f>IF(E217&lt;&gt;"","Đã VH","Quy hoạch điện VIII")</f>
        <v/>
      </c>
      <c r="G217" s="16">
        <f>LEFT(B217,FIND(" ",B217,1)-1)</f>
        <v/>
      </c>
      <c r="H217" s="16">
        <f>TRIM(RIGHT(B217,LEN(B217)-FIND(" ",B217,1)))</f>
        <v/>
      </c>
      <c r="I217" s="16">
        <f>_xlfn.XLOOKUP(Table2[[#This Row],[Type]],Table5[Type],Table5[Type2])</f>
        <v/>
      </c>
      <c r="J217" s="16">
        <f>_xlfn.XLOOKUP(Table2[[#This Row],[Sym]],Zones!$A$2:$A$21,Zones!$B$2:$B$21)</f>
        <v/>
      </c>
      <c r="K217" s="21" t="n"/>
    </row>
    <row r="218">
      <c r="A218" s="24" t="n">
        <v>1345</v>
      </c>
      <c r="B218" s="10" t="inlineStr">
        <is>
          <t>T110 KCN Vin 3</t>
        </is>
      </c>
      <c r="C218" s="10" t="inlineStr">
        <is>
          <t>TBA 110kV KCN Vin 3</t>
        </is>
      </c>
      <c r="D218" s="3" t="inlineStr">
        <is>
          <t>B2</t>
        </is>
      </c>
      <c r="E218" s="9" t="n"/>
      <c r="F218" s="15">
        <f>IF(E218&lt;&gt;"","Đã VH","Quy hoạch điện VIII")</f>
        <v/>
      </c>
      <c r="G218" s="16">
        <f>LEFT(B218,FIND(" ",B218,1)-1)</f>
        <v/>
      </c>
      <c r="H218" s="16">
        <f>TRIM(RIGHT(B218,LEN(B218)-FIND(" ",B218,1)))</f>
        <v/>
      </c>
      <c r="I218" s="16">
        <f>_xlfn.XLOOKUP(Table2[[#This Row],[Type]],Table5[Type],Table5[Type2])</f>
        <v/>
      </c>
      <c r="J218" s="16">
        <f>_xlfn.XLOOKUP(Table2[[#This Row],[Sym]],Zones!$A$2:$A$21,Zones!$B$2:$B$21)</f>
        <v/>
      </c>
      <c r="K218" s="21" t="n"/>
    </row>
    <row r="219">
      <c r="A219" s="24" t="n">
        <v>1346</v>
      </c>
      <c r="B219" s="10" t="inlineStr">
        <is>
          <t>T110 Cảng Lạch Huyện</t>
        </is>
      </c>
      <c r="C219" s="10" t="inlineStr">
        <is>
          <t>TBA 110kV Cảng Lạch Huyện</t>
        </is>
      </c>
      <c r="D219" s="3" t="inlineStr">
        <is>
          <t>B2</t>
        </is>
      </c>
      <c r="E219" s="9" t="n"/>
      <c r="F219" s="15">
        <f>IF(E219&lt;&gt;"","Đã VH","Quy hoạch điện VIII")</f>
        <v/>
      </c>
      <c r="G219" s="16">
        <f>LEFT(B219,FIND(" ",B219,1)-1)</f>
        <v/>
      </c>
      <c r="H219" s="16">
        <f>TRIM(RIGHT(B219,LEN(B219)-FIND(" ",B219,1)))</f>
        <v/>
      </c>
      <c r="I219" s="16">
        <f>_xlfn.XLOOKUP(Table2[[#This Row],[Type]],Table5[Type],Table5[Type2])</f>
        <v/>
      </c>
      <c r="J219" s="16">
        <f>_xlfn.XLOOKUP(Table2[[#This Row],[Sym]],Zones!$A$2:$A$21,Zones!$B$2:$B$21)</f>
        <v/>
      </c>
      <c r="K219" s="21" t="n"/>
    </row>
    <row r="220">
      <c r="A220" s="24" t="n">
        <v>1347</v>
      </c>
      <c r="B220" s="10" t="inlineStr">
        <is>
          <t>T110 Nam Cầu Kiền 2</t>
        </is>
      </c>
      <c r="C220" s="10" t="inlineStr">
        <is>
          <t>TBA 110kV Nam Cầu Kiền 2</t>
        </is>
      </c>
      <c r="D220" s="3" t="inlineStr">
        <is>
          <t>B2</t>
        </is>
      </c>
      <c r="E220" s="9" t="n"/>
      <c r="F220" s="15">
        <f>IF(E220&lt;&gt;"","Đã VH","Quy hoạch điện VIII")</f>
        <v/>
      </c>
      <c r="G220" s="16">
        <f>LEFT(B220,FIND(" ",B220,1)-1)</f>
        <v/>
      </c>
      <c r="H220" s="16">
        <f>TRIM(RIGHT(B220,LEN(B220)-FIND(" ",B220,1)))</f>
        <v/>
      </c>
      <c r="I220" s="16">
        <f>_xlfn.XLOOKUP(Table2[[#This Row],[Type]],Table5[Type],Table5[Type2])</f>
        <v/>
      </c>
      <c r="J220" s="16">
        <f>_xlfn.XLOOKUP(Table2[[#This Row],[Sym]],Zones!$A$2:$A$21,Zones!$B$2:$B$21)</f>
        <v/>
      </c>
      <c r="K220" s="21" t="n"/>
    </row>
    <row r="221">
      <c r="A221" s="24" t="n">
        <v>1348</v>
      </c>
      <c r="B221" s="10" t="inlineStr">
        <is>
          <t>T110 KCN Tam Hưng - Ngũ Lão</t>
        </is>
      </c>
      <c r="C221" s="10" t="inlineStr">
        <is>
          <t>TBA 110kV KCN Tam Hưng - Ngũ Lão</t>
        </is>
      </c>
      <c r="D221" s="3" t="inlineStr">
        <is>
          <t>B2</t>
        </is>
      </c>
      <c r="E221" s="9" t="n"/>
      <c r="F221" s="15">
        <f>IF(E221&lt;&gt;"","Đã VH","Quy hoạch điện VIII")</f>
        <v/>
      </c>
      <c r="G221" s="16">
        <f>LEFT(B221,FIND(" ",B221,1)-1)</f>
        <v/>
      </c>
      <c r="H221" s="16">
        <f>TRIM(RIGHT(B221,LEN(B221)-FIND(" ",B221,1)))</f>
        <v/>
      </c>
      <c r="I221" s="16">
        <f>_xlfn.XLOOKUP(Table2[[#This Row],[Type]],Table5[Type],Table5[Type2])</f>
        <v/>
      </c>
      <c r="J221" s="16">
        <f>_xlfn.XLOOKUP(Table2[[#This Row],[Sym]],Zones!$A$2:$A$21,Zones!$B$2:$B$21)</f>
        <v/>
      </c>
      <c r="K221" s="21" t="n"/>
    </row>
    <row r="222">
      <c r="A222" s="24" t="n">
        <v>1349</v>
      </c>
      <c r="B222" s="10" t="inlineStr">
        <is>
          <t>T110 KCN Vinh Quang</t>
        </is>
      </c>
      <c r="C222" s="10" t="inlineStr">
        <is>
          <t>TBA 110kV KCN Vinh Quang</t>
        </is>
      </c>
      <c r="D222" s="3" t="inlineStr">
        <is>
          <t>B2</t>
        </is>
      </c>
      <c r="E222" s="9" t="n"/>
      <c r="F222" s="15">
        <f>IF(E222&lt;&gt;"","Đã VH","Quy hoạch điện VIII")</f>
        <v/>
      </c>
      <c r="G222" s="16">
        <f>LEFT(B222,FIND(" ",B222,1)-1)</f>
        <v/>
      </c>
      <c r="H222" s="16">
        <f>TRIM(RIGHT(B222,LEN(B222)-FIND(" ",B222,1)))</f>
        <v/>
      </c>
      <c r="I222" s="16">
        <f>_xlfn.XLOOKUP(Table2[[#This Row],[Type]],Table5[Type],Table5[Type2])</f>
        <v/>
      </c>
      <c r="J222" s="16">
        <f>_xlfn.XLOOKUP(Table2[[#This Row],[Sym]],Zones!$A$2:$A$21,Zones!$B$2:$B$21)</f>
        <v/>
      </c>
      <c r="K222" s="21" t="n"/>
    </row>
    <row r="223">
      <c r="A223" s="24" t="n">
        <v>1350</v>
      </c>
      <c r="B223" s="10" t="inlineStr">
        <is>
          <t>T110 An Lão 2</t>
        </is>
      </c>
      <c r="C223" s="10" t="inlineStr">
        <is>
          <t>TBA 110kV An Lão 2</t>
        </is>
      </c>
      <c r="D223" s="3" t="inlineStr">
        <is>
          <t>B2</t>
        </is>
      </c>
      <c r="E223" s="9" t="n"/>
      <c r="F223" s="15">
        <f>IF(E223&lt;&gt;"","Đã VH","Quy hoạch điện VIII")</f>
        <v/>
      </c>
      <c r="G223" s="16">
        <f>LEFT(B223,FIND(" ",B223,1)-1)</f>
        <v/>
      </c>
      <c r="H223" s="16">
        <f>TRIM(RIGHT(B223,LEN(B223)-FIND(" ",B223,1)))</f>
        <v/>
      </c>
      <c r="I223" s="16">
        <f>_xlfn.XLOOKUP(Table2[[#This Row],[Type]],Table5[Type],Table5[Type2])</f>
        <v/>
      </c>
      <c r="J223" s="16">
        <f>_xlfn.XLOOKUP(Table2[[#This Row],[Sym]],Zones!$A$2:$A$21,Zones!$B$2:$B$21)</f>
        <v/>
      </c>
      <c r="K223" s="21" t="n"/>
    </row>
    <row r="224">
      <c r="A224" s="24" t="n">
        <v>1351</v>
      </c>
      <c r="B224" s="10" t="inlineStr">
        <is>
          <t>T110 KCN Nomura 2</t>
        </is>
      </c>
      <c r="C224" s="10" t="inlineStr">
        <is>
          <t>TBA 110kV KCN Nomura 2</t>
        </is>
      </c>
      <c r="D224" s="3" t="inlineStr">
        <is>
          <t>B2</t>
        </is>
      </c>
      <c r="E224" s="9" t="n"/>
      <c r="F224" s="15">
        <f>IF(E224&lt;&gt;"","Đã VH","Quy hoạch điện VIII")</f>
        <v/>
      </c>
      <c r="G224" s="16">
        <f>LEFT(B224,FIND(" ",B224,1)-1)</f>
        <v/>
      </c>
      <c r="H224" s="16">
        <f>TRIM(RIGHT(B224,LEN(B224)-FIND(" ",B224,1)))</f>
        <v/>
      </c>
      <c r="I224" s="16">
        <f>_xlfn.XLOOKUP(Table2[[#This Row],[Type]],Table5[Type],Table5[Type2])</f>
        <v/>
      </c>
      <c r="J224" s="16">
        <f>_xlfn.XLOOKUP(Table2[[#This Row],[Sym]],Zones!$A$2:$A$21,Zones!$B$2:$B$21)</f>
        <v/>
      </c>
      <c r="K224" s="21" t="n"/>
    </row>
    <row r="225">
      <c r="A225" s="24" t="n">
        <v>1440</v>
      </c>
      <c r="B225" s="10" t="inlineStr">
        <is>
          <t>T110 Trình Xuyên</t>
        </is>
      </c>
      <c r="C225" s="10" t="inlineStr">
        <is>
          <t>TBA 110kV Trình Xuyên</t>
        </is>
      </c>
      <c r="D225" s="3" t="inlineStr">
        <is>
          <t>B23</t>
        </is>
      </c>
      <c r="E225" s="9" t="inlineStr">
        <is>
          <t>E3.1</t>
        </is>
      </c>
      <c r="F225" s="15">
        <f>IF(E225&lt;&gt;"","Đã VH","Quy hoạch điện VIII")</f>
        <v/>
      </c>
      <c r="G225" s="16">
        <f>LEFT(B225,FIND(" ",B225,1)-1)</f>
        <v/>
      </c>
      <c r="H225" s="16">
        <f>TRIM(RIGHT(B225,LEN(B225)-FIND(" ",B225,1)))</f>
        <v/>
      </c>
      <c r="I225" s="16">
        <f>_xlfn.XLOOKUP(Table2[[#This Row],[Type]],Table5[Type],Table5[Type2])</f>
        <v/>
      </c>
      <c r="J225" s="16">
        <f>_xlfn.XLOOKUP(Table2[[#This Row],[Sym]],Zones!$A$2:$A$21,Zones!$B$2:$B$21)</f>
        <v/>
      </c>
      <c r="K225" s="21" t="n"/>
    </row>
    <row r="226">
      <c r="A226" s="24" t="n">
        <v>1441</v>
      </c>
      <c r="B226" s="10" t="inlineStr">
        <is>
          <t>T110 Phi Trường</t>
        </is>
      </c>
      <c r="C226" s="10" t="inlineStr">
        <is>
          <t>TBA 110kV Phi Trường</t>
        </is>
      </c>
      <c r="D226" s="3" t="inlineStr">
        <is>
          <t>B23</t>
        </is>
      </c>
      <c r="E226" s="9" t="inlineStr">
        <is>
          <t>E3.4</t>
        </is>
      </c>
      <c r="F226" s="15">
        <f>IF(E226&lt;&gt;"","Đã VH","Quy hoạch điện VIII")</f>
        <v/>
      </c>
      <c r="G226" s="16">
        <f>LEFT(B226,FIND(" ",B226,1)-1)</f>
        <v/>
      </c>
      <c r="H226" s="16">
        <f>TRIM(RIGHT(B226,LEN(B226)-FIND(" ",B226,1)))</f>
        <v/>
      </c>
      <c r="I226" s="16">
        <f>_xlfn.XLOOKUP(Table2[[#This Row],[Type]],Table5[Type],Table5[Type2])</f>
        <v/>
      </c>
      <c r="J226" s="16">
        <f>_xlfn.XLOOKUP(Table2[[#This Row],[Sym]],Zones!$A$2:$A$21,Zones!$B$2:$B$21)</f>
        <v/>
      </c>
      <c r="K226" s="21" t="n"/>
    </row>
    <row r="227">
      <c r="A227" s="24" t="n">
        <v>1442</v>
      </c>
      <c r="B227" s="10" t="inlineStr">
        <is>
          <t>T220 Nam Định</t>
        </is>
      </c>
      <c r="C227" s="10" t="inlineStr">
        <is>
          <t>TBA 220kV Nam Định</t>
        </is>
      </c>
      <c r="D227" s="3" t="inlineStr">
        <is>
          <t>B23</t>
        </is>
      </c>
      <c r="E227" s="9" t="inlineStr">
        <is>
          <t>E3.7</t>
        </is>
      </c>
      <c r="F227" s="15">
        <f>IF(E227&lt;&gt;"","Đã VH","Quy hoạch điện VIII")</f>
        <v/>
      </c>
      <c r="G227" s="16">
        <f>LEFT(B227,FIND(" ",B227,1)-1)</f>
        <v/>
      </c>
      <c r="H227" s="16">
        <f>TRIM(RIGHT(B227,LEN(B227)-FIND(" ",B227,1)))</f>
        <v/>
      </c>
      <c r="I227" s="16">
        <f>_xlfn.XLOOKUP(Table2[[#This Row],[Type]],Table5[Type],Table5[Type2])</f>
        <v/>
      </c>
      <c r="J227" s="16">
        <f>_xlfn.XLOOKUP(Table2[[#This Row],[Sym]],Zones!$A$2:$A$21,Zones!$B$2:$B$21)</f>
        <v/>
      </c>
      <c r="K227" s="21" t="n"/>
    </row>
    <row r="228">
      <c r="A228" s="24" t="n">
        <v>1443</v>
      </c>
      <c r="B228" s="10" t="inlineStr">
        <is>
          <t>T110 Lạc Quần</t>
        </is>
      </c>
      <c r="C228" s="10" t="inlineStr">
        <is>
          <t>TBA 110kV Lạc Quần</t>
        </is>
      </c>
      <c r="D228" s="3" t="inlineStr">
        <is>
          <t>B23</t>
        </is>
      </c>
      <c r="E228" s="9" t="inlineStr">
        <is>
          <t>E3.8</t>
        </is>
      </c>
      <c r="F228" s="15">
        <f>IF(E228&lt;&gt;"","Đã VH","Quy hoạch điện VIII")</f>
        <v/>
      </c>
      <c r="G228" s="16">
        <f>LEFT(B228,FIND(" ",B228,1)-1)</f>
        <v/>
      </c>
      <c r="H228" s="16">
        <f>TRIM(RIGHT(B228,LEN(B228)-FIND(" ",B228,1)))</f>
        <v/>
      </c>
      <c r="I228" s="16">
        <f>_xlfn.XLOOKUP(Table2[[#This Row],[Type]],Table5[Type],Table5[Type2])</f>
        <v/>
      </c>
      <c r="J228" s="16">
        <f>_xlfn.XLOOKUP(Table2[[#This Row],[Sym]],Zones!$A$2:$A$21,Zones!$B$2:$B$21)</f>
        <v/>
      </c>
      <c r="K228" s="21" t="n"/>
    </row>
    <row r="229">
      <c r="A229" s="24" t="n">
        <v>1444</v>
      </c>
      <c r="B229" s="10" t="inlineStr">
        <is>
          <t>T110 Mỹ Xá</t>
        </is>
      </c>
      <c r="C229" s="10" t="inlineStr">
        <is>
          <t>TBA 110kV Mỹ Xá</t>
        </is>
      </c>
      <c r="D229" s="3" t="inlineStr">
        <is>
          <t>B23</t>
        </is>
      </c>
      <c r="E229" s="9" t="inlineStr">
        <is>
          <t>E3.9</t>
        </is>
      </c>
      <c r="F229" s="15">
        <f>IF(E229&lt;&gt;"","Đã VH","Quy hoạch điện VIII")</f>
        <v/>
      </c>
      <c r="G229" s="16">
        <f>LEFT(B229,FIND(" ",B229,1)-1)</f>
        <v/>
      </c>
      <c r="H229" s="16">
        <f>TRIM(RIGHT(B229,LEN(B229)-FIND(" ",B229,1)))</f>
        <v/>
      </c>
      <c r="I229" s="16">
        <f>_xlfn.XLOOKUP(Table2[[#This Row],[Type]],Table5[Type],Table5[Type2])</f>
        <v/>
      </c>
      <c r="J229" s="16">
        <f>_xlfn.XLOOKUP(Table2[[#This Row],[Sym]],Zones!$A$2:$A$21,Zones!$B$2:$B$21)</f>
        <v/>
      </c>
      <c r="K229" s="21" t="n"/>
    </row>
    <row r="230">
      <c r="A230" s="24" t="n">
        <v>1445</v>
      </c>
      <c r="B230" s="10" t="inlineStr">
        <is>
          <t>T110 Nghĩa Hưng</t>
        </is>
      </c>
      <c r="C230" s="10" t="inlineStr">
        <is>
          <t>TBA 110kV Nghĩa Hưng</t>
        </is>
      </c>
      <c r="D230" s="3" t="inlineStr">
        <is>
          <t>B23</t>
        </is>
      </c>
      <c r="E230" s="9" t="inlineStr">
        <is>
          <t>E3.10</t>
        </is>
      </c>
      <c r="F230" s="15">
        <f>IF(E230&lt;&gt;"","Đã VH","Quy hoạch điện VIII")</f>
        <v/>
      </c>
      <c r="G230" s="16">
        <f>LEFT(B230,FIND(" ",B230,1)-1)</f>
        <v/>
      </c>
      <c r="H230" s="16">
        <f>TRIM(RIGHT(B230,LEN(B230)-FIND(" ",B230,1)))</f>
        <v/>
      </c>
      <c r="I230" s="16">
        <f>_xlfn.XLOOKUP(Table2[[#This Row],[Type]],Table5[Type],Table5[Type2])</f>
        <v/>
      </c>
      <c r="J230" s="16">
        <f>_xlfn.XLOOKUP(Table2[[#This Row],[Sym]],Zones!$A$2:$A$21,Zones!$B$2:$B$21)</f>
        <v/>
      </c>
      <c r="K230" s="21" t="n"/>
    </row>
    <row r="231">
      <c r="A231" s="24" t="n">
        <v>1446</v>
      </c>
      <c r="B231" s="10" t="inlineStr">
        <is>
          <t>T110 Hải Hậu</t>
        </is>
      </c>
      <c r="C231" s="10" t="inlineStr">
        <is>
          <t>TBA 110kV Hải Hậu</t>
        </is>
      </c>
      <c r="D231" s="3" t="inlineStr">
        <is>
          <t>B23</t>
        </is>
      </c>
      <c r="E231" s="9" t="inlineStr">
        <is>
          <t>E3.11</t>
        </is>
      </c>
      <c r="F231" s="15">
        <f>IF(E231&lt;&gt;"","Đã VH","Quy hoạch điện VIII")</f>
        <v/>
      </c>
      <c r="G231" s="16">
        <f>LEFT(B231,FIND(" ",B231,1)-1)</f>
        <v/>
      </c>
      <c r="H231" s="16">
        <f>TRIM(RIGHT(B231,LEN(B231)-FIND(" ",B231,1)))</f>
        <v/>
      </c>
      <c r="I231" s="16">
        <f>_xlfn.XLOOKUP(Table2[[#This Row],[Type]],Table5[Type],Table5[Type2])</f>
        <v/>
      </c>
      <c r="J231" s="16">
        <f>_xlfn.XLOOKUP(Table2[[#This Row],[Sym]],Zones!$A$2:$A$21,Zones!$B$2:$B$21)</f>
        <v/>
      </c>
      <c r="K231" s="21" t="n"/>
    </row>
    <row r="232">
      <c r="A232" s="24" t="n">
        <v>1447</v>
      </c>
      <c r="B232" s="10" t="inlineStr">
        <is>
          <t>T110 Nam Ninh</t>
        </is>
      </c>
      <c r="C232" s="10" t="inlineStr">
        <is>
          <t>TBA 110kV Nam Ninh</t>
        </is>
      </c>
      <c r="D232" s="3" t="inlineStr">
        <is>
          <t>B23</t>
        </is>
      </c>
      <c r="E232" s="9" t="inlineStr">
        <is>
          <t>E3.12</t>
        </is>
      </c>
      <c r="F232" s="15">
        <f>IF(E232&lt;&gt;"","Đã VH","Quy hoạch điện VIII")</f>
        <v/>
      </c>
      <c r="G232" s="16">
        <f>LEFT(B232,FIND(" ",B232,1)-1)</f>
        <v/>
      </c>
      <c r="H232" s="16">
        <f>TRIM(RIGHT(B232,LEN(B232)-FIND(" ",B232,1)))</f>
        <v/>
      </c>
      <c r="I232" s="16">
        <f>_xlfn.XLOOKUP(Table2[[#This Row],[Type]],Table5[Type],Table5[Type2])</f>
        <v/>
      </c>
      <c r="J232" s="16">
        <f>_xlfn.XLOOKUP(Table2[[#This Row],[Sym]],Zones!$A$2:$A$21,Zones!$B$2:$B$21)</f>
        <v/>
      </c>
      <c r="K232" s="21" t="n"/>
    </row>
    <row r="233">
      <c r="A233" s="24" t="n">
        <v>1448</v>
      </c>
      <c r="B233" s="10" t="inlineStr">
        <is>
          <t>T110 Giao Thủy</t>
        </is>
      </c>
      <c r="C233" s="10" t="inlineStr">
        <is>
          <t>TBA 110kV Giao Thủy</t>
        </is>
      </c>
      <c r="D233" s="3" t="inlineStr">
        <is>
          <t>B23</t>
        </is>
      </c>
      <c r="E233" s="9" t="inlineStr">
        <is>
          <t>E3.13</t>
        </is>
      </c>
      <c r="F233" s="15">
        <f>IF(E233&lt;&gt;"","Đã VH","Quy hoạch điện VIII")</f>
        <v/>
      </c>
      <c r="G233" s="16">
        <f>LEFT(B233,FIND(" ",B233,1)-1)</f>
        <v/>
      </c>
      <c r="H233" s="16">
        <f>TRIM(RIGHT(B233,LEN(B233)-FIND(" ",B233,1)))</f>
        <v/>
      </c>
      <c r="I233" s="16">
        <f>_xlfn.XLOOKUP(Table2[[#This Row],[Type]],Table5[Type],Table5[Type2])</f>
        <v/>
      </c>
      <c r="J233" s="16">
        <f>_xlfn.XLOOKUP(Table2[[#This Row],[Sym]],Zones!$A$2:$A$21,Zones!$B$2:$B$21)</f>
        <v/>
      </c>
      <c r="K233" s="21" t="n"/>
    </row>
    <row r="234">
      <c r="A234" s="24" t="n">
        <v>1449</v>
      </c>
      <c r="B234" s="10" t="inlineStr">
        <is>
          <t>T110 Mỹ Lộc</t>
        </is>
      </c>
      <c r="C234" s="10" t="inlineStr">
        <is>
          <t>TBA 110kV Mỹ Lộc</t>
        </is>
      </c>
      <c r="D234" s="3" t="inlineStr">
        <is>
          <t>B23</t>
        </is>
      </c>
      <c r="E234" s="9" t="inlineStr">
        <is>
          <t>E3.14</t>
        </is>
      </c>
      <c r="F234" s="15">
        <f>IF(E234&lt;&gt;"","Đã VH","Quy hoạch điện VIII")</f>
        <v/>
      </c>
      <c r="G234" s="16">
        <f>LEFT(B234,FIND(" ",B234,1)-1)</f>
        <v/>
      </c>
      <c r="H234" s="16">
        <f>TRIM(RIGHT(B234,LEN(B234)-FIND(" ",B234,1)))</f>
        <v/>
      </c>
      <c r="I234" s="16">
        <f>_xlfn.XLOOKUP(Table2[[#This Row],[Type]],Table5[Type],Table5[Type2])</f>
        <v/>
      </c>
      <c r="J234" s="16">
        <f>_xlfn.XLOOKUP(Table2[[#This Row],[Sym]],Zones!$A$2:$A$21,Zones!$B$2:$B$21)</f>
        <v/>
      </c>
      <c r="K234" s="21" t="n"/>
    </row>
    <row r="235">
      <c r="A235" s="24" t="n">
        <v>1450</v>
      </c>
      <c r="B235" s="10" t="inlineStr">
        <is>
          <t>T110 Ý Yên</t>
        </is>
      </c>
      <c r="C235" s="10" t="inlineStr">
        <is>
          <t>TBA 110kV Ý Yên</t>
        </is>
      </c>
      <c r="D235" s="3" t="inlineStr">
        <is>
          <t>B23</t>
        </is>
      </c>
      <c r="E235" s="9" t="inlineStr">
        <is>
          <t>E3.15</t>
        </is>
      </c>
      <c r="F235" s="15">
        <f>IF(E235&lt;&gt;"","Đã VH","Quy hoạch điện VIII")</f>
        <v/>
      </c>
      <c r="G235" s="16">
        <f>LEFT(B235,FIND(" ",B235,1)-1)</f>
        <v/>
      </c>
      <c r="H235" s="16">
        <f>TRIM(RIGHT(B235,LEN(B235)-FIND(" ",B235,1)))</f>
        <v/>
      </c>
      <c r="I235" s="16">
        <f>_xlfn.XLOOKUP(Table2[[#This Row],[Type]],Table5[Type],Table5[Type2])</f>
        <v/>
      </c>
      <c r="J235" s="16">
        <f>_xlfn.XLOOKUP(Table2[[#This Row],[Sym]],Zones!$A$2:$A$21,Zones!$B$2:$B$21)</f>
        <v/>
      </c>
      <c r="K235" s="21" t="n"/>
    </row>
    <row r="236">
      <c r="A236" s="24" t="n">
        <v>1451</v>
      </c>
      <c r="B236" s="10" t="inlineStr">
        <is>
          <t>T110 Trực Ninh</t>
        </is>
      </c>
      <c r="C236" s="10" t="inlineStr">
        <is>
          <t>TBA 110kV Trực Ninh</t>
        </is>
      </c>
      <c r="D236" s="3" t="inlineStr">
        <is>
          <t>B23</t>
        </is>
      </c>
      <c r="E236" s="9" t="inlineStr">
        <is>
          <t>E3.16</t>
        </is>
      </c>
      <c r="F236" s="15">
        <f>IF(E236&lt;&gt;"","Đã VH","Quy hoạch điện VIII")</f>
        <v/>
      </c>
      <c r="G236" s="16">
        <f>LEFT(B236,FIND(" ",B236,1)-1)</f>
        <v/>
      </c>
      <c r="H236" s="16">
        <f>TRIM(RIGHT(B236,LEN(B236)-FIND(" ",B236,1)))</f>
        <v/>
      </c>
      <c r="I236" s="16">
        <f>_xlfn.XLOOKUP(Table2[[#This Row],[Type]],Table5[Type],Table5[Type2])</f>
        <v/>
      </c>
      <c r="J236" s="16">
        <f>_xlfn.XLOOKUP(Table2[[#This Row],[Sym]],Zones!$A$2:$A$21,Zones!$B$2:$B$21)</f>
        <v/>
      </c>
      <c r="K236" s="21" t="n"/>
    </row>
    <row r="237">
      <c r="A237" s="24" t="n">
        <v>1452</v>
      </c>
      <c r="B237" s="10" t="inlineStr">
        <is>
          <t>T110 Liễu Đề</t>
        </is>
      </c>
      <c r="C237" s="10" t="inlineStr">
        <is>
          <t>TBA 110kV Liễu Đề</t>
        </is>
      </c>
      <c r="D237" s="3" t="inlineStr">
        <is>
          <t>B23</t>
        </is>
      </c>
      <c r="E237" s="9" t="inlineStr">
        <is>
          <t>E3.17</t>
        </is>
      </c>
      <c r="F237" s="15">
        <f>IF(E237&lt;&gt;"","Đã VH","Quy hoạch điện VIII")</f>
        <v/>
      </c>
      <c r="G237" s="16">
        <f>LEFT(B237,FIND(" ",B237,1)-1)</f>
        <v/>
      </c>
      <c r="H237" s="16">
        <f>TRIM(RIGHT(B237,LEN(B237)-FIND(" ",B237,1)))</f>
        <v/>
      </c>
      <c r="I237" s="16">
        <f>_xlfn.XLOOKUP(Table2[[#This Row],[Type]],Table5[Type],Table5[Type2])</f>
        <v/>
      </c>
      <c r="J237" s="16">
        <f>_xlfn.XLOOKUP(Table2[[#This Row],[Sym]],Zones!$A$2:$A$21,Zones!$B$2:$B$21)</f>
        <v/>
      </c>
      <c r="K237" s="21" t="n"/>
    </row>
    <row r="238">
      <c r="A238" s="24" t="n">
        <v>1453</v>
      </c>
      <c r="B238" s="10" t="inlineStr">
        <is>
          <t>T110 Trực Đại</t>
        </is>
      </c>
      <c r="C238" s="10" t="inlineStr">
        <is>
          <t>TBA 110kV Trực Đại</t>
        </is>
      </c>
      <c r="D238" s="3" t="inlineStr">
        <is>
          <t>B23</t>
        </is>
      </c>
      <c r="E238" s="9" t="inlineStr">
        <is>
          <t>E3.18</t>
        </is>
      </c>
      <c r="F238" s="15">
        <f>IF(E238&lt;&gt;"","Đã VH","Quy hoạch điện VIII")</f>
        <v/>
      </c>
      <c r="G238" s="16">
        <f>LEFT(B238,FIND(" ",B238,1)-1)</f>
        <v/>
      </c>
      <c r="H238" s="16">
        <f>TRIM(RIGHT(B238,LEN(B238)-FIND(" ",B238,1)))</f>
        <v/>
      </c>
      <c r="I238" s="16">
        <f>_xlfn.XLOOKUP(Table2[[#This Row],[Type]],Table5[Type],Table5[Type2])</f>
        <v/>
      </c>
      <c r="J238" s="16">
        <f>_xlfn.XLOOKUP(Table2[[#This Row],[Sym]],Zones!$A$2:$A$21,Zones!$B$2:$B$21)</f>
        <v/>
      </c>
      <c r="K238" s="21" t="n"/>
    </row>
    <row r="239">
      <c r="A239" s="24" t="n">
        <v>1454</v>
      </c>
      <c r="B239" s="10" t="inlineStr">
        <is>
          <t>T110 Yên Thắng</t>
        </is>
      </c>
      <c r="C239" s="10" t="inlineStr">
        <is>
          <t>TBA 110kV Yên Thắng</t>
        </is>
      </c>
      <c r="D239" s="3" t="inlineStr">
        <is>
          <t>B23</t>
        </is>
      </c>
      <c r="E239" s="9" t="inlineStr">
        <is>
          <t>E3.22</t>
        </is>
      </c>
      <c r="F239" s="15">
        <f>IF(E239&lt;&gt;"","Đã VH","Quy hoạch điện VIII")</f>
        <v/>
      </c>
      <c r="G239" s="16">
        <f>LEFT(B239,FIND(" ",B239,1)-1)</f>
        <v/>
      </c>
      <c r="H239" s="16">
        <f>TRIM(RIGHT(B239,LEN(B239)-FIND(" ",B239,1)))</f>
        <v/>
      </c>
      <c r="I239" s="16">
        <f>_xlfn.XLOOKUP(Table2[[#This Row],[Type]],Table5[Type],Table5[Type2])</f>
        <v/>
      </c>
      <c r="J239" s="16">
        <f>_xlfn.XLOOKUP(Table2[[#This Row],[Sym]],Zones!$A$2:$A$21,Zones!$B$2:$B$21)</f>
        <v/>
      </c>
      <c r="K239" s="21" t="n"/>
    </row>
    <row r="240">
      <c r="A240" s="24" t="n">
        <v>1455</v>
      </c>
      <c r="B240" s="10" t="inlineStr">
        <is>
          <t>T110 KCN Rạng Đông 1</t>
        </is>
      </c>
      <c r="C240" s="10" t="inlineStr">
        <is>
          <t>TBA 110kV KCN Rạng Đông 1</t>
        </is>
      </c>
      <c r="D240" s="3" t="inlineStr">
        <is>
          <t>B23</t>
        </is>
      </c>
      <c r="E240" s="9" t="inlineStr">
        <is>
          <t>E3.24</t>
        </is>
      </c>
      <c r="F240" s="15">
        <f>IF(E240&lt;&gt;"","Đã VH","Quy hoạch điện VIII")</f>
        <v/>
      </c>
      <c r="G240" s="16">
        <f>LEFT(B240,FIND(" ",B240,1)-1)</f>
        <v/>
      </c>
      <c r="H240" s="16">
        <f>TRIM(RIGHT(B240,LEN(B240)-FIND(" ",B240,1)))</f>
        <v/>
      </c>
      <c r="I240" s="16">
        <f>_xlfn.XLOOKUP(Table2[[#This Row],[Type]],Table5[Type],Table5[Type2])</f>
        <v/>
      </c>
      <c r="J240" s="16">
        <f>_xlfn.XLOOKUP(Table2[[#This Row],[Sym]],Zones!$A$2:$A$21,Zones!$B$2:$B$21)</f>
        <v/>
      </c>
      <c r="K240" s="21" t="n"/>
    </row>
    <row r="241">
      <c r="A241" s="24" t="n">
        <v>1456</v>
      </c>
      <c r="B241" s="10" t="inlineStr">
        <is>
          <t>T220 Trực Ninh</t>
        </is>
      </c>
      <c r="C241" s="10" t="inlineStr">
        <is>
          <t>TBA 220kV Trực Ninh</t>
        </is>
      </c>
      <c r="D241" s="3" t="inlineStr">
        <is>
          <t>B23</t>
        </is>
      </c>
      <c r="E241" s="9" t="inlineStr">
        <is>
          <t>E3.20</t>
        </is>
      </c>
      <c r="F241" s="15">
        <f>IF(E241&lt;&gt;"","Đã VH","Quy hoạch điện VIII")</f>
        <v/>
      </c>
      <c r="G241" s="16">
        <f>LEFT(B241,FIND(" ",B241,1)-1)</f>
        <v/>
      </c>
      <c r="H241" s="16">
        <f>TRIM(RIGHT(B241,LEN(B241)-FIND(" ",B241,1)))</f>
        <v/>
      </c>
      <c r="I241" s="16">
        <f>_xlfn.XLOOKUP(Table2[[#This Row],[Type]],Table5[Type],Table5[Type2])</f>
        <v/>
      </c>
      <c r="J241" s="16">
        <f>_xlfn.XLOOKUP(Table2[[#This Row],[Sym]],Zones!$A$2:$A$21,Zones!$B$2:$B$21)</f>
        <v/>
      </c>
      <c r="K241" s="21" t="n"/>
    </row>
    <row r="242">
      <c r="A242" s="24" t="n">
        <v>1457</v>
      </c>
      <c r="B242" s="10" t="inlineStr">
        <is>
          <t>T220 Hải Hậu</t>
        </is>
      </c>
      <c r="C242" s="10" t="inlineStr">
        <is>
          <t>TBA 220kV Hải Hậu</t>
        </is>
      </c>
      <c r="D242" s="3" t="inlineStr">
        <is>
          <t>B23</t>
        </is>
      </c>
      <c r="E242" s="9" t="n"/>
      <c r="F242" s="15">
        <f>IF(E242&lt;&gt;"","Đã VH","Quy hoạch điện VIII")</f>
        <v/>
      </c>
      <c r="G242" s="16">
        <f>LEFT(B242,FIND(" ",B242,1)-1)</f>
        <v/>
      </c>
      <c r="H242" s="16">
        <f>TRIM(RIGHT(B242,LEN(B242)-FIND(" ",B242,1)))</f>
        <v/>
      </c>
      <c r="I242" s="16">
        <f>_xlfn.XLOOKUP(Table2[[#This Row],[Type]],Table5[Type],Table5[Type2])</f>
        <v/>
      </c>
      <c r="J242" s="16">
        <f>_xlfn.XLOOKUP(Table2[[#This Row],[Sym]],Zones!$A$2:$A$21,Zones!$B$2:$B$21)</f>
        <v/>
      </c>
      <c r="K242" s="21" t="n"/>
    </row>
    <row r="243">
      <c r="A243" s="24" t="n">
        <v>1458</v>
      </c>
      <c r="B243" s="10" t="inlineStr">
        <is>
          <t>T110 Đông Bình</t>
        </is>
      </c>
      <c r="C243" s="10" t="inlineStr">
        <is>
          <t>TBA 110kV Đông Bình</t>
        </is>
      </c>
      <c r="D243" s="3" t="inlineStr">
        <is>
          <t>B23</t>
        </is>
      </c>
      <c r="E243" s="9" t="inlineStr">
        <is>
          <t>E3.23</t>
        </is>
      </c>
      <c r="F243" s="15">
        <f>IF(E243&lt;&gt;"","Đã VH","Quy hoạch điện VIII")</f>
        <v/>
      </c>
      <c r="G243" s="16">
        <f>LEFT(B243,FIND(" ",B243,1)-1)</f>
        <v/>
      </c>
      <c r="H243" s="16">
        <f>TRIM(RIGHT(B243,LEN(B243)-FIND(" ",B243,1)))</f>
        <v/>
      </c>
      <c r="I243" s="16">
        <f>_xlfn.XLOOKUP(Table2[[#This Row],[Type]],Table5[Type],Table5[Type2])</f>
        <v/>
      </c>
      <c r="J243" s="16">
        <f>_xlfn.XLOOKUP(Table2[[#This Row],[Sym]],Zones!$A$2:$A$21,Zones!$B$2:$B$21)</f>
        <v/>
      </c>
      <c r="K243" s="21" t="n"/>
    </row>
    <row r="244">
      <c r="A244" s="24" t="n">
        <v>1459</v>
      </c>
      <c r="B244" s="10" t="inlineStr">
        <is>
          <t>T110 KCN Mỹ Thuận</t>
        </is>
      </c>
      <c r="C244" s="10" t="inlineStr">
        <is>
          <t>TBA 110kV KCN Mỹ Thuận</t>
        </is>
      </c>
      <c r="D244" s="3" t="inlineStr">
        <is>
          <t>B23</t>
        </is>
      </c>
      <c r="E244" s="9" t="n"/>
      <c r="F244" s="15">
        <f>IF(E244&lt;&gt;"","Đã VH","Quy hoạch điện VIII")</f>
        <v/>
      </c>
      <c r="G244" s="16">
        <f>LEFT(B244,FIND(" ",B244,1)-1)</f>
        <v/>
      </c>
      <c r="H244" s="16">
        <f>TRIM(RIGHT(B244,LEN(B244)-FIND(" ",B244,1)))</f>
        <v/>
      </c>
      <c r="I244" s="16">
        <f>_xlfn.XLOOKUP(Table2[[#This Row],[Type]],Table5[Type],Table5[Type2])</f>
        <v/>
      </c>
      <c r="J244" s="16">
        <f>_xlfn.XLOOKUP(Table2[[#This Row],[Sym]],Zones!$A$2:$A$21,Zones!$B$2:$B$21)</f>
        <v/>
      </c>
      <c r="K244" s="21" t="n"/>
    </row>
    <row r="245">
      <c r="A245" s="24" t="n">
        <v>1460</v>
      </c>
      <c r="B245" s="10" t="inlineStr">
        <is>
          <t>T110 Mỹ Trung</t>
        </is>
      </c>
      <c r="C245" s="10" t="inlineStr">
        <is>
          <t>TBA 110kV Mỹ Trung</t>
        </is>
      </c>
      <c r="D245" s="3" t="inlineStr">
        <is>
          <t>B23</t>
        </is>
      </c>
      <c r="E245" s="9" t="n"/>
      <c r="F245" s="15">
        <f>IF(E245&lt;&gt;"","Đã VH","Quy hoạch điện VIII")</f>
        <v/>
      </c>
      <c r="G245" s="16">
        <f>LEFT(B245,FIND(" ",B245,1)-1)</f>
        <v/>
      </c>
      <c r="H245" s="16">
        <f>TRIM(RIGHT(B245,LEN(B245)-FIND(" ",B245,1)))</f>
        <v/>
      </c>
      <c r="I245" s="16">
        <f>_xlfn.XLOOKUP(Table2[[#This Row],[Type]],Table5[Type],Table5[Type2])</f>
        <v/>
      </c>
      <c r="J245" s="16">
        <f>_xlfn.XLOOKUP(Table2[[#This Row],[Sym]],Zones!$A$2:$A$21,Zones!$B$2:$B$21)</f>
        <v/>
      </c>
      <c r="K245" s="21" t="n"/>
    </row>
    <row r="246">
      <c r="A246" s="24" t="n">
        <v>1461</v>
      </c>
      <c r="B246" s="10" t="inlineStr">
        <is>
          <t>T110 KCN Hồng Tiến</t>
        </is>
      </c>
      <c r="C246" s="10" t="inlineStr">
        <is>
          <t>TBA 110kV KCN Hồng Tiến</t>
        </is>
      </c>
      <c r="D246" s="3" t="inlineStr">
        <is>
          <t>B23</t>
        </is>
      </c>
      <c r="E246" s="9" t="n"/>
      <c r="F246" s="15">
        <f>IF(E246&lt;&gt;"","Đã VH","Quy hoạch điện VIII")</f>
        <v/>
      </c>
      <c r="G246" s="16">
        <f>LEFT(B246,FIND(" ",B246,1)-1)</f>
        <v/>
      </c>
      <c r="H246" s="16">
        <f>TRIM(RIGHT(B246,LEN(B246)-FIND(" ",B246,1)))</f>
        <v/>
      </c>
      <c r="I246" s="16">
        <f>_xlfn.XLOOKUP(Table2[[#This Row],[Type]],Table5[Type],Table5[Type2])</f>
        <v/>
      </c>
      <c r="J246" s="16">
        <f>_xlfn.XLOOKUP(Table2[[#This Row],[Sym]],Zones!$A$2:$A$21,Zones!$B$2:$B$21)</f>
        <v/>
      </c>
      <c r="K246" s="21" t="n"/>
    </row>
    <row r="247">
      <c r="A247" s="24" t="n">
        <v>1462</v>
      </c>
      <c r="B247" s="10" t="inlineStr">
        <is>
          <t>T110 KCN Rạng Đông 2</t>
        </is>
      </c>
      <c r="C247" s="10" t="inlineStr">
        <is>
          <t>TBA 110kV KCN Rạng Đông 2</t>
        </is>
      </c>
      <c r="D247" s="3" t="inlineStr">
        <is>
          <t>B23</t>
        </is>
      </c>
      <c r="E247" s="9" t="n"/>
      <c r="F247" s="15">
        <f>IF(E247&lt;&gt;"","Đã VH","Quy hoạch điện VIII")</f>
        <v/>
      </c>
      <c r="G247" s="16">
        <f>LEFT(B247,FIND(" ",B247,1)-1)</f>
        <v/>
      </c>
      <c r="H247" s="16">
        <f>TRIM(RIGHT(B247,LEN(B247)-FIND(" ",B247,1)))</f>
        <v/>
      </c>
      <c r="I247" s="16">
        <f>_xlfn.XLOOKUP(Table2[[#This Row],[Type]],Table5[Type],Table5[Type2])</f>
        <v/>
      </c>
      <c r="J247" s="16">
        <f>_xlfn.XLOOKUP(Table2[[#This Row],[Sym]],Zones!$A$2:$A$21,Zones!$B$2:$B$21)</f>
        <v/>
      </c>
      <c r="K247" s="21" t="n"/>
    </row>
    <row r="248">
      <c r="A248" s="24" t="n">
        <v>1463</v>
      </c>
      <c r="B248" s="10" t="inlineStr">
        <is>
          <t>T110 Hiển Khánh</t>
        </is>
      </c>
      <c r="C248" s="10" t="inlineStr">
        <is>
          <t>TBA 110kV Hiển Khánh</t>
        </is>
      </c>
      <c r="D248" s="3" t="inlineStr">
        <is>
          <t>B23</t>
        </is>
      </c>
      <c r="E248" s="9" t="inlineStr">
        <is>
          <t>E3.19</t>
        </is>
      </c>
      <c r="F248" s="15">
        <f>IF(E248&lt;&gt;"","Đã VH","Quy hoạch điện VIII")</f>
        <v/>
      </c>
      <c r="G248" s="16">
        <f>LEFT(B248,FIND(" ",B248,1)-1)</f>
        <v/>
      </c>
      <c r="H248" s="16">
        <f>TRIM(RIGHT(B248,LEN(B248)-FIND(" ",B248,1)))</f>
        <v/>
      </c>
      <c r="I248" s="16">
        <f>_xlfn.XLOOKUP(Table2[[#This Row],[Type]],Table5[Type],Table5[Type2])</f>
        <v/>
      </c>
      <c r="J248" s="16">
        <f>_xlfn.XLOOKUP(Table2[[#This Row],[Sym]],Zones!$A$2:$A$21,Zones!$B$2:$B$21)</f>
        <v/>
      </c>
      <c r="K248" s="21" t="n"/>
    </row>
    <row r="249">
      <c r="A249" s="24" t="n">
        <v>1464</v>
      </c>
      <c r="B249" s="10" t="inlineStr">
        <is>
          <t>T110 Quất Lâm</t>
        </is>
      </c>
      <c r="C249" s="10" t="inlineStr">
        <is>
          <t>TBA 110kV Quất Lâm</t>
        </is>
      </c>
      <c r="D249" s="3" t="inlineStr">
        <is>
          <t>B23</t>
        </is>
      </c>
      <c r="E249" s="9" t="n"/>
      <c r="F249" s="15">
        <f>IF(E249&lt;&gt;"","Đã VH","Quy hoạch điện VIII")</f>
        <v/>
      </c>
      <c r="G249" s="16">
        <f>LEFT(B249,FIND(" ",B249,1)-1)</f>
        <v/>
      </c>
      <c r="H249" s="16">
        <f>TRIM(RIGHT(B249,LEN(B249)-FIND(" ",B249,1)))</f>
        <v/>
      </c>
      <c r="I249" s="16">
        <f>_xlfn.XLOOKUP(Table2[[#This Row],[Type]],Table5[Type],Table5[Type2])</f>
        <v/>
      </c>
      <c r="J249" s="16">
        <f>_xlfn.XLOOKUP(Table2[[#This Row],[Sym]],Zones!$A$2:$A$21,Zones!$B$2:$B$21)</f>
        <v/>
      </c>
      <c r="K249" s="21" t="n"/>
    </row>
    <row r="250">
      <c r="A250" s="24" t="n">
        <v>1465</v>
      </c>
      <c r="B250" s="10" t="inlineStr">
        <is>
          <t>T110 KCN Bảo Minh</t>
        </is>
      </c>
      <c r="C250" s="10" t="inlineStr">
        <is>
          <t>TBA 110kV KCN Bảo Minh</t>
        </is>
      </c>
      <c r="D250" s="3" t="inlineStr">
        <is>
          <t>B23</t>
        </is>
      </c>
      <c r="E250" s="9" t="n"/>
      <c r="F250" s="15">
        <f>IF(E250&lt;&gt;"","Đã VH","Quy hoạch điện VIII")</f>
        <v/>
      </c>
      <c r="G250" s="16">
        <f>LEFT(B250,FIND(" ",B250,1)-1)</f>
        <v/>
      </c>
      <c r="H250" s="16">
        <f>TRIM(RIGHT(B250,LEN(B250)-FIND(" ",B250,1)))</f>
        <v/>
      </c>
      <c r="I250" s="16">
        <f>_xlfn.XLOOKUP(Table2[[#This Row],[Type]],Table5[Type],Table5[Type2])</f>
        <v/>
      </c>
      <c r="J250" s="16">
        <f>_xlfn.XLOOKUP(Table2[[#This Row],[Sym]],Zones!$A$2:$A$21,Zones!$B$2:$B$21)</f>
        <v/>
      </c>
      <c r="K250" s="21" t="n"/>
    </row>
    <row r="251">
      <c r="A251" s="24" t="n">
        <v>1466</v>
      </c>
      <c r="B251" s="10" t="inlineStr">
        <is>
          <t>T220 Nam Định 2</t>
        </is>
      </c>
      <c r="C251" s="10" t="inlineStr">
        <is>
          <t>TBA 220kV Nam Định 2</t>
        </is>
      </c>
      <c r="D251" s="3" t="inlineStr">
        <is>
          <t>B23</t>
        </is>
      </c>
      <c r="E251" s="9" t="n"/>
      <c r="F251" s="15">
        <f>IF(E251&lt;&gt;"","Đã VH","Quy hoạch điện VIII")</f>
        <v/>
      </c>
      <c r="G251" s="16">
        <f>LEFT(B251,FIND(" ",B251,1)-1)</f>
        <v/>
      </c>
      <c r="H251" s="16">
        <f>TRIM(RIGHT(B251,LEN(B251)-FIND(" ",B251,1)))</f>
        <v/>
      </c>
      <c r="I251" s="16">
        <f>_xlfn.XLOOKUP(Table2[[#This Row],[Type]],Table5[Type],Table5[Type2])</f>
        <v/>
      </c>
      <c r="J251" s="16">
        <f>_xlfn.XLOOKUP(Table2[[#This Row],[Sym]],Zones!$A$2:$A$21,Zones!$B$2:$B$21)</f>
        <v/>
      </c>
      <c r="K251" s="21" t="n"/>
    </row>
    <row r="252">
      <c r="A252" s="24" t="n">
        <v>1467</v>
      </c>
      <c r="B252" s="10" t="inlineStr">
        <is>
          <t>T110 Nam Điền</t>
        </is>
      </c>
      <c r="C252" s="10" t="inlineStr">
        <is>
          <t>TBA 110kV Nam Điền</t>
        </is>
      </c>
      <c r="D252" s="3" t="inlineStr">
        <is>
          <t>B23</t>
        </is>
      </c>
      <c r="E252" s="9" t="inlineStr">
        <is>
          <t>E3.21</t>
        </is>
      </c>
      <c r="F252" s="15">
        <f>IF(E252&lt;&gt;"","Đã VH","Quy hoạch điện VIII")</f>
        <v/>
      </c>
      <c r="G252" s="16">
        <f>LEFT(B252,FIND(" ",B252,1)-1)</f>
        <v/>
      </c>
      <c r="H252" s="16">
        <f>TRIM(RIGHT(B252,LEN(B252)-FIND(" ",B252,1)))</f>
        <v/>
      </c>
      <c r="I252" s="16">
        <f>_xlfn.XLOOKUP(Table2[[#This Row],[Type]],Table5[Type],Table5[Type2])</f>
        <v/>
      </c>
      <c r="J252" s="16">
        <f>_xlfn.XLOOKUP(Table2[[#This Row],[Sym]],Zones!$A$2:$A$21,Zones!$B$2:$B$21)</f>
        <v/>
      </c>
      <c r="K252" s="21" t="n"/>
    </row>
    <row r="253">
      <c r="A253" s="24" t="n">
        <v>1468</v>
      </c>
      <c r="B253" s="10" t="inlineStr">
        <is>
          <t>T110 KCN Hòa Xá</t>
        </is>
      </c>
      <c r="C253" s="10" t="inlineStr">
        <is>
          <t>TBA 110kV KCN Hòa Xá</t>
        </is>
      </c>
      <c r="D253" s="3" t="inlineStr">
        <is>
          <t>B23</t>
        </is>
      </c>
      <c r="E253" s="9" t="n"/>
      <c r="F253" s="15">
        <f>IF(E253&lt;&gt;"","Đã VH","Quy hoạch điện VIII")</f>
        <v/>
      </c>
      <c r="G253" s="16">
        <f>LEFT(B253,FIND(" ",B253,1)-1)</f>
        <v/>
      </c>
      <c r="H253" s="16">
        <f>TRIM(RIGHT(B253,LEN(B253)-FIND(" ",B253,1)))</f>
        <v/>
      </c>
      <c r="I253" s="16">
        <f>_xlfn.XLOOKUP(Table2[[#This Row],[Type]],Table5[Type],Table5[Type2])</f>
        <v/>
      </c>
      <c r="J253" s="16">
        <f>_xlfn.XLOOKUP(Table2[[#This Row],[Sym]],Zones!$A$2:$A$21,Zones!$B$2:$B$21)</f>
        <v/>
      </c>
      <c r="K253" s="21" t="n"/>
    </row>
    <row r="254">
      <c r="A254" s="24" t="n">
        <v>1469</v>
      </c>
      <c r="B254" s="10" t="inlineStr">
        <is>
          <t>T110 KCN Mỹ Trung</t>
        </is>
      </c>
      <c r="C254" s="10" t="inlineStr">
        <is>
          <t>TBA 110kV KCN Mỹ Trung</t>
        </is>
      </c>
      <c r="D254" s="3" t="inlineStr">
        <is>
          <t>B23</t>
        </is>
      </c>
      <c r="E254" s="9" t="n"/>
      <c r="F254" s="15">
        <f>IF(E254&lt;&gt;"","Đã VH","Quy hoạch điện VIII")</f>
        <v/>
      </c>
      <c r="G254" s="16">
        <f>LEFT(B254,FIND(" ",B254,1)-1)</f>
        <v/>
      </c>
      <c r="H254" s="16">
        <f>TRIM(RIGHT(B254,LEN(B254)-FIND(" ",B254,1)))</f>
        <v/>
      </c>
      <c r="I254" s="16">
        <f>_xlfn.XLOOKUP(Table2[[#This Row],[Type]],Table5[Type],Table5[Type2])</f>
        <v/>
      </c>
      <c r="J254" s="16">
        <f>_xlfn.XLOOKUP(Table2[[#This Row],[Sym]],Zones!$A$2:$A$21,Zones!$B$2:$B$21)</f>
        <v/>
      </c>
      <c r="K254" s="21" t="n"/>
    </row>
    <row r="255">
      <c r="A255" s="24" t="n">
        <v>1470</v>
      </c>
      <c r="B255" s="10" t="inlineStr">
        <is>
          <t>T220 Nam Định 3</t>
        </is>
      </c>
      <c r="C255" s="10" t="inlineStr">
        <is>
          <t>TBA 220kV Nam Định 3</t>
        </is>
      </c>
      <c r="D255" s="3" t="inlineStr">
        <is>
          <t>B23</t>
        </is>
      </c>
      <c r="E255" s="9" t="n"/>
      <c r="F255" s="15">
        <f>IF(E255&lt;&gt;"","Đã VH","Quy hoạch điện VIII")</f>
        <v/>
      </c>
      <c r="G255" s="16">
        <f>LEFT(B255,FIND(" ",B255,1)-1)</f>
        <v/>
      </c>
      <c r="H255" s="16">
        <f>TRIM(RIGHT(B255,LEN(B255)-FIND(" ",B255,1)))</f>
        <v/>
      </c>
      <c r="I255" s="16">
        <f>_xlfn.XLOOKUP(Table2[[#This Row],[Type]],Table5[Type],Table5[Type2])</f>
        <v/>
      </c>
      <c r="J255" s="16">
        <f>_xlfn.XLOOKUP(Table2[[#This Row],[Sym]],Zones!$A$2:$A$21,Zones!$B$2:$B$21)</f>
        <v/>
      </c>
      <c r="K255" s="21" t="n"/>
    </row>
    <row r="256">
      <c r="A256" s="24" t="n">
        <v>1471</v>
      </c>
      <c r="B256" s="10" t="inlineStr">
        <is>
          <t>T220 Nghĩa Hưng</t>
        </is>
      </c>
      <c r="C256" s="10" t="inlineStr">
        <is>
          <t>TBA 220kV Nghĩa Hưng</t>
        </is>
      </c>
      <c r="D256" s="3" t="inlineStr">
        <is>
          <t>B23</t>
        </is>
      </c>
      <c r="E256" s="9" t="n"/>
      <c r="F256" s="15">
        <f>IF(E256&lt;&gt;"","Đã VH","Quy hoạch điện VIII")</f>
        <v/>
      </c>
      <c r="G256" s="16">
        <f>LEFT(B256,FIND(" ",B256,1)-1)</f>
        <v/>
      </c>
      <c r="H256" s="16">
        <f>TRIM(RIGHT(B256,LEN(B256)-FIND(" ",B256,1)))</f>
        <v/>
      </c>
      <c r="I256" s="16">
        <f>_xlfn.XLOOKUP(Table2[[#This Row],[Type]],Table5[Type],Table5[Type2])</f>
        <v/>
      </c>
      <c r="J256" s="16">
        <f>_xlfn.XLOOKUP(Table2[[#This Row],[Sym]],Zones!$A$2:$A$21,Zones!$B$2:$B$21)</f>
        <v/>
      </c>
      <c r="K256" s="21" t="n"/>
    </row>
    <row r="257">
      <c r="A257" s="24" t="n">
        <v>1472</v>
      </c>
      <c r="B257" s="10" t="inlineStr">
        <is>
          <t>T110 Trực Nội</t>
        </is>
      </c>
      <c r="C257" s="10" t="inlineStr">
        <is>
          <t>TBA 110kV Trực Nội</t>
        </is>
      </c>
      <c r="D257" s="3" t="inlineStr">
        <is>
          <t>B23</t>
        </is>
      </c>
      <c r="E257" s="9" t="n"/>
      <c r="F257" s="15">
        <f>IF(E257&lt;&gt;"","Đã VH","Quy hoạch điện VIII")</f>
        <v/>
      </c>
      <c r="G257" s="16">
        <f>LEFT(B257,FIND(" ",B257,1)-1)</f>
        <v/>
      </c>
      <c r="H257" s="16">
        <f>TRIM(RIGHT(B257,LEN(B257)-FIND(" ",B257,1)))</f>
        <v/>
      </c>
      <c r="I257" s="16">
        <f>_xlfn.XLOOKUP(Table2[[#This Row],[Type]],Table5[Type],Table5[Type2])</f>
        <v/>
      </c>
      <c r="J257" s="16">
        <f>_xlfn.XLOOKUP(Table2[[#This Row],[Sym]],Zones!$A$2:$A$21,Zones!$B$2:$B$21)</f>
        <v/>
      </c>
      <c r="K257" s="21" t="n"/>
    </row>
    <row r="258">
      <c r="A258" s="24" t="n">
        <v>1473</v>
      </c>
      <c r="B258" s="10" t="inlineStr">
        <is>
          <t>T110 Nam Vân</t>
        </is>
      </c>
      <c r="C258" s="10" t="inlineStr">
        <is>
          <t>TBA 110kV Nam Vân</t>
        </is>
      </c>
      <c r="D258" s="3" t="inlineStr">
        <is>
          <t>B23</t>
        </is>
      </c>
      <c r="E258" s="9" t="n"/>
      <c r="F258" s="15">
        <f>IF(E258&lt;&gt;"","Đã VH","Quy hoạch điện VIII")</f>
        <v/>
      </c>
      <c r="G258" s="16">
        <f>LEFT(B258,FIND(" ",B258,1)-1)</f>
        <v/>
      </c>
      <c r="H258" s="16">
        <f>TRIM(RIGHT(B258,LEN(B258)-FIND(" ",B258,1)))</f>
        <v/>
      </c>
      <c r="I258" s="16">
        <f>_xlfn.XLOOKUP(Table2[[#This Row],[Type]],Table5[Type],Table5[Type2])</f>
        <v/>
      </c>
      <c r="J258" s="16">
        <f>_xlfn.XLOOKUP(Table2[[#This Row],[Sym]],Zones!$A$2:$A$21,Zones!$B$2:$B$21)</f>
        <v/>
      </c>
      <c r="K258" s="21" t="n"/>
    </row>
    <row r="259">
      <c r="A259" s="24" t="n">
        <v>1474</v>
      </c>
      <c r="B259" s="10" t="inlineStr">
        <is>
          <t>T110 KCN Trung Thành</t>
        </is>
      </c>
      <c r="C259" s="10" t="inlineStr">
        <is>
          <t>TBA 110kV KCN Trung Thành</t>
        </is>
      </c>
      <c r="D259" s="3" t="inlineStr">
        <is>
          <t>B23</t>
        </is>
      </c>
      <c r="E259" s="9" t="n"/>
      <c r="F259" s="15">
        <f>IF(E259&lt;&gt;"","Đã VH","Quy hoạch điện VIII")</f>
        <v/>
      </c>
      <c r="G259" s="16">
        <f>LEFT(B259,FIND(" ",B259,1)-1)</f>
        <v/>
      </c>
      <c r="H259" s="16">
        <f>TRIM(RIGHT(B259,LEN(B259)-FIND(" ",B259,1)))</f>
        <v/>
      </c>
      <c r="I259" s="16">
        <f>_xlfn.XLOOKUP(Table2[[#This Row],[Type]],Table5[Type],Table5[Type2])</f>
        <v/>
      </c>
      <c r="J259" s="16">
        <f>_xlfn.XLOOKUP(Table2[[#This Row],[Sym]],Zones!$A$2:$A$21,Zones!$B$2:$B$21)</f>
        <v/>
      </c>
      <c r="K259" s="21" t="n"/>
    </row>
    <row r="260">
      <c r="A260" s="24" t="n">
        <v>1475</v>
      </c>
      <c r="B260" s="10" t="inlineStr">
        <is>
          <t>T110 Xuân Bắc</t>
        </is>
      </c>
      <c r="C260" s="10" t="inlineStr">
        <is>
          <t>TBA 110kV Xuân Bắc</t>
        </is>
      </c>
      <c r="D260" s="3" t="inlineStr">
        <is>
          <t>B23</t>
        </is>
      </c>
      <c r="E260" s="9" t="n"/>
      <c r="F260" s="15">
        <f>IF(E260&lt;&gt;"","Đã VH","Quy hoạch điện VIII")</f>
        <v/>
      </c>
      <c r="G260" s="16">
        <f>LEFT(B260,FIND(" ",B260,1)-1)</f>
        <v/>
      </c>
      <c r="H260" s="16">
        <f>TRIM(RIGHT(B260,LEN(B260)-FIND(" ",B260,1)))</f>
        <v/>
      </c>
      <c r="I260" s="16">
        <f>_xlfn.XLOOKUP(Table2[[#This Row],[Type]],Table5[Type],Table5[Type2])</f>
        <v/>
      </c>
      <c r="J260" s="16">
        <f>_xlfn.XLOOKUP(Table2[[#This Row],[Sym]],Zones!$A$2:$A$21,Zones!$B$2:$B$21)</f>
        <v/>
      </c>
      <c r="K260" s="21" t="n"/>
    </row>
    <row r="261">
      <c r="A261" s="24" t="n">
        <v>1476</v>
      </c>
      <c r="B261" s="10" t="inlineStr">
        <is>
          <t>T110 Cổ Giả</t>
        </is>
      </c>
      <c r="C261" s="10" t="inlineStr">
        <is>
          <t>TBA 110kV Cổ Giả</t>
        </is>
      </c>
      <c r="D261" s="3" t="inlineStr">
        <is>
          <t>B23</t>
        </is>
      </c>
      <c r="E261" s="9" t="n"/>
      <c r="F261" s="15">
        <f>IF(E261&lt;&gt;"","Đã VH","Quy hoạch điện VIII")</f>
        <v/>
      </c>
      <c r="G261" s="16">
        <f>LEFT(B261,FIND(" ",B261,1)-1)</f>
        <v/>
      </c>
      <c r="H261" s="16">
        <f>TRIM(RIGHT(B261,LEN(B261)-FIND(" ",B261,1)))</f>
        <v/>
      </c>
      <c r="I261" s="16">
        <f>_xlfn.XLOOKUP(Table2[[#This Row],[Type]],Table5[Type],Table5[Type2])</f>
        <v/>
      </c>
      <c r="J261" s="16">
        <f>_xlfn.XLOOKUP(Table2[[#This Row],[Sym]],Zones!$A$2:$A$21,Zones!$B$2:$B$21)</f>
        <v/>
      </c>
      <c r="K261" s="21" t="n"/>
    </row>
    <row r="262">
      <c r="A262" s="24" t="n">
        <v>1477</v>
      </c>
      <c r="B262" s="10" t="inlineStr">
        <is>
          <t>T110 KCN Nam Hồng</t>
        </is>
      </c>
      <c r="C262" s="10" t="inlineStr">
        <is>
          <t>TBA 110kV KCN Nam Hồng</t>
        </is>
      </c>
      <c r="D262" s="3" t="inlineStr">
        <is>
          <t>B23</t>
        </is>
      </c>
      <c r="E262" s="9" t="n"/>
      <c r="F262" s="15">
        <f>IF(E262&lt;&gt;"","Đã VH","Quy hoạch điện VIII")</f>
        <v/>
      </c>
      <c r="G262" s="16">
        <f>LEFT(B262,FIND(" ",B262,1)-1)</f>
        <v/>
      </c>
      <c r="H262" s="16">
        <f>TRIM(RIGHT(B262,LEN(B262)-FIND(" ",B262,1)))</f>
        <v/>
      </c>
      <c r="I262" s="16">
        <f>_xlfn.XLOOKUP(Table2[[#This Row],[Type]],Table5[Type],Table5[Type2])</f>
        <v/>
      </c>
      <c r="J262" s="16">
        <f>_xlfn.XLOOKUP(Table2[[#This Row],[Sym]],Zones!$A$2:$A$21,Zones!$B$2:$B$21)</f>
        <v/>
      </c>
      <c r="K262" s="21" t="n"/>
    </row>
    <row r="263">
      <c r="A263" s="24" t="n">
        <v>1478</v>
      </c>
      <c r="B263" s="10" t="inlineStr">
        <is>
          <t>T110 KCN Thắng Lợi</t>
        </is>
      </c>
      <c r="C263" s="10" t="inlineStr">
        <is>
          <t>TBA 110kV KCN Thắng Lợi</t>
        </is>
      </c>
      <c r="D263" s="3" t="inlineStr">
        <is>
          <t>B23</t>
        </is>
      </c>
      <c r="E263" s="9" t="n"/>
      <c r="F263" s="15">
        <f>IF(E263&lt;&gt;"","Đã VH","Quy hoạch điện VIII")</f>
        <v/>
      </c>
      <c r="G263" s="16">
        <f>LEFT(B263,FIND(" ",B263,1)-1)</f>
        <v/>
      </c>
      <c r="H263" s="16">
        <f>TRIM(RIGHT(B263,LEN(B263)-FIND(" ",B263,1)))</f>
        <v/>
      </c>
      <c r="I263" s="16">
        <f>_xlfn.XLOOKUP(Table2[[#This Row],[Type]],Table5[Type],Table5[Type2])</f>
        <v/>
      </c>
      <c r="J263" s="16">
        <f>_xlfn.XLOOKUP(Table2[[#This Row],[Sym]],Zones!$A$2:$A$21,Zones!$B$2:$B$21)</f>
        <v/>
      </c>
      <c r="K263" s="21" t="n"/>
    </row>
    <row r="264">
      <c r="A264" s="24" t="n">
        <v>1479</v>
      </c>
      <c r="B264" s="10" t="inlineStr">
        <is>
          <t>T110 KCN Minh Châu</t>
        </is>
      </c>
      <c r="C264" s="10" t="inlineStr">
        <is>
          <t>TBA 110kV KCN Minh Châu</t>
        </is>
      </c>
      <c r="D264" s="3" t="inlineStr">
        <is>
          <t>B23</t>
        </is>
      </c>
      <c r="E264" s="9" t="n"/>
      <c r="F264" s="15">
        <f>IF(E264&lt;&gt;"","Đã VH","Quy hoạch điện VIII")</f>
        <v/>
      </c>
      <c r="G264" s="16">
        <f>LEFT(B264,FIND(" ",B264,1)-1)</f>
        <v/>
      </c>
      <c r="H264" s="16">
        <f>TRIM(RIGHT(B264,LEN(B264)-FIND(" ",B264,1)))</f>
        <v/>
      </c>
      <c r="I264" s="16">
        <f>_xlfn.XLOOKUP(Table2[[#This Row],[Type]],Table5[Type],Table5[Type2])</f>
        <v/>
      </c>
      <c r="J264" s="16">
        <f>_xlfn.XLOOKUP(Table2[[#This Row],[Sym]],Zones!$A$2:$A$21,Zones!$B$2:$B$21)</f>
        <v/>
      </c>
      <c r="K264" s="21" t="n"/>
    </row>
    <row r="265">
      <c r="A265" s="24" t="n">
        <v>1480</v>
      </c>
      <c r="B265" s="10" t="inlineStr">
        <is>
          <t>T110 KCN Thượng Thành</t>
        </is>
      </c>
      <c r="C265" s="10" t="inlineStr">
        <is>
          <t>TBA 110kV KCN Thượng Thành</t>
        </is>
      </c>
      <c r="D265" s="3" t="inlineStr">
        <is>
          <t>B23</t>
        </is>
      </c>
      <c r="E265" s="9" t="n"/>
      <c r="F265" s="15">
        <f>IF(E265&lt;&gt;"","Đã VH","Quy hoạch điện VIII")</f>
        <v/>
      </c>
      <c r="G265" s="16">
        <f>LEFT(B265,FIND(" ",B265,1)-1)</f>
        <v/>
      </c>
      <c r="H265" s="16">
        <f>TRIM(RIGHT(B265,LEN(B265)-FIND(" ",B265,1)))</f>
        <v/>
      </c>
      <c r="I265" s="16">
        <f>_xlfn.XLOOKUP(Table2[[#This Row],[Type]],Table5[Type],Table5[Type2])</f>
        <v/>
      </c>
      <c r="J265" s="16">
        <f>_xlfn.XLOOKUP(Table2[[#This Row],[Sym]],Zones!$A$2:$A$21,Zones!$B$2:$B$21)</f>
        <v/>
      </c>
      <c r="K265" s="21" t="n"/>
    </row>
    <row r="266">
      <c r="A266" s="24" t="n">
        <v>1481</v>
      </c>
      <c r="B266" s="10" t="inlineStr">
        <is>
          <t>T110 KCN Xuân Kiên</t>
        </is>
      </c>
      <c r="C266" s="10" t="inlineStr">
        <is>
          <t>TBA 110kV KCN Xuân Kiên</t>
        </is>
      </c>
      <c r="D266" s="3" t="inlineStr">
        <is>
          <t>B23</t>
        </is>
      </c>
      <c r="E266" s="9" t="n"/>
      <c r="F266" s="15">
        <f>IF(E266&lt;&gt;"","Đã VH","Quy hoạch điện VIII")</f>
        <v/>
      </c>
      <c r="G266" s="16">
        <f>LEFT(B266,FIND(" ",B266,1)-1)</f>
        <v/>
      </c>
      <c r="H266" s="16">
        <f>TRIM(RIGHT(B266,LEN(B266)-FIND(" ",B266,1)))</f>
        <v/>
      </c>
      <c r="I266" s="16">
        <f>_xlfn.XLOOKUP(Table2[[#This Row],[Type]],Table5[Type],Table5[Type2])</f>
        <v/>
      </c>
      <c r="J266" s="16">
        <f>_xlfn.XLOOKUP(Table2[[#This Row],[Sym]],Zones!$A$2:$A$21,Zones!$B$2:$B$21)</f>
        <v/>
      </c>
      <c r="K266" s="21" t="n"/>
    </row>
    <row r="267">
      <c r="A267" s="24" t="n">
        <v>1482</v>
      </c>
      <c r="B267" s="10" t="inlineStr">
        <is>
          <t>T110 KCN Phong Hưng Khánh</t>
        </is>
      </c>
      <c r="C267" s="10" t="inlineStr">
        <is>
          <t>TBA 110kV KCN Phong Hưng Khánh</t>
        </is>
      </c>
      <c r="D267" s="3" t="inlineStr">
        <is>
          <t>B23</t>
        </is>
      </c>
      <c r="E267" s="9" t="n"/>
      <c r="F267" s="15">
        <f>IF(E267&lt;&gt;"","Đã VH","Quy hoạch điện VIII")</f>
        <v/>
      </c>
      <c r="G267" s="16">
        <f>LEFT(B267,FIND(" ",B267,1)-1)</f>
        <v/>
      </c>
      <c r="H267" s="16">
        <f>TRIM(RIGHT(B267,LEN(B267)-FIND(" ",B267,1)))</f>
        <v/>
      </c>
      <c r="I267" s="16">
        <f>_xlfn.XLOOKUP(Table2[[#This Row],[Type]],Table5[Type],Table5[Type2])</f>
        <v/>
      </c>
      <c r="J267" s="16">
        <f>_xlfn.XLOOKUP(Table2[[#This Row],[Sym]],Zones!$A$2:$A$21,Zones!$B$2:$B$21)</f>
        <v/>
      </c>
      <c r="K267" s="21" t="n"/>
    </row>
    <row r="268">
      <c r="A268" s="24" t="n">
        <v>1483</v>
      </c>
      <c r="B268" s="10" t="inlineStr">
        <is>
          <t>T110 KCN Giao Thịnh</t>
        </is>
      </c>
      <c r="C268" s="10" t="inlineStr">
        <is>
          <t>TBA 110kV KCN Giao Thịnh</t>
        </is>
      </c>
      <c r="D268" s="3" t="inlineStr">
        <is>
          <t>B23</t>
        </is>
      </c>
      <c r="E268" s="9" t="n"/>
      <c r="F268" s="15">
        <f>IF(E268&lt;&gt;"","Đã VH","Quy hoạch điện VIII")</f>
        <v/>
      </c>
      <c r="G268" s="16">
        <f>LEFT(B268,FIND(" ",B268,1)-1)</f>
        <v/>
      </c>
      <c r="H268" s="16">
        <f>TRIM(RIGHT(B268,LEN(B268)-FIND(" ",B268,1)))</f>
        <v/>
      </c>
      <c r="I268" s="16">
        <f>_xlfn.XLOOKUP(Table2[[#This Row],[Type]],Table5[Type],Table5[Type2])</f>
        <v/>
      </c>
      <c r="J268" s="16">
        <f>_xlfn.XLOOKUP(Table2[[#This Row],[Sym]],Zones!$A$2:$A$21,Zones!$B$2:$B$21)</f>
        <v/>
      </c>
      <c r="K268" s="21" t="n"/>
    </row>
    <row r="269">
      <c r="A269" s="24" t="n">
        <v>1484</v>
      </c>
      <c r="B269" s="10" t="inlineStr">
        <is>
          <t>T110 KCN Nghĩa Sơn</t>
        </is>
      </c>
      <c r="C269" s="10" t="inlineStr">
        <is>
          <t>TBA 110kV KCN Nghĩa Sơn</t>
        </is>
      </c>
      <c r="D269" s="3" t="inlineStr">
        <is>
          <t>B23</t>
        </is>
      </c>
      <c r="E269" s="9" t="n"/>
      <c r="F269" s="15">
        <f>IF(E269&lt;&gt;"","Đã VH","Quy hoạch điện VIII")</f>
        <v/>
      </c>
      <c r="G269" s="16">
        <f>LEFT(B269,FIND(" ",B269,1)-1)</f>
        <v/>
      </c>
      <c r="H269" s="16">
        <f>TRIM(RIGHT(B269,LEN(B269)-FIND(" ",B269,1)))</f>
        <v/>
      </c>
      <c r="I269" s="16">
        <f>_xlfn.XLOOKUP(Table2[[#This Row],[Type]],Table5[Type],Table5[Type2])</f>
        <v/>
      </c>
      <c r="J269" s="16">
        <f>_xlfn.XLOOKUP(Table2[[#This Row],[Sym]],Zones!$A$2:$A$21,Zones!$B$2:$B$21)</f>
        <v/>
      </c>
      <c r="K269" s="21" t="n"/>
    </row>
    <row r="270">
      <c r="A270" s="24" t="n">
        <v>1485</v>
      </c>
      <c r="B270" s="10" t="inlineStr">
        <is>
          <t>T110 KCN điện năng Hải Hậu</t>
        </is>
      </c>
      <c r="C270" s="10" t="inlineStr">
        <is>
          <t>TBA 110kV KCN điện năng Hải Hậu</t>
        </is>
      </c>
      <c r="D270" s="3" t="inlineStr">
        <is>
          <t>B23</t>
        </is>
      </c>
      <c r="E270" s="9" t="n"/>
      <c r="F270" s="15">
        <f>IF(E270&lt;&gt;"","Đã VH","Quy hoạch điện VIII")</f>
        <v/>
      </c>
      <c r="G270" s="16">
        <f>LEFT(B270,FIND(" ",B270,1)-1)</f>
        <v/>
      </c>
      <c r="H270" s="16">
        <f>TRIM(RIGHT(B270,LEN(B270)-FIND(" ",B270,1)))</f>
        <v/>
      </c>
      <c r="I270" s="16">
        <f>_xlfn.XLOOKUP(Table2[[#This Row],[Type]],Table5[Type],Table5[Type2])</f>
        <v/>
      </c>
      <c r="J270" s="16">
        <f>_xlfn.XLOOKUP(Table2[[#This Row],[Sym]],Zones!$A$2:$A$21,Zones!$B$2:$B$21)</f>
        <v/>
      </c>
      <c r="K270" s="21" t="n"/>
    </row>
    <row r="271">
      <c r="A271" s="24" t="n">
        <v>1486</v>
      </c>
      <c r="B271" s="10" t="inlineStr">
        <is>
          <t>T110 Yên Thành</t>
        </is>
      </c>
      <c r="C271" s="10" t="inlineStr">
        <is>
          <t>TBA 110kV Yên Thành</t>
        </is>
      </c>
      <c r="D271" s="3" t="inlineStr">
        <is>
          <t>B23</t>
        </is>
      </c>
      <c r="E271" s="9" t="n"/>
      <c r="F271" s="15">
        <f>IF(E271&lt;&gt;"","Đã VH","Quy hoạch điện VIII")</f>
        <v/>
      </c>
      <c r="G271" s="16">
        <f>LEFT(B271,FIND(" ",B271,1)-1)</f>
        <v/>
      </c>
      <c r="H271" s="16">
        <f>TRIM(RIGHT(B271,LEN(B271)-FIND(" ",B271,1)))</f>
        <v/>
      </c>
      <c r="I271" s="16">
        <f>_xlfn.XLOOKUP(Table2[[#This Row],[Type]],Table5[Type],Table5[Type2])</f>
        <v/>
      </c>
      <c r="J271" s="16">
        <f>_xlfn.XLOOKUP(Table2[[#This Row],[Sym]],Zones!$A$2:$A$21,Zones!$B$2:$B$21)</f>
        <v/>
      </c>
      <c r="K271" s="21" t="n"/>
    </row>
    <row r="272">
      <c r="A272" s="24" t="n">
        <v>1487</v>
      </c>
      <c r="B272" s="10" t="inlineStr">
        <is>
          <t>T110 Đồng Côi</t>
        </is>
      </c>
      <c r="C272" s="10" t="inlineStr">
        <is>
          <t>TBA 110kV Đồng Côi</t>
        </is>
      </c>
      <c r="D272" s="3" t="inlineStr">
        <is>
          <t>B23</t>
        </is>
      </c>
      <c r="E272" s="9" t="n"/>
      <c r="F272" s="15">
        <f>IF(E272&lt;&gt;"","Đã VH","Quy hoạch điện VIII")</f>
        <v/>
      </c>
      <c r="G272" s="16">
        <f>LEFT(B272,FIND(" ",B272,1)-1)</f>
        <v/>
      </c>
      <c r="H272" s="16">
        <f>TRIM(RIGHT(B272,LEN(B272)-FIND(" ",B272,1)))</f>
        <v/>
      </c>
      <c r="I272" s="16">
        <f>_xlfn.XLOOKUP(Table2[[#This Row],[Type]],Table5[Type],Table5[Type2])</f>
        <v/>
      </c>
      <c r="J272" s="16">
        <f>_xlfn.XLOOKUP(Table2[[#This Row],[Sym]],Zones!$A$2:$A$21,Zones!$B$2:$B$21)</f>
        <v/>
      </c>
      <c r="K272" s="21" t="n"/>
    </row>
    <row r="273">
      <c r="A273" s="24" t="n">
        <v>1488</v>
      </c>
      <c r="B273" s="10" t="inlineStr">
        <is>
          <t>T110 Thịnh Long</t>
        </is>
      </c>
      <c r="C273" s="10" t="inlineStr">
        <is>
          <t>TBA 110kV Thịnh Long</t>
        </is>
      </c>
      <c r="D273" s="3" t="inlineStr">
        <is>
          <t>B23</t>
        </is>
      </c>
      <c r="E273" s="9" t="n"/>
      <c r="F273" s="15">
        <f>IF(E273&lt;&gt;"","Đã VH","Quy hoạch điện VIII")</f>
        <v/>
      </c>
      <c r="G273" s="16">
        <f>LEFT(B273,FIND(" ",B273,1)-1)</f>
        <v/>
      </c>
      <c r="H273" s="16">
        <f>TRIM(RIGHT(B273,LEN(B273)-FIND(" ",B273,1)))</f>
        <v/>
      </c>
      <c r="I273" s="16">
        <f>_xlfn.XLOOKUP(Table2[[#This Row],[Type]],Table5[Type],Table5[Type2])</f>
        <v/>
      </c>
      <c r="J273" s="16">
        <f>_xlfn.XLOOKUP(Table2[[#This Row],[Sym]],Zones!$A$2:$A$21,Zones!$B$2:$B$21)</f>
        <v/>
      </c>
      <c r="K273" s="21" t="n"/>
    </row>
    <row r="274">
      <c r="A274" s="24" t="n">
        <v>1489</v>
      </c>
      <c r="B274" s="10" t="inlineStr">
        <is>
          <t>T110 Yên Định</t>
        </is>
      </c>
      <c r="C274" s="10" t="inlineStr">
        <is>
          <t>TBA 110kV Yên Định</t>
        </is>
      </c>
      <c r="D274" s="3" t="inlineStr">
        <is>
          <t>B23</t>
        </is>
      </c>
      <c r="E274" s="9" t="n"/>
      <c r="F274" s="15">
        <f>IF(E274&lt;&gt;"","Đã VH","Quy hoạch điện VIII")</f>
        <v/>
      </c>
      <c r="G274" s="16">
        <f>LEFT(B274,FIND(" ",B274,1)-1)</f>
        <v/>
      </c>
      <c r="H274" s="16">
        <f>TRIM(RIGHT(B274,LEN(B274)-FIND(" ",B274,1)))</f>
        <v/>
      </c>
      <c r="I274" s="16">
        <f>_xlfn.XLOOKUP(Table2[[#This Row],[Type]],Table5[Type],Table5[Type2])</f>
        <v/>
      </c>
      <c r="J274" s="16">
        <f>_xlfn.XLOOKUP(Table2[[#This Row],[Sym]],Zones!$A$2:$A$21,Zones!$B$2:$B$21)</f>
        <v/>
      </c>
      <c r="K274" s="21" t="n"/>
    </row>
    <row r="275">
      <c r="A275" s="24" t="n">
        <v>1490</v>
      </c>
      <c r="B275" s="10" t="inlineStr">
        <is>
          <t>T110 Giao Thanh</t>
        </is>
      </c>
      <c r="C275" s="10" t="inlineStr">
        <is>
          <t>TBA 110kV Giao Thanh</t>
        </is>
      </c>
      <c r="D275" s="3" t="inlineStr">
        <is>
          <t>B23</t>
        </is>
      </c>
      <c r="E275" s="9" t="inlineStr">
        <is>
          <t>E3.26</t>
        </is>
      </c>
      <c r="F275" s="15">
        <f>IF(E275&lt;&gt;"","Đã VH","Quy hoạch điện VIII")</f>
        <v/>
      </c>
      <c r="G275" s="16">
        <f>LEFT(B275,FIND(" ",B275,1)-1)</f>
        <v/>
      </c>
      <c r="H275" s="16">
        <f>TRIM(RIGHT(B275,LEN(B275)-FIND(" ",B275,1)))</f>
        <v/>
      </c>
      <c r="I275" s="16">
        <f>_xlfn.XLOOKUP(Table2[[#This Row],[Type]],Table5[Type],Table5[Type2])</f>
        <v/>
      </c>
      <c r="J275" s="16">
        <f>_xlfn.XLOOKUP(Table2[[#This Row],[Sym]],Zones!$A$2:$A$21,Zones!$B$2:$B$21)</f>
        <v/>
      </c>
      <c r="K275" s="21" t="n"/>
    </row>
    <row r="276">
      <c r="A276" s="24" t="n">
        <v>1491</v>
      </c>
      <c r="B276" s="10" t="inlineStr">
        <is>
          <t>T110 Giao Thủy 2</t>
        </is>
      </c>
      <c r="C276" s="10" t="inlineStr">
        <is>
          <t>TBA 110kV Giao Thủy 2</t>
        </is>
      </c>
      <c r="D276" s="3" t="inlineStr">
        <is>
          <t>B23</t>
        </is>
      </c>
      <c r="E276" s="9" t="n"/>
      <c r="F276" s="15">
        <f>IF(E276&lt;&gt;"","Đã VH","Quy hoạch điện VIII")</f>
        <v/>
      </c>
      <c r="G276" s="16">
        <f>LEFT(B276,FIND(" ",B276,1)-1)</f>
        <v/>
      </c>
      <c r="H276" s="16">
        <f>TRIM(RIGHT(B276,LEN(B276)-FIND(" ",B276,1)))</f>
        <v/>
      </c>
      <c r="I276" s="16">
        <f>_xlfn.XLOOKUP(Table2[[#This Row],[Type]],Table5[Type],Table5[Type2])</f>
        <v/>
      </c>
      <c r="J276" s="16">
        <f>_xlfn.XLOOKUP(Table2[[#This Row],[Sym]],Zones!$A$2:$A$21,Zones!$B$2:$B$21)</f>
        <v/>
      </c>
      <c r="K276" s="21" t="n"/>
    </row>
    <row r="277">
      <c r="A277" s="24" t="n">
        <v>1492</v>
      </c>
      <c r="B277" s="10" t="inlineStr">
        <is>
          <t>T110 Giao Thủy 3</t>
        </is>
      </c>
      <c r="C277" s="10" t="inlineStr">
        <is>
          <t>TBA 110kV Giao Thủy 3</t>
        </is>
      </c>
      <c r="D277" s="3" t="inlineStr">
        <is>
          <t>B23</t>
        </is>
      </c>
      <c r="E277" s="9" t="n"/>
      <c r="F277" s="15">
        <f>IF(E277&lt;&gt;"","Đã VH","Quy hoạch điện VIII")</f>
        <v/>
      </c>
      <c r="G277" s="16">
        <f>LEFT(B277,FIND(" ",B277,1)-1)</f>
        <v/>
      </c>
      <c r="H277" s="16">
        <f>TRIM(RIGHT(B277,LEN(B277)-FIND(" ",B277,1)))</f>
        <v/>
      </c>
      <c r="I277" s="16">
        <f>_xlfn.XLOOKUP(Table2[[#This Row],[Type]],Table5[Type],Table5[Type2])</f>
        <v/>
      </c>
      <c r="J277" s="16">
        <f>_xlfn.XLOOKUP(Table2[[#This Row],[Sym]],Zones!$A$2:$A$21,Zones!$B$2:$B$21)</f>
        <v/>
      </c>
      <c r="K277" s="21" t="n"/>
    </row>
    <row r="278">
      <c r="A278" s="24" t="n">
        <v>1493</v>
      </c>
      <c r="B278" s="10" t="inlineStr">
        <is>
          <t>T110 Giao Thủy 5</t>
        </is>
      </c>
      <c r="C278" s="10" t="inlineStr">
        <is>
          <t>TBA 110kV Giao Thủy 5</t>
        </is>
      </c>
      <c r="D278" s="3" t="inlineStr">
        <is>
          <t>B23</t>
        </is>
      </c>
      <c r="E278" s="9" t="n"/>
      <c r="F278" s="15">
        <f>IF(E278&lt;&gt;"","Đã VH","Quy hoạch điện VIII")</f>
        <v/>
      </c>
      <c r="G278" s="16">
        <f>LEFT(B278,FIND(" ",B278,1)-1)</f>
        <v/>
      </c>
      <c r="H278" s="16">
        <f>TRIM(RIGHT(B278,LEN(B278)-FIND(" ",B278,1)))</f>
        <v/>
      </c>
      <c r="I278" s="16">
        <f>_xlfn.XLOOKUP(Table2[[#This Row],[Type]],Table5[Type],Table5[Type2])</f>
        <v/>
      </c>
      <c r="J278" s="16">
        <f>_xlfn.XLOOKUP(Table2[[#This Row],[Sym]],Zones!$A$2:$A$21,Zones!$B$2:$B$21)</f>
        <v/>
      </c>
      <c r="K278" s="21" t="n"/>
    </row>
    <row r="279">
      <c r="A279" s="24" t="n">
        <v>1494</v>
      </c>
      <c r="B279" s="10" t="inlineStr">
        <is>
          <t>T110 Giao Thủy 6</t>
        </is>
      </c>
      <c r="C279" s="10" t="inlineStr">
        <is>
          <t>TBA 110kV Giao Thủy 6</t>
        </is>
      </c>
      <c r="D279" s="3" t="inlineStr">
        <is>
          <t>B23</t>
        </is>
      </c>
      <c r="E279" s="9" t="n"/>
      <c r="F279" s="15">
        <f>IF(E279&lt;&gt;"","Đã VH","Quy hoạch điện VIII")</f>
        <v/>
      </c>
      <c r="G279" s="16">
        <f>LEFT(B279,FIND(" ",B279,1)-1)</f>
        <v/>
      </c>
      <c r="H279" s="16">
        <f>TRIM(RIGHT(B279,LEN(B279)-FIND(" ",B279,1)))</f>
        <v/>
      </c>
      <c r="I279" s="16">
        <f>_xlfn.XLOOKUP(Table2[[#This Row],[Type]],Table5[Type],Table5[Type2])</f>
        <v/>
      </c>
      <c r="J279" s="16">
        <f>_xlfn.XLOOKUP(Table2[[#This Row],[Sym]],Zones!$A$2:$A$21,Zones!$B$2:$B$21)</f>
        <v/>
      </c>
      <c r="K279" s="21" t="n"/>
    </row>
    <row r="280">
      <c r="A280" s="24" t="n">
        <v>1495</v>
      </c>
      <c r="B280" s="10" t="inlineStr">
        <is>
          <t>T110 Xuân Trường</t>
        </is>
      </c>
      <c r="C280" s="10" t="inlineStr">
        <is>
          <t>TBA 110kV Xuân Trường</t>
        </is>
      </c>
      <c r="D280" s="3" t="inlineStr">
        <is>
          <t>B23</t>
        </is>
      </c>
      <c r="E280" s="9" t="n"/>
      <c r="F280" s="15">
        <f>IF(E280&lt;&gt;"","Đã VH","Quy hoạch điện VIII")</f>
        <v/>
      </c>
      <c r="G280" s="16">
        <f>LEFT(B280,FIND(" ",B280,1)-1)</f>
        <v/>
      </c>
      <c r="H280" s="16">
        <f>TRIM(RIGHT(B280,LEN(B280)-FIND(" ",B280,1)))</f>
        <v/>
      </c>
      <c r="I280" s="16">
        <f>_xlfn.XLOOKUP(Table2[[#This Row],[Type]],Table5[Type],Table5[Type2])</f>
        <v/>
      </c>
      <c r="J280" s="16">
        <f>_xlfn.XLOOKUP(Table2[[#This Row],[Sym]],Zones!$A$2:$A$21,Zones!$B$2:$B$21)</f>
        <v/>
      </c>
      <c r="K280" s="21" t="n"/>
    </row>
    <row r="281">
      <c r="A281" s="24" t="n">
        <v>1496</v>
      </c>
      <c r="B281" s="10" t="inlineStr">
        <is>
          <t>T220 Giao Thủy</t>
        </is>
      </c>
      <c r="C281" s="10" t="inlineStr">
        <is>
          <t>TBA 220kV Giao Thủy</t>
        </is>
      </c>
      <c r="D281" s="3" t="inlineStr">
        <is>
          <t>B23</t>
        </is>
      </c>
      <c r="E281" s="9" t="n"/>
      <c r="F281" s="15">
        <f>IF(E281&lt;&gt;"","Đã VH","Quy hoạch điện VIII")</f>
        <v/>
      </c>
      <c r="G281" s="16">
        <f>LEFT(B281,FIND(" ",B281,1)-1)</f>
        <v/>
      </c>
      <c r="H281" s="16">
        <f>TRIM(RIGHT(B281,LEN(B281)-FIND(" ",B281,1)))</f>
        <v/>
      </c>
      <c r="I281" s="16">
        <f>_xlfn.XLOOKUP(Table2[[#This Row],[Type]],Table5[Type],Table5[Type2])</f>
        <v/>
      </c>
      <c r="J281" s="16">
        <f>_xlfn.XLOOKUP(Table2[[#This Row],[Sym]],Zones!$A$2:$A$21,Zones!$B$2:$B$21)</f>
        <v/>
      </c>
      <c r="K281" s="21" t="n"/>
    </row>
    <row r="282">
      <c r="A282" s="24" t="n">
        <v>1500</v>
      </c>
      <c r="B282" s="10" t="inlineStr">
        <is>
          <t>NĐ Nam Định I</t>
        </is>
      </c>
      <c r="C282" s="10" t="inlineStr">
        <is>
          <t xml:space="preserve"> Nam Định I</t>
        </is>
      </c>
      <c r="D282" s="3" t="inlineStr">
        <is>
          <t>B23</t>
        </is>
      </c>
      <c r="E282" s="9" t="n"/>
      <c r="F282" s="15">
        <f>IF(E282&lt;&gt;"","Đã VH","Quy hoạch điện VIII")</f>
        <v/>
      </c>
      <c r="G282" s="16">
        <f>LEFT(B282,FIND(" ",B282,1)-1)</f>
        <v/>
      </c>
      <c r="H282" s="16">
        <f>TRIM(RIGHT(B282,LEN(B282)-FIND(" ",B282,1)))</f>
        <v/>
      </c>
      <c r="I282" s="16">
        <f>_xlfn.XLOOKUP(Table2[[#This Row],[Type]],Table5[Type],Table5[Type2])</f>
        <v/>
      </c>
      <c r="J282" s="16">
        <f>_xlfn.XLOOKUP(Table2[[#This Row],[Sym]],Zones!$A$2:$A$21,Zones!$B$2:$B$21)</f>
        <v/>
      </c>
      <c r="K282" s="21" t="n"/>
    </row>
    <row r="283">
      <c r="A283" s="24" t="n">
        <v>1501</v>
      </c>
      <c r="B283" s="10" t="inlineStr">
        <is>
          <t>T500 Nam Định 2</t>
        </is>
      </c>
      <c r="C283" s="10" t="inlineStr">
        <is>
          <t>TBA 500kV Nam Định 2</t>
        </is>
      </c>
      <c r="D283" s="3" t="inlineStr">
        <is>
          <t>B23</t>
        </is>
      </c>
      <c r="E283" s="9" t="n"/>
      <c r="F283" s="15">
        <f>IF(E283&lt;&gt;"","Đã VH","Quy hoạch điện VIII")</f>
        <v/>
      </c>
      <c r="G283" s="16">
        <f>LEFT(B283,FIND(" ",B283,1)-1)</f>
        <v/>
      </c>
      <c r="H283" s="16">
        <f>TRIM(RIGHT(B283,LEN(B283)-FIND(" ",B283,1)))</f>
        <v/>
      </c>
      <c r="I283" s="16">
        <f>_xlfn.XLOOKUP(Table2[[#This Row],[Type]],Table5[Type],Table5[Type2])</f>
        <v/>
      </c>
      <c r="J283" s="16">
        <f>_xlfn.XLOOKUP(Table2[[#This Row],[Sym]],Zones!$A$2:$A$21,Zones!$B$2:$B$21)</f>
        <v/>
      </c>
      <c r="K283" s="21" t="n"/>
    </row>
    <row r="284">
      <c r="A284" s="24" t="n">
        <v>1540</v>
      </c>
      <c r="B284" s="10" t="inlineStr">
        <is>
          <t>T110 Việt Trì</t>
        </is>
      </c>
      <c r="C284" s="10" t="inlineStr">
        <is>
          <t>TBA 110kV Việt Trì</t>
        </is>
      </c>
      <c r="D284" s="3" t="inlineStr">
        <is>
          <t>B4</t>
        </is>
      </c>
      <c r="E284" s="9" t="inlineStr">
        <is>
          <t>E4.1</t>
        </is>
      </c>
      <c r="F284" s="15">
        <f>IF(E284&lt;&gt;"","Đã VH","Quy hoạch điện VIII")</f>
        <v/>
      </c>
      <c r="G284" s="16">
        <f>LEFT(B284,FIND(" ",B284,1)-1)</f>
        <v/>
      </c>
      <c r="H284" s="16">
        <f>TRIM(RIGHT(B284,LEN(B284)-FIND(" ",B284,1)))</f>
        <v/>
      </c>
      <c r="I284" s="16">
        <f>_xlfn.XLOOKUP(Table2[[#This Row],[Type]],Table5[Type],Table5[Type2])</f>
        <v/>
      </c>
      <c r="J284" s="16">
        <f>_xlfn.XLOOKUP(Table2[[#This Row],[Sym]],Zones!$A$2:$A$21,Zones!$B$2:$B$21)</f>
        <v/>
      </c>
      <c r="K284" s="21" t="n"/>
    </row>
    <row r="285">
      <c r="A285" s="24" t="n">
        <v>1541</v>
      </c>
      <c r="B285" s="10" t="inlineStr">
        <is>
          <t>T110 Lâm Thao</t>
        </is>
      </c>
      <c r="C285" s="10" t="inlineStr">
        <is>
          <t>TBA 110kV Lâm Thao</t>
        </is>
      </c>
      <c r="D285" s="3" t="inlineStr">
        <is>
          <t>B4</t>
        </is>
      </c>
      <c r="E285" s="9" t="inlineStr">
        <is>
          <t>E4.2</t>
        </is>
      </c>
      <c r="F285" s="15">
        <f>IF(E285&lt;&gt;"","Đã VH","Quy hoạch điện VIII")</f>
        <v/>
      </c>
      <c r="G285" s="16">
        <f>LEFT(B285,FIND(" ",B285,1)-1)</f>
        <v/>
      </c>
      <c r="H285" s="16">
        <f>TRIM(RIGHT(B285,LEN(B285)-FIND(" ",B285,1)))</f>
        <v/>
      </c>
      <c r="I285" s="16">
        <f>_xlfn.XLOOKUP(Table2[[#This Row],[Type]],Table5[Type],Table5[Type2])</f>
        <v/>
      </c>
      <c r="J285" s="16">
        <f>_xlfn.XLOOKUP(Table2[[#This Row],[Sym]],Zones!$A$2:$A$21,Zones!$B$2:$B$21)</f>
        <v/>
      </c>
      <c r="K285" s="21" t="n"/>
    </row>
    <row r="286">
      <c r="A286" s="24" t="n">
        <v>1542</v>
      </c>
      <c r="B286" s="10" t="inlineStr">
        <is>
          <t>T110 Bãi Bằng</t>
        </is>
      </c>
      <c r="C286" s="10" t="inlineStr">
        <is>
          <t>TBA 110kV Bãi Bằng</t>
        </is>
      </c>
      <c r="D286" s="3" t="inlineStr">
        <is>
          <t>B4</t>
        </is>
      </c>
      <c r="E286" s="9" t="inlineStr">
        <is>
          <t>A4.2</t>
        </is>
      </c>
      <c r="F286" s="15">
        <f>IF(E286&lt;&gt;"","Đã VH","Quy hoạch điện VIII")</f>
        <v/>
      </c>
      <c r="G286" s="16">
        <f>LEFT(B286,FIND(" ",B286,1)-1)</f>
        <v/>
      </c>
      <c r="H286" s="16">
        <f>TRIM(RIGHT(B286,LEN(B286)-FIND(" ",B286,1)))</f>
        <v/>
      </c>
      <c r="I286" s="16">
        <f>_xlfn.XLOOKUP(Table2[[#This Row],[Type]],Table5[Type],Table5[Type2])</f>
        <v/>
      </c>
      <c r="J286" s="16">
        <f>_xlfn.XLOOKUP(Table2[[#This Row],[Sym]],Zones!$A$2:$A$21,Zones!$B$2:$B$21)</f>
        <v/>
      </c>
      <c r="K286" s="21" t="n"/>
    </row>
    <row r="287">
      <c r="A287" s="24" t="n">
        <v>1543</v>
      </c>
      <c r="B287" s="10" t="inlineStr">
        <is>
          <t>T220 Việt Trì</t>
        </is>
      </c>
      <c r="C287" s="10" t="inlineStr">
        <is>
          <t>TBA 220kV Việt Trì</t>
        </is>
      </c>
      <c r="D287" s="3" t="inlineStr">
        <is>
          <t>B4</t>
        </is>
      </c>
      <c r="E287" s="9" t="inlineStr">
        <is>
          <t>E4.4</t>
        </is>
      </c>
      <c r="F287" s="15">
        <f>IF(E287&lt;&gt;"","Đã VH","Quy hoạch điện VIII")</f>
        <v/>
      </c>
      <c r="G287" s="16">
        <f>LEFT(B287,FIND(" ",B287,1)-1)</f>
        <v/>
      </c>
      <c r="H287" s="16">
        <f>TRIM(RIGHT(B287,LEN(B287)-FIND(" ",B287,1)))</f>
        <v/>
      </c>
      <c r="I287" s="16">
        <f>_xlfn.XLOOKUP(Table2[[#This Row],[Type]],Table5[Type],Table5[Type2])</f>
        <v/>
      </c>
      <c r="J287" s="16">
        <f>_xlfn.XLOOKUP(Table2[[#This Row],[Sym]],Zones!$A$2:$A$21,Zones!$B$2:$B$21)</f>
        <v/>
      </c>
      <c r="K287" s="21" t="n"/>
    </row>
    <row r="288">
      <c r="A288" s="24" t="n">
        <v>1544</v>
      </c>
      <c r="B288" s="10" t="inlineStr">
        <is>
          <t>T110 Đồng Xuân</t>
        </is>
      </c>
      <c r="C288" s="10" t="inlineStr">
        <is>
          <t>TBA 110kV Đồng Xuân</t>
        </is>
      </c>
      <c r="D288" s="3" t="inlineStr">
        <is>
          <t>B4</t>
        </is>
      </c>
      <c r="E288" s="9" t="inlineStr">
        <is>
          <t>E4.5</t>
        </is>
      </c>
      <c r="F288" s="15">
        <f>IF(E288&lt;&gt;"","Đã VH","Quy hoạch điện VIII")</f>
        <v/>
      </c>
      <c r="G288" s="16">
        <f>LEFT(B288,FIND(" ",B288,1)-1)</f>
        <v/>
      </c>
      <c r="H288" s="16">
        <f>TRIM(RIGHT(B288,LEN(B288)-FIND(" ",B288,1)))</f>
        <v/>
      </c>
      <c r="I288" s="16">
        <f>_xlfn.XLOOKUP(Table2[[#This Row],[Type]],Table5[Type],Table5[Type2])</f>
        <v/>
      </c>
      <c r="J288" s="16">
        <f>_xlfn.XLOOKUP(Table2[[#This Row],[Sym]],Zones!$A$2:$A$21,Zones!$B$2:$B$21)</f>
        <v/>
      </c>
      <c r="K288" s="21" t="n"/>
    </row>
    <row r="289">
      <c r="A289" s="24" t="n">
        <v>1545</v>
      </c>
      <c r="B289" s="10" t="inlineStr">
        <is>
          <t>T110 Bắc Việt Trì</t>
        </is>
      </c>
      <c r="C289" s="10" t="inlineStr">
        <is>
          <t>TBA 110kV Bắc Việt Trì</t>
        </is>
      </c>
      <c r="D289" s="3" t="inlineStr">
        <is>
          <t>B4</t>
        </is>
      </c>
      <c r="E289" s="9" t="inlineStr">
        <is>
          <t>E4.6</t>
        </is>
      </c>
      <c r="F289" s="15">
        <f>IF(E289&lt;&gt;"","Đã VH","Quy hoạch điện VIII")</f>
        <v/>
      </c>
      <c r="G289" s="16">
        <f>LEFT(B289,FIND(" ",B289,1)-1)</f>
        <v/>
      </c>
      <c r="H289" s="16">
        <f>TRIM(RIGHT(B289,LEN(B289)-FIND(" ",B289,1)))</f>
        <v/>
      </c>
      <c r="I289" s="16">
        <f>_xlfn.XLOOKUP(Table2[[#This Row],[Type]],Table5[Type],Table5[Type2])</f>
        <v/>
      </c>
      <c r="J289" s="16">
        <f>_xlfn.XLOOKUP(Table2[[#This Row],[Sym]],Zones!$A$2:$A$21,Zones!$B$2:$B$21)</f>
        <v/>
      </c>
      <c r="K289" s="21" t="n"/>
    </row>
    <row r="290">
      <c r="A290" s="24" t="n">
        <v>1546</v>
      </c>
      <c r="B290" s="10" t="inlineStr">
        <is>
          <t>T110 Phú Thọ</t>
        </is>
      </c>
      <c r="C290" s="10" t="inlineStr">
        <is>
          <t>TBA 110kV Phú Thọ</t>
        </is>
      </c>
      <c r="D290" s="3" t="inlineStr">
        <is>
          <t>B4</t>
        </is>
      </c>
      <c r="E290" s="9" t="inlineStr">
        <is>
          <t>E4.7</t>
        </is>
      </c>
      <c r="F290" s="15">
        <f>IF(E290&lt;&gt;"","Đã VH","Quy hoạch điện VIII")</f>
        <v/>
      </c>
      <c r="G290" s="16">
        <f>LEFT(B290,FIND(" ",B290,1)-1)</f>
        <v/>
      </c>
      <c r="H290" s="16">
        <f>TRIM(RIGHT(B290,LEN(B290)-FIND(" ",B290,1)))</f>
        <v/>
      </c>
      <c r="I290" s="16">
        <f>_xlfn.XLOOKUP(Table2[[#This Row],[Type]],Table5[Type],Table5[Type2])</f>
        <v/>
      </c>
      <c r="J290" s="16">
        <f>_xlfn.XLOOKUP(Table2[[#This Row],[Sym]],Zones!$A$2:$A$21,Zones!$B$2:$B$21)</f>
        <v/>
      </c>
      <c r="K290" s="21" t="n"/>
    </row>
    <row r="291">
      <c r="A291" s="24" t="n">
        <v>1547</v>
      </c>
      <c r="B291" s="10" t="inlineStr">
        <is>
          <t>T110 Phố Vàng</t>
        </is>
      </c>
      <c r="C291" s="10" t="inlineStr">
        <is>
          <t>TBA 110kV Phố Vàng</t>
        </is>
      </c>
      <c r="D291" s="3" t="inlineStr">
        <is>
          <t>B4</t>
        </is>
      </c>
      <c r="E291" s="9" t="inlineStr">
        <is>
          <t>E4.8</t>
        </is>
      </c>
      <c r="F291" s="15">
        <f>IF(E291&lt;&gt;"","Đã VH","Quy hoạch điện VIII")</f>
        <v/>
      </c>
      <c r="G291" s="16">
        <f>LEFT(B291,FIND(" ",B291,1)-1)</f>
        <v/>
      </c>
      <c r="H291" s="16">
        <f>TRIM(RIGHT(B291,LEN(B291)-FIND(" ",B291,1)))</f>
        <v/>
      </c>
      <c r="I291" s="16">
        <f>_xlfn.XLOOKUP(Table2[[#This Row],[Type]],Table5[Type],Table5[Type2])</f>
        <v/>
      </c>
      <c r="J291" s="16">
        <f>_xlfn.XLOOKUP(Table2[[#This Row],[Sym]],Zones!$A$2:$A$21,Zones!$B$2:$B$21)</f>
        <v/>
      </c>
      <c r="K291" s="21" t="n"/>
    </row>
    <row r="292">
      <c r="A292" s="24" t="n">
        <v>1548</v>
      </c>
      <c r="B292" s="10" t="inlineStr">
        <is>
          <t>T110 Ninh Dân</t>
        </is>
      </c>
      <c r="C292" s="10" t="inlineStr">
        <is>
          <t>TBA 110kV Ninh Dân</t>
        </is>
      </c>
      <c r="D292" s="3" t="inlineStr">
        <is>
          <t>B4</t>
        </is>
      </c>
      <c r="E292" s="9" t="inlineStr">
        <is>
          <t>E4.9</t>
        </is>
      </c>
      <c r="F292" s="15">
        <f>IF(E292&lt;&gt;"","Đã VH","Quy hoạch điện VIII")</f>
        <v/>
      </c>
      <c r="G292" s="16">
        <f>LEFT(B292,FIND(" ",B292,1)-1)</f>
        <v/>
      </c>
      <c r="H292" s="16">
        <f>TRIM(RIGHT(B292,LEN(B292)-FIND(" ",B292,1)))</f>
        <v/>
      </c>
      <c r="I292" s="16">
        <f>_xlfn.XLOOKUP(Table2[[#This Row],[Type]],Table5[Type],Table5[Type2])</f>
        <v/>
      </c>
      <c r="J292" s="16">
        <f>_xlfn.XLOOKUP(Table2[[#This Row],[Sym]],Zones!$A$2:$A$21,Zones!$B$2:$B$21)</f>
        <v/>
      </c>
      <c r="K292" s="21" t="n"/>
    </row>
    <row r="293">
      <c r="A293" s="24" t="n">
        <v>1549</v>
      </c>
      <c r="B293" s="10" t="inlineStr">
        <is>
          <t>T110 Phù Ninh</t>
        </is>
      </c>
      <c r="C293" s="10" t="inlineStr">
        <is>
          <t>TBA 110kV Phù Ninh</t>
        </is>
      </c>
      <c r="D293" s="3" t="inlineStr">
        <is>
          <t>B4</t>
        </is>
      </c>
      <c r="E293" s="9" t="inlineStr">
        <is>
          <t>E4.10</t>
        </is>
      </c>
      <c r="F293" s="15">
        <f>IF(E293&lt;&gt;"","Đã VH","Quy hoạch điện VIII")</f>
        <v/>
      </c>
      <c r="G293" s="16">
        <f>LEFT(B293,FIND(" ",B293,1)-1)</f>
        <v/>
      </c>
      <c r="H293" s="16">
        <f>TRIM(RIGHT(B293,LEN(B293)-FIND(" ",B293,1)))</f>
        <v/>
      </c>
      <c r="I293" s="16">
        <f>_xlfn.XLOOKUP(Table2[[#This Row],[Type]],Table5[Type],Table5[Type2])</f>
        <v/>
      </c>
      <c r="J293" s="16">
        <f>_xlfn.XLOOKUP(Table2[[#This Row],[Sym]],Zones!$A$2:$A$21,Zones!$B$2:$B$21)</f>
        <v/>
      </c>
      <c r="K293" s="21" t="n"/>
    </row>
    <row r="294">
      <c r="A294" s="24" t="n">
        <v>1550</v>
      </c>
      <c r="B294" s="10" t="inlineStr">
        <is>
          <t>T110 Trung Hà</t>
        </is>
      </c>
      <c r="C294" s="10" t="inlineStr">
        <is>
          <t>TBA 110kV Trung Hà</t>
        </is>
      </c>
      <c r="D294" s="3" t="inlineStr">
        <is>
          <t>B4</t>
        </is>
      </c>
      <c r="E294" s="9" t="inlineStr">
        <is>
          <t>E4.11</t>
        </is>
      </c>
      <c r="F294" s="15">
        <f>IF(E294&lt;&gt;"","Đã VH","Quy hoạch điện VIII")</f>
        <v/>
      </c>
      <c r="G294" s="16">
        <f>LEFT(B294,FIND(" ",B294,1)-1)</f>
        <v/>
      </c>
      <c r="H294" s="16">
        <f>TRIM(RIGHT(B294,LEN(B294)-FIND(" ",B294,1)))</f>
        <v/>
      </c>
      <c r="I294" s="16">
        <f>_xlfn.XLOOKUP(Table2[[#This Row],[Type]],Table5[Type],Table5[Type2])</f>
        <v/>
      </c>
      <c r="J294" s="16">
        <f>_xlfn.XLOOKUP(Table2[[#This Row],[Sym]],Zones!$A$2:$A$21,Zones!$B$2:$B$21)</f>
        <v/>
      </c>
      <c r="K294" s="21" t="n"/>
    </row>
    <row r="295">
      <c r="A295" s="24" t="n">
        <v>1551</v>
      </c>
      <c r="B295" s="10" t="inlineStr">
        <is>
          <t>T110 Cẩm Khê</t>
        </is>
      </c>
      <c r="C295" s="10" t="inlineStr">
        <is>
          <t>TBA 110kV Cẩm Khê</t>
        </is>
      </c>
      <c r="D295" s="3" t="inlineStr">
        <is>
          <t>B4</t>
        </is>
      </c>
      <c r="E295" s="9" t="inlineStr">
        <is>
          <t>E4.13</t>
        </is>
      </c>
      <c r="F295" s="15">
        <f>IF(E295&lt;&gt;"","Đã VH","Quy hoạch điện VIII")</f>
        <v/>
      </c>
      <c r="G295" s="16">
        <f>LEFT(B295,FIND(" ",B295,1)-1)</f>
        <v/>
      </c>
      <c r="H295" s="16">
        <f>TRIM(RIGHT(B295,LEN(B295)-FIND(" ",B295,1)))</f>
        <v/>
      </c>
      <c r="I295" s="16">
        <f>_xlfn.XLOOKUP(Table2[[#This Row],[Type]],Table5[Type],Table5[Type2])</f>
        <v/>
      </c>
      <c r="J295" s="16">
        <f>_xlfn.XLOOKUP(Table2[[#This Row],[Sym]],Zones!$A$2:$A$21,Zones!$B$2:$B$21)</f>
        <v/>
      </c>
      <c r="K295" s="21" t="n"/>
    </row>
    <row r="296">
      <c r="A296" s="24" t="n">
        <v>1552</v>
      </c>
      <c r="B296" s="10" t="inlineStr">
        <is>
          <t>T110 Tam Nông</t>
        </is>
      </c>
      <c r="C296" s="10" t="inlineStr">
        <is>
          <t>TBA 110kV Tam Nông</t>
        </is>
      </c>
      <c r="D296" s="3" t="inlineStr">
        <is>
          <t>B4</t>
        </is>
      </c>
      <c r="E296" s="9" t="inlineStr">
        <is>
          <t>E4.16</t>
        </is>
      </c>
      <c r="F296" s="15">
        <f>IF(E296&lt;&gt;"","Đã VH","Quy hoạch điện VIII")</f>
        <v/>
      </c>
      <c r="G296" s="16">
        <f>LEFT(B296,FIND(" ",B296,1)-1)</f>
        <v/>
      </c>
      <c r="H296" s="16">
        <f>TRIM(RIGHT(B296,LEN(B296)-FIND(" ",B296,1)))</f>
        <v/>
      </c>
      <c r="I296" s="16">
        <f>_xlfn.XLOOKUP(Table2[[#This Row],[Type]],Table5[Type],Table5[Type2])</f>
        <v/>
      </c>
      <c r="J296" s="16">
        <f>_xlfn.XLOOKUP(Table2[[#This Row],[Sym]],Zones!$A$2:$A$21,Zones!$B$2:$B$21)</f>
        <v/>
      </c>
      <c r="K296" s="21" t="n"/>
    </row>
    <row r="297">
      <c r="A297" s="24" t="n">
        <v>1553</v>
      </c>
      <c r="B297" s="10" t="inlineStr">
        <is>
          <t>T110 Thụy Vân</t>
        </is>
      </c>
      <c r="C297" s="10" t="inlineStr">
        <is>
          <t>TBA 110kV Thụy Vân</t>
        </is>
      </c>
      <c r="D297" s="3" t="inlineStr">
        <is>
          <t>B4</t>
        </is>
      </c>
      <c r="E297" s="9" t="inlineStr">
        <is>
          <t>E4.17</t>
        </is>
      </c>
      <c r="F297" s="15">
        <f>IF(E297&lt;&gt;"","Đã VH","Quy hoạch điện VIII")</f>
        <v/>
      </c>
      <c r="G297" s="16">
        <f>LEFT(B297,FIND(" ",B297,1)-1)</f>
        <v/>
      </c>
      <c r="H297" s="16">
        <f>TRIM(RIGHT(B297,LEN(B297)-FIND(" ",B297,1)))</f>
        <v/>
      </c>
      <c r="I297" s="16">
        <f>_xlfn.XLOOKUP(Table2[[#This Row],[Type]],Table5[Type],Table5[Type2])</f>
        <v/>
      </c>
      <c r="J297" s="16">
        <f>_xlfn.XLOOKUP(Table2[[#This Row],[Sym]],Zones!$A$2:$A$21,Zones!$B$2:$B$21)</f>
        <v/>
      </c>
      <c r="K297" s="21" t="n"/>
    </row>
    <row r="298">
      <c r="A298" s="24" t="n">
        <v>1554</v>
      </c>
      <c r="B298" s="10" t="inlineStr">
        <is>
          <t>T110 Đoan Hùng</t>
        </is>
      </c>
      <c r="C298" s="10" t="inlineStr">
        <is>
          <t>TBA 110kV Đoan Hùng</t>
        </is>
      </c>
      <c r="D298" s="3" t="inlineStr">
        <is>
          <t>B4</t>
        </is>
      </c>
      <c r="E298" s="9" t="inlineStr">
        <is>
          <t>E4.14</t>
        </is>
      </c>
      <c r="F298" s="15">
        <f>IF(E298&lt;&gt;"","Đã VH","Quy hoạch điện VIII")</f>
        <v/>
      </c>
      <c r="G298" s="16">
        <f>LEFT(B298,FIND(" ",B298,1)-1)</f>
        <v/>
      </c>
      <c r="H298" s="16">
        <f>TRIM(RIGHT(B298,LEN(B298)-FIND(" ",B298,1)))</f>
        <v/>
      </c>
      <c r="I298" s="16">
        <f>_xlfn.XLOOKUP(Table2[[#This Row],[Type]],Table5[Type],Table5[Type2])</f>
        <v/>
      </c>
      <c r="J298" s="16">
        <f>_xlfn.XLOOKUP(Table2[[#This Row],[Sym]],Zones!$A$2:$A$21,Zones!$B$2:$B$21)</f>
        <v/>
      </c>
      <c r="K298" s="21" t="n"/>
    </row>
    <row r="299">
      <c r="A299" s="24" t="n">
        <v>1555</v>
      </c>
      <c r="B299" s="10" t="inlineStr">
        <is>
          <t>T110 Việt Trì 2</t>
        </is>
      </c>
      <c r="C299" s="10" t="inlineStr">
        <is>
          <t>TBA 110kV Việt Trì 2</t>
        </is>
      </c>
      <c r="D299" s="3" t="inlineStr">
        <is>
          <t>B4</t>
        </is>
      </c>
      <c r="E299" s="9" t="inlineStr">
        <is>
          <t>E4.18</t>
        </is>
      </c>
      <c r="F299" s="15">
        <f>IF(E299&lt;&gt;"","Đã VH","Quy hoạch điện VIII")</f>
        <v/>
      </c>
      <c r="G299" s="16">
        <f>LEFT(B299,FIND(" ",B299,1)-1)</f>
        <v/>
      </c>
      <c r="H299" s="16">
        <f>TRIM(RIGHT(B299,LEN(B299)-FIND(" ",B299,1)))</f>
        <v/>
      </c>
      <c r="I299" s="16">
        <f>_xlfn.XLOOKUP(Table2[[#This Row],[Type]],Table5[Type],Table5[Type2])</f>
        <v/>
      </c>
      <c r="J299" s="16">
        <f>_xlfn.XLOOKUP(Table2[[#This Row],[Sym]],Zones!$A$2:$A$21,Zones!$B$2:$B$21)</f>
        <v/>
      </c>
      <c r="K299" s="21" t="n"/>
    </row>
    <row r="300">
      <c r="A300" s="24" t="n">
        <v>1556</v>
      </c>
      <c r="B300" s="10" t="inlineStr">
        <is>
          <t>T110 Phù Ninh 2</t>
        </is>
      </c>
      <c r="C300" s="10" t="inlineStr">
        <is>
          <t>TBA 110kV Phù Ninh 2</t>
        </is>
      </c>
      <c r="D300" s="3" t="inlineStr">
        <is>
          <t>B4</t>
        </is>
      </c>
      <c r="E300" s="9" t="n"/>
      <c r="F300" s="15">
        <f>IF(E300&lt;&gt;"","Đã VH","Quy hoạch điện VIII")</f>
        <v/>
      </c>
      <c r="G300" s="16">
        <f>LEFT(B300,FIND(" ",B300,1)-1)</f>
        <v/>
      </c>
      <c r="H300" s="16">
        <f>TRIM(RIGHT(B300,LEN(B300)-FIND(" ",B300,1)))</f>
        <v/>
      </c>
      <c r="I300" s="16">
        <f>_xlfn.XLOOKUP(Table2[[#This Row],[Type]],Table5[Type],Table5[Type2])</f>
        <v/>
      </c>
      <c r="J300" s="16">
        <f>_xlfn.XLOOKUP(Table2[[#This Row],[Sym]],Zones!$A$2:$A$21,Zones!$B$2:$B$21)</f>
        <v/>
      </c>
      <c r="K300" s="21" t="n"/>
    </row>
    <row r="301">
      <c r="A301" s="24" t="n">
        <v>1557</v>
      </c>
      <c r="B301" s="10" t="inlineStr">
        <is>
          <t>T110 Cẩm Khê 2</t>
        </is>
      </c>
      <c r="C301" s="10" t="inlineStr">
        <is>
          <t>TBA 110kV Cẩm Khê 2</t>
        </is>
      </c>
      <c r="D301" s="3" t="inlineStr">
        <is>
          <t>B4</t>
        </is>
      </c>
      <c r="E301" s="9" t="inlineStr">
        <is>
          <t>E4.19</t>
        </is>
      </c>
      <c r="F301" s="15">
        <f>IF(E301&lt;&gt;"","Đã VH","Quy hoạch điện VIII")</f>
        <v/>
      </c>
      <c r="G301" s="16">
        <f>LEFT(B301,FIND(" ",B301,1)-1)</f>
        <v/>
      </c>
      <c r="H301" s="16">
        <f>TRIM(RIGHT(B301,LEN(B301)-FIND(" ",B301,1)))</f>
        <v/>
      </c>
      <c r="I301" s="16">
        <f>_xlfn.XLOOKUP(Table2[[#This Row],[Type]],Table5[Type],Table5[Type2])</f>
        <v/>
      </c>
      <c r="J301" s="16">
        <f>_xlfn.XLOOKUP(Table2[[#This Row],[Sym]],Zones!$A$2:$A$21,Zones!$B$2:$B$21)</f>
        <v/>
      </c>
      <c r="K301" s="21" t="n"/>
    </row>
    <row r="302">
      <c r="A302" s="24" t="n">
        <v>1558</v>
      </c>
      <c r="B302" s="10" t="inlineStr">
        <is>
          <t>T110 Phú Hà</t>
        </is>
      </c>
      <c r="C302" s="10" t="inlineStr">
        <is>
          <t>TBA 110kV Phú Hà</t>
        </is>
      </c>
      <c r="D302" s="3" t="inlineStr">
        <is>
          <t>B4</t>
        </is>
      </c>
      <c r="E302" s="9" t="inlineStr">
        <is>
          <t>E4.22</t>
        </is>
      </c>
      <c r="F302" s="15">
        <f>IF(E302&lt;&gt;"","Đã VH","Quy hoạch điện VIII")</f>
        <v/>
      </c>
      <c r="G302" s="16">
        <f>LEFT(B302,FIND(" ",B302,1)-1)</f>
        <v/>
      </c>
      <c r="H302" s="16">
        <f>TRIM(RIGHT(B302,LEN(B302)-FIND(" ",B302,1)))</f>
        <v/>
      </c>
      <c r="I302" s="16">
        <f>_xlfn.XLOOKUP(Table2[[#This Row],[Type]],Table5[Type],Table5[Type2])</f>
        <v/>
      </c>
      <c r="J302" s="16">
        <f>_xlfn.XLOOKUP(Table2[[#This Row],[Sym]],Zones!$A$2:$A$21,Zones!$B$2:$B$21)</f>
        <v/>
      </c>
      <c r="K302" s="21" t="n"/>
    </row>
    <row r="303">
      <c r="A303" s="24" t="n">
        <v>1559</v>
      </c>
      <c r="B303" s="10" t="inlineStr">
        <is>
          <t>T110 Thanh Thủy</t>
        </is>
      </c>
      <c r="C303" s="10" t="inlineStr">
        <is>
          <t>TBA 110kV Thanh Thủy</t>
        </is>
      </c>
      <c r="D303" s="3" t="inlineStr">
        <is>
          <t>B4</t>
        </is>
      </c>
      <c r="E303" s="9" t="inlineStr">
        <is>
          <t>E4.21</t>
        </is>
      </c>
      <c r="F303" s="15">
        <f>IF(E303&lt;&gt;"","Đã VH","Quy hoạch điện VIII")</f>
        <v/>
      </c>
      <c r="G303" s="16">
        <f>LEFT(B303,FIND(" ",B303,1)-1)</f>
        <v/>
      </c>
      <c r="H303" s="16">
        <f>TRIM(RIGHT(B303,LEN(B303)-FIND(" ",B303,1)))</f>
        <v/>
      </c>
      <c r="I303" s="16">
        <f>_xlfn.XLOOKUP(Table2[[#This Row],[Type]],Table5[Type],Table5[Type2])</f>
        <v/>
      </c>
      <c r="J303" s="16">
        <f>_xlfn.XLOOKUP(Table2[[#This Row],[Sym]],Zones!$A$2:$A$21,Zones!$B$2:$B$21)</f>
        <v/>
      </c>
      <c r="K303" s="21" t="n"/>
    </row>
    <row r="304">
      <c r="A304" s="24" t="n">
        <v>1560</v>
      </c>
      <c r="B304" s="10" t="inlineStr">
        <is>
          <t>T110 Hạ Hòa</t>
        </is>
      </c>
      <c r="C304" s="10" t="inlineStr">
        <is>
          <t>TBA 110kV Hạ Hòa</t>
        </is>
      </c>
      <c r="D304" s="3" t="inlineStr">
        <is>
          <t>B4</t>
        </is>
      </c>
      <c r="E304" s="9" t="inlineStr">
        <is>
          <t>E4.23</t>
        </is>
      </c>
      <c r="F304" s="15">
        <f>IF(E304&lt;&gt;"","Đã VH","Quy hoạch điện VIII")</f>
        <v/>
      </c>
      <c r="G304" s="16">
        <f>LEFT(B304,FIND(" ",B304,1)-1)</f>
        <v/>
      </c>
      <c r="H304" s="16">
        <f>TRIM(RIGHT(B304,LEN(B304)-FIND(" ",B304,1)))</f>
        <v/>
      </c>
      <c r="I304" s="16">
        <f>_xlfn.XLOOKUP(Table2[[#This Row],[Type]],Table5[Type],Table5[Type2])</f>
        <v/>
      </c>
      <c r="J304" s="16">
        <f>_xlfn.XLOOKUP(Table2[[#This Row],[Sym]],Zones!$A$2:$A$21,Zones!$B$2:$B$21)</f>
        <v/>
      </c>
      <c r="K304" s="21" t="n"/>
    </row>
    <row r="305">
      <c r="A305" s="24" t="n">
        <v>1561</v>
      </c>
      <c r="B305" s="10" t="inlineStr">
        <is>
          <t>T500 Việt Trì</t>
        </is>
      </c>
      <c r="C305" s="10" t="inlineStr">
        <is>
          <t>TBA 500kV Việt Trì</t>
        </is>
      </c>
      <c r="D305" s="3" t="inlineStr">
        <is>
          <t>B4</t>
        </is>
      </c>
      <c r="E305" s="9" t="inlineStr">
        <is>
          <t>T500 Việt Trì</t>
        </is>
      </c>
      <c r="F305" s="15">
        <f>IF(E305&lt;&gt;"","Đã VH","Quy hoạch điện VIII")</f>
        <v/>
      </c>
      <c r="G305" s="16">
        <f>LEFT(B305,FIND(" ",B305,1)-1)</f>
        <v/>
      </c>
      <c r="H305" s="16">
        <f>TRIM(RIGHT(B305,LEN(B305)-FIND(" ",B305,1)))</f>
        <v/>
      </c>
      <c r="I305" s="16">
        <f>_xlfn.XLOOKUP(Table2[[#This Row],[Type]],Table5[Type],Table5[Type2])</f>
        <v/>
      </c>
      <c r="J305" s="16">
        <f>_xlfn.XLOOKUP(Table2[[#This Row],[Sym]],Zones!$A$2:$A$21,Zones!$B$2:$B$21)</f>
        <v/>
      </c>
      <c r="K305" s="21" t="n"/>
    </row>
    <row r="306">
      <c r="A306" s="24" t="n">
        <v>1562</v>
      </c>
      <c r="B306" s="10" t="inlineStr">
        <is>
          <t>T220 Phú Thọ</t>
        </is>
      </c>
      <c r="C306" s="10" t="inlineStr">
        <is>
          <t>TBA 220kV Phú Thọ</t>
        </is>
      </c>
      <c r="D306" s="3" t="inlineStr">
        <is>
          <t>B4</t>
        </is>
      </c>
      <c r="E306" s="9" t="inlineStr">
        <is>
          <t>E4.15</t>
        </is>
      </c>
      <c r="F306" s="15">
        <f>IF(E306&lt;&gt;"","Đã VH","Quy hoạch điện VIII")</f>
        <v/>
      </c>
      <c r="G306" s="16">
        <f>LEFT(B306,FIND(" ",B306,1)-1)</f>
        <v/>
      </c>
      <c r="H306" s="16">
        <f>TRIM(RIGHT(B306,LEN(B306)-FIND(" ",B306,1)))</f>
        <v/>
      </c>
      <c r="I306" s="16">
        <f>_xlfn.XLOOKUP(Table2[[#This Row],[Type]],Table5[Type],Table5[Type2])</f>
        <v/>
      </c>
      <c r="J306" s="16">
        <f>_xlfn.XLOOKUP(Table2[[#This Row],[Sym]],Zones!$A$2:$A$21,Zones!$B$2:$B$21)</f>
        <v/>
      </c>
      <c r="K306" s="21" t="n"/>
    </row>
    <row r="307">
      <c r="A307" s="24" t="n">
        <v>1563</v>
      </c>
      <c r="B307" s="10" t="inlineStr">
        <is>
          <t>T220 Phú Thọ 2</t>
        </is>
      </c>
      <c r="C307" s="10" t="inlineStr">
        <is>
          <t>TBA 220kV Phú Thọ 2</t>
        </is>
      </c>
      <c r="D307" s="3" t="inlineStr">
        <is>
          <t>B4</t>
        </is>
      </c>
      <c r="E307" s="9" t="n"/>
      <c r="F307" s="15">
        <f>IF(E307&lt;&gt;"","Đã VH","Quy hoạch điện VIII")</f>
        <v/>
      </c>
      <c r="G307" s="16">
        <f>LEFT(B307,FIND(" ",B307,1)-1)</f>
        <v/>
      </c>
      <c r="H307" s="16">
        <f>TRIM(RIGHT(B307,LEN(B307)-FIND(" ",B307,1)))</f>
        <v/>
      </c>
      <c r="I307" s="16">
        <f>_xlfn.XLOOKUP(Table2[[#This Row],[Type]],Table5[Type],Table5[Type2])</f>
        <v/>
      </c>
      <c r="J307" s="16">
        <f>_xlfn.XLOOKUP(Table2[[#This Row],[Sym]],Zones!$A$2:$A$21,Zones!$B$2:$B$21)</f>
        <v/>
      </c>
      <c r="K307" s="21" t="n"/>
    </row>
    <row r="308">
      <c r="A308" s="24" t="n">
        <v>1564</v>
      </c>
      <c r="B308" s="10" t="inlineStr">
        <is>
          <t>T110 Việt Trì 3</t>
        </is>
      </c>
      <c r="C308" s="10" t="inlineStr">
        <is>
          <t>TBA 110kV Việt Trì 3</t>
        </is>
      </c>
      <c r="D308" s="3" t="inlineStr">
        <is>
          <t>B4</t>
        </is>
      </c>
      <c r="E308" s="9" t="n"/>
      <c r="F308" s="15">
        <f>IF(E308&lt;&gt;"","Đã VH","Quy hoạch điện VIII")</f>
        <v/>
      </c>
      <c r="G308" s="16">
        <f>LEFT(B308,FIND(" ",B308,1)-1)</f>
        <v/>
      </c>
      <c r="H308" s="16">
        <f>TRIM(RIGHT(B308,LEN(B308)-FIND(" ",B308,1)))</f>
        <v/>
      </c>
      <c r="I308" s="16">
        <f>_xlfn.XLOOKUP(Table2[[#This Row],[Type]],Table5[Type],Table5[Type2])</f>
        <v/>
      </c>
      <c r="J308" s="16">
        <f>_xlfn.XLOOKUP(Table2[[#This Row],[Sym]],Zones!$A$2:$A$21,Zones!$B$2:$B$21)</f>
        <v/>
      </c>
      <c r="K308" s="21" t="n"/>
    </row>
    <row r="309">
      <c r="A309" s="24" t="n">
        <v>1565</v>
      </c>
      <c r="B309" s="10" t="inlineStr">
        <is>
          <t>T110 Lâm Thao 2</t>
        </is>
      </c>
      <c r="C309" s="10" t="inlineStr">
        <is>
          <t>TBA 110kV Lâm Thao 2</t>
        </is>
      </c>
      <c r="D309" s="3" t="inlineStr">
        <is>
          <t>B4</t>
        </is>
      </c>
      <c r="E309" s="9" t="n"/>
      <c r="F309" s="15">
        <f>IF(E309&lt;&gt;"","Đã VH","Quy hoạch điện VIII")</f>
        <v/>
      </c>
      <c r="G309" s="16">
        <f>LEFT(B309,FIND(" ",B309,1)-1)</f>
        <v/>
      </c>
      <c r="H309" s="16">
        <f>TRIM(RIGHT(B309,LEN(B309)-FIND(" ",B309,1)))</f>
        <v/>
      </c>
      <c r="I309" s="16">
        <f>_xlfn.XLOOKUP(Table2[[#This Row],[Type]],Table5[Type],Table5[Type2])</f>
        <v/>
      </c>
      <c r="J309" s="16">
        <f>_xlfn.XLOOKUP(Table2[[#This Row],[Sym]],Zones!$A$2:$A$21,Zones!$B$2:$B$21)</f>
        <v/>
      </c>
      <c r="K309" s="21" t="n"/>
    </row>
    <row r="310">
      <c r="A310" s="24" t="n">
        <v>1566</v>
      </c>
      <c r="B310" s="10" t="inlineStr">
        <is>
          <t>T110 Phù Ninh 3</t>
        </is>
      </c>
      <c r="C310" s="10" t="inlineStr">
        <is>
          <t>TBA 110kV Phù Ninh 3</t>
        </is>
      </c>
      <c r="D310" s="3" t="inlineStr">
        <is>
          <t>B4</t>
        </is>
      </c>
      <c r="E310" s="9" t="n"/>
      <c r="F310" s="15">
        <f>IF(E310&lt;&gt;"","Đã VH","Quy hoạch điện VIII")</f>
        <v/>
      </c>
      <c r="G310" s="16">
        <f>LEFT(B310,FIND(" ",B310,1)-1)</f>
        <v/>
      </c>
      <c r="H310" s="16">
        <f>TRIM(RIGHT(B310,LEN(B310)-FIND(" ",B310,1)))</f>
        <v/>
      </c>
      <c r="I310" s="16">
        <f>_xlfn.XLOOKUP(Table2[[#This Row],[Type]],Table5[Type],Table5[Type2])</f>
        <v/>
      </c>
      <c r="J310" s="16">
        <f>_xlfn.XLOOKUP(Table2[[#This Row],[Sym]],Zones!$A$2:$A$21,Zones!$B$2:$B$21)</f>
        <v/>
      </c>
      <c r="K310" s="21" t="n"/>
    </row>
    <row r="311">
      <c r="A311" s="24" t="n">
        <v>1567</v>
      </c>
      <c r="B311" s="10" t="inlineStr">
        <is>
          <t>T110 Phù Ninh 4</t>
        </is>
      </c>
      <c r="C311" s="10" t="inlineStr">
        <is>
          <t>TBA 110kV Phù Ninh 4</t>
        </is>
      </c>
      <c r="D311" s="3" t="inlineStr">
        <is>
          <t>B4</t>
        </is>
      </c>
      <c r="E311" s="9" t="n"/>
      <c r="F311" s="15">
        <f>IF(E311&lt;&gt;"","Đã VH","Quy hoạch điện VIII")</f>
        <v/>
      </c>
      <c r="G311" s="16">
        <f>LEFT(B311,FIND(" ",B311,1)-1)</f>
        <v/>
      </c>
      <c r="H311" s="16">
        <f>TRIM(RIGHT(B311,LEN(B311)-FIND(" ",B311,1)))</f>
        <v/>
      </c>
      <c r="I311" s="16">
        <f>_xlfn.XLOOKUP(Table2[[#This Row],[Type]],Table5[Type],Table5[Type2])</f>
        <v/>
      </c>
      <c r="J311" s="16">
        <f>_xlfn.XLOOKUP(Table2[[#This Row],[Sym]],Zones!$A$2:$A$21,Zones!$B$2:$B$21)</f>
        <v/>
      </c>
      <c r="K311" s="21" t="n"/>
    </row>
    <row r="312">
      <c r="A312" s="24" t="n">
        <v>1568</v>
      </c>
      <c r="B312" s="10" t="inlineStr">
        <is>
          <t>T110 Hạ Hòa 2</t>
        </is>
      </c>
      <c r="C312" s="10" t="inlineStr">
        <is>
          <t>TBA 110kV Hạ Hòa 2</t>
        </is>
      </c>
      <c r="D312" s="3" t="inlineStr">
        <is>
          <t>B4</t>
        </is>
      </c>
      <c r="E312" s="9" t="n"/>
      <c r="F312" s="15">
        <f>IF(E312&lt;&gt;"","Đã VH","Quy hoạch điện VIII")</f>
        <v/>
      </c>
      <c r="G312" s="16">
        <f>LEFT(B312,FIND(" ",B312,1)-1)</f>
        <v/>
      </c>
      <c r="H312" s="16">
        <f>TRIM(RIGHT(B312,LEN(B312)-FIND(" ",B312,1)))</f>
        <v/>
      </c>
      <c r="I312" s="16">
        <f>_xlfn.XLOOKUP(Table2[[#This Row],[Type]],Table5[Type],Table5[Type2])</f>
        <v/>
      </c>
      <c r="J312" s="16">
        <f>_xlfn.XLOOKUP(Table2[[#This Row],[Sym]],Zones!$A$2:$A$21,Zones!$B$2:$B$21)</f>
        <v/>
      </c>
      <c r="K312" s="21" t="n"/>
    </row>
    <row r="313">
      <c r="A313" s="24" t="n">
        <v>1569</v>
      </c>
      <c r="B313" s="10" t="inlineStr">
        <is>
          <t>T110 Đoan Hùng 2</t>
        </is>
      </c>
      <c r="C313" s="10" t="inlineStr">
        <is>
          <t>TBA 110kV Đoan Hùng 2</t>
        </is>
      </c>
      <c r="D313" s="3" t="inlineStr">
        <is>
          <t>B4</t>
        </is>
      </c>
      <c r="E313" s="9" t="n"/>
      <c r="F313" s="15">
        <f>IF(E313&lt;&gt;"","Đã VH","Quy hoạch điện VIII")</f>
        <v/>
      </c>
      <c r="G313" s="16">
        <f>LEFT(B313,FIND(" ",B313,1)-1)</f>
        <v/>
      </c>
      <c r="H313" s="16">
        <f>TRIM(RIGHT(B313,LEN(B313)-FIND(" ",B313,1)))</f>
        <v/>
      </c>
      <c r="I313" s="16">
        <f>_xlfn.XLOOKUP(Table2[[#This Row],[Type]],Table5[Type],Table5[Type2])</f>
        <v/>
      </c>
      <c r="J313" s="16">
        <f>_xlfn.XLOOKUP(Table2[[#This Row],[Sym]],Zones!$A$2:$A$21,Zones!$B$2:$B$21)</f>
        <v/>
      </c>
      <c r="K313" s="21" t="n"/>
    </row>
    <row r="314">
      <c r="A314" s="24" t="n">
        <v>1570</v>
      </c>
      <c r="B314" s="10" t="inlineStr">
        <is>
          <t>T110 Cẩm Khê 3</t>
        </is>
      </c>
      <c r="C314" s="10" t="inlineStr">
        <is>
          <t>TBA 110kV Cẩm Khê 3</t>
        </is>
      </c>
      <c r="D314" s="3" t="inlineStr">
        <is>
          <t>B4</t>
        </is>
      </c>
      <c r="E314" s="9" t="n"/>
      <c r="F314" s="15">
        <f>IF(E314&lt;&gt;"","Đã VH","Quy hoạch điện VIII")</f>
        <v/>
      </c>
      <c r="G314" s="16">
        <f>LEFT(B314,FIND(" ",B314,1)-1)</f>
        <v/>
      </c>
      <c r="H314" s="16">
        <f>TRIM(RIGHT(B314,LEN(B314)-FIND(" ",B314,1)))</f>
        <v/>
      </c>
      <c r="I314" s="16">
        <f>_xlfn.XLOOKUP(Table2[[#This Row],[Type]],Table5[Type],Table5[Type2])</f>
        <v/>
      </c>
      <c r="J314" s="16">
        <f>_xlfn.XLOOKUP(Table2[[#This Row],[Sym]],Zones!$A$2:$A$21,Zones!$B$2:$B$21)</f>
        <v/>
      </c>
      <c r="K314" s="21" t="n"/>
    </row>
    <row r="315">
      <c r="A315" s="24" t="n">
        <v>1571</v>
      </c>
      <c r="B315" s="10" t="inlineStr">
        <is>
          <t>T110 Cẩm Khê 4</t>
        </is>
      </c>
      <c r="C315" s="10" t="inlineStr">
        <is>
          <t>TBA 110kV Cẩm Khê 4</t>
        </is>
      </c>
      <c r="D315" s="3" t="inlineStr">
        <is>
          <t>B4</t>
        </is>
      </c>
      <c r="E315" s="9" t="n"/>
      <c r="F315" s="15">
        <f>IF(E315&lt;&gt;"","Đã VH","Quy hoạch điện VIII")</f>
        <v/>
      </c>
      <c r="G315" s="16">
        <f>LEFT(B315,FIND(" ",B315,1)-1)</f>
        <v/>
      </c>
      <c r="H315" s="16">
        <f>TRIM(RIGHT(B315,LEN(B315)-FIND(" ",B315,1)))</f>
        <v/>
      </c>
      <c r="I315" s="16">
        <f>_xlfn.XLOOKUP(Table2[[#This Row],[Type]],Table5[Type],Table5[Type2])</f>
        <v/>
      </c>
      <c r="J315" s="16">
        <f>_xlfn.XLOOKUP(Table2[[#This Row],[Sym]],Zones!$A$2:$A$21,Zones!$B$2:$B$21)</f>
        <v/>
      </c>
      <c r="K315" s="21" t="n"/>
    </row>
    <row r="316">
      <c r="A316" s="24" t="n">
        <v>1572</v>
      </c>
      <c r="B316" s="10" t="inlineStr">
        <is>
          <t>T110 Đoan Hùng 3</t>
        </is>
      </c>
      <c r="C316" s="10" t="inlineStr">
        <is>
          <t>TBA 110kV Đoan Hùng 3</t>
        </is>
      </c>
      <c r="D316" s="3" t="inlineStr">
        <is>
          <t>B4</t>
        </is>
      </c>
      <c r="E316" s="9" t="n"/>
      <c r="F316" s="15">
        <f>IF(E316&lt;&gt;"","Đã VH","Quy hoạch điện VIII")</f>
        <v/>
      </c>
      <c r="G316" s="16">
        <f>LEFT(B316,FIND(" ",B316,1)-1)</f>
        <v/>
      </c>
      <c r="H316" s="16">
        <f>TRIM(RIGHT(B316,LEN(B316)-FIND(" ",B316,1)))</f>
        <v/>
      </c>
      <c r="I316" s="16">
        <f>_xlfn.XLOOKUP(Table2[[#This Row],[Type]],Table5[Type],Table5[Type2])</f>
        <v/>
      </c>
      <c r="J316" s="16">
        <f>_xlfn.XLOOKUP(Table2[[#This Row],[Sym]],Zones!$A$2:$A$21,Zones!$B$2:$B$21)</f>
        <v/>
      </c>
      <c r="K316" s="21" t="n"/>
    </row>
    <row r="317">
      <c r="A317" s="24" t="n">
        <v>1573</v>
      </c>
      <c r="B317" s="10" t="inlineStr">
        <is>
          <t>T110 Hạ Hòa 3</t>
        </is>
      </c>
      <c r="C317" s="10" t="inlineStr">
        <is>
          <t>TBA 110kV Hạ Hòa 3</t>
        </is>
      </c>
      <c r="D317" s="3" t="inlineStr">
        <is>
          <t>B4</t>
        </is>
      </c>
      <c r="E317" s="9" t="n"/>
      <c r="F317" s="15">
        <f>IF(E317&lt;&gt;"","Đã VH","Quy hoạch điện VIII")</f>
        <v/>
      </c>
      <c r="G317" s="16">
        <f>LEFT(B317,FIND(" ",B317,1)-1)</f>
        <v/>
      </c>
      <c r="H317" s="16">
        <f>TRIM(RIGHT(B317,LEN(B317)-FIND(" ",B317,1)))</f>
        <v/>
      </c>
      <c r="I317" s="16">
        <f>_xlfn.XLOOKUP(Table2[[#This Row],[Type]],Table5[Type],Table5[Type2])</f>
        <v/>
      </c>
      <c r="J317" s="16">
        <f>_xlfn.XLOOKUP(Table2[[#This Row],[Sym]],Zones!$A$2:$A$21,Zones!$B$2:$B$21)</f>
        <v/>
      </c>
      <c r="K317" s="21" t="n"/>
    </row>
    <row r="318">
      <c r="A318" s="24" t="n">
        <v>1574</v>
      </c>
      <c r="B318" s="10" t="inlineStr">
        <is>
          <t>T110 Thanh Ba</t>
        </is>
      </c>
      <c r="C318" s="10" t="inlineStr">
        <is>
          <t>TBA 110kV Thanh Ba</t>
        </is>
      </c>
      <c r="D318" s="3" t="inlineStr">
        <is>
          <t>B4</t>
        </is>
      </c>
      <c r="E318" s="9" t="n"/>
      <c r="F318" s="15">
        <f>IF(E318&lt;&gt;"","Đã VH","Quy hoạch điện VIII")</f>
        <v/>
      </c>
      <c r="G318" s="16">
        <f>LEFT(B318,FIND(" ",B318,1)-1)</f>
        <v/>
      </c>
      <c r="H318" s="16">
        <f>TRIM(RIGHT(B318,LEN(B318)-FIND(" ",B318,1)))</f>
        <v/>
      </c>
      <c r="I318" s="16">
        <f>_xlfn.XLOOKUP(Table2[[#This Row],[Type]],Table5[Type],Table5[Type2])</f>
        <v/>
      </c>
      <c r="J318" s="16">
        <f>_xlfn.XLOOKUP(Table2[[#This Row],[Sym]],Zones!$A$2:$A$21,Zones!$B$2:$B$21)</f>
        <v/>
      </c>
      <c r="K318" s="21" t="n"/>
    </row>
    <row r="319">
      <c r="A319" s="24" t="n">
        <v>1575</v>
      </c>
      <c r="B319" s="10" t="inlineStr">
        <is>
          <t>T110 Bạch Hạc</t>
        </is>
      </c>
      <c r="C319" s="10" t="inlineStr">
        <is>
          <t>TBA 110kV Bạch Hạc</t>
        </is>
      </c>
      <c r="D319" s="3" t="inlineStr">
        <is>
          <t>B4</t>
        </is>
      </c>
      <c r="E319" s="9" t="n"/>
      <c r="F319" s="15">
        <f>IF(E319&lt;&gt;"","Đã VH","Quy hoạch điện VIII")</f>
        <v/>
      </c>
      <c r="G319" s="16">
        <f>LEFT(B319,FIND(" ",B319,1)-1)</f>
        <v/>
      </c>
      <c r="H319" s="16">
        <f>TRIM(RIGHT(B319,LEN(B319)-FIND(" ",B319,1)))</f>
        <v/>
      </c>
      <c r="I319" s="16">
        <f>_xlfn.XLOOKUP(Table2[[#This Row],[Type]],Table5[Type],Table5[Type2])</f>
        <v/>
      </c>
      <c r="J319" s="16">
        <f>_xlfn.XLOOKUP(Table2[[#This Row],[Sym]],Zones!$A$2:$A$21,Zones!$B$2:$B$21)</f>
        <v/>
      </c>
      <c r="K319" s="21" t="n"/>
    </row>
    <row r="320">
      <c r="A320" s="24" t="n">
        <v>1576</v>
      </c>
      <c r="B320" s="10" t="inlineStr">
        <is>
          <t>T110 Hợp Hải</t>
        </is>
      </c>
      <c r="C320" s="10" t="inlineStr">
        <is>
          <t>TBA 110kV Hợp Hải</t>
        </is>
      </c>
      <c r="D320" s="3" t="inlineStr">
        <is>
          <t>B4</t>
        </is>
      </c>
      <c r="E320" s="9" t="n"/>
      <c r="F320" s="15">
        <f>IF(E320&lt;&gt;"","Đã VH","Quy hoạch điện VIII")</f>
        <v/>
      </c>
      <c r="G320" s="16">
        <f>LEFT(B320,FIND(" ",B320,1)-1)</f>
        <v/>
      </c>
      <c r="H320" s="16">
        <f>TRIM(RIGHT(B320,LEN(B320)-FIND(" ",B320,1)))</f>
        <v/>
      </c>
      <c r="I320" s="16">
        <f>_xlfn.XLOOKUP(Table2[[#This Row],[Type]],Table5[Type],Table5[Type2])</f>
        <v/>
      </c>
      <c r="J320" s="16">
        <f>_xlfn.XLOOKUP(Table2[[#This Row],[Sym]],Zones!$A$2:$A$21,Zones!$B$2:$B$21)</f>
        <v/>
      </c>
      <c r="K320" s="21" t="n"/>
    </row>
    <row r="321">
      <c r="A321" s="24" t="n">
        <v>1577</v>
      </c>
      <c r="B321" s="10" t="inlineStr">
        <is>
          <t>T110 Yên Lập</t>
        </is>
      </c>
      <c r="C321" s="10" t="inlineStr">
        <is>
          <t>TBA 110kV Yên Lập</t>
        </is>
      </c>
      <c r="D321" s="3" t="inlineStr">
        <is>
          <t>B4</t>
        </is>
      </c>
      <c r="E321" s="9" t="n"/>
      <c r="F321" s="15">
        <f>IF(E321&lt;&gt;"","Đã VH","Quy hoạch điện VIII")</f>
        <v/>
      </c>
      <c r="G321" s="16">
        <f>LEFT(B321,FIND(" ",B321,1)-1)</f>
        <v/>
      </c>
      <c r="H321" s="16">
        <f>TRIM(RIGHT(B321,LEN(B321)-FIND(" ",B321,1)))</f>
        <v/>
      </c>
      <c r="I321" s="16">
        <f>_xlfn.XLOOKUP(Table2[[#This Row],[Type]],Table5[Type],Table5[Type2])</f>
        <v/>
      </c>
      <c r="J321" s="16">
        <f>_xlfn.XLOOKUP(Table2[[#This Row],[Sym]],Zones!$A$2:$A$21,Zones!$B$2:$B$21)</f>
        <v/>
      </c>
      <c r="K321" s="21" t="n"/>
    </row>
    <row r="322">
      <c r="A322" s="24" t="n">
        <v>1578</v>
      </c>
      <c r="B322" s="10" t="inlineStr">
        <is>
          <t>T110 Tân Sơn</t>
        </is>
      </c>
      <c r="C322" s="10" t="inlineStr">
        <is>
          <t>TBA 110kV Tân Sơn</t>
        </is>
      </c>
      <c r="D322" s="3" t="inlineStr">
        <is>
          <t>B4</t>
        </is>
      </c>
      <c r="E322" s="9" t="n"/>
      <c r="F322" s="15">
        <f>IF(E322&lt;&gt;"","Đã VH","Quy hoạch điện VIII")</f>
        <v/>
      </c>
      <c r="G322" s="16">
        <f>LEFT(B322,FIND(" ",B322,1)-1)</f>
        <v/>
      </c>
      <c r="H322" s="16">
        <f>TRIM(RIGHT(B322,LEN(B322)-FIND(" ",B322,1)))</f>
        <v/>
      </c>
      <c r="I322" s="16">
        <f>_xlfn.XLOOKUP(Table2[[#This Row],[Type]],Table5[Type],Table5[Type2])</f>
        <v/>
      </c>
      <c r="J322" s="16">
        <f>_xlfn.XLOOKUP(Table2[[#This Row],[Sym]],Zones!$A$2:$A$21,Zones!$B$2:$B$21)</f>
        <v/>
      </c>
      <c r="K322" s="21" t="n"/>
    </row>
    <row r="323">
      <c r="A323" s="24" t="n">
        <v>1579</v>
      </c>
      <c r="B323" s="10" t="inlineStr">
        <is>
          <t>T110 Thanh Ba 2</t>
        </is>
      </c>
      <c r="C323" s="10" t="inlineStr">
        <is>
          <t>TBA 110kV Thanh Ba 2</t>
        </is>
      </c>
      <c r="D323" s="3" t="inlineStr">
        <is>
          <t>B4</t>
        </is>
      </c>
      <c r="E323" s="9" t="n"/>
      <c r="F323" s="15">
        <f>IF(E323&lt;&gt;"","Đã VH","Quy hoạch điện VIII")</f>
        <v/>
      </c>
      <c r="G323" s="16">
        <f>LEFT(B323,FIND(" ",B323,1)-1)</f>
        <v/>
      </c>
      <c r="H323" s="16">
        <f>TRIM(RIGHT(B323,LEN(B323)-FIND(" ",B323,1)))</f>
        <v/>
      </c>
      <c r="I323" s="16">
        <f>_xlfn.XLOOKUP(Table2[[#This Row],[Type]],Table5[Type],Table5[Type2])</f>
        <v/>
      </c>
      <c r="J323" s="16">
        <f>_xlfn.XLOOKUP(Table2[[#This Row],[Sym]],Zones!$A$2:$A$21,Zones!$B$2:$B$21)</f>
        <v/>
      </c>
      <c r="K323" s="21" t="n"/>
    </row>
    <row r="324">
      <c r="A324" s="24" t="n">
        <v>1580</v>
      </c>
      <c r="B324" s="10" t="inlineStr">
        <is>
          <t>T220 Phú Thọ 3</t>
        </is>
      </c>
      <c r="C324" s="10" t="inlineStr">
        <is>
          <t>TBA 220kV Phú Thọ 3</t>
        </is>
      </c>
      <c r="D324" s="3" t="inlineStr">
        <is>
          <t>B4</t>
        </is>
      </c>
      <c r="E324" s="9" t="n"/>
      <c r="F324" s="15">
        <f>IF(E324&lt;&gt;"","Đã VH","Quy hoạch điện VIII")</f>
        <v/>
      </c>
      <c r="G324" s="16">
        <f>LEFT(B324,FIND(" ",B324,1)-1)</f>
        <v/>
      </c>
      <c r="H324" s="16">
        <f>TRIM(RIGHT(B324,LEN(B324)-FIND(" ",B324,1)))</f>
        <v/>
      </c>
      <c r="I324" s="16">
        <f>_xlfn.XLOOKUP(Table2[[#This Row],[Type]],Table5[Type],Table5[Type2])</f>
        <v/>
      </c>
      <c r="J324" s="16">
        <f>_xlfn.XLOOKUP(Table2[[#This Row],[Sym]],Zones!$A$2:$A$21,Zones!$B$2:$B$21)</f>
        <v/>
      </c>
      <c r="K324" s="21" t="n"/>
    </row>
    <row r="325">
      <c r="A325" s="24" t="n">
        <v>1581</v>
      </c>
      <c r="B325" s="10" t="inlineStr">
        <is>
          <t>T110 Phú Hà 2</t>
        </is>
      </c>
      <c r="C325" s="10" t="inlineStr">
        <is>
          <t>TBA 110kV Phú Hà 2</t>
        </is>
      </c>
      <c r="D325" s="3" t="inlineStr">
        <is>
          <t>B4</t>
        </is>
      </c>
      <c r="E325" s="9" t="n"/>
      <c r="F325" s="15">
        <f>IF(E325&lt;&gt;"","Đã VH","Quy hoạch điện VIII")</f>
        <v/>
      </c>
      <c r="G325" s="16">
        <f>LEFT(B325,FIND(" ",B325,1)-1)</f>
        <v/>
      </c>
      <c r="H325" s="16">
        <f>TRIM(RIGHT(B325,LEN(B325)-FIND(" ",B325,1)))</f>
        <v/>
      </c>
      <c r="I325" s="16">
        <f>_xlfn.XLOOKUP(Table2[[#This Row],[Type]],Table5[Type],Table5[Type2])</f>
        <v/>
      </c>
      <c r="J325" s="16">
        <f>_xlfn.XLOOKUP(Table2[[#This Row],[Sym]],Zones!$A$2:$A$21,Zones!$B$2:$B$21)</f>
        <v/>
      </c>
      <c r="K325" s="21" t="n"/>
    </row>
    <row r="326">
      <c r="A326" s="24" t="n">
        <v>1582</v>
      </c>
      <c r="B326" s="10" t="inlineStr">
        <is>
          <t>T110 Cẩm Khê 5</t>
        </is>
      </c>
      <c r="C326" s="10" t="inlineStr">
        <is>
          <t>TBA 110kV Cẩm Khê 5</t>
        </is>
      </c>
      <c r="D326" s="3" t="inlineStr">
        <is>
          <t>B4</t>
        </is>
      </c>
      <c r="E326" s="9" t="n"/>
      <c r="F326" s="15">
        <f>IF(E326&lt;&gt;"","Đã VH","Quy hoạch điện VIII")</f>
        <v/>
      </c>
      <c r="G326" s="16">
        <f>LEFT(B326,FIND(" ",B326,1)-1)</f>
        <v/>
      </c>
      <c r="H326" s="16">
        <f>TRIM(RIGHT(B326,LEN(B326)-FIND(" ",B326,1)))</f>
        <v/>
      </c>
      <c r="I326" s="16">
        <f>_xlfn.XLOOKUP(Table2[[#This Row],[Type]],Table5[Type],Table5[Type2])</f>
        <v/>
      </c>
      <c r="J326" s="16">
        <f>_xlfn.XLOOKUP(Table2[[#This Row],[Sym]],Zones!$A$2:$A$21,Zones!$B$2:$B$21)</f>
        <v/>
      </c>
      <c r="K326" s="21" t="n"/>
    </row>
    <row r="327">
      <c r="A327" s="24" t="n">
        <v>1583</v>
      </c>
      <c r="B327" s="10" t="inlineStr">
        <is>
          <t>T110 Thanh Sơn</t>
        </is>
      </c>
      <c r="C327" s="10" t="inlineStr">
        <is>
          <t>TBA 110kV Thanh Sơn</t>
        </is>
      </c>
      <c r="D327" s="3" t="inlineStr">
        <is>
          <t>B4</t>
        </is>
      </c>
      <c r="E327" s="9" t="n"/>
      <c r="F327" s="15">
        <f>IF(E327&lt;&gt;"","Đã VH","Quy hoạch điện VIII")</f>
        <v/>
      </c>
      <c r="G327" s="16">
        <f>LEFT(B327,FIND(" ",B327,1)-1)</f>
        <v/>
      </c>
      <c r="H327" s="16">
        <f>TRIM(RIGHT(B327,LEN(B327)-FIND(" ",B327,1)))</f>
        <v/>
      </c>
      <c r="I327" s="16">
        <f>_xlfn.XLOOKUP(Table2[[#This Row],[Type]],Table5[Type],Table5[Type2])</f>
        <v/>
      </c>
      <c r="J327" s="16">
        <f>_xlfn.XLOOKUP(Table2[[#This Row],[Sym]],Zones!$A$2:$A$21,Zones!$B$2:$B$21)</f>
        <v/>
      </c>
      <c r="K327" s="21" t="n"/>
    </row>
    <row r="328">
      <c r="A328" s="24" t="n">
        <v>1584</v>
      </c>
      <c r="B328" s="10" t="inlineStr">
        <is>
          <t>T110 Tam Nông 2</t>
        </is>
      </c>
      <c r="C328" s="10" t="inlineStr">
        <is>
          <t>TBA 110kV Tam Nông 2</t>
        </is>
      </c>
      <c r="D328" s="3" t="inlineStr">
        <is>
          <t>B4</t>
        </is>
      </c>
      <c r="E328" s="9" t="n"/>
      <c r="F328" s="15">
        <f>IF(E328&lt;&gt;"","Đã VH","Quy hoạch điện VIII")</f>
        <v/>
      </c>
      <c r="G328" s="16">
        <f>LEFT(B328,FIND(" ",B328,1)-1)</f>
        <v/>
      </c>
      <c r="H328" s="16">
        <f>TRIM(RIGHT(B328,LEN(B328)-FIND(" ",B328,1)))</f>
        <v/>
      </c>
      <c r="I328" s="16">
        <f>_xlfn.XLOOKUP(Table2[[#This Row],[Type]],Table5[Type],Table5[Type2])</f>
        <v/>
      </c>
      <c r="J328" s="16">
        <f>_xlfn.XLOOKUP(Table2[[#This Row],[Sym]],Zones!$A$2:$A$21,Zones!$B$2:$B$21)</f>
        <v/>
      </c>
      <c r="K328" s="21" t="n"/>
    </row>
    <row r="329">
      <c r="A329" s="24" t="n">
        <v>1585</v>
      </c>
      <c r="B329" s="10" t="inlineStr">
        <is>
          <t>T110 Trung Hà 2</t>
        </is>
      </c>
      <c r="C329" s="10" t="inlineStr">
        <is>
          <t>TBA 110kV Trung Hà 2</t>
        </is>
      </c>
      <c r="D329" s="3" t="inlineStr">
        <is>
          <t>B4</t>
        </is>
      </c>
      <c r="E329" s="9" t="n"/>
      <c r="F329" s="15">
        <f>IF(E329&lt;&gt;"","Đã VH","Quy hoạch điện VIII")</f>
        <v/>
      </c>
      <c r="G329" s="16">
        <f>LEFT(B329,FIND(" ",B329,1)-1)</f>
        <v/>
      </c>
      <c r="H329" s="16">
        <f>TRIM(RIGHT(B329,LEN(B329)-FIND(" ",B329,1)))</f>
        <v/>
      </c>
      <c r="I329" s="16">
        <f>_xlfn.XLOOKUP(Table2[[#This Row],[Type]],Table5[Type],Table5[Type2])</f>
        <v/>
      </c>
      <c r="J329" s="16">
        <f>_xlfn.XLOOKUP(Table2[[#This Row],[Sym]],Zones!$A$2:$A$21,Zones!$B$2:$B$21)</f>
        <v/>
      </c>
      <c r="K329" s="21" t="n"/>
    </row>
    <row r="330">
      <c r="A330" s="24" t="n">
        <v>1586</v>
      </c>
      <c r="B330" s="10" t="inlineStr">
        <is>
          <t>T110 Bãi Ba</t>
        </is>
      </c>
      <c r="C330" s="10" t="inlineStr">
        <is>
          <t>TBA 110kV Bãi Ba</t>
        </is>
      </c>
      <c r="D330" s="3" t="inlineStr">
        <is>
          <t>B4</t>
        </is>
      </c>
      <c r="E330" s="9" t="n"/>
      <c r="F330" s="15">
        <f>IF(E330&lt;&gt;"","Đã VH","Quy hoạch điện VIII")</f>
        <v/>
      </c>
      <c r="G330" s="16">
        <f>LEFT(B330,FIND(" ",B330,1)-1)</f>
        <v/>
      </c>
      <c r="H330" s="16">
        <f>TRIM(RIGHT(B330,LEN(B330)-FIND(" ",B330,1)))</f>
        <v/>
      </c>
      <c r="I330" s="16">
        <f>_xlfn.XLOOKUP(Table2[[#This Row],[Type]],Table5[Type],Table5[Type2])</f>
        <v/>
      </c>
      <c r="J330" s="16">
        <f>_xlfn.XLOOKUP(Table2[[#This Row],[Sym]],Zones!$A$2:$A$21,Zones!$B$2:$B$21)</f>
        <v/>
      </c>
      <c r="K330" s="21" t="n"/>
    </row>
    <row r="331">
      <c r="A331" s="24" t="n">
        <v>1640</v>
      </c>
      <c r="B331" s="10" t="inlineStr">
        <is>
          <t>T110 Mông Dương</t>
        </is>
      </c>
      <c r="C331" s="10" t="inlineStr">
        <is>
          <t>TBA 110kV Mông Dương</t>
        </is>
      </c>
      <c r="D331" s="3" t="inlineStr">
        <is>
          <t>B5</t>
        </is>
      </c>
      <c r="E331" s="9" t="inlineStr">
        <is>
          <t>E5.1</t>
        </is>
      </c>
      <c r="F331" s="15">
        <f>IF(E331&lt;&gt;"","Đã VH","Quy hoạch điện VIII")</f>
        <v/>
      </c>
      <c r="G331" s="16">
        <f>LEFT(B331,FIND(" ",B331,1)-1)</f>
        <v/>
      </c>
      <c r="H331" s="16">
        <f>TRIM(RIGHT(B331,LEN(B331)-FIND(" ",B331,1)))</f>
        <v/>
      </c>
      <c r="I331" s="16">
        <f>_xlfn.XLOOKUP(Table2[[#This Row],[Type]],Table5[Type],Table5[Type2])</f>
        <v/>
      </c>
      <c r="J331" s="16">
        <f>_xlfn.XLOOKUP(Table2[[#This Row],[Sym]],Zones!$A$2:$A$21,Zones!$B$2:$B$21)</f>
        <v/>
      </c>
      <c r="K331" s="21" t="n"/>
    </row>
    <row r="332">
      <c r="A332" s="24" t="n">
        <v>1641</v>
      </c>
      <c r="B332" s="10" t="inlineStr">
        <is>
          <t>T110 Giáp Khẩu</t>
        </is>
      </c>
      <c r="C332" s="10" t="inlineStr">
        <is>
          <t>TBA 110kV Giáp Khẩu</t>
        </is>
      </c>
      <c r="D332" s="3" t="inlineStr">
        <is>
          <t>B5</t>
        </is>
      </c>
      <c r="E332" s="9" t="inlineStr">
        <is>
          <t>E5.2</t>
        </is>
      </c>
      <c r="F332" s="15">
        <f>IF(E332&lt;&gt;"","Đã VH","Quy hoạch điện VIII")</f>
        <v/>
      </c>
      <c r="G332" s="16">
        <f>LEFT(B332,FIND(" ",B332,1)-1)</f>
        <v/>
      </c>
      <c r="H332" s="16">
        <f>TRIM(RIGHT(B332,LEN(B332)-FIND(" ",B332,1)))</f>
        <v/>
      </c>
      <c r="I332" s="16">
        <f>_xlfn.XLOOKUP(Table2[[#This Row],[Type]],Table5[Type],Table5[Type2])</f>
        <v/>
      </c>
      <c r="J332" s="16">
        <f>_xlfn.XLOOKUP(Table2[[#This Row],[Sym]],Zones!$A$2:$A$21,Zones!$B$2:$B$21)</f>
        <v/>
      </c>
      <c r="K332" s="21" t="n"/>
    </row>
    <row r="333">
      <c r="A333" s="24" t="n">
        <v>1642</v>
      </c>
      <c r="B333" s="10" t="inlineStr">
        <is>
          <t>NĐ Uông Bí</t>
        </is>
      </c>
      <c r="C333" s="10" t="inlineStr">
        <is>
          <t xml:space="preserve"> Uông Bí</t>
        </is>
      </c>
      <c r="D333" s="3" t="inlineStr">
        <is>
          <t>B5</t>
        </is>
      </c>
      <c r="E333" s="9" t="inlineStr">
        <is>
          <t>A53</t>
        </is>
      </c>
      <c r="F333" s="15">
        <f>IF(E333&lt;&gt;"","Đã VH","Quy hoạch điện VIII")</f>
        <v/>
      </c>
      <c r="G333" s="16">
        <f>LEFT(B333,FIND(" ",B333,1)-1)</f>
        <v/>
      </c>
      <c r="H333" s="16">
        <f>TRIM(RIGHT(B333,LEN(B333)-FIND(" ",B333,1)))</f>
        <v/>
      </c>
      <c r="I333" s="16">
        <f>_xlfn.XLOOKUP(Table2[[#This Row],[Type]],Table5[Type],Table5[Type2])</f>
        <v/>
      </c>
      <c r="J333" s="16">
        <f>_xlfn.XLOOKUP(Table2[[#This Row],[Sym]],Zones!$A$2:$A$21,Zones!$B$2:$B$21)</f>
        <v/>
      </c>
      <c r="K333" s="21" t="n"/>
    </row>
    <row r="334">
      <c r="A334" s="24" t="n">
        <v>1643</v>
      </c>
      <c r="B334" s="10" t="inlineStr">
        <is>
          <t>T110 Giếng Đáy</t>
        </is>
      </c>
      <c r="C334" s="10" t="inlineStr">
        <is>
          <t>TBA 110kV Giếng Đáy</t>
        </is>
      </c>
      <c r="D334" s="3" t="inlineStr">
        <is>
          <t>B5</t>
        </is>
      </c>
      <c r="E334" s="9" t="inlineStr">
        <is>
          <t>E5.4</t>
        </is>
      </c>
      <c r="F334" s="15">
        <f>IF(E334&lt;&gt;"","Đã VH","Quy hoạch điện VIII")</f>
        <v/>
      </c>
      <c r="G334" s="16">
        <f>LEFT(B334,FIND(" ",B334,1)-1)</f>
        <v/>
      </c>
      <c r="H334" s="16">
        <f>TRIM(RIGHT(B334,LEN(B334)-FIND(" ",B334,1)))</f>
        <v/>
      </c>
      <c r="I334" s="16">
        <f>_xlfn.XLOOKUP(Table2[[#This Row],[Type]],Table5[Type],Table5[Type2])</f>
        <v/>
      </c>
      <c r="J334" s="16">
        <f>_xlfn.XLOOKUP(Table2[[#This Row],[Sym]],Zones!$A$2:$A$21,Zones!$B$2:$B$21)</f>
        <v/>
      </c>
      <c r="K334" s="21" t="n"/>
    </row>
    <row r="335">
      <c r="A335" s="24" t="n">
        <v>1644</v>
      </c>
      <c r="B335" s="10" t="inlineStr">
        <is>
          <t>T110 Cẩm Phả</t>
        </is>
      </c>
      <c r="C335" s="10" t="inlineStr">
        <is>
          <t>TBA 110kV Cẩm Phả</t>
        </is>
      </c>
      <c r="D335" s="3" t="inlineStr">
        <is>
          <t>B5</t>
        </is>
      </c>
      <c r="E335" s="9" t="inlineStr">
        <is>
          <t>E5.5</t>
        </is>
      </c>
      <c r="F335" s="15">
        <f>IF(E335&lt;&gt;"","Đã VH","Quy hoạch điện VIII")</f>
        <v/>
      </c>
      <c r="G335" s="16">
        <f>LEFT(B335,FIND(" ",B335,1)-1)</f>
        <v/>
      </c>
      <c r="H335" s="16">
        <f>TRIM(RIGHT(B335,LEN(B335)-FIND(" ",B335,1)))</f>
        <v/>
      </c>
      <c r="I335" s="16">
        <f>_xlfn.XLOOKUP(Table2[[#This Row],[Type]],Table5[Type],Table5[Type2])</f>
        <v/>
      </c>
      <c r="J335" s="16">
        <f>_xlfn.XLOOKUP(Table2[[#This Row],[Sym]],Zones!$A$2:$A$21,Zones!$B$2:$B$21)</f>
        <v/>
      </c>
      <c r="K335" s="21" t="n"/>
    </row>
    <row r="336">
      <c r="A336" s="24" t="n">
        <v>1645</v>
      </c>
      <c r="B336" s="10" t="inlineStr">
        <is>
          <t>T110 Tiên Yên</t>
        </is>
      </c>
      <c r="C336" s="10" t="inlineStr">
        <is>
          <t>TBA 110kV Tiên Yên</t>
        </is>
      </c>
      <c r="D336" s="3" t="inlineStr">
        <is>
          <t>B5</t>
        </is>
      </c>
      <c r="E336" s="9" t="inlineStr">
        <is>
          <t>E5.6</t>
        </is>
      </c>
      <c r="F336" s="15">
        <f>IF(E336&lt;&gt;"","Đã VH","Quy hoạch điện VIII")</f>
        <v/>
      </c>
      <c r="G336" s="16">
        <f>LEFT(B336,FIND(" ",B336,1)-1)</f>
        <v/>
      </c>
      <c r="H336" s="16">
        <f>TRIM(RIGHT(B336,LEN(B336)-FIND(" ",B336,1)))</f>
        <v/>
      </c>
      <c r="I336" s="16">
        <f>_xlfn.XLOOKUP(Table2[[#This Row],[Type]],Table5[Type],Table5[Type2])</f>
        <v/>
      </c>
      <c r="J336" s="16">
        <f>_xlfn.XLOOKUP(Table2[[#This Row],[Sym]],Zones!$A$2:$A$21,Zones!$B$2:$B$21)</f>
        <v/>
      </c>
      <c r="K336" s="21" t="n"/>
    </row>
    <row r="337">
      <c r="A337" s="24" t="n">
        <v>1646</v>
      </c>
      <c r="B337" s="10" t="inlineStr">
        <is>
          <t>T110 Móng Cái</t>
        </is>
      </c>
      <c r="C337" s="10" t="inlineStr">
        <is>
          <t>TBA 110kV Móng Cái</t>
        </is>
      </c>
      <c r="D337" s="3" t="inlineStr">
        <is>
          <t>B5</t>
        </is>
      </c>
      <c r="E337" s="9" t="inlineStr">
        <is>
          <t>E5.7</t>
        </is>
      </c>
      <c r="F337" s="15">
        <f>IF(E337&lt;&gt;"","Đã VH","Quy hoạch điện VIII")</f>
        <v/>
      </c>
      <c r="G337" s="16">
        <f>LEFT(B337,FIND(" ",B337,1)-1)</f>
        <v/>
      </c>
      <c r="H337" s="16">
        <f>TRIM(RIGHT(B337,LEN(B337)-FIND(" ",B337,1)))</f>
        <v/>
      </c>
      <c r="I337" s="16">
        <f>_xlfn.XLOOKUP(Table2[[#This Row],[Type]],Table5[Type],Table5[Type2])</f>
        <v/>
      </c>
      <c r="J337" s="16">
        <f>_xlfn.XLOOKUP(Table2[[#This Row],[Sym]],Zones!$A$2:$A$21,Zones!$B$2:$B$21)</f>
        <v/>
      </c>
      <c r="K337" s="21" t="n"/>
    </row>
    <row r="338">
      <c r="A338" s="24" t="n">
        <v>1647</v>
      </c>
      <c r="B338" s="10" t="inlineStr">
        <is>
          <t>T220 Hoành Bồ</t>
        </is>
      </c>
      <c r="C338" s="10" t="inlineStr">
        <is>
          <t>TBA 220kV Hoành Bồ</t>
        </is>
      </c>
      <c r="D338" s="3" t="inlineStr">
        <is>
          <t>B5</t>
        </is>
      </c>
      <c r="E338" s="9" t="inlineStr">
        <is>
          <t>E5.8</t>
        </is>
      </c>
      <c r="F338" s="15">
        <f>IF(E338&lt;&gt;"","Đã VH","Quy hoạch điện VIII")</f>
        <v/>
      </c>
      <c r="G338" s="16">
        <f>LEFT(B338,FIND(" ",B338,1)-1)</f>
        <v/>
      </c>
      <c r="H338" s="16">
        <f>TRIM(RIGHT(B338,LEN(B338)-FIND(" ",B338,1)))</f>
        <v/>
      </c>
      <c r="I338" s="16">
        <f>_xlfn.XLOOKUP(Table2[[#This Row],[Type]],Table5[Type],Table5[Type2])</f>
        <v/>
      </c>
      <c r="J338" s="16">
        <f>_xlfn.XLOOKUP(Table2[[#This Row],[Sym]],Zones!$A$2:$A$21,Zones!$B$2:$B$21)</f>
        <v/>
      </c>
      <c r="K338" s="21" t="n"/>
    </row>
    <row r="339">
      <c r="A339" s="24" t="n">
        <v>1648</v>
      </c>
      <c r="B339" s="10" t="inlineStr">
        <is>
          <t>T220 Tràng Bạch</t>
        </is>
      </c>
      <c r="C339" s="10" t="inlineStr">
        <is>
          <t>TBA 220kV Tràng Bạch</t>
        </is>
      </c>
      <c r="D339" s="3" t="inlineStr">
        <is>
          <t>B5</t>
        </is>
      </c>
      <c r="E339" s="9" t="inlineStr">
        <is>
          <t>E5.9</t>
        </is>
      </c>
      <c r="F339" s="15">
        <f>IF(E339&lt;&gt;"","Đã VH","Quy hoạch điện VIII")</f>
        <v/>
      </c>
      <c r="G339" s="16">
        <f>LEFT(B339,FIND(" ",B339,1)-1)</f>
        <v/>
      </c>
      <c r="H339" s="16">
        <f>TRIM(RIGHT(B339,LEN(B339)-FIND(" ",B339,1)))</f>
        <v/>
      </c>
      <c r="I339" s="16">
        <f>_xlfn.XLOOKUP(Table2[[#This Row],[Type]],Table5[Type],Table5[Type2])</f>
        <v/>
      </c>
      <c r="J339" s="16">
        <f>_xlfn.XLOOKUP(Table2[[#This Row],[Sym]],Zones!$A$2:$A$21,Zones!$B$2:$B$21)</f>
        <v/>
      </c>
      <c r="K339" s="21" t="n"/>
    </row>
    <row r="340">
      <c r="A340" s="24" t="n">
        <v>1649</v>
      </c>
      <c r="B340" s="10" t="inlineStr">
        <is>
          <t>T110 Hà Tu</t>
        </is>
      </c>
      <c r="C340" s="10" t="inlineStr">
        <is>
          <t>TBA 110kV Hà Tu</t>
        </is>
      </c>
      <c r="D340" s="3" t="inlineStr">
        <is>
          <t>B5</t>
        </is>
      </c>
      <c r="E340" s="9" t="inlineStr">
        <is>
          <t>E5.10</t>
        </is>
      </c>
      <c r="F340" s="15">
        <f>IF(E340&lt;&gt;"","Đã VH","Quy hoạch điện VIII")</f>
        <v/>
      </c>
      <c r="G340" s="16">
        <f>LEFT(B340,FIND(" ",B340,1)-1)</f>
        <v/>
      </c>
      <c r="H340" s="16">
        <f>TRIM(RIGHT(B340,LEN(B340)-FIND(" ",B340,1)))</f>
        <v/>
      </c>
      <c r="I340" s="16">
        <f>_xlfn.XLOOKUP(Table2[[#This Row],[Type]],Table5[Type],Table5[Type2])</f>
        <v/>
      </c>
      <c r="J340" s="16">
        <f>_xlfn.XLOOKUP(Table2[[#This Row],[Sym]],Zones!$A$2:$A$21,Zones!$B$2:$B$21)</f>
        <v/>
      </c>
      <c r="K340" s="21" t="n"/>
    </row>
    <row r="341">
      <c r="A341" s="24" t="n">
        <v>1650</v>
      </c>
      <c r="B341" s="10" t="inlineStr">
        <is>
          <t>T110 Cái Lân</t>
        </is>
      </c>
      <c r="C341" s="10" t="inlineStr">
        <is>
          <t>TBA 110kV Cái Lân</t>
        </is>
      </c>
      <c r="D341" s="3" t="inlineStr">
        <is>
          <t>B5</t>
        </is>
      </c>
      <c r="E341" s="9" t="inlineStr">
        <is>
          <t>E5.11</t>
        </is>
      </c>
      <c r="F341" s="15">
        <f>IF(E341&lt;&gt;"","Đã VH","Quy hoạch điện VIII")</f>
        <v/>
      </c>
      <c r="G341" s="16">
        <f>LEFT(B341,FIND(" ",B341,1)-1)</f>
        <v/>
      </c>
      <c r="H341" s="16">
        <f>TRIM(RIGHT(B341,LEN(B341)-FIND(" ",B341,1)))</f>
        <v/>
      </c>
      <c r="I341" s="16">
        <f>_xlfn.XLOOKUP(Table2[[#This Row],[Type]],Table5[Type],Table5[Type2])</f>
        <v/>
      </c>
      <c r="J341" s="16">
        <f>_xlfn.XLOOKUP(Table2[[#This Row],[Sym]],Zones!$A$2:$A$21,Zones!$B$2:$B$21)</f>
        <v/>
      </c>
      <c r="K341" s="21" t="n"/>
    </row>
    <row r="342">
      <c r="A342" s="24" t="n">
        <v>1651</v>
      </c>
      <c r="B342" s="10" t="inlineStr">
        <is>
          <t>T110 XM Cẩm Phả</t>
        </is>
      </c>
      <c r="C342" s="10" t="inlineStr">
        <is>
          <t>TBA 110kV XM Cẩm Phả</t>
        </is>
      </c>
      <c r="D342" s="3" t="inlineStr">
        <is>
          <t>B5</t>
        </is>
      </c>
      <c r="E342" s="9" t="inlineStr">
        <is>
          <t>E5.13</t>
        </is>
      </c>
      <c r="F342" s="15">
        <f>IF(E342&lt;&gt;"","Đã VH","Quy hoạch điện VIII")</f>
        <v/>
      </c>
      <c r="G342" s="16">
        <f>LEFT(B342,FIND(" ",B342,1)-1)</f>
        <v/>
      </c>
      <c r="H342" s="16">
        <f>TRIM(RIGHT(B342,LEN(B342)-FIND(" ",B342,1)))</f>
        <v/>
      </c>
      <c r="I342" s="16">
        <f>_xlfn.XLOOKUP(Table2[[#This Row],[Type]],Table5[Type],Table5[Type2])</f>
        <v/>
      </c>
      <c r="J342" s="16">
        <f>_xlfn.XLOOKUP(Table2[[#This Row],[Sym]],Zones!$A$2:$A$21,Zones!$B$2:$B$21)</f>
        <v/>
      </c>
      <c r="K342" s="21" t="n"/>
    </row>
    <row r="343">
      <c r="A343" s="24" t="n">
        <v>1652</v>
      </c>
      <c r="B343" s="10" t="inlineStr">
        <is>
          <t>T110 XM Thăng Long</t>
        </is>
      </c>
      <c r="C343" s="32" t="inlineStr">
        <is>
          <t>TBA 110kV XM Thăng Long</t>
        </is>
      </c>
      <c r="D343" s="3" t="inlineStr">
        <is>
          <t>B5</t>
        </is>
      </c>
      <c r="E343" s="9" t="inlineStr">
        <is>
          <t>E5.14</t>
        </is>
      </c>
      <c r="F343" s="15">
        <f>IF(E343&lt;&gt;"","Đã VH","Quy hoạch điện VIII")</f>
        <v/>
      </c>
      <c r="G343" s="16">
        <f>LEFT(B343,FIND(" ",B343,1)-1)</f>
        <v/>
      </c>
      <c r="H343" s="16">
        <f>TRIM(RIGHT(B343,LEN(B343)-FIND(" ",B343,1)))</f>
        <v/>
      </c>
      <c r="I343" s="16">
        <f>_xlfn.XLOOKUP(Table2[[#This Row],[Type]],Table5[Type],Table5[Type2])</f>
        <v/>
      </c>
      <c r="J343" s="16">
        <f>_xlfn.XLOOKUP(Table2[[#This Row],[Sym]],Zones!$A$2:$A$21,Zones!$B$2:$B$21)</f>
        <v/>
      </c>
      <c r="K343" s="21" t="n"/>
      <c r="AA343" t="inlineStr">
        <is>
          <t>Đã sửa từ dashboard (TBA 110kV XM Thăng Long ➔ TBA 110kV Thăng Long)</t>
        </is>
      </c>
    </row>
    <row r="344">
      <c r="A344" s="24" t="n">
        <v>1653</v>
      </c>
      <c r="B344" s="10" t="inlineStr">
        <is>
          <t>T110 Uông Bí 2</t>
        </is>
      </c>
      <c r="C344" s="10" t="inlineStr">
        <is>
          <t>TBA 110kV Uông Bí 2</t>
        </is>
      </c>
      <c r="D344" s="3" t="inlineStr">
        <is>
          <t>B5</t>
        </is>
      </c>
      <c r="E344" s="9" t="inlineStr">
        <is>
          <t>E5.16</t>
        </is>
      </c>
      <c r="F344" s="15">
        <f>IF(E344&lt;&gt;"","Đã VH","Quy hoạch điện VIII")</f>
        <v/>
      </c>
      <c r="G344" s="16">
        <f>LEFT(B344,FIND(" ",B344,1)-1)</f>
        <v/>
      </c>
      <c r="H344" s="16">
        <f>TRIM(RIGHT(B344,LEN(B344)-FIND(" ",B344,1)))</f>
        <v/>
      </c>
      <c r="I344" s="16">
        <f>_xlfn.XLOOKUP(Table2[[#This Row],[Type]],Table5[Type],Table5[Type2])</f>
        <v/>
      </c>
      <c r="J344" s="16">
        <f>_xlfn.XLOOKUP(Table2[[#This Row],[Sym]],Zones!$A$2:$A$21,Zones!$B$2:$B$21)</f>
        <v/>
      </c>
      <c r="K344" s="21" t="n"/>
    </row>
    <row r="345">
      <c r="A345" s="24" t="n">
        <v>1654</v>
      </c>
      <c r="B345" s="10" t="inlineStr">
        <is>
          <t>T110 XM Hạ Long</t>
        </is>
      </c>
      <c r="C345" s="10" t="inlineStr">
        <is>
          <t>TBA 110kV XM Hạ Long</t>
        </is>
      </c>
      <c r="D345" s="3" t="inlineStr">
        <is>
          <t>B5</t>
        </is>
      </c>
      <c r="E345" s="9" t="inlineStr">
        <is>
          <t>E5.17</t>
        </is>
      </c>
      <c r="F345" s="15">
        <f>IF(E345&lt;&gt;"","Đã VH","Quy hoạch điện VIII")</f>
        <v/>
      </c>
      <c r="G345" s="16">
        <f>LEFT(B345,FIND(" ",B345,1)-1)</f>
        <v/>
      </c>
      <c r="H345" s="16">
        <f>TRIM(RIGHT(B345,LEN(B345)-FIND(" ",B345,1)))</f>
        <v/>
      </c>
      <c r="I345" s="16">
        <f>_xlfn.XLOOKUP(Table2[[#This Row],[Type]],Table5[Type],Table5[Type2])</f>
        <v/>
      </c>
      <c r="J345" s="16">
        <f>_xlfn.XLOOKUP(Table2[[#This Row],[Sym]],Zones!$A$2:$A$21,Zones!$B$2:$B$21)</f>
        <v/>
      </c>
      <c r="K345" s="21" t="n"/>
    </row>
    <row r="346">
      <c r="A346" s="24" t="n">
        <v>1655</v>
      </c>
      <c r="B346" s="10" t="inlineStr">
        <is>
          <t>T110 Quảng Hà</t>
        </is>
      </c>
      <c r="C346" s="10" t="inlineStr">
        <is>
          <t>TBA 110kV Quảng Hà</t>
        </is>
      </c>
      <c r="D346" s="3" t="inlineStr">
        <is>
          <t>B5</t>
        </is>
      </c>
      <c r="E346" s="9" t="inlineStr">
        <is>
          <t>E5.19</t>
        </is>
      </c>
      <c r="F346" s="15">
        <f>IF(E346&lt;&gt;"","Đã VH","Quy hoạch điện VIII")</f>
        <v/>
      </c>
      <c r="G346" s="16">
        <f>LEFT(B346,FIND(" ",B346,1)-1)</f>
        <v/>
      </c>
      <c r="H346" s="16">
        <f>TRIM(RIGHT(B346,LEN(B346)-FIND(" ",B346,1)))</f>
        <v/>
      </c>
      <c r="I346" s="16">
        <f>_xlfn.XLOOKUP(Table2[[#This Row],[Type]],Table5[Type],Table5[Type2])</f>
        <v/>
      </c>
      <c r="J346" s="16">
        <f>_xlfn.XLOOKUP(Table2[[#This Row],[Sym]],Zones!$A$2:$A$21,Zones!$B$2:$B$21)</f>
        <v/>
      </c>
      <c r="K346" s="21" t="n"/>
    </row>
    <row r="347">
      <c r="A347" s="24" t="n">
        <v>1656</v>
      </c>
      <c r="B347" s="10" t="inlineStr">
        <is>
          <t>T110 Chợ Rộc</t>
        </is>
      </c>
      <c r="C347" s="10" t="inlineStr">
        <is>
          <t>TBA 110kV Chợ Rộc</t>
        </is>
      </c>
      <c r="D347" s="3" t="inlineStr">
        <is>
          <t>B5</t>
        </is>
      </c>
      <c r="E347" s="9" t="inlineStr">
        <is>
          <t>E5.21</t>
        </is>
      </c>
      <c r="F347" s="15">
        <f>IF(E347&lt;&gt;"","Đã VH","Quy hoạch điện VIII")</f>
        <v/>
      </c>
      <c r="G347" s="16">
        <f>LEFT(B347,FIND(" ",B347,1)-1)</f>
        <v/>
      </c>
      <c r="H347" s="16">
        <f>TRIM(RIGHT(B347,LEN(B347)-FIND(" ",B347,1)))</f>
        <v/>
      </c>
      <c r="I347" s="16">
        <f>_xlfn.XLOOKUP(Table2[[#This Row],[Type]],Table5[Type],Table5[Type2])</f>
        <v/>
      </c>
      <c r="J347" s="16">
        <f>_xlfn.XLOOKUP(Table2[[#This Row],[Sym]],Zones!$A$2:$A$21,Zones!$B$2:$B$21)</f>
        <v/>
      </c>
      <c r="K347" s="21" t="n"/>
    </row>
    <row r="348">
      <c r="A348" s="24" t="n">
        <v>1657</v>
      </c>
      <c r="B348" s="10" t="inlineStr">
        <is>
          <t>T110 Cẩm Phả 2</t>
        </is>
      </c>
      <c r="C348" s="10" t="inlineStr">
        <is>
          <t>TBA 110kV Cẩm Phả 2</t>
        </is>
      </c>
      <c r="D348" s="3" t="inlineStr">
        <is>
          <t>B5</t>
        </is>
      </c>
      <c r="E348" s="9" t="inlineStr">
        <is>
          <t>E5.22</t>
        </is>
      </c>
      <c r="F348" s="15">
        <f>IF(E348&lt;&gt;"","Đã VH","Quy hoạch điện VIII")</f>
        <v/>
      </c>
      <c r="G348" s="16">
        <f>LEFT(B348,FIND(" ",B348,1)-1)</f>
        <v/>
      </c>
      <c r="H348" s="16">
        <f>TRIM(RIGHT(B348,LEN(B348)-FIND(" ",B348,1)))</f>
        <v/>
      </c>
      <c r="I348" s="16">
        <f>_xlfn.XLOOKUP(Table2[[#This Row],[Type]],Table5[Type],Table5[Type2])</f>
        <v/>
      </c>
      <c r="J348" s="16">
        <f>_xlfn.XLOOKUP(Table2[[#This Row],[Sym]],Zones!$A$2:$A$21,Zones!$B$2:$B$21)</f>
        <v/>
      </c>
      <c r="K348" s="21" t="n"/>
    </row>
    <row r="349">
      <c r="A349" s="24" t="n">
        <v>1658</v>
      </c>
      <c r="B349" s="10" t="inlineStr">
        <is>
          <t>T110 Tràng Bạch</t>
        </is>
      </c>
      <c r="C349" s="10" t="inlineStr">
        <is>
          <t>TBA 110kV Tràng Bạch</t>
        </is>
      </c>
      <c r="D349" s="3" t="inlineStr">
        <is>
          <t>B5</t>
        </is>
      </c>
      <c r="E349" s="9" t="inlineStr">
        <is>
          <t>E5.23</t>
        </is>
      </c>
      <c r="F349" s="15">
        <f>IF(E349&lt;&gt;"","Đã VH","Quy hoạch điện VIII")</f>
        <v/>
      </c>
      <c r="G349" s="16">
        <f>LEFT(B349,FIND(" ",B349,1)-1)</f>
        <v/>
      </c>
      <c r="H349" s="16">
        <f>TRIM(RIGHT(B349,LEN(B349)-FIND(" ",B349,1)))</f>
        <v/>
      </c>
      <c r="I349" s="16">
        <f>_xlfn.XLOOKUP(Table2[[#This Row],[Type]],Table5[Type],Table5[Type2])</f>
        <v/>
      </c>
      <c r="J349" s="16">
        <f>_xlfn.XLOOKUP(Table2[[#This Row],[Sym]],Zones!$A$2:$A$21,Zones!$B$2:$B$21)</f>
        <v/>
      </c>
      <c r="K349" s="21" t="n"/>
    </row>
    <row r="350">
      <c r="A350" s="24" t="n">
        <v>1659</v>
      </c>
      <c r="B350" s="10" t="inlineStr">
        <is>
          <t>T110 Texhong</t>
        </is>
      </c>
      <c r="C350" s="10" t="inlineStr">
        <is>
          <t>TBA 110kV Texhong</t>
        </is>
      </c>
      <c r="D350" s="3" t="inlineStr">
        <is>
          <t>B5</t>
        </is>
      </c>
      <c r="E350" s="9" t="inlineStr">
        <is>
          <t>E5.24</t>
        </is>
      </c>
      <c r="F350" s="15">
        <f>IF(E350&lt;&gt;"","Đã VH","Quy hoạch điện VIII")</f>
        <v/>
      </c>
      <c r="G350" s="16">
        <f>LEFT(B350,FIND(" ",B350,1)-1)</f>
        <v/>
      </c>
      <c r="H350" s="16">
        <f>TRIM(RIGHT(B350,LEN(B350)-FIND(" ",B350,1)))</f>
        <v/>
      </c>
      <c r="I350" s="16">
        <f>_xlfn.XLOOKUP(Table2[[#This Row],[Type]],Table5[Type],Table5[Type2])</f>
        <v/>
      </c>
      <c r="J350" s="16">
        <f>_xlfn.XLOOKUP(Table2[[#This Row],[Sym]],Zones!$A$2:$A$21,Zones!$B$2:$B$21)</f>
        <v/>
      </c>
      <c r="K350" s="21" t="n"/>
    </row>
    <row r="351">
      <c r="A351" s="24" t="n">
        <v>1660</v>
      </c>
      <c r="B351" s="10" t="inlineStr">
        <is>
          <t>NĐ Mạo Khê</t>
        </is>
      </c>
      <c r="C351" s="10" t="inlineStr">
        <is>
          <t xml:space="preserve"> Mạo Khê</t>
        </is>
      </c>
      <c r="D351" s="3" t="inlineStr">
        <is>
          <t>B5</t>
        </is>
      </c>
      <c r="E351" s="9" t="inlineStr">
        <is>
          <t>A5.25</t>
        </is>
      </c>
      <c r="F351" s="15">
        <f>IF(E351&lt;&gt;"","Đã VH","Quy hoạch điện VIII")</f>
        <v/>
      </c>
      <c r="G351" s="16">
        <f>LEFT(B351,FIND(" ",B351,1)-1)</f>
        <v/>
      </c>
      <c r="H351" s="16">
        <f>TRIM(RIGHT(B351,LEN(B351)-FIND(" ",B351,1)))</f>
        <v/>
      </c>
      <c r="I351" s="16">
        <f>_xlfn.XLOOKUP(Table2[[#This Row],[Type]],Table5[Type],Table5[Type2])</f>
        <v/>
      </c>
      <c r="J351" s="16">
        <f>_xlfn.XLOOKUP(Table2[[#This Row],[Sym]],Zones!$A$2:$A$21,Zones!$B$2:$B$21)</f>
        <v/>
      </c>
      <c r="K351" s="21" t="n"/>
    </row>
    <row r="352">
      <c r="A352" s="24" t="n">
        <v>1661</v>
      </c>
      <c r="B352" s="10" t="inlineStr">
        <is>
          <t>T110 Cái Dăm</t>
        </is>
      </c>
      <c r="C352" s="10" t="inlineStr">
        <is>
          <t>TBA 110kV Cái Dăm</t>
        </is>
      </c>
      <c r="D352" s="3" t="inlineStr">
        <is>
          <t>B5</t>
        </is>
      </c>
      <c r="E352" s="9" t="inlineStr">
        <is>
          <t>E5.26</t>
        </is>
      </c>
      <c r="F352" s="15">
        <f>IF(E352&lt;&gt;"","Đã VH","Quy hoạch điện VIII")</f>
        <v/>
      </c>
      <c r="G352" s="16">
        <f>LEFT(B352,FIND(" ",B352,1)-1)</f>
        <v/>
      </c>
      <c r="H352" s="16">
        <f>TRIM(RIGHT(B352,LEN(B352)-FIND(" ",B352,1)))</f>
        <v/>
      </c>
      <c r="I352" s="16">
        <f>_xlfn.XLOOKUP(Table2[[#This Row],[Type]],Table5[Type],Table5[Type2])</f>
        <v/>
      </c>
      <c r="J352" s="16">
        <f>_xlfn.XLOOKUP(Table2[[#This Row],[Sym]],Zones!$A$2:$A$21,Zones!$B$2:$B$21)</f>
        <v/>
      </c>
      <c r="K352" s="21" t="n"/>
    </row>
    <row r="353">
      <c r="A353" s="24" t="n">
        <v>1662</v>
      </c>
      <c r="B353" s="10" t="inlineStr">
        <is>
          <t>T110 Vân Đồn</t>
        </is>
      </c>
      <c r="C353" s="10" t="inlineStr">
        <is>
          <t>TBA 110kV Vân Đồn</t>
        </is>
      </c>
      <c r="D353" s="3" t="inlineStr">
        <is>
          <t>B5</t>
        </is>
      </c>
      <c r="E353" s="9" t="inlineStr">
        <is>
          <t>E5.27</t>
        </is>
      </c>
      <c r="F353" s="15">
        <f>IF(E353&lt;&gt;"","Đã VH","Quy hoạch điện VIII")</f>
        <v/>
      </c>
      <c r="G353" s="16">
        <f>LEFT(B353,FIND(" ",B353,1)-1)</f>
        <v/>
      </c>
      <c r="H353" s="16">
        <f>TRIM(RIGHT(B353,LEN(B353)-FIND(" ",B353,1)))</f>
        <v/>
      </c>
      <c r="I353" s="16">
        <f>_xlfn.XLOOKUP(Table2[[#This Row],[Type]],Table5[Type],Table5[Type2])</f>
        <v/>
      </c>
      <c r="J353" s="16">
        <f>_xlfn.XLOOKUP(Table2[[#This Row],[Sym]],Zones!$A$2:$A$21,Zones!$B$2:$B$21)</f>
        <v/>
      </c>
      <c r="K353" s="21" t="n"/>
    </row>
    <row r="354">
      <c r="A354" s="24" t="n">
        <v>1663</v>
      </c>
      <c r="B354" s="10" t="inlineStr">
        <is>
          <t>T110 Hà Lầm</t>
        </is>
      </c>
      <c r="C354" s="10" t="inlineStr">
        <is>
          <t>TBA 110kV Hà Lầm</t>
        </is>
      </c>
      <c r="D354" s="3" t="inlineStr">
        <is>
          <t>B5</t>
        </is>
      </c>
      <c r="E354" s="9" t="inlineStr">
        <is>
          <t>E5.28</t>
        </is>
      </c>
      <c r="F354" s="15">
        <f>IF(E354&lt;&gt;"","Đã VH","Quy hoạch điện VIII")</f>
        <v/>
      </c>
      <c r="G354" s="16">
        <f>LEFT(B354,FIND(" ",B354,1)-1)</f>
        <v/>
      </c>
      <c r="H354" s="16">
        <f>TRIM(RIGHT(B354,LEN(B354)-FIND(" ",B354,1)))</f>
        <v/>
      </c>
      <c r="I354" s="16">
        <f>_xlfn.XLOOKUP(Table2[[#This Row],[Type]],Table5[Type],Table5[Type2])</f>
        <v/>
      </c>
      <c r="J354" s="16">
        <f>_xlfn.XLOOKUP(Table2[[#This Row],[Sym]],Zones!$A$2:$A$21,Zones!$B$2:$B$21)</f>
        <v/>
      </c>
      <c r="K354" s="21" t="n"/>
    </row>
    <row r="355">
      <c r="A355" s="24" t="n">
        <v>1664</v>
      </c>
      <c r="B355" s="10" t="inlineStr">
        <is>
          <t>T110 KCN Hải Hà 3</t>
        </is>
      </c>
      <c r="C355" s="10" t="inlineStr">
        <is>
          <t>TBA 110kV KCN Hải Hà 3</t>
        </is>
      </c>
      <c r="D355" s="3" t="inlineStr">
        <is>
          <t>B5</t>
        </is>
      </c>
      <c r="E355" s="9" t="inlineStr">
        <is>
          <t>E5.29</t>
        </is>
      </c>
      <c r="F355" s="15">
        <f>IF(E355&lt;&gt;"","Đã VH","Quy hoạch điện VIII")</f>
        <v/>
      </c>
      <c r="G355" s="16">
        <f>LEFT(B355,FIND(" ",B355,1)-1)</f>
        <v/>
      </c>
      <c r="H355" s="16">
        <f>TRIM(RIGHT(B355,LEN(B355)-FIND(" ",B355,1)))</f>
        <v/>
      </c>
      <c r="I355" s="16">
        <f>_xlfn.XLOOKUP(Table2[[#This Row],[Type]],Table5[Type],Table5[Type2])</f>
        <v/>
      </c>
      <c r="J355" s="16">
        <f>_xlfn.XLOOKUP(Table2[[#This Row],[Sym]],Zones!$A$2:$A$21,Zones!$B$2:$B$21)</f>
        <v/>
      </c>
      <c r="K355" s="21" t="n"/>
    </row>
    <row r="356">
      <c r="A356" s="24" t="n">
        <v>1665</v>
      </c>
      <c r="B356" s="10" t="inlineStr">
        <is>
          <t>T220 Hải Hà</t>
        </is>
      </c>
      <c r="C356" s="10" t="inlineStr">
        <is>
          <t>TBA 220kV Hải Hà</t>
        </is>
      </c>
      <c r="D356" s="3" t="inlineStr">
        <is>
          <t>B5</t>
        </is>
      </c>
      <c r="E356" s="9" t="inlineStr">
        <is>
          <t>E5.30</t>
        </is>
      </c>
      <c r="F356" s="15">
        <f>IF(E356&lt;&gt;"","Đã VH","Quy hoạch điện VIII")</f>
        <v/>
      </c>
      <c r="G356" s="16">
        <f>LEFT(B356,FIND(" ",B356,1)-1)</f>
        <v/>
      </c>
      <c r="H356" s="16">
        <f>TRIM(RIGHT(B356,LEN(B356)-FIND(" ",B356,1)))</f>
        <v/>
      </c>
      <c r="I356" s="16">
        <f>_xlfn.XLOOKUP(Table2[[#This Row],[Type]],Table5[Type],Table5[Type2])</f>
        <v/>
      </c>
      <c r="J356" s="16">
        <f>_xlfn.XLOOKUP(Table2[[#This Row],[Sym]],Zones!$A$2:$A$21,Zones!$B$2:$B$21)</f>
        <v/>
      </c>
      <c r="K356" s="21" t="n"/>
    </row>
    <row r="357">
      <c r="A357" s="24" t="n">
        <v>1666</v>
      </c>
      <c r="B357" s="10" t="inlineStr">
        <is>
          <t>NĐ Mông Dương TD</t>
        </is>
      </c>
      <c r="C357" s="10" t="inlineStr">
        <is>
          <t xml:space="preserve"> Mông Dương TD</t>
        </is>
      </c>
      <c r="D357" s="3" t="inlineStr">
        <is>
          <t>B5</t>
        </is>
      </c>
      <c r="E357" s="9" t="inlineStr">
        <is>
          <t>A5.31</t>
        </is>
      </c>
      <c r="F357" s="15">
        <f>IF(E357&lt;&gt;"","Đã VH","Quy hoạch điện VIII")</f>
        <v/>
      </c>
      <c r="G357" s="16">
        <f>LEFT(B357,FIND(" ",B357,1)-1)</f>
        <v/>
      </c>
      <c r="H357" s="16">
        <f>TRIM(RIGHT(B357,LEN(B357)-FIND(" ",B357,1)))</f>
        <v/>
      </c>
      <c r="I357" s="16">
        <f>_xlfn.XLOOKUP(Table2[[#This Row],[Type]],Table5[Type],Table5[Type2])</f>
        <v/>
      </c>
      <c r="J357" s="16">
        <f>_xlfn.XLOOKUP(Table2[[#This Row],[Sym]],Zones!$A$2:$A$21,Zones!$B$2:$B$21)</f>
        <v/>
      </c>
      <c r="K357" s="21" t="n"/>
    </row>
    <row r="358">
      <c r="A358" s="24" t="n">
        <v>1667</v>
      </c>
      <c r="B358" s="10" t="inlineStr">
        <is>
          <t>T110 Khe Chàm</t>
        </is>
      </c>
      <c r="C358" s="10" t="inlineStr">
        <is>
          <t>TBA 110kV Khe Chàm</t>
        </is>
      </c>
      <c r="D358" s="3" t="inlineStr">
        <is>
          <t>B5</t>
        </is>
      </c>
      <c r="E358" s="9" t="inlineStr">
        <is>
          <t>E5.33</t>
        </is>
      </c>
      <c r="F358" s="15">
        <f>IF(E358&lt;&gt;"","Đã VH","Quy hoạch điện VIII")</f>
        <v/>
      </c>
      <c r="G358" s="16">
        <f>LEFT(B358,FIND(" ",B358,1)-1)</f>
        <v/>
      </c>
      <c r="H358" s="16">
        <f>TRIM(RIGHT(B358,LEN(B358)-FIND(" ",B358,1)))</f>
        <v/>
      </c>
      <c r="I358" s="16">
        <f>_xlfn.XLOOKUP(Table2[[#This Row],[Type]],Table5[Type],Table5[Type2])</f>
        <v/>
      </c>
      <c r="J358" s="16">
        <f>_xlfn.XLOOKUP(Table2[[#This Row],[Sym]],Zones!$A$2:$A$21,Zones!$B$2:$B$21)</f>
        <v/>
      </c>
      <c r="K358" s="21" t="n"/>
    </row>
    <row r="359">
      <c r="A359" s="24" t="n">
        <v>1668</v>
      </c>
      <c r="B359" s="10" t="inlineStr">
        <is>
          <t>T500 Quảng Ninh</t>
        </is>
      </c>
      <c r="C359" s="10" t="inlineStr">
        <is>
          <t>TBA 500kV Quảng Ninh</t>
        </is>
      </c>
      <c r="D359" s="3" t="inlineStr">
        <is>
          <t>B5</t>
        </is>
      </c>
      <c r="E359" s="9" t="inlineStr">
        <is>
          <t>T500 Quảng Ninh</t>
        </is>
      </c>
      <c r="F359" s="15">
        <f>IF(E359&lt;&gt;"","Đã VH","Quy hoạch điện VIII")</f>
        <v/>
      </c>
      <c r="G359" s="16">
        <f>LEFT(B359,FIND(" ",B359,1)-1)</f>
        <v/>
      </c>
      <c r="H359" s="16">
        <f>TRIM(RIGHT(B359,LEN(B359)-FIND(" ",B359,1)))</f>
        <v/>
      </c>
      <c r="I359" s="16">
        <f>_xlfn.XLOOKUP(Table2[[#This Row],[Type]],Table5[Type],Table5[Type2])</f>
        <v/>
      </c>
      <c r="J359" s="16">
        <f>_xlfn.XLOOKUP(Table2[[#This Row],[Sym]],Zones!$A$2:$A$21,Zones!$B$2:$B$21)</f>
        <v/>
      </c>
      <c r="K359" s="21" t="n"/>
    </row>
    <row r="360">
      <c r="A360" s="24" t="n">
        <v>1669</v>
      </c>
      <c r="B360" s="10" t="inlineStr">
        <is>
          <t>NĐ Cẩm Phả</t>
        </is>
      </c>
      <c r="C360" s="10" t="inlineStr">
        <is>
          <t xml:space="preserve"> Cẩm Phả</t>
        </is>
      </c>
      <c r="D360" s="3" t="inlineStr">
        <is>
          <t>B5</t>
        </is>
      </c>
      <c r="E360" s="9" t="inlineStr">
        <is>
          <t>A5.20</t>
        </is>
      </c>
      <c r="F360" s="15">
        <f>IF(E360&lt;&gt;"","Đã VH","Quy hoạch điện VIII")</f>
        <v/>
      </c>
      <c r="G360" s="16">
        <f>LEFT(B360,FIND(" ",B360,1)-1)</f>
        <v/>
      </c>
      <c r="H360" s="16">
        <f>TRIM(RIGHT(B360,LEN(B360)-FIND(" ",B360,1)))</f>
        <v/>
      </c>
      <c r="I360" s="16">
        <f>_xlfn.XLOOKUP(Table2[[#This Row],[Type]],Table5[Type],Table5[Type2])</f>
        <v/>
      </c>
      <c r="J360" s="16">
        <f>_xlfn.XLOOKUP(Table2[[#This Row],[Sym]],Zones!$A$2:$A$21,Zones!$B$2:$B$21)</f>
        <v/>
      </c>
      <c r="K360" s="21" t="n"/>
    </row>
    <row r="361">
      <c r="A361" s="24" t="n">
        <v>1670</v>
      </c>
      <c r="B361" s="10" t="inlineStr">
        <is>
          <t>T110 Uông Bí</t>
        </is>
      </c>
      <c r="C361" s="10" t="inlineStr">
        <is>
          <t>TBA 110kV Uông Bí</t>
        </is>
      </c>
      <c r="D361" s="3" t="inlineStr">
        <is>
          <t>B5</t>
        </is>
      </c>
      <c r="E361" s="9" t="inlineStr">
        <is>
          <t>E5.18</t>
        </is>
      </c>
      <c r="F361" s="15">
        <f>IF(E361&lt;&gt;"","Đã VH","Quy hoạch điện VIII")</f>
        <v/>
      </c>
      <c r="G361" s="16">
        <f>LEFT(B361,FIND(" ",B361,1)-1)</f>
        <v/>
      </c>
      <c r="H361" s="16">
        <f>TRIM(RIGHT(B361,LEN(B361)-FIND(" ",B361,1)))</f>
        <v/>
      </c>
      <c r="I361" s="16">
        <f>_xlfn.XLOOKUP(Table2[[#This Row],[Type]],Table5[Type],Table5[Type2])</f>
        <v/>
      </c>
      <c r="J361" s="16">
        <f>_xlfn.XLOOKUP(Table2[[#This Row],[Sym]],Zones!$A$2:$A$21,Zones!$B$2:$B$21)</f>
        <v/>
      </c>
      <c r="K361" s="21" t="n"/>
    </row>
    <row r="362">
      <c r="A362" s="24" t="n">
        <v>1671</v>
      </c>
      <c r="B362" s="10" t="inlineStr">
        <is>
          <t>T110 Đông Mai</t>
        </is>
      </c>
      <c r="C362" s="10" t="inlineStr">
        <is>
          <t>TBA 110kV Đông Mai</t>
        </is>
      </c>
      <c r="D362" s="3" t="inlineStr">
        <is>
          <t>B5</t>
        </is>
      </c>
      <c r="E362" s="9" t="inlineStr">
        <is>
          <t>E5.34</t>
        </is>
      </c>
      <c r="F362" s="15">
        <f>IF(E362&lt;&gt;"","Đã VH","Quy hoạch điện VIII")</f>
        <v/>
      </c>
      <c r="G362" s="16">
        <f>LEFT(B362,FIND(" ",B362,1)-1)</f>
        <v/>
      </c>
      <c r="H362" s="16">
        <f>TRIM(RIGHT(B362,LEN(B362)-FIND(" ",B362,1)))</f>
        <v/>
      </c>
      <c r="I362" s="16">
        <f>_xlfn.XLOOKUP(Table2[[#This Row],[Type]],Table5[Type],Table5[Type2])</f>
        <v/>
      </c>
      <c r="J362" s="16">
        <f>_xlfn.XLOOKUP(Table2[[#This Row],[Sym]],Zones!$A$2:$A$21,Zones!$B$2:$B$21)</f>
        <v/>
      </c>
      <c r="K362" s="21" t="n"/>
    </row>
    <row r="363">
      <c r="A363" s="24" t="n">
        <v>1672</v>
      </c>
      <c r="B363" s="10" t="inlineStr">
        <is>
          <t>T110 Amata</t>
        </is>
      </c>
      <c r="C363" s="10" t="inlineStr">
        <is>
          <t>TBA 110kV Amata</t>
        </is>
      </c>
      <c r="D363" s="3" t="inlineStr">
        <is>
          <t>B5</t>
        </is>
      </c>
      <c r="E363" s="9" t="inlineStr">
        <is>
          <t>E5.36</t>
        </is>
      </c>
      <c r="F363" s="15">
        <f>IF(E363&lt;&gt;"","Đã VH","Quy hoạch điện VIII")</f>
        <v/>
      </c>
      <c r="G363" s="16">
        <f>LEFT(B363,FIND(" ",B363,1)-1)</f>
        <v/>
      </c>
      <c r="H363" s="16">
        <f>TRIM(RIGHT(B363,LEN(B363)-FIND(" ",B363,1)))</f>
        <v/>
      </c>
      <c r="I363" s="16">
        <f>_xlfn.XLOOKUP(Table2[[#This Row],[Type]],Table5[Type],Table5[Type2])</f>
        <v/>
      </c>
      <c r="J363" s="16">
        <f>_xlfn.XLOOKUP(Table2[[#This Row],[Sym]],Zones!$A$2:$A$21,Zones!$B$2:$B$21)</f>
        <v/>
      </c>
      <c r="K363" s="21" t="n"/>
    </row>
    <row r="364">
      <c r="A364" s="24" t="n">
        <v>1673</v>
      </c>
      <c r="B364" s="10" t="inlineStr">
        <is>
          <t>NĐ Cẩm Phả 3</t>
        </is>
      </c>
      <c r="C364" s="10" t="inlineStr">
        <is>
          <t xml:space="preserve"> Cẩm Phả 3</t>
        </is>
      </c>
      <c r="D364" s="3" t="inlineStr">
        <is>
          <t>B5</t>
        </is>
      </c>
      <c r="E364" s="9" t="n"/>
      <c r="F364" s="15">
        <f>IF(E364&lt;&gt;"","Đã VH","Quy hoạch điện VIII")</f>
        <v/>
      </c>
      <c r="G364" s="16">
        <f>LEFT(B364,FIND(" ",B364,1)-1)</f>
        <v/>
      </c>
      <c r="H364" s="16">
        <f>TRIM(RIGHT(B364,LEN(B364)-FIND(" ",B364,1)))</f>
        <v/>
      </c>
      <c r="I364" s="16">
        <f>_xlfn.XLOOKUP(Table2[[#This Row],[Type]],Table5[Type],Table5[Type2])</f>
        <v/>
      </c>
      <c r="J364" s="16">
        <f>_xlfn.XLOOKUP(Table2[[#This Row],[Sym]],Zones!$A$2:$A$21,Zones!$B$2:$B$21)</f>
        <v/>
      </c>
      <c r="K364" s="21" t="n"/>
    </row>
    <row r="365">
      <c r="A365" s="24" t="n">
        <v>1674</v>
      </c>
      <c r="B365" s="10" t="inlineStr">
        <is>
          <t>T110 KCN Việt Hưng</t>
        </is>
      </c>
      <c r="C365" s="10" t="inlineStr">
        <is>
          <t>TBA 110kV KCN Việt Hưng</t>
        </is>
      </c>
      <c r="D365" s="3" t="inlineStr">
        <is>
          <t>B5</t>
        </is>
      </c>
      <c r="E365" s="9" t="inlineStr">
        <is>
          <t>E5.43</t>
        </is>
      </c>
      <c r="F365" s="15">
        <f>IF(E365&lt;&gt;"","Đã VH","Quy hoạch điện VIII")</f>
        <v/>
      </c>
      <c r="G365" s="16">
        <f>LEFT(B365,FIND(" ",B365,1)-1)</f>
        <v/>
      </c>
      <c r="H365" s="16">
        <f>TRIM(RIGHT(B365,LEN(B365)-FIND(" ",B365,1)))</f>
        <v/>
      </c>
      <c r="I365" s="16">
        <f>_xlfn.XLOOKUP(Table2[[#This Row],[Type]],Table5[Type],Table5[Type2])</f>
        <v/>
      </c>
      <c r="J365" s="16">
        <f>_xlfn.XLOOKUP(Table2[[#This Row],[Sym]],Zones!$A$2:$A$21,Zones!$B$2:$B$21)</f>
        <v/>
      </c>
      <c r="K365" s="21" t="n"/>
    </row>
    <row r="366">
      <c r="A366" s="24" t="n">
        <v>1675</v>
      </c>
      <c r="B366" s="10" t="inlineStr">
        <is>
          <t>NĐ Thăng Long</t>
        </is>
      </c>
      <c r="C366" s="10" t="inlineStr">
        <is>
          <t xml:space="preserve"> Thăng Long</t>
        </is>
      </c>
      <c r="D366" s="3" t="inlineStr">
        <is>
          <t>B5</t>
        </is>
      </c>
      <c r="E366" s="9" t="inlineStr">
        <is>
          <t>NĐ Thăng Long</t>
        </is>
      </c>
      <c r="F366" s="15">
        <f>IF(E366&lt;&gt;"","Đã VH","Quy hoạch điện VIII")</f>
        <v/>
      </c>
      <c r="G366" s="16">
        <f>LEFT(B366,FIND(" ",B366,1)-1)</f>
        <v/>
      </c>
      <c r="H366" s="16">
        <f>TRIM(RIGHT(B366,LEN(B366)-FIND(" ",B366,1)))</f>
        <v/>
      </c>
      <c r="I366" s="16">
        <f>_xlfn.XLOOKUP(Table2[[#This Row],[Type]],Table5[Type],Table5[Type2])</f>
        <v/>
      </c>
      <c r="J366" s="16">
        <f>_xlfn.XLOOKUP(Table2[[#This Row],[Sym]],Zones!$A$2:$A$21,Zones!$B$2:$B$21)</f>
        <v/>
      </c>
      <c r="K366" s="21" t="n"/>
    </row>
    <row r="367">
      <c r="A367" s="24" t="n">
        <v>1676</v>
      </c>
      <c r="B367" s="10" t="inlineStr">
        <is>
          <t>T110 Vân Đồn 2</t>
        </is>
      </c>
      <c r="C367" s="10" t="inlineStr">
        <is>
          <t>TBA 110kV Vân Đồn 2</t>
        </is>
      </c>
      <c r="D367" s="3" t="inlineStr">
        <is>
          <t>B5</t>
        </is>
      </c>
      <c r="E367" s="9" t="inlineStr">
        <is>
          <t>E5.38</t>
        </is>
      </c>
      <c r="F367" s="15">
        <f>IF(E367&lt;&gt;"","Đã VH","Quy hoạch điện VIII")</f>
        <v/>
      </c>
      <c r="G367" s="16">
        <f>LEFT(B367,FIND(" ",B367,1)-1)</f>
        <v/>
      </c>
      <c r="H367" s="16">
        <f>TRIM(RIGHT(B367,LEN(B367)-FIND(" ",B367,1)))</f>
        <v/>
      </c>
      <c r="I367" s="16">
        <f>_xlfn.XLOOKUP(Table2[[#This Row],[Type]],Table5[Type],Table5[Type2])</f>
        <v/>
      </c>
      <c r="J367" s="16">
        <f>_xlfn.XLOOKUP(Table2[[#This Row],[Sym]],Zones!$A$2:$A$21,Zones!$B$2:$B$21)</f>
        <v/>
      </c>
      <c r="K367" s="21" t="n"/>
    </row>
    <row r="368">
      <c r="A368" s="24" t="n">
        <v>1677</v>
      </c>
      <c r="B368" s="10" t="inlineStr">
        <is>
          <t>T110 Thép Đông Á</t>
        </is>
      </c>
      <c r="C368" s="10" t="inlineStr">
        <is>
          <t>TBA 110kV Thép Đông Á</t>
        </is>
      </c>
      <c r="D368" s="3" t="inlineStr">
        <is>
          <t>B5</t>
        </is>
      </c>
      <c r="E368" s="9" t="inlineStr">
        <is>
          <t>E5.39</t>
        </is>
      </c>
      <c r="F368" s="15">
        <f>IF(E368&lt;&gt;"","Đã VH","Quy hoạch điện VIII")</f>
        <v/>
      </c>
      <c r="G368" s="16">
        <f>LEFT(B368,FIND(" ",B368,1)-1)</f>
        <v/>
      </c>
      <c r="H368" s="16">
        <f>TRIM(RIGHT(B368,LEN(B368)-FIND(" ",B368,1)))</f>
        <v/>
      </c>
      <c r="I368" s="16">
        <f>_xlfn.XLOOKUP(Table2[[#This Row],[Type]],Table5[Type],Table5[Type2])</f>
        <v/>
      </c>
      <c r="J368" s="16">
        <f>_xlfn.XLOOKUP(Table2[[#This Row],[Sym]],Zones!$A$2:$A$21,Zones!$B$2:$B$21)</f>
        <v/>
      </c>
      <c r="K368" s="21" t="n"/>
    </row>
    <row r="369">
      <c r="A369" s="24" t="n">
        <v>1678</v>
      </c>
      <c r="B369" s="10" t="inlineStr">
        <is>
          <t>T110 Đầm Hà</t>
        </is>
      </c>
      <c r="C369" s="10" t="inlineStr">
        <is>
          <t>TBA 110kV Đầm Hà</t>
        </is>
      </c>
      <c r="D369" s="3" t="inlineStr">
        <is>
          <t>B5</t>
        </is>
      </c>
      <c r="E369" s="9" t="inlineStr">
        <is>
          <t>E5.42</t>
        </is>
      </c>
      <c r="F369" s="15">
        <f>IF(E369&lt;&gt;"","Đã VH","Quy hoạch điện VIII")</f>
        <v/>
      </c>
      <c r="G369" s="16">
        <f>LEFT(B369,FIND(" ",B369,1)-1)</f>
        <v/>
      </c>
      <c r="H369" s="16">
        <f>TRIM(RIGHT(B369,LEN(B369)-FIND(" ",B369,1)))</f>
        <v/>
      </c>
      <c r="I369" s="16">
        <f>_xlfn.XLOOKUP(Table2[[#This Row],[Type]],Table5[Type],Table5[Type2])</f>
        <v/>
      </c>
      <c r="J369" s="16">
        <f>_xlfn.XLOOKUP(Table2[[#This Row],[Sym]],Zones!$A$2:$A$21,Zones!$B$2:$B$21)</f>
        <v/>
      </c>
      <c r="K369" s="21" t="n"/>
    </row>
    <row r="370">
      <c r="A370" s="24" t="n">
        <v>1679</v>
      </c>
      <c r="B370" s="10" t="inlineStr">
        <is>
          <t>T110 Yên Cư</t>
        </is>
      </c>
      <c r="C370" s="10" t="inlineStr">
        <is>
          <t>TBA 110kV Yên Cư</t>
        </is>
      </c>
      <c r="D370" s="3" t="inlineStr">
        <is>
          <t>B5</t>
        </is>
      </c>
      <c r="E370" s="9" t="inlineStr">
        <is>
          <t>E5.41</t>
        </is>
      </c>
      <c r="F370" s="15">
        <f>IF(E370&lt;&gt;"","Đã VH","Quy hoạch điện VIII")</f>
        <v/>
      </c>
      <c r="G370" s="16">
        <f>LEFT(B370,FIND(" ",B370,1)-1)</f>
        <v/>
      </c>
      <c r="H370" s="16">
        <f>TRIM(RIGHT(B370,LEN(B370)-FIND(" ",B370,1)))</f>
        <v/>
      </c>
      <c r="I370" s="16">
        <f>_xlfn.XLOOKUP(Table2[[#This Row],[Type]],Table5[Type],Table5[Type2])</f>
        <v/>
      </c>
      <c r="J370" s="16">
        <f>_xlfn.XLOOKUP(Table2[[#This Row],[Sym]],Zones!$A$2:$A$21,Zones!$B$2:$B$21)</f>
        <v/>
      </c>
      <c r="K370" s="21" t="n"/>
    </row>
    <row r="371">
      <c r="A371" s="24" t="n">
        <v>1680</v>
      </c>
      <c r="B371" s="10" t="inlineStr">
        <is>
          <t>T220 Nam Hòa</t>
        </is>
      </c>
      <c r="C371" s="10" t="inlineStr">
        <is>
          <t>TBA 220kV Nam Hòa</t>
        </is>
      </c>
      <c r="D371" s="3" t="inlineStr">
        <is>
          <t>B5</t>
        </is>
      </c>
      <c r="E371" s="9" t="n"/>
      <c r="F371" s="15">
        <f>IF(E371&lt;&gt;"","Đã VH","Quy hoạch điện VIII")</f>
        <v/>
      </c>
      <c r="G371" s="16">
        <f>LEFT(B371,FIND(" ",B371,1)-1)</f>
        <v/>
      </c>
      <c r="H371" s="16">
        <f>TRIM(RIGHT(B371,LEN(B371)-FIND(" ",B371,1)))</f>
        <v/>
      </c>
      <c r="I371" s="16">
        <f>_xlfn.XLOOKUP(Table2[[#This Row],[Type]],Table5[Type],Table5[Type2])</f>
        <v/>
      </c>
      <c r="J371" s="16">
        <f>_xlfn.XLOOKUP(Table2[[#This Row],[Sym]],Zones!$A$2:$A$21,Zones!$B$2:$B$21)</f>
        <v/>
      </c>
      <c r="K371" s="21" t="n"/>
    </row>
    <row r="372">
      <c r="A372" s="24" t="n">
        <v>1681</v>
      </c>
      <c r="B372" s="10" t="inlineStr">
        <is>
          <t>T220 Khe Thần</t>
        </is>
      </c>
      <c r="C372" s="10" t="inlineStr">
        <is>
          <t>TBA 220kV Khe Thần</t>
        </is>
      </c>
      <c r="D372" s="3" t="inlineStr">
        <is>
          <t>B5</t>
        </is>
      </c>
      <c r="E372" s="9" t="n"/>
      <c r="F372" s="15">
        <f>IF(E372&lt;&gt;"","Đã VH","Quy hoạch điện VIII")</f>
        <v/>
      </c>
      <c r="G372" s="16">
        <f>LEFT(B372,FIND(" ",B372,1)-1)</f>
        <v/>
      </c>
      <c r="H372" s="16">
        <f>TRIM(RIGHT(B372,LEN(B372)-FIND(" ",B372,1)))</f>
        <v/>
      </c>
      <c r="I372" s="16">
        <f>_xlfn.XLOOKUP(Table2[[#This Row],[Type]],Table5[Type],Table5[Type2])</f>
        <v/>
      </c>
      <c r="J372" s="16">
        <f>_xlfn.XLOOKUP(Table2[[#This Row],[Sym]],Zones!$A$2:$A$21,Zones!$B$2:$B$21)</f>
        <v/>
      </c>
      <c r="K372" s="21" t="n"/>
    </row>
    <row r="373">
      <c r="A373" s="24" t="n">
        <v>1682</v>
      </c>
      <c r="B373" s="10" t="inlineStr">
        <is>
          <t>T220 Yên Hưng</t>
        </is>
      </c>
      <c r="C373" s="10" t="inlineStr">
        <is>
          <t>TBA 220kV Yên Hưng</t>
        </is>
      </c>
      <c r="D373" s="3" t="inlineStr">
        <is>
          <t>B5</t>
        </is>
      </c>
      <c r="E373" s="9" t="inlineStr">
        <is>
          <t>E5.35</t>
        </is>
      </c>
      <c r="F373" s="15">
        <f>IF(E373&lt;&gt;"","Đã VH","Quy hoạch điện VIII")</f>
        <v/>
      </c>
      <c r="G373" s="16">
        <f>LEFT(B373,FIND(" ",B373,1)-1)</f>
        <v/>
      </c>
      <c r="H373" s="16">
        <f>TRIM(RIGHT(B373,LEN(B373)-FIND(" ",B373,1)))</f>
        <v/>
      </c>
      <c r="I373" s="16">
        <f>_xlfn.XLOOKUP(Table2[[#This Row],[Type]],Table5[Type],Table5[Type2])</f>
        <v/>
      </c>
      <c r="J373" s="16">
        <f>_xlfn.XLOOKUP(Table2[[#This Row],[Sym]],Zones!$A$2:$A$21,Zones!$B$2:$B$21)</f>
        <v/>
      </c>
      <c r="K373" s="21" t="n"/>
    </row>
    <row r="374">
      <c r="A374" s="24" t="n">
        <v>1683</v>
      </c>
      <c r="B374" s="10" t="inlineStr">
        <is>
          <t>T220 Móng Cái</t>
        </is>
      </c>
      <c r="C374" s="10" t="inlineStr">
        <is>
          <t>TBA 220kV Móng Cái</t>
        </is>
      </c>
      <c r="D374" s="3" t="inlineStr">
        <is>
          <t>B5</t>
        </is>
      </c>
      <c r="E374" s="9" t="n"/>
      <c r="F374" s="15">
        <f>IF(E374&lt;&gt;"","Đã VH","Quy hoạch điện VIII")</f>
        <v/>
      </c>
      <c r="G374" s="16">
        <f>LEFT(B374,FIND(" ",B374,1)-1)</f>
        <v/>
      </c>
      <c r="H374" s="16">
        <f>TRIM(RIGHT(B374,LEN(B374)-FIND(" ",B374,1)))</f>
        <v/>
      </c>
      <c r="I374" s="16">
        <f>_xlfn.XLOOKUP(Table2[[#This Row],[Type]],Table5[Type],Table5[Type2])</f>
        <v/>
      </c>
      <c r="J374" s="16">
        <f>_xlfn.XLOOKUP(Table2[[#This Row],[Sym]],Zones!$A$2:$A$21,Zones!$B$2:$B$21)</f>
        <v/>
      </c>
      <c r="K374" s="21" t="n"/>
    </row>
    <row r="375">
      <c r="A375" s="24" t="n">
        <v>1684</v>
      </c>
      <c r="B375" s="10" t="inlineStr">
        <is>
          <t>T220 Hạ Long</t>
        </is>
      </c>
      <c r="C375" s="10" t="inlineStr">
        <is>
          <t>TBA 220kV Hạ Long</t>
        </is>
      </c>
      <c r="D375" s="3" t="inlineStr">
        <is>
          <t>B5</t>
        </is>
      </c>
      <c r="E375" s="9" t="n"/>
      <c r="F375" s="15">
        <f>IF(E375&lt;&gt;"","Đã VH","Quy hoạch điện VIII")</f>
        <v/>
      </c>
      <c r="G375" s="16">
        <f>LEFT(B375,FIND(" ",B375,1)-1)</f>
        <v/>
      </c>
      <c r="H375" s="16">
        <f>TRIM(RIGHT(B375,LEN(B375)-FIND(" ",B375,1)))</f>
        <v/>
      </c>
      <c r="I375" s="16">
        <f>_xlfn.XLOOKUP(Table2[[#This Row],[Type]],Table5[Type],Table5[Type2])</f>
        <v/>
      </c>
      <c r="J375" s="16">
        <f>_xlfn.XLOOKUP(Table2[[#This Row],[Sym]],Zones!$A$2:$A$21,Zones!$B$2:$B$21)</f>
        <v/>
      </c>
      <c r="K375" s="21" t="n"/>
    </row>
    <row r="376">
      <c r="A376" s="24" t="n">
        <v>1685</v>
      </c>
      <c r="B376" s="10" t="inlineStr">
        <is>
          <t>T220 KCN Hải Hà</t>
        </is>
      </c>
      <c r="C376" s="10" t="inlineStr">
        <is>
          <t>TBA 220kV KCN Hải Hà</t>
        </is>
      </c>
      <c r="D376" s="3" t="inlineStr">
        <is>
          <t>B5</t>
        </is>
      </c>
      <c r="E376" s="9" t="n"/>
      <c r="F376" s="15">
        <f>IF(E376&lt;&gt;"","Đã VH","Quy hoạch điện VIII")</f>
        <v/>
      </c>
      <c r="G376" s="16">
        <f>LEFT(B376,FIND(" ",B376,1)-1)</f>
        <v/>
      </c>
      <c r="H376" s="16">
        <f>TRIM(RIGHT(B376,LEN(B376)-FIND(" ",B376,1)))</f>
        <v/>
      </c>
      <c r="I376" s="16">
        <f>_xlfn.XLOOKUP(Table2[[#This Row],[Type]],Table5[Type],Table5[Type2])</f>
        <v/>
      </c>
      <c r="J376" s="16">
        <f>_xlfn.XLOOKUP(Table2[[#This Row],[Sym]],Zones!$A$2:$A$21,Zones!$B$2:$B$21)</f>
        <v/>
      </c>
      <c r="K376" s="21" t="n"/>
    </row>
    <row r="377">
      <c r="A377" s="24" t="n">
        <v>1686</v>
      </c>
      <c r="B377" s="10" t="inlineStr">
        <is>
          <t>T220 Cộng Hòa</t>
        </is>
      </c>
      <c r="C377" s="10" t="inlineStr">
        <is>
          <t>TBA 220kV Cộng Hòa</t>
        </is>
      </c>
      <c r="D377" s="3" t="inlineStr">
        <is>
          <t>B5</t>
        </is>
      </c>
      <c r="E377" s="9" t="n"/>
      <c r="F377" s="15">
        <f>IF(E377&lt;&gt;"","Đã VH","Quy hoạch điện VIII")</f>
        <v/>
      </c>
      <c r="G377" s="16">
        <f>LEFT(B377,FIND(" ",B377,1)-1)</f>
        <v/>
      </c>
      <c r="H377" s="16">
        <f>TRIM(RIGHT(B377,LEN(B377)-FIND(" ",B377,1)))</f>
        <v/>
      </c>
      <c r="I377" s="16">
        <f>_xlfn.XLOOKUP(Table2[[#This Row],[Type]],Table5[Type],Table5[Type2])</f>
        <v/>
      </c>
      <c r="J377" s="16">
        <f>_xlfn.XLOOKUP(Table2[[#This Row],[Sym]],Zones!$A$2:$A$21,Zones!$B$2:$B$21)</f>
        <v/>
      </c>
      <c r="K377" s="21" t="n"/>
    </row>
    <row r="378">
      <c r="A378" s="24" t="n">
        <v>1687</v>
      </c>
      <c r="B378" s="10" t="inlineStr">
        <is>
          <t>T220 Quảng Ninh 1</t>
        </is>
      </c>
      <c r="C378" s="10" t="inlineStr">
        <is>
          <t>TBA 220kV Quảng Ninh 1</t>
        </is>
      </c>
      <c r="D378" s="3" t="inlineStr">
        <is>
          <t>B5</t>
        </is>
      </c>
      <c r="E378" s="9" t="n"/>
      <c r="F378" s="15">
        <f>IF(E378&lt;&gt;"","Đã VH","Quy hoạch điện VIII")</f>
        <v/>
      </c>
      <c r="G378" s="16">
        <f>LEFT(B378,FIND(" ",B378,1)-1)</f>
        <v/>
      </c>
      <c r="H378" s="16">
        <f>TRIM(RIGHT(B378,LEN(B378)-FIND(" ",B378,1)))</f>
        <v/>
      </c>
      <c r="I378" s="16">
        <f>_xlfn.XLOOKUP(Table2[[#This Row],[Type]],Table5[Type],Table5[Type2])</f>
        <v/>
      </c>
      <c r="J378" s="16">
        <f>_xlfn.XLOOKUP(Table2[[#This Row],[Sym]],Zones!$A$2:$A$21,Zones!$B$2:$B$21)</f>
        <v/>
      </c>
      <c r="K378" s="21" t="n"/>
    </row>
    <row r="379">
      <c r="A379" s="24" t="n">
        <v>1688</v>
      </c>
      <c r="B379" s="10" t="inlineStr">
        <is>
          <t>T110 KCN Đông Triều</t>
        </is>
      </c>
      <c r="C379" s="10" t="inlineStr">
        <is>
          <t>TBA 110kV KCN Đông Triều</t>
        </is>
      </c>
      <c r="D379" s="3" t="inlineStr">
        <is>
          <t>B5</t>
        </is>
      </c>
      <c r="E379" s="9" t="n"/>
      <c r="F379" s="15">
        <f>IF(E379&lt;&gt;"","Đã VH","Quy hoạch điện VIII")</f>
        <v/>
      </c>
      <c r="G379" s="16">
        <f>LEFT(B379,FIND(" ",B379,1)-1)</f>
        <v/>
      </c>
      <c r="H379" s="16">
        <f>TRIM(RIGHT(B379,LEN(B379)-FIND(" ",B379,1)))</f>
        <v/>
      </c>
      <c r="I379" s="16">
        <f>_xlfn.XLOOKUP(Table2[[#This Row],[Type]],Table5[Type],Table5[Type2])</f>
        <v/>
      </c>
      <c r="J379" s="16">
        <f>_xlfn.XLOOKUP(Table2[[#This Row],[Sym]],Zones!$A$2:$A$21,Zones!$B$2:$B$21)</f>
        <v/>
      </c>
      <c r="K379" s="21" t="n"/>
    </row>
    <row r="380">
      <c r="A380" s="24" t="n">
        <v>1689</v>
      </c>
      <c r="B380" s="10" t="inlineStr">
        <is>
          <t>T110 Tràng Bạch 2</t>
        </is>
      </c>
      <c r="C380" s="10" t="inlineStr">
        <is>
          <t>TBA 110kV Tràng Bạch 2</t>
        </is>
      </c>
      <c r="D380" s="3" t="inlineStr">
        <is>
          <t>B5</t>
        </is>
      </c>
      <c r="E380" s="9" t="n"/>
      <c r="F380" s="15">
        <f>IF(E380&lt;&gt;"","Đã VH","Quy hoạch điện VIII")</f>
        <v/>
      </c>
      <c r="G380" s="16">
        <f>LEFT(B380,FIND(" ",B380,1)-1)</f>
        <v/>
      </c>
      <c r="H380" s="16">
        <f>TRIM(RIGHT(B380,LEN(B380)-FIND(" ",B380,1)))</f>
        <v/>
      </c>
      <c r="I380" s="16">
        <f>_xlfn.XLOOKUP(Table2[[#This Row],[Type]],Table5[Type],Table5[Type2])</f>
        <v/>
      </c>
      <c r="J380" s="16">
        <f>_xlfn.XLOOKUP(Table2[[#This Row],[Sym]],Zones!$A$2:$A$21,Zones!$B$2:$B$21)</f>
        <v/>
      </c>
      <c r="K380" s="21" t="n"/>
    </row>
    <row r="381">
      <c r="A381" s="24" t="n">
        <v>1690</v>
      </c>
      <c r="B381" s="10" t="inlineStr">
        <is>
          <t>LNG Quảng Ninh</t>
        </is>
      </c>
      <c r="C381" s="10" t="inlineStr">
        <is>
          <t xml:space="preserve"> Quảng Ninh</t>
        </is>
      </c>
      <c r="D381" s="3" t="inlineStr">
        <is>
          <t>B5</t>
        </is>
      </c>
      <c r="E381" s="9" t="n"/>
      <c r="F381" s="15">
        <f>IF(E381&lt;&gt;"","Đã VH","Quy hoạch điện VIII")</f>
        <v/>
      </c>
      <c r="G381" s="16">
        <f>LEFT(B381,FIND(" ",B381,1)-1)</f>
        <v/>
      </c>
      <c r="H381" s="16">
        <f>TRIM(RIGHT(B381,LEN(B381)-FIND(" ",B381,1)))</f>
        <v/>
      </c>
      <c r="I381" s="16">
        <f>_xlfn.XLOOKUP(Table2[[#This Row],[Type]],Table5[Type],Table5[Type2])</f>
        <v/>
      </c>
      <c r="J381" s="16">
        <f>_xlfn.XLOOKUP(Table2[[#This Row],[Sym]],Zones!$A$2:$A$21,Zones!$B$2:$B$21)</f>
        <v/>
      </c>
      <c r="K381" s="21" t="n"/>
    </row>
    <row r="382">
      <c r="A382" s="24" t="n">
        <v>1691</v>
      </c>
      <c r="B382" s="10" t="inlineStr">
        <is>
          <t xml:space="preserve">NĐ đồng phát Hải Hà 1 </t>
        </is>
      </c>
      <c r="C382" s="10" t="inlineStr">
        <is>
          <t xml:space="preserve"> đồng phát Hải Hà 1</t>
        </is>
      </c>
      <c r="D382" s="3" t="inlineStr">
        <is>
          <t>B5</t>
        </is>
      </c>
      <c r="E382" s="9" t="n"/>
      <c r="F382" s="15">
        <f>IF(E382&lt;&gt;"","Đã VH","Quy hoạch điện VIII")</f>
        <v/>
      </c>
      <c r="G382" s="16">
        <f>LEFT(B382,FIND(" ",B382,1)-1)</f>
        <v/>
      </c>
      <c r="H382" s="16">
        <f>TRIM(RIGHT(B382,LEN(B382)-FIND(" ",B382,1)))</f>
        <v/>
      </c>
      <c r="I382" s="16">
        <f>_xlfn.XLOOKUP(Table2[[#This Row],[Type]],Table5[Type],Table5[Type2])</f>
        <v/>
      </c>
      <c r="J382" s="16">
        <f>_xlfn.XLOOKUP(Table2[[#This Row],[Sym]],Zones!$A$2:$A$21,Zones!$B$2:$B$21)</f>
        <v/>
      </c>
      <c r="K382" s="21" t="n"/>
    </row>
    <row r="383">
      <c r="A383" s="24" t="n">
        <v>1692</v>
      </c>
      <c r="B383" s="10" t="inlineStr">
        <is>
          <t>NĐ đồng phát Hải Hà 2</t>
        </is>
      </c>
      <c r="C383" s="10" t="inlineStr">
        <is>
          <t xml:space="preserve"> đồng phát Hải Hà 2</t>
        </is>
      </c>
      <c r="D383" s="3" t="inlineStr">
        <is>
          <t>B5</t>
        </is>
      </c>
      <c r="E383" s="9" t="n"/>
      <c r="F383" s="15">
        <f>IF(E383&lt;&gt;"","Đã VH","Quy hoạch điện VIII")</f>
        <v/>
      </c>
      <c r="G383" s="16">
        <f>LEFT(B383,FIND(" ",B383,1)-1)</f>
        <v/>
      </c>
      <c r="H383" s="16">
        <f>TRIM(RIGHT(B383,LEN(B383)-FIND(" ",B383,1)))</f>
        <v/>
      </c>
      <c r="I383" s="16">
        <f>_xlfn.XLOOKUP(Table2[[#This Row],[Type]],Table5[Type],Table5[Type2])</f>
        <v/>
      </c>
      <c r="J383" s="16">
        <f>_xlfn.XLOOKUP(Table2[[#This Row],[Sym]],Zones!$A$2:$A$21,Zones!$B$2:$B$21)</f>
        <v/>
      </c>
      <c r="K383" s="21" t="n"/>
    </row>
    <row r="384">
      <c r="A384" s="24" t="n">
        <v>1693</v>
      </c>
      <c r="B384" s="10" t="inlineStr">
        <is>
          <t>NĐ đồng phát Hải Hà 3</t>
        </is>
      </c>
      <c r="C384" s="10" t="inlineStr">
        <is>
          <t xml:space="preserve"> đồng phát Hải Hà 3</t>
        </is>
      </c>
      <c r="D384" s="3" t="inlineStr">
        <is>
          <t>B5</t>
        </is>
      </c>
      <c r="E384" s="9" t="n"/>
      <c r="F384" s="15">
        <f>IF(E384&lt;&gt;"","Đã VH","Quy hoạch điện VIII")</f>
        <v/>
      </c>
      <c r="G384" s="16">
        <f>LEFT(B384,FIND(" ",B384,1)-1)</f>
        <v/>
      </c>
      <c r="H384" s="16">
        <f>TRIM(RIGHT(B384,LEN(B384)-FIND(" ",B384,1)))</f>
        <v/>
      </c>
      <c r="I384" s="16">
        <f>_xlfn.XLOOKUP(Table2[[#This Row],[Type]],Table5[Type],Table5[Type2])</f>
        <v/>
      </c>
      <c r="J384" s="16">
        <f>_xlfn.XLOOKUP(Table2[[#This Row],[Sym]],Zones!$A$2:$A$21,Zones!$B$2:$B$21)</f>
        <v/>
      </c>
      <c r="K384" s="21" t="n"/>
    </row>
    <row r="385">
      <c r="A385" s="24" t="n">
        <v>1694</v>
      </c>
      <c r="B385" s="10" t="inlineStr">
        <is>
          <t>NĐ đồng phát Hải Hà 4</t>
        </is>
      </c>
      <c r="C385" s="10" t="inlineStr">
        <is>
          <t xml:space="preserve"> đồng phát Hải Hà 4</t>
        </is>
      </c>
      <c r="D385" s="3" t="inlineStr">
        <is>
          <t>B5</t>
        </is>
      </c>
      <c r="E385" s="9" t="n"/>
      <c r="F385" s="15">
        <f>IF(E385&lt;&gt;"","Đã VH","Quy hoạch điện VIII")</f>
        <v/>
      </c>
      <c r="G385" s="16">
        <f>LEFT(B385,FIND(" ",B385,1)-1)</f>
        <v/>
      </c>
      <c r="H385" s="16">
        <f>TRIM(RIGHT(B385,LEN(B385)-FIND(" ",B385,1)))</f>
        <v/>
      </c>
      <c r="I385" s="16">
        <f>_xlfn.XLOOKUP(Table2[[#This Row],[Type]],Table5[Type],Table5[Type2])</f>
        <v/>
      </c>
      <c r="J385" s="16">
        <f>_xlfn.XLOOKUP(Table2[[#This Row],[Sym]],Zones!$A$2:$A$21,Zones!$B$2:$B$21)</f>
        <v/>
      </c>
      <c r="K385" s="21" t="n"/>
    </row>
    <row r="386">
      <c r="A386" s="24" t="n">
        <v>1695</v>
      </c>
      <c r="B386" s="10" t="inlineStr">
        <is>
          <t>T110 KCN Tiền Phong 1</t>
        </is>
      </c>
      <c r="C386" s="10" t="inlineStr">
        <is>
          <t>TBA 110kV KCN Tiền Phong 1</t>
        </is>
      </c>
      <c r="D386" s="3" t="inlineStr">
        <is>
          <t>B5</t>
        </is>
      </c>
      <c r="E386" s="9" t="inlineStr">
        <is>
          <t>E5.46</t>
        </is>
      </c>
      <c r="F386" s="15">
        <f>IF(E386&lt;&gt;"","Đã VH","Quy hoạch điện VIII")</f>
        <v/>
      </c>
      <c r="G386" s="16">
        <f>LEFT(B386,FIND(" ",B386,1)-1)</f>
        <v/>
      </c>
      <c r="H386" s="16">
        <f>TRIM(RIGHT(B386,LEN(B386)-FIND(" ",B386,1)))</f>
        <v/>
      </c>
      <c r="I386" s="16">
        <f>_xlfn.XLOOKUP(Table2[[#This Row],[Type]],Table5[Type],Table5[Type2])</f>
        <v/>
      </c>
      <c r="J386" s="16">
        <f>_xlfn.XLOOKUP(Table2[[#This Row],[Sym]],Zones!$A$2:$A$21,Zones!$B$2:$B$21)</f>
        <v/>
      </c>
      <c r="K386" s="21" t="n"/>
    </row>
    <row r="387">
      <c r="A387" s="24" t="n">
        <v>1696</v>
      </c>
      <c r="B387" s="10" t="inlineStr">
        <is>
          <t>T110 KCN Bắc Tiền Phong 1.2</t>
        </is>
      </c>
      <c r="C387" s="10" t="inlineStr">
        <is>
          <t>TBA 110kV KCN Bắc Tiền Phong 1.2</t>
        </is>
      </c>
      <c r="D387" s="3" t="inlineStr">
        <is>
          <t>B5</t>
        </is>
      </c>
      <c r="E387" s="9" t="n"/>
      <c r="F387" s="15">
        <f>IF(E387&lt;&gt;"","Đã VH","Quy hoạch điện VIII")</f>
        <v/>
      </c>
      <c r="G387" s="16">
        <f>LEFT(B387,FIND(" ",B387,1)-1)</f>
        <v/>
      </c>
      <c r="H387" s="16">
        <f>TRIM(RIGHT(B387,LEN(B387)-FIND(" ",B387,1)))</f>
        <v/>
      </c>
      <c r="I387" s="16">
        <f>_xlfn.XLOOKUP(Table2[[#This Row],[Type]],Table5[Type],Table5[Type2])</f>
        <v/>
      </c>
      <c r="J387" s="16">
        <f>_xlfn.XLOOKUP(Table2[[#This Row],[Sym]],Zones!$A$2:$A$21,Zones!$B$2:$B$21)</f>
        <v/>
      </c>
      <c r="K387" s="21" t="n"/>
    </row>
    <row r="388">
      <c r="A388" s="24" t="n">
        <v>1697</v>
      </c>
      <c r="B388" s="10" t="inlineStr">
        <is>
          <t>T110 Hà An</t>
        </is>
      </c>
      <c r="C388" s="10" t="inlineStr">
        <is>
          <t>TBA 110kV Hà An</t>
        </is>
      </c>
      <c r="D388" s="3" t="inlineStr">
        <is>
          <t>B5</t>
        </is>
      </c>
      <c r="E388" s="9" t="n"/>
      <c r="F388" s="15">
        <f>IF(E388&lt;&gt;"","Đã VH","Quy hoạch điện VIII")</f>
        <v/>
      </c>
      <c r="G388" s="16">
        <f>LEFT(B388,FIND(" ",B388,1)-1)</f>
        <v/>
      </c>
      <c r="H388" s="16">
        <f>TRIM(RIGHT(B388,LEN(B388)-FIND(" ",B388,1)))</f>
        <v/>
      </c>
      <c r="I388" s="16">
        <f>_xlfn.XLOOKUP(Table2[[#This Row],[Type]],Table5[Type],Table5[Type2])</f>
        <v/>
      </c>
      <c r="J388" s="16">
        <f>_xlfn.XLOOKUP(Table2[[#This Row],[Sym]],Zones!$A$2:$A$21,Zones!$B$2:$B$21)</f>
        <v/>
      </c>
      <c r="K388" s="21" t="n"/>
    </row>
    <row r="389">
      <c r="A389" s="24" t="n">
        <v>1698</v>
      </c>
      <c r="B389" s="10" t="inlineStr">
        <is>
          <t>T110 KCN Tiền Phong 2</t>
        </is>
      </c>
      <c r="C389" s="10" t="inlineStr">
        <is>
          <t>TBA 110kV KCN Tiền Phong 2</t>
        </is>
      </c>
      <c r="D389" s="3" t="inlineStr">
        <is>
          <t>B5</t>
        </is>
      </c>
      <c r="E389" s="9" t="n"/>
      <c r="F389" s="15">
        <f>IF(E389&lt;&gt;"","Đã VH","Quy hoạch điện VIII")</f>
        <v/>
      </c>
      <c r="G389" s="16">
        <f>LEFT(B389,FIND(" ",B389,1)-1)</f>
        <v/>
      </c>
      <c r="H389" s="16">
        <f>TRIM(RIGHT(B389,LEN(B389)-FIND(" ",B389,1)))</f>
        <v/>
      </c>
      <c r="I389" s="16">
        <f>_xlfn.XLOOKUP(Table2[[#This Row],[Type]],Table5[Type],Table5[Type2])</f>
        <v/>
      </c>
      <c r="J389" s="16">
        <f>_xlfn.XLOOKUP(Table2[[#This Row],[Sym]],Zones!$A$2:$A$21,Zones!$B$2:$B$21)</f>
        <v/>
      </c>
      <c r="K389" s="21" t="n"/>
    </row>
    <row r="390">
      <c r="A390" s="24" t="n">
        <v>1699</v>
      </c>
      <c r="B390" s="10" t="inlineStr">
        <is>
          <t>T110 KCN Amata 2</t>
        </is>
      </c>
      <c r="C390" s="10" t="inlineStr">
        <is>
          <t>TBA 110kV KCN Amata 2</t>
        </is>
      </c>
      <c r="D390" s="3" t="inlineStr">
        <is>
          <t>B5</t>
        </is>
      </c>
      <c r="E390" s="9" t="inlineStr">
        <is>
          <t>E5.44</t>
        </is>
      </c>
      <c r="F390" s="15">
        <f>IF(E390&lt;&gt;"","Đã VH","Quy hoạch điện VIII")</f>
        <v/>
      </c>
      <c r="G390" s="16">
        <f>LEFT(B390,FIND(" ",B390,1)-1)</f>
        <v/>
      </c>
      <c r="H390" s="16">
        <f>TRIM(RIGHT(B390,LEN(B390)-FIND(" ",B390,1)))</f>
        <v/>
      </c>
      <c r="I390" s="16">
        <f>_xlfn.XLOOKUP(Table2[[#This Row],[Type]],Table5[Type],Table5[Type2])</f>
        <v/>
      </c>
      <c r="J390" s="16">
        <f>_xlfn.XLOOKUP(Table2[[#This Row],[Sym]],Zones!$A$2:$A$21,Zones!$B$2:$B$21)</f>
        <v/>
      </c>
      <c r="K390" s="21" t="n"/>
    </row>
    <row r="391">
      <c r="A391" s="24" t="n">
        <v>1700</v>
      </c>
      <c r="B391" s="10" t="inlineStr">
        <is>
          <t>T110 Nhà máy ĐT Nosco</t>
        </is>
      </c>
      <c r="C391" s="10" t="inlineStr">
        <is>
          <t>TBA 110kV Nhà máy ĐT Nosco</t>
        </is>
      </c>
      <c r="D391" s="3" t="inlineStr">
        <is>
          <t>B5</t>
        </is>
      </c>
      <c r="E391" s="9" t="n"/>
      <c r="F391" s="15">
        <f>IF(E391&lt;&gt;"","Đã VH","Quy hoạch điện VIII")</f>
        <v/>
      </c>
      <c r="G391" s="16">
        <f>LEFT(B391,FIND(" ",B391,1)-1)</f>
        <v/>
      </c>
      <c r="H391" s="16">
        <f>TRIM(RIGHT(B391,LEN(B391)-FIND(" ",B391,1)))</f>
        <v/>
      </c>
      <c r="I391" s="16">
        <f>_xlfn.XLOOKUP(Table2[[#This Row],[Type]],Table5[Type],Table5[Type2])</f>
        <v/>
      </c>
      <c r="J391" s="16">
        <f>_xlfn.XLOOKUP(Table2[[#This Row],[Sym]],Zones!$A$2:$A$21,Zones!$B$2:$B$21)</f>
        <v/>
      </c>
      <c r="K391" s="21" t="n"/>
    </row>
    <row r="392">
      <c r="A392" s="24" t="n">
        <v>1701</v>
      </c>
      <c r="B392" s="10" t="inlineStr">
        <is>
          <t>NĐ Quảng Ninh 3</t>
        </is>
      </c>
      <c r="C392" s="10" t="inlineStr">
        <is>
          <t xml:space="preserve"> Quảng Ninh 3</t>
        </is>
      </c>
      <c r="D392" s="3" t="inlineStr">
        <is>
          <t>B5</t>
        </is>
      </c>
      <c r="E392" s="9" t="n"/>
      <c r="F392" s="15">
        <f>IF(E392&lt;&gt;"","Đã VH","Quy hoạch điện VIII")</f>
        <v/>
      </c>
      <c r="G392" s="16">
        <f>LEFT(B392,FIND(" ",B392,1)-1)</f>
        <v/>
      </c>
      <c r="H392" s="16">
        <f>TRIM(RIGHT(B392,LEN(B392)-FIND(" ",B392,1)))</f>
        <v/>
      </c>
      <c r="I392" s="16">
        <f>_xlfn.XLOOKUP(Table2[[#This Row],[Type]],Table5[Type],Table5[Type2])</f>
        <v/>
      </c>
      <c r="J392" s="16">
        <f>_xlfn.XLOOKUP(Table2[[#This Row],[Sym]],Zones!$A$2:$A$21,Zones!$B$2:$B$21)</f>
        <v/>
      </c>
      <c r="K392" s="21" t="n"/>
    </row>
    <row r="393">
      <c r="A393" s="24" t="n">
        <v>1702</v>
      </c>
      <c r="B393" s="10" t="inlineStr">
        <is>
          <t>T110 Ô tô Hải Phòng</t>
        </is>
      </c>
      <c r="C393" s="10" t="inlineStr">
        <is>
          <t>TBA 110kV Ô tô Hải Phòng</t>
        </is>
      </c>
      <c r="D393" s="3" t="inlineStr">
        <is>
          <t>B5</t>
        </is>
      </c>
      <c r="E393" s="9" t="n"/>
      <c r="F393" s="15">
        <f>IF(E393&lt;&gt;"","Đã VH","Quy hoạch điện VIII")</f>
        <v/>
      </c>
      <c r="G393" s="16">
        <f>LEFT(B393,FIND(" ",B393,1)-1)</f>
        <v/>
      </c>
      <c r="H393" s="16">
        <f>TRIM(RIGHT(B393,LEN(B393)-FIND(" ",B393,1)))</f>
        <v/>
      </c>
      <c r="I393" s="16">
        <f>_xlfn.XLOOKUP(Table2[[#This Row],[Type]],Table5[Type],Table5[Type2])</f>
        <v/>
      </c>
      <c r="J393" s="16">
        <f>_xlfn.XLOOKUP(Table2[[#This Row],[Sym]],Zones!$A$2:$A$21,Zones!$B$2:$B$21)</f>
        <v/>
      </c>
      <c r="K393" s="21" t="n"/>
    </row>
    <row r="394">
      <c r="A394" s="24" t="n">
        <v>1703</v>
      </c>
      <c r="B394" s="10" t="inlineStr">
        <is>
          <t>T110 Đông Triều 2</t>
        </is>
      </c>
      <c r="C394" s="10" t="inlineStr">
        <is>
          <t>TBA 110kV Đông Triều 2</t>
        </is>
      </c>
      <c r="D394" s="3" t="inlineStr">
        <is>
          <t>B5</t>
        </is>
      </c>
      <c r="E394" s="9" t="n"/>
      <c r="F394" s="15">
        <f>IF(E394&lt;&gt;"","Đã VH","Quy hoạch điện VIII")</f>
        <v/>
      </c>
      <c r="G394" s="16">
        <f>LEFT(B394,FIND(" ",B394,1)-1)</f>
        <v/>
      </c>
      <c r="H394" s="16">
        <f>TRIM(RIGHT(B394,LEN(B394)-FIND(" ",B394,1)))</f>
        <v/>
      </c>
      <c r="I394" s="16">
        <f>_xlfn.XLOOKUP(Table2[[#This Row],[Type]],Table5[Type],Table5[Type2])</f>
        <v/>
      </c>
      <c r="J394" s="16">
        <f>_xlfn.XLOOKUP(Table2[[#This Row],[Sym]],Zones!$A$2:$A$21,Zones!$B$2:$B$21)</f>
        <v/>
      </c>
      <c r="K394" s="21" t="n"/>
    </row>
    <row r="395">
      <c r="A395" s="24" t="n">
        <v>1704</v>
      </c>
      <c r="B395" s="10" t="inlineStr">
        <is>
          <t>T110 Đông Triều 3</t>
        </is>
      </c>
      <c r="C395" s="10" t="inlineStr">
        <is>
          <t>TBA 110kV Đông Triều 3</t>
        </is>
      </c>
      <c r="D395" s="3" t="inlineStr">
        <is>
          <t>B5</t>
        </is>
      </c>
      <c r="E395" s="9" t="n"/>
      <c r="F395" s="15">
        <f>IF(E395&lt;&gt;"","Đã VH","Quy hoạch điện VIII")</f>
        <v/>
      </c>
      <c r="G395" s="16">
        <f>LEFT(B395,FIND(" ",B395,1)-1)</f>
        <v/>
      </c>
      <c r="H395" s="16">
        <f>TRIM(RIGHT(B395,LEN(B395)-FIND(" ",B395,1)))</f>
        <v/>
      </c>
      <c r="I395" s="16">
        <f>_xlfn.XLOOKUP(Table2[[#This Row],[Type]],Table5[Type],Table5[Type2])</f>
        <v/>
      </c>
      <c r="J395" s="16">
        <f>_xlfn.XLOOKUP(Table2[[#This Row],[Sym]],Zones!$A$2:$A$21,Zones!$B$2:$B$21)</f>
        <v/>
      </c>
      <c r="K395" s="21" t="n"/>
    </row>
    <row r="396">
      <c r="A396" s="24" t="n">
        <v>1705</v>
      </c>
      <c r="B396" s="10" t="inlineStr">
        <is>
          <t>T110 Cao Thắng</t>
        </is>
      </c>
      <c r="C396" s="10" t="inlineStr">
        <is>
          <t>TBA 110kV Cao Thắng</t>
        </is>
      </c>
      <c r="D396" s="3" t="inlineStr">
        <is>
          <t>B5</t>
        </is>
      </c>
      <c r="E396" s="9" t="n"/>
      <c r="F396" s="15">
        <f>IF(E396&lt;&gt;"","Đã VH","Quy hoạch điện VIII")</f>
        <v/>
      </c>
      <c r="G396" s="16">
        <f>LEFT(B396,FIND(" ",B396,1)-1)</f>
        <v/>
      </c>
      <c r="H396" s="16">
        <f>TRIM(RIGHT(B396,LEN(B396)-FIND(" ",B396,1)))</f>
        <v/>
      </c>
      <c r="I396" s="16">
        <f>_xlfn.XLOOKUP(Table2[[#This Row],[Type]],Table5[Type],Table5[Type2])</f>
        <v/>
      </c>
      <c r="J396" s="16">
        <f>_xlfn.XLOOKUP(Table2[[#This Row],[Sym]],Zones!$A$2:$A$21,Zones!$B$2:$B$21)</f>
        <v/>
      </c>
      <c r="K396" s="21" t="n"/>
    </row>
    <row r="397">
      <c r="A397" s="24" t="n">
        <v>1706</v>
      </c>
      <c r="B397" s="10" t="inlineStr">
        <is>
          <t>T110 Đông Triều 4</t>
        </is>
      </c>
      <c r="C397" s="10" t="inlineStr">
        <is>
          <t>TBA 110kV Đông Triều 4</t>
        </is>
      </c>
      <c r="D397" s="3" t="inlineStr">
        <is>
          <t>B5</t>
        </is>
      </c>
      <c r="E397" s="9" t="n"/>
      <c r="F397" s="15">
        <f>IF(E397&lt;&gt;"","Đã VH","Quy hoạch điện VIII")</f>
        <v/>
      </c>
      <c r="G397" s="16">
        <f>LEFT(B397,FIND(" ",B397,1)-1)</f>
        <v/>
      </c>
      <c r="H397" s="16">
        <f>TRIM(RIGHT(B397,LEN(B397)-FIND(" ",B397,1)))</f>
        <v/>
      </c>
      <c r="I397" s="16">
        <f>_xlfn.XLOOKUP(Table2[[#This Row],[Type]],Table5[Type],Table5[Type2])</f>
        <v/>
      </c>
      <c r="J397" s="16">
        <f>_xlfn.XLOOKUP(Table2[[#This Row],[Sym]],Zones!$A$2:$A$21,Zones!$B$2:$B$21)</f>
        <v/>
      </c>
      <c r="K397" s="21" t="n"/>
    </row>
    <row r="398">
      <c r="A398" s="24" t="n">
        <v>1707</v>
      </c>
      <c r="B398" s="10" t="inlineStr">
        <is>
          <t>T110 Quán Triều</t>
        </is>
      </c>
      <c r="C398" s="10" t="inlineStr">
        <is>
          <t>TBA 110kV Quán Triều</t>
        </is>
      </c>
      <c r="D398" s="3" t="inlineStr">
        <is>
          <t>B5</t>
        </is>
      </c>
      <c r="E398" s="9" t="n"/>
      <c r="F398" s="15">
        <f>IF(E398&lt;&gt;"","Đã VH","Quy hoạch điện VIII")</f>
        <v/>
      </c>
      <c r="G398" s="16">
        <f>LEFT(B398,FIND(" ",B398,1)-1)</f>
        <v/>
      </c>
      <c r="H398" s="16">
        <f>TRIM(RIGHT(B398,LEN(B398)-FIND(" ",B398,1)))</f>
        <v/>
      </c>
      <c r="I398" s="16">
        <f>_xlfn.XLOOKUP(Table2[[#This Row],[Type]],Table5[Type],Table5[Type2])</f>
        <v/>
      </c>
      <c r="J398" s="16">
        <f>_xlfn.XLOOKUP(Table2[[#This Row],[Sym]],Zones!$A$2:$A$21,Zones!$B$2:$B$21)</f>
        <v/>
      </c>
      <c r="K398" s="21" t="n"/>
    </row>
    <row r="399">
      <c r="A399" s="24" t="n">
        <v>1708</v>
      </c>
      <c r="B399" s="10" t="inlineStr">
        <is>
          <t>T110 Minh Thành</t>
        </is>
      </c>
      <c r="C399" s="10" t="inlineStr">
        <is>
          <t>TBA 110kV Minh Thành</t>
        </is>
      </c>
      <c r="D399" s="3" t="inlineStr">
        <is>
          <t>B5</t>
        </is>
      </c>
      <c r="E399" s="9" t="n"/>
      <c r="F399" s="15">
        <f>IF(E399&lt;&gt;"","Đã VH","Quy hoạch điện VIII")</f>
        <v/>
      </c>
      <c r="G399" s="16">
        <f>LEFT(B399,FIND(" ",B399,1)-1)</f>
        <v/>
      </c>
      <c r="H399" s="16">
        <f>TRIM(RIGHT(B399,LEN(B399)-FIND(" ",B399,1)))</f>
        <v/>
      </c>
      <c r="I399" s="16">
        <f>_xlfn.XLOOKUP(Table2[[#This Row],[Type]],Table5[Type],Table5[Type2])</f>
        <v/>
      </c>
      <c r="J399" s="16">
        <f>_xlfn.XLOOKUP(Table2[[#This Row],[Sym]],Zones!$A$2:$A$21,Zones!$B$2:$B$21)</f>
        <v/>
      </c>
      <c r="K399" s="21" t="n"/>
    </row>
    <row r="400">
      <c r="A400" s="24" t="n">
        <v>1709</v>
      </c>
      <c r="B400" s="10" t="inlineStr">
        <is>
          <t>T110 Hoàng Tân</t>
        </is>
      </c>
      <c r="C400" s="10" t="inlineStr">
        <is>
          <t>TBA 110kV Hoàng Tân</t>
        </is>
      </c>
      <c r="D400" s="3" t="inlineStr">
        <is>
          <t>B5</t>
        </is>
      </c>
      <c r="E400" s="9" t="n"/>
      <c r="F400" s="15">
        <f>IF(E400&lt;&gt;"","Đã VH","Quy hoạch điện VIII")</f>
        <v/>
      </c>
      <c r="G400" s="16">
        <f>LEFT(B400,FIND(" ",B400,1)-1)</f>
        <v/>
      </c>
      <c r="H400" s="16">
        <f>TRIM(RIGHT(B400,LEN(B400)-FIND(" ",B400,1)))</f>
        <v/>
      </c>
      <c r="I400" s="16">
        <f>_xlfn.XLOOKUP(Table2[[#This Row],[Type]],Table5[Type],Table5[Type2])</f>
        <v/>
      </c>
      <c r="J400" s="16">
        <f>_xlfn.XLOOKUP(Table2[[#This Row],[Sym]],Zones!$A$2:$A$21,Zones!$B$2:$B$21)</f>
        <v/>
      </c>
      <c r="K400" s="21" t="n"/>
    </row>
    <row r="401">
      <c r="A401" s="24" t="n">
        <v>1710</v>
      </c>
      <c r="B401" s="10" t="inlineStr">
        <is>
          <t>T110 KCN Đông Triều 2.1</t>
        </is>
      </c>
      <c r="C401" s="10" t="inlineStr">
        <is>
          <t>TBA 110kV KCN Đông Triều 2.1</t>
        </is>
      </c>
      <c r="D401" s="3" t="inlineStr">
        <is>
          <t>B5</t>
        </is>
      </c>
      <c r="E401" s="9" t="n"/>
      <c r="F401" s="15">
        <f>IF(E401&lt;&gt;"","Đã VH","Quy hoạch điện VIII")</f>
        <v/>
      </c>
      <c r="G401" s="16">
        <f>LEFT(B401,FIND(" ",B401,1)-1)</f>
        <v/>
      </c>
      <c r="H401" s="16">
        <f>TRIM(RIGHT(B401,LEN(B401)-FIND(" ",B401,1)))</f>
        <v/>
      </c>
      <c r="I401" s="16">
        <f>_xlfn.XLOOKUP(Table2[[#This Row],[Type]],Table5[Type],Table5[Type2])</f>
        <v/>
      </c>
      <c r="J401" s="16">
        <f>_xlfn.XLOOKUP(Table2[[#This Row],[Sym]],Zones!$A$2:$A$21,Zones!$B$2:$B$21)</f>
        <v/>
      </c>
      <c r="K401" s="21" t="n"/>
    </row>
    <row r="402">
      <c r="A402" s="24" t="n">
        <v>1711</v>
      </c>
      <c r="B402" s="10" t="inlineStr">
        <is>
          <t>T110 KCN Đông Triều 2.2</t>
        </is>
      </c>
      <c r="C402" s="10" t="inlineStr">
        <is>
          <t>TBA 110kV KCN Đông Triều 2.2</t>
        </is>
      </c>
      <c r="D402" s="3" t="inlineStr">
        <is>
          <t>B5</t>
        </is>
      </c>
      <c r="E402" s="9" t="n"/>
      <c r="F402" s="15">
        <f>IF(E402&lt;&gt;"","Đã VH","Quy hoạch điện VIII")</f>
        <v/>
      </c>
      <c r="G402" s="16">
        <f>LEFT(B402,FIND(" ",B402,1)-1)</f>
        <v/>
      </c>
      <c r="H402" s="16">
        <f>TRIM(RIGHT(B402,LEN(B402)-FIND(" ",B402,1)))</f>
        <v/>
      </c>
      <c r="I402" s="16">
        <f>_xlfn.XLOOKUP(Table2[[#This Row],[Type]],Table5[Type],Table5[Type2])</f>
        <v/>
      </c>
      <c r="J402" s="16">
        <f>_xlfn.XLOOKUP(Table2[[#This Row],[Sym]],Zones!$A$2:$A$21,Zones!$B$2:$B$21)</f>
        <v/>
      </c>
      <c r="K402" s="21" t="n"/>
    </row>
    <row r="403">
      <c r="A403" s="24" t="n">
        <v>1712</v>
      </c>
      <c r="B403" s="10" t="inlineStr">
        <is>
          <t>T110 KCN Đông Triều 2.3</t>
        </is>
      </c>
      <c r="C403" s="10" t="inlineStr">
        <is>
          <t>TBA 110kV KCN Đông Triều 2.3</t>
        </is>
      </c>
      <c r="D403" s="3" t="inlineStr">
        <is>
          <t>B5</t>
        </is>
      </c>
      <c r="E403" s="9" t="n"/>
      <c r="F403" s="15">
        <f>IF(E403&lt;&gt;"","Đã VH","Quy hoạch điện VIII")</f>
        <v/>
      </c>
      <c r="G403" s="16">
        <f>LEFT(B403,FIND(" ",B403,1)-1)</f>
        <v/>
      </c>
      <c r="H403" s="16">
        <f>TRIM(RIGHT(B403,LEN(B403)-FIND(" ",B403,1)))</f>
        <v/>
      </c>
      <c r="I403" s="16">
        <f>_xlfn.XLOOKUP(Table2[[#This Row],[Type]],Table5[Type],Table5[Type2])</f>
        <v/>
      </c>
      <c r="J403" s="16">
        <f>_xlfn.XLOOKUP(Table2[[#This Row],[Sym]],Zones!$A$2:$A$21,Zones!$B$2:$B$21)</f>
        <v/>
      </c>
      <c r="K403" s="21" t="n"/>
    </row>
    <row r="404">
      <c r="A404" s="24" t="n">
        <v>1713</v>
      </c>
      <c r="B404" s="10" t="inlineStr">
        <is>
          <t>T110 KCN phía Nam Đầm Nhà Mạc</t>
        </is>
      </c>
      <c r="C404" s="10" t="inlineStr">
        <is>
          <t>TBA 110kV KCN phía Nam Đầm Nhà Mạc</t>
        </is>
      </c>
      <c r="D404" s="3" t="inlineStr">
        <is>
          <t>B5</t>
        </is>
      </c>
      <c r="E404" s="9" t="n"/>
      <c r="F404" s="15">
        <f>IF(E404&lt;&gt;"","Đã VH","Quy hoạch điện VIII")</f>
        <v/>
      </c>
      <c r="G404" s="16">
        <f>LEFT(B404,FIND(" ",B404,1)-1)</f>
        <v/>
      </c>
      <c r="H404" s="16">
        <f>TRIM(RIGHT(B404,LEN(B404)-FIND(" ",B404,1)))</f>
        <v/>
      </c>
      <c r="I404" s="16">
        <f>_xlfn.XLOOKUP(Table2[[#This Row],[Type]],Table5[Type],Table5[Type2])</f>
        <v/>
      </c>
      <c r="J404" s="16">
        <f>_xlfn.XLOOKUP(Table2[[#This Row],[Sym]],Zones!$A$2:$A$21,Zones!$B$2:$B$21)</f>
        <v/>
      </c>
      <c r="K404" s="21" t="n"/>
    </row>
    <row r="405">
      <c r="A405" s="24" t="n">
        <v>1714</v>
      </c>
      <c r="B405" s="10" t="inlineStr">
        <is>
          <t>T110 KCN phía Bắc Đầm Nhà Mạc</t>
        </is>
      </c>
      <c r="C405" s="10" t="inlineStr">
        <is>
          <t>TBA 110kV KCN phía Bắc Đầm Nhà Mạc</t>
        </is>
      </c>
      <c r="D405" s="3" t="inlineStr">
        <is>
          <t>B5</t>
        </is>
      </c>
      <c r="E405" s="9" t="n"/>
      <c r="F405" s="15">
        <f>IF(E405&lt;&gt;"","Đã VH","Quy hoạch điện VIII")</f>
        <v/>
      </c>
      <c r="G405" s="16">
        <f>LEFT(B405,FIND(" ",B405,1)-1)</f>
        <v/>
      </c>
      <c r="H405" s="16">
        <f>TRIM(RIGHT(B405,LEN(B405)-FIND(" ",B405,1)))</f>
        <v/>
      </c>
      <c r="I405" s="16">
        <f>_xlfn.XLOOKUP(Table2[[#This Row],[Type]],Table5[Type],Table5[Type2])</f>
        <v/>
      </c>
      <c r="J405" s="16">
        <f>_xlfn.XLOOKUP(Table2[[#This Row],[Sym]],Zones!$A$2:$A$21,Zones!$B$2:$B$21)</f>
        <v/>
      </c>
      <c r="K405" s="21" t="n"/>
    </row>
    <row r="406">
      <c r="A406" s="24" t="n">
        <v>1715</v>
      </c>
      <c r="B406" s="10" t="inlineStr">
        <is>
          <t>T110 KCN phía Đông sông Rút</t>
        </is>
      </c>
      <c r="C406" s="10" t="inlineStr">
        <is>
          <t>TBA 110kV KCN phía Đông sông Rút</t>
        </is>
      </c>
      <c r="D406" s="3" t="inlineStr">
        <is>
          <t>B5</t>
        </is>
      </c>
      <c r="E406" s="9" t="n"/>
      <c r="F406" s="15">
        <f>IF(E406&lt;&gt;"","Đã VH","Quy hoạch điện VIII")</f>
        <v/>
      </c>
      <c r="G406" s="16">
        <f>LEFT(B406,FIND(" ",B406,1)-1)</f>
        <v/>
      </c>
      <c r="H406" s="16">
        <f>TRIM(RIGHT(B406,LEN(B406)-FIND(" ",B406,1)))</f>
        <v/>
      </c>
      <c r="I406" s="16">
        <f>_xlfn.XLOOKUP(Table2[[#This Row],[Type]],Table5[Type],Table5[Type2])</f>
        <v/>
      </c>
      <c r="J406" s="16">
        <f>_xlfn.XLOOKUP(Table2[[#This Row],[Sym]],Zones!$A$2:$A$21,Zones!$B$2:$B$21)</f>
        <v/>
      </c>
      <c r="K406" s="21" t="n"/>
    </row>
    <row r="407">
      <c r="A407" s="24" t="n">
        <v>1716</v>
      </c>
      <c r="B407" s="10" t="inlineStr">
        <is>
          <t>T110 KCN phía Tây sông Khoai</t>
        </is>
      </c>
      <c r="C407" s="10" t="inlineStr">
        <is>
          <t>TBA 110kV KCN phía Tây sông Khoai</t>
        </is>
      </c>
      <c r="D407" s="3" t="inlineStr">
        <is>
          <t>B5</t>
        </is>
      </c>
      <c r="E407" s="9" t="n"/>
      <c r="F407" s="15">
        <f>IF(E407&lt;&gt;"","Đã VH","Quy hoạch điện VIII")</f>
        <v/>
      </c>
      <c r="G407" s="16">
        <f>LEFT(B407,FIND(" ",B407,1)-1)</f>
        <v/>
      </c>
      <c r="H407" s="16">
        <f>TRIM(RIGHT(B407,LEN(B407)-FIND(" ",B407,1)))</f>
        <v/>
      </c>
      <c r="I407" s="16">
        <f>_xlfn.XLOOKUP(Table2[[#This Row],[Type]],Table5[Type],Table5[Type2])</f>
        <v/>
      </c>
      <c r="J407" s="16">
        <f>_xlfn.XLOOKUP(Table2[[#This Row],[Sym]],Zones!$A$2:$A$21,Zones!$B$2:$B$21)</f>
        <v/>
      </c>
      <c r="K407" s="21" t="n"/>
    </row>
    <row r="408">
      <c r="A408" s="24" t="n">
        <v>1717</v>
      </c>
      <c r="B408" s="10" t="inlineStr">
        <is>
          <t>T110 KCN Đông Uông Bí</t>
        </is>
      </c>
      <c r="C408" s="10" t="inlineStr">
        <is>
          <t>TBA 110kV KCN Đông Uông Bí</t>
        </is>
      </c>
      <c r="D408" s="3" t="inlineStr">
        <is>
          <t>B5</t>
        </is>
      </c>
      <c r="E408" s="9" t="n"/>
      <c r="F408" s="15">
        <f>IF(E408&lt;&gt;"","Đã VH","Quy hoạch điện VIII")</f>
        <v/>
      </c>
      <c r="G408" s="16">
        <f>LEFT(B408,FIND(" ",B408,1)-1)</f>
        <v/>
      </c>
      <c r="H408" s="16">
        <f>TRIM(RIGHT(B408,LEN(B408)-FIND(" ",B408,1)))</f>
        <v/>
      </c>
      <c r="I408" s="16">
        <f>_xlfn.XLOOKUP(Table2[[#This Row],[Type]],Table5[Type],Table5[Type2])</f>
        <v/>
      </c>
      <c r="J408" s="16">
        <f>_xlfn.XLOOKUP(Table2[[#This Row],[Sym]],Zones!$A$2:$A$21,Zones!$B$2:$B$21)</f>
        <v/>
      </c>
      <c r="K408" s="21" t="n"/>
    </row>
    <row r="409">
      <c r="A409" s="24" t="n">
        <v>1718</v>
      </c>
      <c r="B409" s="10" t="inlineStr">
        <is>
          <t>T110 Hoành Bồ</t>
        </is>
      </c>
      <c r="C409" s="10" t="inlineStr">
        <is>
          <t>TBA 110kV Hoành Bồ</t>
        </is>
      </c>
      <c r="D409" s="3" t="inlineStr">
        <is>
          <t>B5</t>
        </is>
      </c>
      <c r="E409" s="9" t="n"/>
      <c r="F409" s="15">
        <f>IF(E409&lt;&gt;"","Đã VH","Quy hoạch điện VIII")</f>
        <v/>
      </c>
      <c r="G409" s="16">
        <f>LEFT(B409,FIND(" ",B409,1)-1)</f>
        <v/>
      </c>
      <c r="H409" s="16">
        <f>TRIM(RIGHT(B409,LEN(B409)-FIND(" ",B409,1)))</f>
        <v/>
      </c>
      <c r="I409" s="16">
        <f>_xlfn.XLOOKUP(Table2[[#This Row],[Type]],Table5[Type],Table5[Type2])</f>
        <v/>
      </c>
      <c r="J409" s="16">
        <f>_xlfn.XLOOKUP(Table2[[#This Row],[Sym]],Zones!$A$2:$A$21,Zones!$B$2:$B$21)</f>
        <v/>
      </c>
      <c r="K409" s="21" t="n"/>
    </row>
    <row r="410">
      <c r="A410" s="24" t="n">
        <v>1719</v>
      </c>
      <c r="B410" s="10" t="inlineStr">
        <is>
          <t>T110 Hùng Thắng</t>
        </is>
      </c>
      <c r="C410" s="10" t="inlineStr">
        <is>
          <t>TBA 110kV Hùng Thắng</t>
        </is>
      </c>
      <c r="D410" s="3" t="inlineStr">
        <is>
          <t>B5</t>
        </is>
      </c>
      <c r="E410" s="9" t="n"/>
      <c r="F410" s="15">
        <f>IF(E410&lt;&gt;"","Đã VH","Quy hoạch điện VIII")</f>
        <v/>
      </c>
      <c r="G410" s="16">
        <f>LEFT(B410,FIND(" ",B410,1)-1)</f>
        <v/>
      </c>
      <c r="H410" s="16">
        <f>TRIM(RIGHT(B410,LEN(B410)-FIND(" ",B410,1)))</f>
        <v/>
      </c>
      <c r="I410" s="16">
        <f>_xlfn.XLOOKUP(Table2[[#This Row],[Type]],Table5[Type],Table5[Type2])</f>
        <v/>
      </c>
      <c r="J410" s="16">
        <f>_xlfn.XLOOKUP(Table2[[#This Row],[Sym]],Zones!$A$2:$A$21,Zones!$B$2:$B$21)</f>
        <v/>
      </c>
      <c r="K410" s="21" t="n"/>
    </row>
    <row r="411">
      <c r="A411" s="24" t="n">
        <v>1720</v>
      </c>
      <c r="B411" s="10" t="inlineStr">
        <is>
          <t>T110 Tuần Châu</t>
        </is>
      </c>
      <c r="C411" s="10" t="inlineStr">
        <is>
          <t>TBA 110kV Tuần Châu</t>
        </is>
      </c>
      <c r="D411" s="3" t="inlineStr">
        <is>
          <t>B5</t>
        </is>
      </c>
      <c r="E411" s="9" t="n"/>
      <c r="F411" s="15">
        <f>IF(E411&lt;&gt;"","Đã VH","Quy hoạch điện VIII")</f>
        <v/>
      </c>
      <c r="G411" s="16">
        <f>LEFT(B411,FIND(" ",B411,1)-1)</f>
        <v/>
      </c>
      <c r="H411" s="16">
        <f>TRIM(RIGHT(B411,LEN(B411)-FIND(" ",B411,1)))</f>
        <v/>
      </c>
      <c r="I411" s="16">
        <f>_xlfn.XLOOKUP(Table2[[#This Row],[Type]],Table5[Type],Table5[Type2])</f>
        <v/>
      </c>
      <c r="J411" s="16">
        <f>_xlfn.XLOOKUP(Table2[[#This Row],[Sym]],Zones!$A$2:$A$21,Zones!$B$2:$B$21)</f>
        <v/>
      </c>
      <c r="K411" s="21" t="n"/>
    </row>
    <row r="412">
      <c r="A412" s="24" t="n">
        <v>1721</v>
      </c>
      <c r="B412" s="10" t="inlineStr">
        <is>
          <t>T110 Ba Chẽ</t>
        </is>
      </c>
      <c r="C412" s="10" t="inlineStr">
        <is>
          <t>TBA 110kV Ba Chẽ</t>
        </is>
      </c>
      <c r="D412" s="3" t="inlineStr">
        <is>
          <t>B5</t>
        </is>
      </c>
      <c r="E412" s="9" t="n"/>
      <c r="F412" s="15">
        <f>IF(E412&lt;&gt;"","Đã VH","Quy hoạch điện VIII")</f>
        <v/>
      </c>
      <c r="G412" s="16">
        <f>LEFT(B412,FIND(" ",B412,1)-1)</f>
        <v/>
      </c>
      <c r="H412" s="16">
        <f>TRIM(RIGHT(B412,LEN(B412)-FIND(" ",B412,1)))</f>
        <v/>
      </c>
      <c r="I412" s="16">
        <f>_xlfn.XLOOKUP(Table2[[#This Row],[Type]],Table5[Type],Table5[Type2])</f>
        <v/>
      </c>
      <c r="J412" s="16">
        <f>_xlfn.XLOOKUP(Table2[[#This Row],[Sym]],Zones!$A$2:$A$21,Zones!$B$2:$B$21)</f>
        <v/>
      </c>
      <c r="K412" s="21" t="n"/>
    </row>
    <row r="413">
      <c r="A413" s="24" t="n">
        <v>1722</v>
      </c>
      <c r="B413" s="10" t="inlineStr">
        <is>
          <t>T110 Giáp Khẩu 2</t>
        </is>
      </c>
      <c r="C413" s="10" t="inlineStr">
        <is>
          <t>TBA 110kV Giáp Khẩu 2</t>
        </is>
      </c>
      <c r="D413" s="3" t="inlineStr">
        <is>
          <t>B5</t>
        </is>
      </c>
      <c r="E413" s="9" t="n"/>
      <c r="F413" s="15">
        <f>IF(E413&lt;&gt;"","Đã VH","Quy hoạch điện VIII")</f>
        <v/>
      </c>
      <c r="G413" s="16">
        <f>LEFT(B413,FIND(" ",B413,1)-1)</f>
        <v/>
      </c>
      <c r="H413" s="16">
        <f>TRIM(RIGHT(B413,LEN(B413)-FIND(" ",B413,1)))</f>
        <v/>
      </c>
      <c r="I413" s="16">
        <f>_xlfn.XLOOKUP(Table2[[#This Row],[Type]],Table5[Type],Table5[Type2])</f>
        <v/>
      </c>
      <c r="J413" s="16">
        <f>_xlfn.XLOOKUP(Table2[[#This Row],[Sym]],Zones!$A$2:$A$21,Zones!$B$2:$B$21)</f>
        <v/>
      </c>
      <c r="K413" s="21" t="n"/>
    </row>
    <row r="414">
      <c r="A414" s="24" t="n">
        <v>1723</v>
      </c>
      <c r="B414" s="10" t="inlineStr">
        <is>
          <t>T110 KCN Việt Hưng 2</t>
        </is>
      </c>
      <c r="C414" s="10" t="inlineStr">
        <is>
          <t>TBA 110kV KCN Việt Hưng 2</t>
        </is>
      </c>
      <c r="D414" s="3" t="inlineStr">
        <is>
          <t>B5</t>
        </is>
      </c>
      <c r="E414" s="9" t="n"/>
      <c r="F414" s="15">
        <f>IF(E414&lt;&gt;"","Đã VH","Quy hoạch điện VIII")</f>
        <v/>
      </c>
      <c r="G414" s="16">
        <f>LEFT(B414,FIND(" ",B414,1)-1)</f>
        <v/>
      </c>
      <c r="H414" s="16">
        <f>TRIM(RIGHT(B414,LEN(B414)-FIND(" ",B414,1)))</f>
        <v/>
      </c>
      <c r="I414" s="16">
        <f>_xlfn.XLOOKUP(Table2[[#This Row],[Type]],Table5[Type],Table5[Type2])</f>
        <v/>
      </c>
      <c r="J414" s="16">
        <f>_xlfn.XLOOKUP(Table2[[#This Row],[Sym]],Zones!$A$2:$A$21,Zones!$B$2:$B$21)</f>
        <v/>
      </c>
      <c r="K414" s="21" t="n"/>
    </row>
    <row r="415">
      <c r="A415" s="24" t="n">
        <v>1724</v>
      </c>
      <c r="B415" s="10" t="inlineStr">
        <is>
          <t>T110 CCN Hỗ Trợ</t>
        </is>
      </c>
      <c r="C415" s="10" t="inlineStr">
        <is>
          <t>TBA 110kV CCN Hỗ Trợ</t>
        </is>
      </c>
      <c r="D415" s="3" t="inlineStr">
        <is>
          <t>B5</t>
        </is>
      </c>
      <c r="E415" s="9" t="n"/>
      <c r="F415" s="15">
        <f>IF(E415&lt;&gt;"","Đã VH","Quy hoạch điện VIII")</f>
        <v/>
      </c>
      <c r="G415" s="16">
        <f>LEFT(B415,FIND(" ",B415,1)-1)</f>
        <v/>
      </c>
      <c r="H415" s="16">
        <f>TRIM(RIGHT(B415,LEN(B415)-FIND(" ",B415,1)))</f>
        <v/>
      </c>
      <c r="I415" s="16">
        <f>_xlfn.XLOOKUP(Table2[[#This Row],[Type]],Table5[Type],Table5[Type2])</f>
        <v/>
      </c>
      <c r="J415" s="16">
        <f>_xlfn.XLOOKUP(Table2[[#This Row],[Sym]],Zones!$A$2:$A$21,Zones!$B$2:$B$21)</f>
        <v/>
      </c>
      <c r="K415" s="21" t="n"/>
    </row>
    <row r="416">
      <c r="A416" s="24" t="n">
        <v>1725</v>
      </c>
      <c r="B416" s="10" t="inlineStr">
        <is>
          <t>T110 CCN Hoành Bồ</t>
        </is>
      </c>
      <c r="C416" s="10" t="inlineStr">
        <is>
          <t>TBA 110kV CCN Hoành Bồ</t>
        </is>
      </c>
      <c r="D416" s="3" t="inlineStr">
        <is>
          <t>B5</t>
        </is>
      </c>
      <c r="E416" s="9" t="n"/>
      <c r="F416" s="15">
        <f>IF(E416&lt;&gt;"","Đã VH","Quy hoạch điện VIII")</f>
        <v/>
      </c>
      <c r="G416" s="16">
        <f>LEFT(B416,FIND(" ",B416,1)-1)</f>
        <v/>
      </c>
      <c r="H416" s="16">
        <f>TRIM(RIGHT(B416,LEN(B416)-FIND(" ",B416,1)))</f>
        <v/>
      </c>
      <c r="I416" s="16">
        <f>_xlfn.XLOOKUP(Table2[[#This Row],[Type]],Table5[Type],Table5[Type2])</f>
        <v/>
      </c>
      <c r="J416" s="16">
        <f>_xlfn.XLOOKUP(Table2[[#This Row],[Sym]],Zones!$A$2:$A$21,Zones!$B$2:$B$21)</f>
        <v/>
      </c>
      <c r="K416" s="21" t="n"/>
    </row>
    <row r="417">
      <c r="A417" s="24" t="n">
        <v>1726</v>
      </c>
      <c r="B417" s="10" t="inlineStr">
        <is>
          <t>T110 Vingroup Đại Yên</t>
        </is>
      </c>
      <c r="C417" s="10" t="inlineStr">
        <is>
          <t>TBA 110kV Vingroup Đại Yên</t>
        </is>
      </c>
      <c r="D417" s="3" t="inlineStr">
        <is>
          <t>B5</t>
        </is>
      </c>
      <c r="E417" s="9" t="n"/>
      <c r="F417" s="15">
        <f>IF(E417&lt;&gt;"","Đã VH","Quy hoạch điện VIII")</f>
        <v/>
      </c>
      <c r="G417" s="16">
        <f>LEFT(B417,FIND(" ",B417,1)-1)</f>
        <v/>
      </c>
      <c r="H417" s="16">
        <f>TRIM(RIGHT(B417,LEN(B417)-FIND(" ",B417,1)))</f>
        <v/>
      </c>
      <c r="I417" s="16">
        <f>_xlfn.XLOOKUP(Table2[[#This Row],[Type]],Table5[Type],Table5[Type2])</f>
        <v/>
      </c>
      <c r="J417" s="16">
        <f>_xlfn.XLOOKUP(Table2[[#This Row],[Sym]],Zones!$A$2:$A$21,Zones!$B$2:$B$21)</f>
        <v/>
      </c>
      <c r="K417" s="21" t="n"/>
    </row>
    <row r="418">
      <c r="A418" s="24" t="n">
        <v>1727</v>
      </c>
      <c r="B418" s="10" t="inlineStr">
        <is>
          <t>T110 Vân Đồn 3</t>
        </is>
      </c>
      <c r="C418" s="10" t="inlineStr">
        <is>
          <t>TBA 110kV Vân Đồn 3</t>
        </is>
      </c>
      <c r="D418" s="3" t="inlineStr">
        <is>
          <t>B5</t>
        </is>
      </c>
      <c r="E418" s="9" t="n"/>
      <c r="F418" s="15">
        <f>IF(E418&lt;&gt;"","Đã VH","Quy hoạch điện VIII")</f>
        <v/>
      </c>
      <c r="G418" s="16">
        <f>LEFT(B418,FIND(" ",B418,1)-1)</f>
        <v/>
      </c>
      <c r="H418" s="16">
        <f>TRIM(RIGHT(B418,LEN(B418)-FIND(" ",B418,1)))</f>
        <v/>
      </c>
      <c r="I418" s="16">
        <f>_xlfn.XLOOKUP(Table2[[#This Row],[Type]],Table5[Type],Table5[Type2])</f>
        <v/>
      </c>
      <c r="J418" s="16">
        <f>_xlfn.XLOOKUP(Table2[[#This Row],[Sym]],Zones!$A$2:$A$21,Zones!$B$2:$B$21)</f>
        <v/>
      </c>
      <c r="K418" s="21" t="n"/>
    </row>
    <row r="419">
      <c r="A419" s="24" t="n">
        <v>1728</v>
      </c>
      <c r="B419" s="10" t="inlineStr">
        <is>
          <t>T110 Quang Hanh</t>
        </is>
      </c>
      <c r="C419" s="10" t="inlineStr">
        <is>
          <t>TBA 110kV Quang Hanh</t>
        </is>
      </c>
      <c r="D419" s="3" t="inlineStr">
        <is>
          <t>B5</t>
        </is>
      </c>
      <c r="E419" s="9" t="n"/>
      <c r="F419" s="15">
        <f>IF(E419&lt;&gt;"","Đã VH","Quy hoạch điện VIII")</f>
        <v/>
      </c>
      <c r="G419" s="16">
        <f>LEFT(B419,FIND(" ",B419,1)-1)</f>
        <v/>
      </c>
      <c r="H419" s="16">
        <f>TRIM(RIGHT(B419,LEN(B419)-FIND(" ",B419,1)))</f>
        <v/>
      </c>
      <c r="I419" s="16">
        <f>_xlfn.XLOOKUP(Table2[[#This Row],[Type]],Table5[Type],Table5[Type2])</f>
        <v/>
      </c>
      <c r="J419" s="16">
        <f>_xlfn.XLOOKUP(Table2[[#This Row],[Sym]],Zones!$A$2:$A$21,Zones!$B$2:$B$21)</f>
        <v/>
      </c>
      <c r="K419" s="21" t="n"/>
    </row>
    <row r="420">
      <c r="A420" s="24" t="n">
        <v>1729</v>
      </c>
      <c r="B420" s="10" t="inlineStr">
        <is>
          <t>T110 Mông Dương 2</t>
        </is>
      </c>
      <c r="C420" s="10" t="inlineStr">
        <is>
          <t>TBA 110kV Mông Dương 2</t>
        </is>
      </c>
      <c r="D420" s="3" t="inlineStr">
        <is>
          <t>B5</t>
        </is>
      </c>
      <c r="E420" s="9" t="n"/>
      <c r="F420" s="15">
        <f>IF(E420&lt;&gt;"","Đã VH","Quy hoạch điện VIII")</f>
        <v/>
      </c>
      <c r="G420" s="16">
        <f>LEFT(B420,FIND(" ",B420,1)-1)</f>
        <v/>
      </c>
      <c r="H420" s="16">
        <f>TRIM(RIGHT(B420,LEN(B420)-FIND(" ",B420,1)))</f>
        <v/>
      </c>
      <c r="I420" s="16">
        <f>_xlfn.XLOOKUP(Table2[[#This Row],[Type]],Table5[Type],Table5[Type2])</f>
        <v/>
      </c>
      <c r="J420" s="16">
        <f>_xlfn.XLOOKUP(Table2[[#This Row],[Sym]],Zones!$A$2:$A$21,Zones!$B$2:$B$21)</f>
        <v/>
      </c>
      <c r="K420" s="21" t="n"/>
    </row>
    <row r="421">
      <c r="A421" s="24" t="n">
        <v>1730</v>
      </c>
      <c r="B421" s="10" t="inlineStr">
        <is>
          <t>T110 Cô Tô</t>
        </is>
      </c>
      <c r="C421" s="10" t="inlineStr">
        <is>
          <t>TBA 110kV Cô Tô</t>
        </is>
      </c>
      <c r="D421" s="3" t="inlineStr">
        <is>
          <t>B5</t>
        </is>
      </c>
      <c r="E421" s="9" t="n"/>
      <c r="F421" s="15">
        <f>IF(E421&lt;&gt;"","Đã VH","Quy hoạch điện VIII")</f>
        <v/>
      </c>
      <c r="G421" s="16">
        <f>LEFT(B421,FIND(" ",B421,1)-1)</f>
        <v/>
      </c>
      <c r="H421" s="16">
        <f>TRIM(RIGHT(B421,LEN(B421)-FIND(" ",B421,1)))</f>
        <v/>
      </c>
      <c r="I421" s="16">
        <f>_xlfn.XLOOKUP(Table2[[#This Row],[Type]],Table5[Type],Table5[Type2])</f>
        <v/>
      </c>
      <c r="J421" s="16">
        <f>_xlfn.XLOOKUP(Table2[[#This Row],[Sym]],Zones!$A$2:$A$21,Zones!$B$2:$B$21)</f>
        <v/>
      </c>
      <c r="K421" s="21" t="n"/>
    </row>
    <row r="422">
      <c r="A422" s="24" t="n">
        <v>1731</v>
      </c>
      <c r="B422" s="10" t="inlineStr">
        <is>
          <t>T110 Đông Xá</t>
        </is>
      </c>
      <c r="C422" s="10" t="inlineStr">
        <is>
          <t>TBA 110kV Đông Xá</t>
        </is>
      </c>
      <c r="D422" s="3" t="inlineStr">
        <is>
          <t>B5</t>
        </is>
      </c>
      <c r="E422" s="9" t="n"/>
      <c r="F422" s="15">
        <f>IF(E422&lt;&gt;"","Đã VH","Quy hoạch điện VIII")</f>
        <v/>
      </c>
      <c r="G422" s="16">
        <f>LEFT(B422,FIND(" ",B422,1)-1)</f>
        <v/>
      </c>
      <c r="H422" s="16">
        <f>TRIM(RIGHT(B422,LEN(B422)-FIND(" ",B422,1)))</f>
        <v/>
      </c>
      <c r="I422" s="16">
        <f>_xlfn.XLOOKUP(Table2[[#This Row],[Type]],Table5[Type],Table5[Type2])</f>
        <v/>
      </c>
      <c r="J422" s="16">
        <f>_xlfn.XLOOKUP(Table2[[#This Row],[Sym]],Zones!$A$2:$A$21,Zones!$B$2:$B$21)</f>
        <v/>
      </c>
      <c r="K422" s="21" t="n"/>
    </row>
    <row r="423">
      <c r="A423" s="24" t="n">
        <v>1732</v>
      </c>
      <c r="B423" s="10" t="inlineStr">
        <is>
          <t>T110 KCN Cẩm Phả 1</t>
        </is>
      </c>
      <c r="C423" s="10" t="inlineStr">
        <is>
          <t>TBA 110kV KCN Cẩm Phả 1</t>
        </is>
      </c>
      <c r="D423" s="3" t="inlineStr">
        <is>
          <t>B5</t>
        </is>
      </c>
      <c r="E423" s="9" t="n"/>
      <c r="F423" s="15">
        <f>IF(E423&lt;&gt;"","Đã VH","Quy hoạch điện VIII")</f>
        <v/>
      </c>
      <c r="G423" s="16">
        <f>LEFT(B423,FIND(" ",B423,1)-1)</f>
        <v/>
      </c>
      <c r="H423" s="16">
        <f>TRIM(RIGHT(B423,LEN(B423)-FIND(" ",B423,1)))</f>
        <v/>
      </c>
      <c r="I423" s="16">
        <f>_xlfn.XLOOKUP(Table2[[#This Row],[Type]],Table5[Type],Table5[Type2])</f>
        <v/>
      </c>
      <c r="J423" s="16">
        <f>_xlfn.XLOOKUP(Table2[[#This Row],[Sym]],Zones!$A$2:$A$21,Zones!$B$2:$B$21)</f>
        <v/>
      </c>
      <c r="K423" s="21" t="n"/>
    </row>
    <row r="424">
      <c r="A424" s="24" t="n">
        <v>1733</v>
      </c>
      <c r="B424" s="10" t="inlineStr">
        <is>
          <t>T110 KCN Cẩm Phả 2</t>
        </is>
      </c>
      <c r="C424" s="10" t="inlineStr">
        <is>
          <t>TBA 110kV KCN Cẩm Phả 2</t>
        </is>
      </c>
      <c r="D424" s="3" t="inlineStr">
        <is>
          <t>B5</t>
        </is>
      </c>
      <c r="E424" s="9" t="n"/>
      <c r="F424" s="15">
        <f>IF(E424&lt;&gt;"","Đã VH","Quy hoạch điện VIII")</f>
        <v/>
      </c>
      <c r="G424" s="16">
        <f>LEFT(B424,FIND(" ",B424,1)-1)</f>
        <v/>
      </c>
      <c r="H424" s="16">
        <f>TRIM(RIGHT(B424,LEN(B424)-FIND(" ",B424,1)))</f>
        <v/>
      </c>
      <c r="I424" s="16">
        <f>_xlfn.XLOOKUP(Table2[[#This Row],[Type]],Table5[Type],Table5[Type2])</f>
        <v/>
      </c>
      <c r="J424" s="16">
        <f>_xlfn.XLOOKUP(Table2[[#This Row],[Sym]],Zones!$A$2:$A$21,Zones!$B$2:$B$21)</f>
        <v/>
      </c>
      <c r="K424" s="21" t="n"/>
    </row>
    <row r="425">
      <c r="A425" s="24" t="n">
        <v>1734</v>
      </c>
      <c r="B425" s="10" t="inlineStr">
        <is>
          <t>T110 KCN Bắc Cái Bầu</t>
        </is>
      </c>
      <c r="C425" s="10" t="inlineStr">
        <is>
          <t>TBA 110kV KCN Bắc Cái Bầu</t>
        </is>
      </c>
      <c r="D425" s="3" t="inlineStr">
        <is>
          <t>B5</t>
        </is>
      </c>
      <c r="E425" s="9" t="n"/>
      <c r="F425" s="15">
        <f>IF(E425&lt;&gt;"","Đã VH","Quy hoạch điện VIII")</f>
        <v/>
      </c>
      <c r="G425" s="16">
        <f>LEFT(B425,FIND(" ",B425,1)-1)</f>
        <v/>
      </c>
      <c r="H425" s="16">
        <f>TRIM(RIGHT(B425,LEN(B425)-FIND(" ",B425,1)))</f>
        <v/>
      </c>
      <c r="I425" s="16">
        <f>_xlfn.XLOOKUP(Table2[[#This Row],[Type]],Table5[Type],Table5[Type2])</f>
        <v/>
      </c>
      <c r="J425" s="16">
        <f>_xlfn.XLOOKUP(Table2[[#This Row],[Sym]],Zones!$A$2:$A$21,Zones!$B$2:$B$21)</f>
        <v/>
      </c>
      <c r="K425" s="21" t="n"/>
    </row>
    <row r="426">
      <c r="A426" s="24" t="n">
        <v>1735</v>
      </c>
      <c r="B426" s="10" t="inlineStr">
        <is>
          <t>T110 KCN Hỗ Trợ HK</t>
        </is>
      </c>
      <c r="C426" s="10" t="inlineStr">
        <is>
          <t>TBA 110kV KCN Hỗ Trợ HK</t>
        </is>
      </c>
      <c r="D426" s="3" t="inlineStr">
        <is>
          <t>B5</t>
        </is>
      </c>
      <c r="E426" s="9" t="n"/>
      <c r="F426" s="15">
        <f>IF(E426&lt;&gt;"","Đã VH","Quy hoạch điện VIII")</f>
        <v/>
      </c>
      <c r="G426" s="16">
        <f>LEFT(B426,FIND(" ",B426,1)-1)</f>
        <v/>
      </c>
      <c r="H426" s="16">
        <f>TRIM(RIGHT(B426,LEN(B426)-FIND(" ",B426,1)))</f>
        <v/>
      </c>
      <c r="I426" s="16">
        <f>_xlfn.XLOOKUP(Table2[[#This Row],[Type]],Table5[Type],Table5[Type2])</f>
        <v/>
      </c>
      <c r="J426" s="16">
        <f>_xlfn.XLOOKUP(Table2[[#This Row],[Sym]],Zones!$A$2:$A$21,Zones!$B$2:$B$21)</f>
        <v/>
      </c>
      <c r="K426" s="21" t="n"/>
    </row>
    <row r="427">
      <c r="A427" s="24" t="n">
        <v>1736</v>
      </c>
      <c r="B427" s="10" t="inlineStr">
        <is>
          <t>T110 KĐT Ao Tiên</t>
        </is>
      </c>
      <c r="C427" s="10" t="inlineStr">
        <is>
          <t>TBA 110kV KĐT Ao Tiên</t>
        </is>
      </c>
      <c r="D427" s="3" t="inlineStr">
        <is>
          <t>B5</t>
        </is>
      </c>
      <c r="E427" s="9" t="n"/>
      <c r="F427" s="15">
        <f>IF(E427&lt;&gt;"","Đã VH","Quy hoạch điện VIII")</f>
        <v/>
      </c>
      <c r="G427" s="16">
        <f>LEFT(B427,FIND(" ",B427,1)-1)</f>
        <v/>
      </c>
      <c r="H427" s="16">
        <f>TRIM(RIGHT(B427,LEN(B427)-FIND(" ",B427,1)))</f>
        <v/>
      </c>
      <c r="I427" s="16">
        <f>_xlfn.XLOOKUP(Table2[[#This Row],[Type]],Table5[Type],Table5[Type2])</f>
        <v/>
      </c>
      <c r="J427" s="16">
        <f>_xlfn.XLOOKUP(Table2[[#This Row],[Sym]],Zones!$A$2:$A$21,Zones!$B$2:$B$21)</f>
        <v/>
      </c>
      <c r="K427" s="21" t="n"/>
    </row>
    <row r="428">
      <c r="A428" s="24" t="n">
        <v>1737</v>
      </c>
      <c r="B428" s="10" t="inlineStr">
        <is>
          <t>T110 Hải Xuân</t>
        </is>
      </c>
      <c r="C428" s="10" t="inlineStr">
        <is>
          <t>TBA 110kV Hải Xuân</t>
        </is>
      </c>
      <c r="D428" s="3" t="inlineStr">
        <is>
          <t>B5</t>
        </is>
      </c>
      <c r="E428" s="9" t="n"/>
      <c r="F428" s="15">
        <f>IF(E428&lt;&gt;"","Đã VH","Quy hoạch điện VIII")</f>
        <v/>
      </c>
      <c r="G428" s="16">
        <f>LEFT(B428,FIND(" ",B428,1)-1)</f>
        <v/>
      </c>
      <c r="H428" s="16">
        <f>TRIM(RIGHT(B428,LEN(B428)-FIND(" ",B428,1)))</f>
        <v/>
      </c>
      <c r="I428" s="16">
        <f>_xlfn.XLOOKUP(Table2[[#This Row],[Type]],Table5[Type],Table5[Type2])</f>
        <v/>
      </c>
      <c r="J428" s="16">
        <f>_xlfn.XLOOKUP(Table2[[#This Row],[Sym]],Zones!$A$2:$A$21,Zones!$B$2:$B$21)</f>
        <v/>
      </c>
      <c r="K428" s="21" t="n"/>
    </row>
    <row r="429">
      <c r="A429" s="24" t="n">
        <v>1738</v>
      </c>
      <c r="B429" s="10" t="inlineStr">
        <is>
          <t>T110 Tiên Yên 2</t>
        </is>
      </c>
      <c r="C429" s="10" t="inlineStr">
        <is>
          <t>TBA 110kV Tiên Yên 2</t>
        </is>
      </c>
      <c r="D429" s="3" t="inlineStr">
        <is>
          <t>B5</t>
        </is>
      </c>
      <c r="E429" s="9" t="n"/>
      <c r="F429" s="15">
        <f>IF(E429&lt;&gt;"","Đã VH","Quy hoạch điện VIII")</f>
        <v/>
      </c>
      <c r="G429" s="16">
        <f>LEFT(B429,FIND(" ",B429,1)-1)</f>
        <v/>
      </c>
      <c r="H429" s="16">
        <f>TRIM(RIGHT(B429,LEN(B429)-FIND(" ",B429,1)))</f>
        <v/>
      </c>
      <c r="I429" s="16">
        <f>_xlfn.XLOOKUP(Table2[[#This Row],[Type]],Table5[Type],Table5[Type2])</f>
        <v/>
      </c>
      <c r="J429" s="16">
        <f>_xlfn.XLOOKUP(Table2[[#This Row],[Sym]],Zones!$A$2:$A$21,Zones!$B$2:$B$21)</f>
        <v/>
      </c>
      <c r="K429" s="21" t="n"/>
    </row>
    <row r="430">
      <c r="A430" s="24" t="n">
        <v>1739</v>
      </c>
      <c r="B430" s="10" t="inlineStr">
        <is>
          <t>T110 Móng Cái 2</t>
        </is>
      </c>
      <c r="C430" s="10" t="inlineStr">
        <is>
          <t>TBA 110kV Móng Cái 2</t>
        </is>
      </c>
      <c r="D430" s="3" t="inlineStr">
        <is>
          <t>B5</t>
        </is>
      </c>
      <c r="E430" s="9" t="n"/>
      <c r="F430" s="15">
        <f>IF(E430&lt;&gt;"","Đã VH","Quy hoạch điện VIII")</f>
        <v/>
      </c>
      <c r="G430" s="16">
        <f>LEFT(B430,FIND(" ",B430,1)-1)</f>
        <v/>
      </c>
      <c r="H430" s="16">
        <f>TRIM(RIGHT(B430,LEN(B430)-FIND(" ",B430,1)))</f>
        <v/>
      </c>
      <c r="I430" s="16">
        <f>_xlfn.XLOOKUP(Table2[[#This Row],[Type]],Table5[Type],Table5[Type2])</f>
        <v/>
      </c>
      <c r="J430" s="16">
        <f>_xlfn.XLOOKUP(Table2[[#This Row],[Sym]],Zones!$A$2:$A$21,Zones!$B$2:$B$21)</f>
        <v/>
      </c>
      <c r="K430" s="21" t="n"/>
    </row>
    <row r="431">
      <c r="A431" s="24" t="n">
        <v>1740</v>
      </c>
      <c r="B431" s="10" t="inlineStr">
        <is>
          <t>T110 Quảng Hà 2</t>
        </is>
      </c>
      <c r="C431" s="10" t="inlineStr">
        <is>
          <t>TBA 110kV Quảng Hà 2</t>
        </is>
      </c>
      <c r="D431" s="3" t="inlineStr">
        <is>
          <t>B5</t>
        </is>
      </c>
      <c r="E431" s="9" t="n"/>
      <c r="F431" s="15">
        <f>IF(E431&lt;&gt;"","Đã VH","Quy hoạch điện VIII")</f>
        <v/>
      </c>
      <c r="G431" s="16">
        <f>LEFT(B431,FIND(" ",B431,1)-1)</f>
        <v/>
      </c>
      <c r="H431" s="16">
        <f>TRIM(RIGHT(B431,LEN(B431)-FIND(" ",B431,1)))</f>
        <v/>
      </c>
      <c r="I431" s="16">
        <f>_xlfn.XLOOKUP(Table2[[#This Row],[Type]],Table5[Type],Table5[Type2])</f>
        <v/>
      </c>
      <c r="J431" s="16">
        <f>_xlfn.XLOOKUP(Table2[[#This Row],[Sym]],Zones!$A$2:$A$21,Zones!$B$2:$B$21)</f>
        <v/>
      </c>
      <c r="K431" s="21" t="n"/>
    </row>
    <row r="432">
      <c r="A432" s="24" t="n">
        <v>1741</v>
      </c>
      <c r="B432" s="10" t="inlineStr">
        <is>
          <t>T110 KCN Hải Yên</t>
        </is>
      </c>
      <c r="C432" s="10" t="inlineStr">
        <is>
          <t>TBA 110kV KCN Hải Yên</t>
        </is>
      </c>
      <c r="D432" s="3" t="inlineStr">
        <is>
          <t>B5</t>
        </is>
      </c>
      <c r="E432" s="9" t="n"/>
      <c r="F432" s="15">
        <f>IF(E432&lt;&gt;"","Đã VH","Quy hoạch điện VIII")</f>
        <v/>
      </c>
      <c r="G432" s="16">
        <f>LEFT(B432,FIND(" ",B432,1)-1)</f>
        <v/>
      </c>
      <c r="H432" s="16">
        <f>TRIM(RIGHT(B432,LEN(B432)-FIND(" ",B432,1)))</f>
        <v/>
      </c>
      <c r="I432" s="16">
        <f>_xlfn.XLOOKUP(Table2[[#This Row],[Type]],Table5[Type],Table5[Type2])</f>
        <v/>
      </c>
      <c r="J432" s="16">
        <f>_xlfn.XLOOKUP(Table2[[#This Row],[Sym]],Zones!$A$2:$A$21,Zones!$B$2:$B$21)</f>
        <v/>
      </c>
      <c r="K432" s="21" t="n"/>
    </row>
    <row r="433">
      <c r="A433" s="24" t="n">
        <v>1742</v>
      </c>
      <c r="B433" s="10" t="inlineStr">
        <is>
          <t>T110 Texhong Hải Hà 2</t>
        </is>
      </c>
      <c r="C433" s="10" t="inlineStr">
        <is>
          <t>TBA 110kV Texhong Hải Hà 2</t>
        </is>
      </c>
      <c r="D433" s="3" t="inlineStr">
        <is>
          <t>B5</t>
        </is>
      </c>
      <c r="E433" s="9" t="n"/>
      <c r="F433" s="15">
        <f>IF(E433&lt;&gt;"","Đã VH","Quy hoạch điện VIII")</f>
        <v/>
      </c>
      <c r="G433" s="16">
        <f>LEFT(B433,FIND(" ",B433,1)-1)</f>
        <v/>
      </c>
      <c r="H433" s="16">
        <f>TRIM(RIGHT(B433,LEN(B433)-FIND(" ",B433,1)))</f>
        <v/>
      </c>
      <c r="I433" s="16">
        <f>_xlfn.XLOOKUP(Table2[[#This Row],[Type]],Table5[Type],Table5[Type2])</f>
        <v/>
      </c>
      <c r="J433" s="16">
        <f>_xlfn.XLOOKUP(Table2[[#This Row],[Sym]],Zones!$A$2:$A$21,Zones!$B$2:$B$21)</f>
        <v/>
      </c>
      <c r="K433" s="21" t="n"/>
    </row>
    <row r="434">
      <c r="A434" s="24" t="n">
        <v>1743</v>
      </c>
      <c r="B434" s="10" t="inlineStr">
        <is>
          <t>T110 Texhong Hải Hà 3</t>
        </is>
      </c>
      <c r="C434" s="10" t="inlineStr">
        <is>
          <t>TBA 110kV Texhong Hải Hà 3</t>
        </is>
      </c>
      <c r="D434" s="3" t="inlineStr">
        <is>
          <t>B5</t>
        </is>
      </c>
      <c r="E434" s="9" t="n"/>
      <c r="F434" s="15">
        <f>IF(E434&lt;&gt;"","Đã VH","Quy hoạch điện VIII")</f>
        <v/>
      </c>
      <c r="G434" s="16">
        <f>LEFT(B434,FIND(" ",B434,1)-1)</f>
        <v/>
      </c>
      <c r="H434" s="16">
        <f>TRIM(RIGHT(B434,LEN(B434)-FIND(" ",B434,1)))</f>
        <v/>
      </c>
      <c r="I434" s="16">
        <f>_xlfn.XLOOKUP(Table2[[#This Row],[Type]],Table5[Type],Table5[Type2])</f>
        <v/>
      </c>
      <c r="J434" s="16">
        <f>_xlfn.XLOOKUP(Table2[[#This Row],[Sym]],Zones!$A$2:$A$21,Zones!$B$2:$B$21)</f>
        <v/>
      </c>
      <c r="K434" s="21" t="n"/>
    </row>
    <row r="435">
      <c r="A435" s="24" t="n">
        <v>1744</v>
      </c>
      <c r="B435" s="10" t="inlineStr">
        <is>
          <t>T110 Texhong Hải Hà 4</t>
        </is>
      </c>
      <c r="C435" s="10" t="inlineStr">
        <is>
          <t>TBA 110kV Texhong Hải Hà 4</t>
        </is>
      </c>
      <c r="D435" s="3" t="inlineStr">
        <is>
          <t>B5</t>
        </is>
      </c>
      <c r="E435" s="9" t="n"/>
      <c r="F435" s="15">
        <f>IF(E435&lt;&gt;"","Đã VH","Quy hoạch điện VIII")</f>
        <v/>
      </c>
      <c r="G435" s="16">
        <f>LEFT(B435,FIND(" ",B435,1)-1)</f>
        <v/>
      </c>
      <c r="H435" s="16">
        <f>TRIM(RIGHT(B435,LEN(B435)-FIND(" ",B435,1)))</f>
        <v/>
      </c>
      <c r="I435" s="16">
        <f>_xlfn.XLOOKUP(Table2[[#This Row],[Type]],Table5[Type],Table5[Type2])</f>
        <v/>
      </c>
      <c r="J435" s="16">
        <f>_xlfn.XLOOKUP(Table2[[#This Row],[Sym]],Zones!$A$2:$A$21,Zones!$B$2:$B$21)</f>
        <v/>
      </c>
      <c r="K435" s="21" t="n"/>
    </row>
    <row r="436">
      <c r="A436" s="24" t="n">
        <v>1745</v>
      </c>
      <c r="B436" s="10" t="inlineStr">
        <is>
          <t>T110 KCN Hải Hà 1</t>
        </is>
      </c>
      <c r="C436" s="10" t="inlineStr">
        <is>
          <t>TBA 110kV KCN Hải Hà 1</t>
        </is>
      </c>
      <c r="D436" s="3" t="inlineStr">
        <is>
          <t>B5</t>
        </is>
      </c>
      <c r="E436" s="9" t="n"/>
      <c r="F436" s="15">
        <f>IF(E436&lt;&gt;"","Đã VH","Quy hoạch điện VIII")</f>
        <v/>
      </c>
      <c r="G436" s="16">
        <f>LEFT(B436,FIND(" ",B436,1)-1)</f>
        <v/>
      </c>
      <c r="H436" s="16">
        <f>TRIM(RIGHT(B436,LEN(B436)-FIND(" ",B436,1)))</f>
        <v/>
      </c>
      <c r="I436" s="16">
        <f>_xlfn.XLOOKUP(Table2[[#This Row],[Type]],Table5[Type],Table5[Type2])</f>
        <v/>
      </c>
      <c r="J436" s="16">
        <f>_xlfn.XLOOKUP(Table2[[#This Row],[Sym]],Zones!$A$2:$A$21,Zones!$B$2:$B$21)</f>
        <v/>
      </c>
      <c r="K436" s="21" t="n"/>
    </row>
    <row r="437">
      <c r="A437" s="24" t="n">
        <v>1746</v>
      </c>
      <c r="B437" s="10" t="inlineStr">
        <is>
          <t>T110 Quảng Minh</t>
        </is>
      </c>
      <c r="C437" s="10" t="inlineStr">
        <is>
          <t>TBA 110kV Quảng Minh</t>
        </is>
      </c>
      <c r="D437" s="3" t="inlineStr">
        <is>
          <t>B5</t>
        </is>
      </c>
      <c r="E437" s="9" t="n"/>
      <c r="F437" s="15">
        <f>IF(E437&lt;&gt;"","Đã VH","Quy hoạch điện VIII")</f>
        <v/>
      </c>
      <c r="G437" s="16">
        <f>LEFT(B437,FIND(" ",B437,1)-1)</f>
        <v/>
      </c>
      <c r="H437" s="16">
        <f>TRIM(RIGHT(B437,LEN(B437)-FIND(" ",B437,1)))</f>
        <v/>
      </c>
      <c r="I437" s="16">
        <f>_xlfn.XLOOKUP(Table2[[#This Row],[Type]],Table5[Type],Table5[Type2])</f>
        <v/>
      </c>
      <c r="J437" s="16">
        <f>_xlfn.XLOOKUP(Table2[[#This Row],[Sym]],Zones!$A$2:$A$21,Zones!$B$2:$B$21)</f>
        <v/>
      </c>
      <c r="K437" s="21" t="n"/>
    </row>
    <row r="438">
      <c r="A438" s="24" t="n">
        <v>1747</v>
      </c>
      <c r="B438" s="10" t="inlineStr">
        <is>
          <t>T110 KCN Hải Hà 2</t>
        </is>
      </c>
      <c r="C438" s="10" t="inlineStr">
        <is>
          <t>TBA 110kV KCN Hải Hà 2</t>
        </is>
      </c>
      <c r="D438" s="3" t="inlineStr">
        <is>
          <t>B5</t>
        </is>
      </c>
      <c r="E438" s="9" t="n"/>
      <c r="F438" s="15">
        <f>IF(E438&lt;&gt;"","Đã VH","Quy hoạch điện VIII")</f>
        <v/>
      </c>
      <c r="G438" s="16">
        <f>LEFT(B438,FIND(" ",B438,1)-1)</f>
        <v/>
      </c>
      <c r="H438" s="16">
        <f>TRIM(RIGHT(B438,LEN(B438)-FIND(" ",B438,1)))</f>
        <v/>
      </c>
      <c r="I438" s="16">
        <f>_xlfn.XLOOKUP(Table2[[#This Row],[Type]],Table5[Type],Table5[Type2])</f>
        <v/>
      </c>
      <c r="J438" s="16">
        <f>_xlfn.XLOOKUP(Table2[[#This Row],[Sym]],Zones!$A$2:$A$21,Zones!$B$2:$B$21)</f>
        <v/>
      </c>
      <c r="K438" s="21" t="n"/>
    </row>
    <row r="439">
      <c r="A439" s="24" t="n">
        <v>1748</v>
      </c>
      <c r="B439" s="10" t="inlineStr">
        <is>
          <t>T110 Bình Liêu</t>
        </is>
      </c>
      <c r="C439" s="10" t="inlineStr">
        <is>
          <t>TBA 110kV Bình Liêu</t>
        </is>
      </c>
      <c r="D439" s="3" t="inlineStr">
        <is>
          <t>B5</t>
        </is>
      </c>
      <c r="E439" s="9" t="n"/>
      <c r="F439" s="15">
        <f>IF(E439&lt;&gt;"","Đã VH","Quy hoạch điện VIII")</f>
        <v/>
      </c>
      <c r="G439" s="16">
        <f>LEFT(B439,FIND(" ",B439,1)-1)</f>
        <v/>
      </c>
      <c r="H439" s="16">
        <f>TRIM(RIGHT(B439,LEN(B439)-FIND(" ",B439,1)))</f>
        <v/>
      </c>
      <c r="I439" s="16">
        <f>_xlfn.XLOOKUP(Table2[[#This Row],[Type]],Table5[Type],Table5[Type2])</f>
        <v/>
      </c>
      <c r="J439" s="16">
        <f>_xlfn.XLOOKUP(Table2[[#This Row],[Sym]],Zones!$A$2:$A$21,Zones!$B$2:$B$21)</f>
        <v/>
      </c>
      <c r="K439" s="21" t="n"/>
    </row>
    <row r="440">
      <c r="A440" s="24" t="n">
        <v>1749</v>
      </c>
      <c r="B440" s="10" t="inlineStr">
        <is>
          <t>T110 Biên Mậu</t>
        </is>
      </c>
      <c r="C440" s="10" t="inlineStr">
        <is>
          <t>TBA 110kV Biên Mậu</t>
        </is>
      </c>
      <c r="D440" s="3" t="inlineStr">
        <is>
          <t>B5</t>
        </is>
      </c>
      <c r="E440" s="9" t="n"/>
      <c r="F440" s="15">
        <f>IF(E440&lt;&gt;"","Đã VH","Quy hoạch điện VIII")</f>
        <v/>
      </c>
      <c r="G440" s="16">
        <f>LEFT(B440,FIND(" ",B440,1)-1)</f>
        <v/>
      </c>
      <c r="H440" s="16">
        <f>TRIM(RIGHT(B440,LEN(B440)-FIND(" ",B440,1)))</f>
        <v/>
      </c>
      <c r="I440" s="16">
        <f>_xlfn.XLOOKUP(Table2[[#This Row],[Type]],Table5[Type],Table5[Type2])</f>
        <v/>
      </c>
      <c r="J440" s="16">
        <f>_xlfn.XLOOKUP(Table2[[#This Row],[Sym]],Zones!$A$2:$A$21,Zones!$B$2:$B$21)</f>
        <v/>
      </c>
      <c r="K440" s="21" t="n"/>
    </row>
    <row r="441">
      <c r="A441" s="24" t="n">
        <v>1750</v>
      </c>
      <c r="B441" s="10" t="inlineStr">
        <is>
          <t>T110 Hải Đông</t>
        </is>
      </c>
      <c r="C441" s="10" t="inlineStr">
        <is>
          <t>TBA 110kV Hải Đông</t>
        </is>
      </c>
      <c r="D441" s="3" t="inlineStr">
        <is>
          <t>B5</t>
        </is>
      </c>
      <c r="E441" s="9" t="n"/>
      <c r="F441" s="15">
        <f>IF(E441&lt;&gt;"","Đã VH","Quy hoạch điện VIII")</f>
        <v/>
      </c>
      <c r="G441" s="16">
        <f>LEFT(B441,FIND(" ",B441,1)-1)</f>
        <v/>
      </c>
      <c r="H441" s="16">
        <f>TRIM(RIGHT(B441,LEN(B441)-FIND(" ",B441,1)))</f>
        <v/>
      </c>
      <c r="I441" s="16">
        <f>_xlfn.XLOOKUP(Table2[[#This Row],[Type]],Table5[Type],Table5[Type2])</f>
        <v/>
      </c>
      <c r="J441" s="16">
        <f>_xlfn.XLOOKUP(Table2[[#This Row],[Sym]],Zones!$A$2:$A$21,Zones!$B$2:$B$21)</f>
        <v/>
      </c>
      <c r="K441" s="21" t="n"/>
    </row>
    <row r="442">
      <c r="A442" s="24" t="n">
        <v>1751</v>
      </c>
      <c r="B442" s="10" t="inlineStr">
        <is>
          <t>T110 KCN Tiên Yên</t>
        </is>
      </c>
      <c r="C442" s="10" t="inlineStr">
        <is>
          <t>TBA 110kV KCN Tiên Yên</t>
        </is>
      </c>
      <c r="D442" s="3" t="inlineStr">
        <is>
          <t>B5</t>
        </is>
      </c>
      <c r="E442" s="9" t="n"/>
      <c r="F442" s="15">
        <f>IF(E442&lt;&gt;"","Đã VH","Quy hoạch điện VIII")</f>
        <v/>
      </c>
      <c r="G442" s="16">
        <f>LEFT(B442,FIND(" ",B442,1)-1)</f>
        <v/>
      </c>
      <c r="H442" s="16">
        <f>TRIM(RIGHT(B442,LEN(B442)-FIND(" ",B442,1)))</f>
        <v/>
      </c>
      <c r="I442" s="16">
        <f>_xlfn.XLOOKUP(Table2[[#This Row],[Type]],Table5[Type],Table5[Type2])</f>
        <v/>
      </c>
      <c r="J442" s="16">
        <f>_xlfn.XLOOKUP(Table2[[#This Row],[Sym]],Zones!$A$2:$A$21,Zones!$B$2:$B$21)</f>
        <v/>
      </c>
      <c r="K442" s="21" t="n"/>
    </row>
    <row r="443">
      <c r="A443" s="24" t="n">
        <v>1752</v>
      </c>
      <c r="B443" s="10" t="inlineStr">
        <is>
          <t>T110 KCN Vạn Ninh</t>
        </is>
      </c>
      <c r="C443" s="10" t="inlineStr">
        <is>
          <t>TBA 110kV KCN Vạn Ninh</t>
        </is>
      </c>
      <c r="D443" s="3" t="inlineStr">
        <is>
          <t>B5</t>
        </is>
      </c>
      <c r="E443" s="9" t="n"/>
      <c r="F443" s="15">
        <f>IF(E443&lt;&gt;"","Đã VH","Quy hoạch điện VIII")</f>
        <v/>
      </c>
      <c r="G443" s="16">
        <f>LEFT(B443,FIND(" ",B443,1)-1)</f>
        <v/>
      </c>
      <c r="H443" s="16">
        <f>TRIM(RIGHT(B443,LEN(B443)-FIND(" ",B443,1)))</f>
        <v/>
      </c>
      <c r="I443" s="16">
        <f>_xlfn.XLOOKUP(Table2[[#This Row],[Type]],Table5[Type],Table5[Type2])</f>
        <v/>
      </c>
      <c r="J443" s="16">
        <f>_xlfn.XLOOKUP(Table2[[#This Row],[Sym]],Zones!$A$2:$A$21,Zones!$B$2:$B$21)</f>
        <v/>
      </c>
      <c r="K443" s="21" t="n"/>
    </row>
    <row r="444">
      <c r="A444" s="24" t="n">
        <v>1753</v>
      </c>
      <c r="B444" s="10" t="inlineStr">
        <is>
          <t>T110 CCN Móng Cái</t>
        </is>
      </c>
      <c r="C444" s="10" t="inlineStr">
        <is>
          <t>TBA 110kV CCN Móng Cái</t>
        </is>
      </c>
      <c r="D444" s="3" t="inlineStr">
        <is>
          <t>B5</t>
        </is>
      </c>
      <c r="E444" s="9" t="n"/>
      <c r="F444" s="15">
        <f>IF(E444&lt;&gt;"","Đã VH","Quy hoạch điện VIII")</f>
        <v/>
      </c>
      <c r="G444" s="16">
        <f>LEFT(B444,FIND(" ",B444,1)-1)</f>
        <v/>
      </c>
      <c r="H444" s="16">
        <f>TRIM(RIGHT(B444,LEN(B444)-FIND(" ",B444,1)))</f>
        <v/>
      </c>
      <c r="I444" s="16">
        <f>_xlfn.XLOOKUP(Table2[[#This Row],[Type]],Table5[Type],Table5[Type2])</f>
        <v/>
      </c>
      <c r="J444" s="16">
        <f>_xlfn.XLOOKUP(Table2[[#This Row],[Sym]],Zones!$A$2:$A$21,Zones!$B$2:$B$21)</f>
        <v/>
      </c>
      <c r="K444" s="21" t="n"/>
    </row>
    <row r="445">
      <c r="A445" s="24" t="n">
        <v>1754</v>
      </c>
      <c r="B445" s="10" t="inlineStr">
        <is>
          <t>T110 NM BB&amp;BB</t>
        </is>
      </c>
      <c r="C445" s="10" t="inlineStr">
        <is>
          <t>TBA 110kV NM BB&amp;BB</t>
        </is>
      </c>
      <c r="D445" s="3" t="inlineStr">
        <is>
          <t>B5</t>
        </is>
      </c>
      <c r="E445" s="9" t="n"/>
      <c r="F445" s="15">
        <f>IF(E445&lt;&gt;"","Đã VH","Quy hoạch điện VIII")</f>
        <v/>
      </c>
      <c r="G445" s="16">
        <f>LEFT(B445,FIND(" ",B445,1)-1)</f>
        <v/>
      </c>
      <c r="H445" s="16">
        <f>TRIM(RIGHT(B445,LEN(B445)-FIND(" ",B445,1)))</f>
        <v/>
      </c>
      <c r="I445" s="16">
        <f>_xlfn.XLOOKUP(Table2[[#This Row],[Type]],Table5[Type],Table5[Type2])</f>
        <v/>
      </c>
      <c r="J445" s="16">
        <f>_xlfn.XLOOKUP(Table2[[#This Row],[Sym]],Zones!$A$2:$A$21,Zones!$B$2:$B$21)</f>
        <v/>
      </c>
      <c r="K445" s="21" t="n"/>
    </row>
    <row r="446">
      <c r="A446" s="24" t="n">
        <v>1780</v>
      </c>
      <c r="B446" s="10" t="inlineStr">
        <is>
          <t>T110 Gia Sàng</t>
        </is>
      </c>
      <c r="C446" s="10" t="inlineStr">
        <is>
          <t>TBA 110kV Gia Sàng</t>
        </is>
      </c>
      <c r="D446" s="3" t="inlineStr">
        <is>
          <t>B6</t>
        </is>
      </c>
      <c r="E446" s="9" t="n"/>
      <c r="F446" s="15">
        <f>IF(E446&lt;&gt;"","Đã VH","Quy hoạch điện VIII")</f>
        <v/>
      </c>
      <c r="G446" s="16">
        <f>LEFT(B446,FIND(" ",B446,1)-1)</f>
        <v/>
      </c>
      <c r="H446" s="16">
        <f>TRIM(RIGHT(B446,LEN(B446)-FIND(" ",B446,1)))</f>
        <v/>
      </c>
      <c r="I446" s="16">
        <f>_xlfn.XLOOKUP(Table2[[#This Row],[Type]],Table5[Type],Table5[Type2])</f>
        <v/>
      </c>
      <c r="J446" s="16">
        <f>_xlfn.XLOOKUP(Table2[[#This Row],[Sym]],Zones!$A$2:$A$21,Zones!$B$2:$B$21)</f>
        <v/>
      </c>
      <c r="K446" s="21" t="n"/>
    </row>
    <row r="447">
      <c r="A447" s="24" t="n">
        <v>1781</v>
      </c>
      <c r="B447" s="10" t="inlineStr">
        <is>
          <t>T220 Thái Nguyên</t>
        </is>
      </c>
      <c r="C447" s="10" t="inlineStr">
        <is>
          <t>TBA 220kV Thái Nguyên</t>
        </is>
      </c>
      <c r="D447" s="3" t="inlineStr">
        <is>
          <t>B6</t>
        </is>
      </c>
      <c r="E447" s="9" t="inlineStr">
        <is>
          <t>E6.2</t>
        </is>
      </c>
      <c r="F447" s="15">
        <f>IF(E447&lt;&gt;"","Đã VH","Quy hoạch điện VIII")</f>
        <v/>
      </c>
      <c r="G447" s="16">
        <f>LEFT(B447,FIND(" ",B447,1)-1)</f>
        <v/>
      </c>
      <c r="H447" s="16">
        <f>TRIM(RIGHT(B447,LEN(B447)-FIND(" ",B447,1)))</f>
        <v/>
      </c>
      <c r="I447" s="16">
        <f>_xlfn.XLOOKUP(Table2[[#This Row],[Type]],Table5[Type],Table5[Type2])</f>
        <v/>
      </c>
      <c r="J447" s="16">
        <f>_xlfn.XLOOKUP(Table2[[#This Row],[Sym]],Zones!$A$2:$A$21,Zones!$B$2:$B$21)</f>
        <v/>
      </c>
      <c r="K447" s="21" t="n"/>
    </row>
    <row r="448">
      <c r="A448" s="24" t="n">
        <v>1782</v>
      </c>
      <c r="B448" s="10" t="inlineStr">
        <is>
          <t>T110 Gò Đầm</t>
        </is>
      </c>
      <c r="C448" s="10" t="inlineStr">
        <is>
          <t>TBA 110kV Gò Đầm</t>
        </is>
      </c>
      <c r="D448" s="3" t="inlineStr">
        <is>
          <t>B6</t>
        </is>
      </c>
      <c r="E448" s="9" t="inlineStr">
        <is>
          <t>E6.3</t>
        </is>
      </c>
      <c r="F448" s="15">
        <f>IF(E448&lt;&gt;"","Đã VH","Quy hoạch điện VIII")</f>
        <v/>
      </c>
      <c r="G448" s="16">
        <f>LEFT(B448,FIND(" ",B448,1)-1)</f>
        <v/>
      </c>
      <c r="H448" s="16">
        <f>TRIM(RIGHT(B448,LEN(B448)-FIND(" ",B448,1)))</f>
        <v/>
      </c>
      <c r="I448" s="16">
        <f>_xlfn.XLOOKUP(Table2[[#This Row],[Type]],Table5[Type],Table5[Type2])</f>
        <v/>
      </c>
      <c r="J448" s="16">
        <f>_xlfn.XLOOKUP(Table2[[#This Row],[Sym]],Zones!$A$2:$A$21,Zones!$B$2:$B$21)</f>
        <v/>
      </c>
      <c r="K448" s="21" t="n"/>
    </row>
    <row r="449">
      <c r="A449" s="24" t="n">
        <v>1783</v>
      </c>
      <c r="B449" s="10" t="inlineStr">
        <is>
          <t>T110 Thịnh Đán</t>
        </is>
      </c>
      <c r="C449" s="10" t="inlineStr">
        <is>
          <t>TBA 110kV Thịnh Đán</t>
        </is>
      </c>
      <c r="D449" s="3" t="inlineStr">
        <is>
          <t>B6</t>
        </is>
      </c>
      <c r="E449" s="9" t="inlineStr">
        <is>
          <t>E6.4</t>
        </is>
      </c>
      <c r="F449" s="15">
        <f>IF(E449&lt;&gt;"","Đã VH","Quy hoạch điện VIII")</f>
        <v/>
      </c>
      <c r="G449" s="16">
        <f>LEFT(B449,FIND(" ",B449,1)-1)</f>
        <v/>
      </c>
      <c r="H449" s="16">
        <f>TRIM(RIGHT(B449,LEN(B449)-FIND(" ",B449,1)))</f>
        <v/>
      </c>
      <c r="I449" s="16">
        <f>_xlfn.XLOOKUP(Table2[[#This Row],[Type]],Table5[Type],Table5[Type2])</f>
        <v/>
      </c>
      <c r="J449" s="16">
        <f>_xlfn.XLOOKUP(Table2[[#This Row],[Sym]],Zones!$A$2:$A$21,Zones!$B$2:$B$21)</f>
        <v/>
      </c>
      <c r="K449" s="21" t="n"/>
    </row>
    <row r="450">
      <c r="A450" s="24" t="n">
        <v>1784</v>
      </c>
      <c r="B450" s="10" t="inlineStr">
        <is>
          <t>T110 Lưu Xá</t>
        </is>
      </c>
      <c r="C450" s="10" t="inlineStr">
        <is>
          <t>TBA 110kV Lưu Xá</t>
        </is>
      </c>
      <c r="D450" s="3" t="inlineStr">
        <is>
          <t>B6</t>
        </is>
      </c>
      <c r="E450" s="9" t="inlineStr">
        <is>
          <t>E6.5</t>
        </is>
      </c>
      <c r="F450" s="15">
        <f>IF(E450&lt;&gt;"","Đã VH","Quy hoạch điện VIII")</f>
        <v/>
      </c>
      <c r="G450" s="16">
        <f>LEFT(B450,FIND(" ",B450,1)-1)</f>
        <v/>
      </c>
      <c r="H450" s="16">
        <f>TRIM(RIGHT(B450,LEN(B450)-FIND(" ",B450,1)))</f>
        <v/>
      </c>
      <c r="I450" s="16">
        <f>_xlfn.XLOOKUP(Table2[[#This Row],[Type]],Table5[Type],Table5[Type2])</f>
        <v/>
      </c>
      <c r="J450" s="16">
        <f>_xlfn.XLOOKUP(Table2[[#This Row],[Sym]],Zones!$A$2:$A$21,Zones!$B$2:$B$21)</f>
        <v/>
      </c>
      <c r="K450" s="21" t="n"/>
    </row>
    <row r="451">
      <c r="A451" s="24" t="n">
        <v>1785</v>
      </c>
      <c r="B451" s="10" t="inlineStr">
        <is>
          <t>T110 Phú Lương</t>
        </is>
      </c>
      <c r="C451" s="10" t="inlineStr">
        <is>
          <t>TBA 110kV Phú Lương</t>
        </is>
      </c>
      <c r="D451" s="3" t="inlineStr">
        <is>
          <t>B6</t>
        </is>
      </c>
      <c r="E451" s="9" t="inlineStr">
        <is>
          <t>E6.6</t>
        </is>
      </c>
      <c r="F451" s="15">
        <f>IF(E451&lt;&gt;"","Đã VH","Quy hoạch điện VIII")</f>
        <v/>
      </c>
      <c r="G451" s="16">
        <f>LEFT(B451,FIND(" ",B451,1)-1)</f>
        <v/>
      </c>
      <c r="H451" s="16">
        <f>TRIM(RIGHT(B451,LEN(B451)-FIND(" ",B451,1)))</f>
        <v/>
      </c>
      <c r="I451" s="16">
        <f>_xlfn.XLOOKUP(Table2[[#This Row],[Type]],Table5[Type],Table5[Type2])</f>
        <v/>
      </c>
      <c r="J451" s="16">
        <f>_xlfn.XLOOKUP(Table2[[#This Row],[Sym]],Zones!$A$2:$A$21,Zones!$B$2:$B$21)</f>
        <v/>
      </c>
      <c r="K451" s="21" t="n"/>
    </row>
    <row r="452">
      <c r="A452" s="24" t="n">
        <v>1786</v>
      </c>
      <c r="B452" s="10" t="inlineStr">
        <is>
          <t>T110 Sông Công</t>
        </is>
      </c>
      <c r="C452" s="10" t="inlineStr">
        <is>
          <t>TBA 110kV Sông Công</t>
        </is>
      </c>
      <c r="D452" s="3" t="inlineStr">
        <is>
          <t>B6</t>
        </is>
      </c>
      <c r="E452" s="9" t="inlineStr">
        <is>
          <t>E6.7</t>
        </is>
      </c>
      <c r="F452" s="15">
        <f>IF(E452&lt;&gt;"","Đã VH","Quy hoạch điện VIII")</f>
        <v/>
      </c>
      <c r="G452" s="16">
        <f>LEFT(B452,FIND(" ",B452,1)-1)</f>
        <v/>
      </c>
      <c r="H452" s="16">
        <f>TRIM(RIGHT(B452,LEN(B452)-FIND(" ",B452,1)))</f>
        <v/>
      </c>
      <c r="I452" s="16">
        <f>_xlfn.XLOOKUP(Table2[[#This Row],[Type]],Table5[Type],Table5[Type2])</f>
        <v/>
      </c>
      <c r="J452" s="16">
        <f>_xlfn.XLOOKUP(Table2[[#This Row],[Sym]],Zones!$A$2:$A$21,Zones!$B$2:$B$21)</f>
        <v/>
      </c>
      <c r="K452" s="21" t="n"/>
    </row>
    <row r="453">
      <c r="A453" s="24" t="n">
        <v>1787</v>
      </c>
      <c r="B453" s="10" t="inlineStr">
        <is>
          <t>T110 XM Thái Nguyên</t>
        </is>
      </c>
      <c r="C453" s="10" t="inlineStr">
        <is>
          <t>TBA 110kV XM Thái Nguyên</t>
        </is>
      </c>
      <c r="D453" s="3" t="inlineStr">
        <is>
          <t>B6</t>
        </is>
      </c>
      <c r="E453" s="9" t="inlineStr">
        <is>
          <t>E6.8</t>
        </is>
      </c>
      <c r="F453" s="15">
        <f>IF(E453&lt;&gt;"","Đã VH","Quy hoạch điện VIII")</f>
        <v/>
      </c>
      <c r="G453" s="16">
        <f>LEFT(B453,FIND(" ",B453,1)-1)</f>
        <v/>
      </c>
      <c r="H453" s="16">
        <f>TRIM(RIGHT(B453,LEN(B453)-FIND(" ",B453,1)))</f>
        <v/>
      </c>
      <c r="I453" s="16">
        <f>_xlfn.XLOOKUP(Table2[[#This Row],[Type]],Table5[Type],Table5[Type2])</f>
        <v/>
      </c>
      <c r="J453" s="16">
        <f>_xlfn.XLOOKUP(Table2[[#This Row],[Sym]],Zones!$A$2:$A$21,Zones!$B$2:$B$21)</f>
        <v/>
      </c>
      <c r="K453" s="21" t="n"/>
    </row>
    <row r="454">
      <c r="A454" s="24" t="n">
        <v>1788</v>
      </c>
      <c r="B454" s="10" t="inlineStr">
        <is>
          <t>T110 Gang Thép</t>
        </is>
      </c>
      <c r="C454" s="10" t="inlineStr">
        <is>
          <t>TBA 110kV Gang Thép</t>
        </is>
      </c>
      <c r="D454" s="3" t="inlineStr">
        <is>
          <t>B6</t>
        </is>
      </c>
      <c r="E454" s="9" t="inlineStr">
        <is>
          <t>E6.9</t>
        </is>
      </c>
      <c r="F454" s="15">
        <f>IF(E454&lt;&gt;"","Đã VH","Quy hoạch điện VIII")</f>
        <v/>
      </c>
      <c r="G454" s="16">
        <f>LEFT(B454,FIND(" ",B454,1)-1)</f>
        <v/>
      </c>
      <c r="H454" s="16">
        <f>TRIM(RIGHT(B454,LEN(B454)-FIND(" ",B454,1)))</f>
        <v/>
      </c>
      <c r="I454" s="16">
        <f>_xlfn.XLOOKUP(Table2[[#This Row],[Type]],Table5[Type],Table5[Type2])</f>
        <v/>
      </c>
      <c r="J454" s="16">
        <f>_xlfn.XLOOKUP(Table2[[#This Row],[Sym]],Zones!$A$2:$A$21,Zones!$B$2:$B$21)</f>
        <v/>
      </c>
      <c r="K454" s="21" t="n"/>
    </row>
    <row r="455">
      <c r="A455" s="24" t="n">
        <v>1789</v>
      </c>
      <c r="B455" s="10" t="inlineStr">
        <is>
          <t>NĐ Cao Ngạn</t>
        </is>
      </c>
      <c r="C455" s="10" t="inlineStr">
        <is>
          <t xml:space="preserve"> Cao Ngạn</t>
        </is>
      </c>
      <c r="D455" s="3" t="inlineStr">
        <is>
          <t>B6</t>
        </is>
      </c>
      <c r="E455" s="9" t="inlineStr">
        <is>
          <t>A6.0</t>
        </is>
      </c>
      <c r="F455" s="15">
        <f>IF(E455&lt;&gt;"","Đã VH","Quy hoạch điện VIII")</f>
        <v/>
      </c>
      <c r="G455" s="16">
        <f>LEFT(B455,FIND(" ",B455,1)-1)</f>
        <v/>
      </c>
      <c r="H455" s="16">
        <f>TRIM(RIGHT(B455,LEN(B455)-FIND(" ",B455,1)))</f>
        <v/>
      </c>
      <c r="I455" s="16">
        <f>_xlfn.XLOOKUP(Table2[[#This Row],[Type]],Table5[Type],Table5[Type2])</f>
        <v/>
      </c>
      <c r="J455" s="16">
        <f>_xlfn.XLOOKUP(Table2[[#This Row],[Sym]],Zones!$A$2:$A$21,Zones!$B$2:$B$21)</f>
        <v/>
      </c>
      <c r="K455" s="21" t="n"/>
    </row>
    <row r="456">
      <c r="A456" s="24" t="n">
        <v>1790</v>
      </c>
      <c r="B456" s="10" t="inlineStr">
        <is>
          <t>T110 XM Quán Triều</t>
        </is>
      </c>
      <c r="C456" s="10" t="inlineStr">
        <is>
          <t>TBA 110kV XM Quán Triều</t>
        </is>
      </c>
      <c r="D456" s="3" t="inlineStr">
        <is>
          <t>B6</t>
        </is>
      </c>
      <c r="E456" s="9" t="inlineStr">
        <is>
          <t>E6.11</t>
        </is>
      </c>
      <c r="F456" s="15">
        <f>IF(E456&lt;&gt;"","Đã VH","Quy hoạch điện VIII")</f>
        <v/>
      </c>
      <c r="G456" s="16">
        <f>LEFT(B456,FIND(" ",B456,1)-1)</f>
        <v/>
      </c>
      <c r="H456" s="16">
        <f>TRIM(RIGHT(B456,LEN(B456)-FIND(" ",B456,1)))</f>
        <v/>
      </c>
      <c r="I456" s="16">
        <f>_xlfn.XLOOKUP(Table2[[#This Row],[Type]],Table5[Type],Table5[Type2])</f>
        <v/>
      </c>
      <c r="J456" s="16">
        <f>_xlfn.XLOOKUP(Table2[[#This Row],[Sym]],Zones!$A$2:$A$21,Zones!$B$2:$B$21)</f>
        <v/>
      </c>
      <c r="K456" s="21" t="n"/>
    </row>
    <row r="457">
      <c r="A457" s="24" t="n">
        <v>1791</v>
      </c>
      <c r="B457" s="10" t="inlineStr">
        <is>
          <t>T110 Núi Pháo</t>
        </is>
      </c>
      <c r="C457" s="10" t="inlineStr">
        <is>
          <t>TBA 110kV Núi Pháo</t>
        </is>
      </c>
      <c r="D457" s="3" t="inlineStr">
        <is>
          <t>B6</t>
        </is>
      </c>
      <c r="E457" s="9" t="inlineStr">
        <is>
          <t>E6.12</t>
        </is>
      </c>
      <c r="F457" s="15">
        <f>IF(E457&lt;&gt;"","Đã VH","Quy hoạch điện VIII")</f>
        <v/>
      </c>
      <c r="G457" s="16">
        <f>LEFT(B457,FIND(" ",B457,1)-1)</f>
        <v/>
      </c>
      <c r="H457" s="16">
        <f>TRIM(RIGHT(B457,LEN(B457)-FIND(" ",B457,1)))</f>
        <v/>
      </c>
      <c r="I457" s="16">
        <f>_xlfn.XLOOKUP(Table2[[#This Row],[Type]],Table5[Type],Table5[Type2])</f>
        <v/>
      </c>
      <c r="J457" s="16">
        <f>_xlfn.XLOOKUP(Table2[[#This Row],[Sym]],Zones!$A$2:$A$21,Zones!$B$2:$B$21)</f>
        <v/>
      </c>
      <c r="K457" s="21" t="n"/>
    </row>
    <row r="458">
      <c r="A458" s="24" t="n">
        <v>1792</v>
      </c>
      <c r="B458" s="10" t="inlineStr">
        <is>
          <t>T110 Yên Bình</t>
        </is>
      </c>
      <c r="C458" s="10" t="inlineStr">
        <is>
          <t>TBA 110kV Yên Bình</t>
        </is>
      </c>
      <c r="D458" s="3" t="inlineStr">
        <is>
          <t>B6</t>
        </is>
      </c>
      <c r="E458" s="9" t="inlineStr">
        <is>
          <t>E6.13</t>
        </is>
      </c>
      <c r="F458" s="15">
        <f>IF(E458&lt;&gt;"","Đã VH","Quy hoạch điện VIII")</f>
        <v/>
      </c>
      <c r="G458" s="16">
        <f>LEFT(B458,FIND(" ",B458,1)-1)</f>
        <v/>
      </c>
      <c r="H458" s="16">
        <f>TRIM(RIGHT(B458,LEN(B458)-FIND(" ",B458,1)))</f>
        <v/>
      </c>
      <c r="I458" s="16">
        <f>_xlfn.XLOOKUP(Table2[[#This Row],[Type]],Table5[Type],Table5[Type2])</f>
        <v/>
      </c>
      <c r="J458" s="16">
        <f>_xlfn.XLOOKUP(Table2[[#This Row],[Sym]],Zones!$A$2:$A$21,Zones!$B$2:$B$21)</f>
        <v/>
      </c>
      <c r="K458" s="21" t="n"/>
    </row>
    <row r="459">
      <c r="A459" s="24" t="n">
        <v>1793</v>
      </c>
      <c r="B459" s="10" t="inlineStr">
        <is>
          <t>T110 Yên Bình 2</t>
        </is>
      </c>
      <c r="C459" s="10" t="inlineStr">
        <is>
          <t>TBA 110kV Yên Bình 2</t>
        </is>
      </c>
      <c r="D459" s="3" t="inlineStr">
        <is>
          <t>B6</t>
        </is>
      </c>
      <c r="E459" s="9" t="inlineStr">
        <is>
          <t>E6.14</t>
        </is>
      </c>
      <c r="F459" s="15">
        <f>IF(E459&lt;&gt;"","Đã VH","Quy hoạch điện VIII")</f>
        <v/>
      </c>
      <c r="G459" s="16">
        <f>LEFT(B459,FIND(" ",B459,1)-1)</f>
        <v/>
      </c>
      <c r="H459" s="16">
        <f>TRIM(RIGHT(B459,LEN(B459)-FIND(" ",B459,1)))</f>
        <v/>
      </c>
      <c r="I459" s="16">
        <f>_xlfn.XLOOKUP(Table2[[#This Row],[Type]],Table5[Type],Table5[Type2])</f>
        <v/>
      </c>
      <c r="J459" s="16">
        <f>_xlfn.XLOOKUP(Table2[[#This Row],[Sym]],Zones!$A$2:$A$21,Zones!$B$2:$B$21)</f>
        <v/>
      </c>
      <c r="K459" s="21" t="n"/>
    </row>
    <row r="460">
      <c r="A460" s="24" t="n">
        <v>1794</v>
      </c>
      <c r="B460" s="10" t="inlineStr">
        <is>
          <t>NĐ An Khánh</t>
        </is>
      </c>
      <c r="C460" s="10" t="inlineStr">
        <is>
          <t xml:space="preserve"> An Khánh</t>
        </is>
      </c>
      <c r="D460" s="3" t="inlineStr">
        <is>
          <t>B6</t>
        </is>
      </c>
      <c r="E460" s="9" t="inlineStr">
        <is>
          <t>A6.15</t>
        </is>
      </c>
      <c r="F460" s="15">
        <f>IF(E460&lt;&gt;"","Đã VH","Quy hoạch điện VIII")</f>
        <v/>
      </c>
      <c r="G460" s="16">
        <f>LEFT(B460,FIND(" ",B460,1)-1)</f>
        <v/>
      </c>
      <c r="H460" s="16">
        <f>TRIM(RIGHT(B460,LEN(B460)-FIND(" ",B460,1)))</f>
        <v/>
      </c>
      <c r="I460" s="16">
        <f>_xlfn.XLOOKUP(Table2[[#This Row],[Type]],Table5[Type],Table5[Type2])</f>
        <v/>
      </c>
      <c r="J460" s="16">
        <f>_xlfn.XLOOKUP(Table2[[#This Row],[Sym]],Zones!$A$2:$A$21,Zones!$B$2:$B$21)</f>
        <v/>
      </c>
      <c r="K460" s="21" t="n"/>
    </row>
    <row r="461">
      <c r="A461" s="24" t="n">
        <v>1795</v>
      </c>
      <c r="B461" s="10" t="inlineStr">
        <is>
          <t>T220 Phú Bình</t>
        </is>
      </c>
      <c r="C461" s="10" t="inlineStr">
        <is>
          <t>TBA 220kV Phú Bình</t>
        </is>
      </c>
      <c r="D461" s="3" t="inlineStr">
        <is>
          <t>B6</t>
        </is>
      </c>
      <c r="E461" s="9" t="inlineStr">
        <is>
          <t>E6.16</t>
        </is>
      </c>
      <c r="F461" s="15">
        <f>IF(E461&lt;&gt;"","Đã VH","Quy hoạch điện VIII")</f>
        <v/>
      </c>
      <c r="G461" s="16">
        <f>LEFT(B461,FIND(" ",B461,1)-1)</f>
        <v/>
      </c>
      <c r="H461" s="16">
        <f>TRIM(RIGHT(B461,LEN(B461)-FIND(" ",B461,1)))</f>
        <v/>
      </c>
      <c r="I461" s="16">
        <f>_xlfn.XLOOKUP(Table2[[#This Row],[Type]],Table5[Type],Table5[Type2])</f>
        <v/>
      </c>
      <c r="J461" s="16">
        <f>_xlfn.XLOOKUP(Table2[[#This Row],[Sym]],Zones!$A$2:$A$21,Zones!$B$2:$B$21)</f>
        <v/>
      </c>
      <c r="K461" s="21" t="n"/>
    </row>
    <row r="462">
      <c r="A462" s="24" t="n">
        <v>1796</v>
      </c>
      <c r="B462" s="10" t="inlineStr">
        <is>
          <t>T110 Đại Từ</t>
        </is>
      </c>
      <c r="C462" s="10" t="inlineStr">
        <is>
          <t>TBA 110kV Đại Từ</t>
        </is>
      </c>
      <c r="D462" s="3" t="inlineStr">
        <is>
          <t>B6</t>
        </is>
      </c>
      <c r="E462" s="9" t="inlineStr">
        <is>
          <t>E6.19</t>
        </is>
      </c>
      <c r="F462" s="15">
        <f>IF(E462&lt;&gt;"","Đã VH","Quy hoạch điện VIII")</f>
        <v/>
      </c>
      <c r="G462" s="16">
        <f>LEFT(B462,FIND(" ",B462,1)-1)</f>
        <v/>
      </c>
      <c r="H462" s="16">
        <f>TRIM(RIGHT(B462,LEN(B462)-FIND(" ",B462,1)))</f>
        <v/>
      </c>
      <c r="I462" s="16">
        <f>_xlfn.XLOOKUP(Table2[[#This Row],[Type]],Table5[Type],Table5[Type2])</f>
        <v/>
      </c>
      <c r="J462" s="16">
        <f>_xlfn.XLOOKUP(Table2[[#This Row],[Sym]],Zones!$A$2:$A$21,Zones!$B$2:$B$21)</f>
        <v/>
      </c>
      <c r="K462" s="21" t="n"/>
    </row>
    <row r="463">
      <c r="A463" s="24" t="n">
        <v>1797</v>
      </c>
      <c r="B463" s="10" t="inlineStr">
        <is>
          <t>T110 Phú Bình</t>
        </is>
      </c>
      <c r="C463" s="10" t="inlineStr">
        <is>
          <t>TBA 110kV Phú Bình</t>
        </is>
      </c>
      <c r="D463" s="3" t="inlineStr">
        <is>
          <t>B6</t>
        </is>
      </c>
      <c r="E463" s="9" t="inlineStr">
        <is>
          <t>E6.17</t>
        </is>
      </c>
      <c r="F463" s="15">
        <f>IF(E463&lt;&gt;"","Đã VH","Quy hoạch điện VIII")</f>
        <v/>
      </c>
      <c r="G463" s="16">
        <f>LEFT(B463,FIND(" ",B463,1)-1)</f>
        <v/>
      </c>
      <c r="H463" s="16">
        <f>TRIM(RIGHT(B463,LEN(B463)-FIND(" ",B463,1)))</f>
        <v/>
      </c>
      <c r="I463" s="16">
        <f>_xlfn.XLOOKUP(Table2[[#This Row],[Type]],Table5[Type],Table5[Type2])</f>
        <v/>
      </c>
      <c r="J463" s="16">
        <f>_xlfn.XLOOKUP(Table2[[#This Row],[Sym]],Zones!$A$2:$A$21,Zones!$B$2:$B$21)</f>
        <v/>
      </c>
      <c r="K463" s="21" t="n"/>
    </row>
    <row r="464">
      <c r="A464" s="24" t="n">
        <v>1798</v>
      </c>
      <c r="B464" s="10" t="inlineStr">
        <is>
          <t>T110 Yên Bình 3</t>
        </is>
      </c>
      <c r="C464" s="10" t="inlineStr">
        <is>
          <t>TBA 110kV Yên Bình 3</t>
        </is>
      </c>
      <c r="D464" s="3" t="inlineStr">
        <is>
          <t>B6</t>
        </is>
      </c>
      <c r="E464" s="9" t="inlineStr">
        <is>
          <t>E6.18</t>
        </is>
      </c>
      <c r="F464" s="15">
        <f>IF(E464&lt;&gt;"","Đã VH","Quy hoạch điện VIII")</f>
        <v/>
      </c>
      <c r="G464" s="16">
        <f>LEFT(B464,FIND(" ",B464,1)-1)</f>
        <v/>
      </c>
      <c r="H464" s="16">
        <f>TRIM(RIGHT(B464,LEN(B464)-FIND(" ",B464,1)))</f>
        <v/>
      </c>
      <c r="I464" s="16">
        <f>_xlfn.XLOOKUP(Table2[[#This Row],[Type]],Table5[Type],Table5[Type2])</f>
        <v/>
      </c>
      <c r="J464" s="16">
        <f>_xlfn.XLOOKUP(Table2[[#This Row],[Sym]],Zones!$A$2:$A$21,Zones!$B$2:$B$21)</f>
        <v/>
      </c>
      <c r="K464" s="21" t="n"/>
    </row>
    <row r="465">
      <c r="A465" s="24" t="n">
        <v>1799</v>
      </c>
      <c r="B465" s="10" t="inlineStr">
        <is>
          <t>T110 Sông Công 2</t>
        </is>
      </c>
      <c r="C465" s="10" t="inlineStr">
        <is>
          <t>TBA 110kV Sông Công 2</t>
        </is>
      </c>
      <c r="D465" s="3" t="inlineStr">
        <is>
          <t>B6</t>
        </is>
      </c>
      <c r="E465" s="9" t="inlineStr">
        <is>
          <t>E6.21</t>
        </is>
      </c>
      <c r="F465" s="15">
        <f>IF(E465&lt;&gt;"","Đã VH","Quy hoạch điện VIII")</f>
        <v/>
      </c>
      <c r="G465" s="16">
        <f>LEFT(B465,FIND(" ",B465,1)-1)</f>
        <v/>
      </c>
      <c r="H465" s="16">
        <f>TRIM(RIGHT(B465,LEN(B465)-FIND(" ",B465,1)))</f>
        <v/>
      </c>
      <c r="I465" s="16">
        <f>_xlfn.XLOOKUP(Table2[[#This Row],[Type]],Table5[Type],Table5[Type2])</f>
        <v/>
      </c>
      <c r="J465" s="16">
        <f>_xlfn.XLOOKUP(Table2[[#This Row],[Sym]],Zones!$A$2:$A$21,Zones!$B$2:$B$21)</f>
        <v/>
      </c>
      <c r="K465" s="21" t="n"/>
    </row>
    <row r="466">
      <c r="A466" s="24" t="n">
        <v>1800</v>
      </c>
      <c r="B466" s="10" t="inlineStr">
        <is>
          <t>T110 Yên Bình 8</t>
        </is>
      </c>
      <c r="C466" s="10" t="inlineStr">
        <is>
          <t>TBA 110kV Yên Bình 8</t>
        </is>
      </c>
      <c r="D466" s="3" t="inlineStr">
        <is>
          <t>B6</t>
        </is>
      </c>
      <c r="E466" s="9" t="inlineStr">
        <is>
          <t>E6.23</t>
        </is>
      </c>
      <c r="F466" s="15">
        <f>IF(E466&lt;&gt;"","Đã VH","Quy hoạch điện VIII")</f>
        <v/>
      </c>
      <c r="G466" s="16">
        <f>LEFT(B466,FIND(" ",B466,1)-1)</f>
        <v/>
      </c>
      <c r="H466" s="16">
        <f>TRIM(RIGHT(B466,LEN(B466)-FIND(" ",B466,1)))</f>
        <v/>
      </c>
      <c r="I466" s="16">
        <f>_xlfn.XLOOKUP(Table2[[#This Row],[Type]],Table5[Type],Table5[Type2])</f>
        <v/>
      </c>
      <c r="J466" s="16">
        <f>_xlfn.XLOOKUP(Table2[[#This Row],[Sym]],Zones!$A$2:$A$21,Zones!$B$2:$B$21)</f>
        <v/>
      </c>
      <c r="K466" s="21" t="n"/>
    </row>
    <row r="467">
      <c r="A467" s="24" t="n">
        <v>1801</v>
      </c>
      <c r="B467" s="10" t="inlineStr">
        <is>
          <t>T110 Định Hóa</t>
        </is>
      </c>
      <c r="C467" s="10" t="inlineStr">
        <is>
          <t>TBA 110kV Định Hóa</t>
        </is>
      </c>
      <c r="D467" s="3" t="inlineStr">
        <is>
          <t>B6</t>
        </is>
      </c>
      <c r="E467" s="9" t="inlineStr">
        <is>
          <t>E6.22</t>
        </is>
      </c>
      <c r="F467" s="15">
        <f>IF(E467&lt;&gt;"","Đã VH","Quy hoạch điện VIII")</f>
        <v/>
      </c>
      <c r="G467" s="16">
        <f>LEFT(B467,FIND(" ",B467,1)-1)</f>
        <v/>
      </c>
      <c r="H467" s="16">
        <f>TRIM(RIGHT(B467,LEN(B467)-FIND(" ",B467,1)))</f>
        <v/>
      </c>
      <c r="I467" s="16">
        <f>_xlfn.XLOOKUP(Table2[[#This Row],[Type]],Table5[Type],Table5[Type2])</f>
        <v/>
      </c>
      <c r="J467" s="16">
        <f>_xlfn.XLOOKUP(Table2[[#This Row],[Sym]],Zones!$A$2:$A$21,Zones!$B$2:$B$21)</f>
        <v/>
      </c>
      <c r="K467" s="21" t="n"/>
    </row>
    <row r="468">
      <c r="A468" s="24" t="n">
        <v>1802</v>
      </c>
      <c r="B468" s="10" t="inlineStr">
        <is>
          <t>T220 Phú Bình 2</t>
        </is>
      </c>
      <c r="C468" s="10" t="inlineStr">
        <is>
          <t>TBA 220kV Phú Bình 2</t>
        </is>
      </c>
      <c r="D468" s="3" t="inlineStr">
        <is>
          <t>B6</t>
        </is>
      </c>
      <c r="E468" s="9" t="inlineStr">
        <is>
          <t>E6.25</t>
        </is>
      </c>
      <c r="F468" s="15">
        <f>IF(E468&lt;&gt;"","Đã VH","Quy hoạch điện VIII")</f>
        <v/>
      </c>
      <c r="G468" s="16">
        <f>LEFT(B468,FIND(" ",B468,1)-1)</f>
        <v/>
      </c>
      <c r="H468" s="16">
        <f>TRIM(RIGHT(B468,LEN(B468)-FIND(" ",B468,1)))</f>
        <v/>
      </c>
      <c r="I468" s="16">
        <f>_xlfn.XLOOKUP(Table2[[#This Row],[Type]],Table5[Type],Table5[Type2])</f>
        <v/>
      </c>
      <c r="J468" s="16">
        <f>_xlfn.XLOOKUP(Table2[[#This Row],[Sym]],Zones!$A$2:$A$21,Zones!$B$2:$B$21)</f>
        <v/>
      </c>
      <c r="K468" s="21" t="n"/>
    </row>
    <row r="469">
      <c r="A469" s="24" t="n">
        <v>1803</v>
      </c>
      <c r="B469" s="10" t="inlineStr">
        <is>
          <t>T110 Trại Cau</t>
        </is>
      </c>
      <c r="C469" s="10" t="inlineStr">
        <is>
          <t>TBA 110kV Trại Cau</t>
        </is>
      </c>
      <c r="D469" s="3" t="inlineStr">
        <is>
          <t>B6</t>
        </is>
      </c>
      <c r="E469" s="9" t="n"/>
      <c r="F469" s="15">
        <f>IF(E469&lt;&gt;"","Đã VH","Quy hoạch điện VIII")</f>
        <v/>
      </c>
      <c r="G469" s="16">
        <f>LEFT(B469,FIND(" ",B469,1)-1)</f>
        <v/>
      </c>
      <c r="H469" s="16">
        <f>TRIM(RIGHT(B469,LEN(B469)-FIND(" ",B469,1)))</f>
        <v/>
      </c>
      <c r="I469" s="16">
        <f>_xlfn.XLOOKUP(Table2[[#This Row],[Type]],Table5[Type],Table5[Type2])</f>
        <v/>
      </c>
      <c r="J469" s="16">
        <f>_xlfn.XLOOKUP(Table2[[#This Row],[Sym]],Zones!$A$2:$A$21,Zones!$B$2:$B$21)</f>
        <v/>
      </c>
      <c r="K469" s="21" t="n"/>
    </row>
    <row r="470">
      <c r="A470" s="24" t="n">
        <v>1804</v>
      </c>
      <c r="B470" s="10" t="inlineStr">
        <is>
          <t>T110 Võ Nhai</t>
        </is>
      </c>
      <c r="C470" s="10" t="inlineStr">
        <is>
          <t>TBA 110kV Võ Nhai</t>
        </is>
      </c>
      <c r="D470" s="3" t="inlineStr">
        <is>
          <t>B6</t>
        </is>
      </c>
      <c r="E470" s="9" t="n"/>
      <c r="F470" s="15">
        <f>IF(E470&lt;&gt;"","Đã VH","Quy hoạch điện VIII")</f>
        <v/>
      </c>
      <c r="G470" s="16">
        <f>LEFT(B470,FIND(" ",B470,1)-1)</f>
        <v/>
      </c>
      <c r="H470" s="16">
        <f>TRIM(RIGHT(B470,LEN(B470)-FIND(" ",B470,1)))</f>
        <v/>
      </c>
      <c r="I470" s="16">
        <f>_xlfn.XLOOKUP(Table2[[#This Row],[Type]],Table5[Type],Table5[Type2])</f>
        <v/>
      </c>
      <c r="J470" s="16">
        <f>_xlfn.XLOOKUP(Table2[[#This Row],[Sym]],Zones!$A$2:$A$21,Zones!$B$2:$B$21)</f>
        <v/>
      </c>
      <c r="K470" s="21" t="n"/>
    </row>
    <row r="471">
      <c r="A471" s="24" t="n">
        <v>1805</v>
      </c>
      <c r="B471" s="10" t="inlineStr">
        <is>
          <t>T110 Phú Bình 3</t>
        </is>
      </c>
      <c r="C471" s="10" t="inlineStr">
        <is>
          <t>TBA 110kV Phú Bình 3</t>
        </is>
      </c>
      <c r="D471" s="3" t="inlineStr">
        <is>
          <t>B6</t>
        </is>
      </c>
      <c r="E471" s="9" t="n"/>
      <c r="F471" s="15">
        <f>IF(E471&lt;&gt;"","Đã VH","Quy hoạch điện VIII")</f>
        <v/>
      </c>
      <c r="G471" s="16">
        <f>LEFT(B471,FIND(" ",B471,1)-1)</f>
        <v/>
      </c>
      <c r="H471" s="16">
        <f>TRIM(RIGHT(B471,LEN(B471)-FIND(" ",B471,1)))</f>
        <v/>
      </c>
      <c r="I471" s="16">
        <f>_xlfn.XLOOKUP(Table2[[#This Row],[Type]],Table5[Type],Table5[Type2])</f>
        <v/>
      </c>
      <c r="J471" s="16">
        <f>_xlfn.XLOOKUP(Table2[[#This Row],[Sym]],Zones!$A$2:$A$21,Zones!$B$2:$B$21)</f>
        <v/>
      </c>
      <c r="K471" s="21" t="n"/>
    </row>
    <row r="472">
      <c r="A472" s="24" t="n">
        <v>1806</v>
      </c>
      <c r="B472" s="10" t="inlineStr">
        <is>
          <t>T110 Yên Bình 4</t>
        </is>
      </c>
      <c r="C472" s="10" t="inlineStr">
        <is>
          <t>TBA 110kV Yên Bình 4</t>
        </is>
      </c>
      <c r="D472" s="3" t="inlineStr">
        <is>
          <t>B6</t>
        </is>
      </c>
      <c r="E472" s="9" t="n"/>
      <c r="F472" s="15">
        <f>IF(E472&lt;&gt;"","Đã VH","Quy hoạch điện VIII")</f>
        <v/>
      </c>
      <c r="G472" s="16">
        <f>LEFT(B472,FIND(" ",B472,1)-1)</f>
        <v/>
      </c>
      <c r="H472" s="16">
        <f>TRIM(RIGHT(B472,LEN(B472)-FIND(" ",B472,1)))</f>
        <v/>
      </c>
      <c r="I472" s="16">
        <f>_xlfn.XLOOKUP(Table2[[#This Row],[Type]],Table5[Type],Table5[Type2])</f>
        <v/>
      </c>
      <c r="J472" s="16">
        <f>_xlfn.XLOOKUP(Table2[[#This Row],[Sym]],Zones!$A$2:$A$21,Zones!$B$2:$B$21)</f>
        <v/>
      </c>
      <c r="K472" s="21" t="n"/>
    </row>
    <row r="473">
      <c r="A473" s="24" t="n">
        <v>1807</v>
      </c>
      <c r="B473" s="10" t="inlineStr">
        <is>
          <t>T110 Yên Bình 5</t>
        </is>
      </c>
      <c r="C473" s="10" t="inlineStr">
        <is>
          <t>TBA 110kV Yên Bình 5</t>
        </is>
      </c>
      <c r="D473" s="3" t="inlineStr">
        <is>
          <t>B6</t>
        </is>
      </c>
      <c r="E473" s="9" t="n"/>
      <c r="F473" s="15">
        <f>IF(E473&lt;&gt;"","Đã VH","Quy hoạch điện VIII")</f>
        <v/>
      </c>
      <c r="G473" s="16">
        <f>LEFT(B473,FIND(" ",B473,1)-1)</f>
        <v/>
      </c>
      <c r="H473" s="16">
        <f>TRIM(RIGHT(B473,LEN(B473)-FIND(" ",B473,1)))</f>
        <v/>
      </c>
      <c r="I473" s="16">
        <f>_xlfn.XLOOKUP(Table2[[#This Row],[Type]],Table5[Type],Table5[Type2])</f>
        <v/>
      </c>
      <c r="J473" s="16">
        <f>_xlfn.XLOOKUP(Table2[[#This Row],[Sym]],Zones!$A$2:$A$21,Zones!$B$2:$B$21)</f>
        <v/>
      </c>
      <c r="K473" s="21" t="n"/>
    </row>
    <row r="474">
      <c r="A474" s="24" t="n">
        <v>1808</v>
      </c>
      <c r="B474" s="10" t="inlineStr">
        <is>
          <t>T110 Hương Sơn</t>
        </is>
      </c>
      <c r="C474" s="10" t="inlineStr">
        <is>
          <t>TBA 110kV Hương Sơn</t>
        </is>
      </c>
      <c r="D474" s="3" t="inlineStr">
        <is>
          <t>B6</t>
        </is>
      </c>
      <c r="E474" s="9" t="n"/>
      <c r="F474" s="15">
        <f>IF(E474&lt;&gt;"","Đã VH","Quy hoạch điện VIII")</f>
        <v/>
      </c>
      <c r="G474" s="16">
        <f>LEFT(B474,FIND(" ",B474,1)-1)</f>
        <v/>
      </c>
      <c r="H474" s="16">
        <f>TRIM(RIGHT(B474,LEN(B474)-FIND(" ",B474,1)))</f>
        <v/>
      </c>
      <c r="I474" s="16">
        <f>_xlfn.XLOOKUP(Table2[[#This Row],[Type]],Table5[Type],Table5[Type2])</f>
        <v/>
      </c>
      <c r="J474" s="16">
        <f>_xlfn.XLOOKUP(Table2[[#This Row],[Sym]],Zones!$A$2:$A$21,Zones!$B$2:$B$21)</f>
        <v/>
      </c>
      <c r="K474" s="21" t="n"/>
    </row>
    <row r="475">
      <c r="A475" s="24" t="n">
        <v>1809</v>
      </c>
      <c r="B475" s="10" t="inlineStr">
        <is>
          <t>T110 Yên Bình 7</t>
        </is>
      </c>
      <c r="C475" s="10" t="inlineStr">
        <is>
          <t>TBA 110kV Yên Bình 7</t>
        </is>
      </c>
      <c r="D475" s="3" t="inlineStr">
        <is>
          <t>B6</t>
        </is>
      </c>
      <c r="E475" s="9" t="n"/>
      <c r="F475" s="15">
        <f>IF(E475&lt;&gt;"","Đã VH","Quy hoạch điện VIII")</f>
        <v/>
      </c>
      <c r="G475" s="16">
        <f>LEFT(B475,FIND(" ",B475,1)-1)</f>
        <v/>
      </c>
      <c r="H475" s="16">
        <f>TRIM(RIGHT(B475,LEN(B475)-FIND(" ",B475,1)))</f>
        <v/>
      </c>
      <c r="I475" s="16">
        <f>_xlfn.XLOOKUP(Table2[[#This Row],[Type]],Table5[Type],Table5[Type2])</f>
        <v/>
      </c>
      <c r="J475" s="16">
        <f>_xlfn.XLOOKUP(Table2[[#This Row],[Sym]],Zones!$A$2:$A$21,Zones!$B$2:$B$21)</f>
        <v/>
      </c>
      <c r="K475" s="21" t="n"/>
    </row>
    <row r="476">
      <c r="A476" s="24" t="n">
        <v>1810</v>
      </c>
      <c r="B476" s="10" t="inlineStr">
        <is>
          <t>T500 Thái Nguyên</t>
        </is>
      </c>
      <c r="C476" s="10" t="inlineStr">
        <is>
          <t>TBA 500kV Thái Nguyên</t>
        </is>
      </c>
      <c r="D476" s="3" t="inlineStr">
        <is>
          <t>B6</t>
        </is>
      </c>
      <c r="E476" s="9" t="n"/>
      <c r="F476" s="15">
        <f>IF(E476&lt;&gt;"","Đã VH","Quy hoạch điện VIII")</f>
        <v/>
      </c>
      <c r="G476" s="16">
        <f>LEFT(B476,FIND(" ",B476,1)-1)</f>
        <v/>
      </c>
      <c r="H476" s="16">
        <f>TRIM(RIGHT(B476,LEN(B476)-FIND(" ",B476,1)))</f>
        <v/>
      </c>
      <c r="I476" s="16">
        <f>_xlfn.XLOOKUP(Table2[[#This Row],[Type]],Table5[Type],Table5[Type2])</f>
        <v/>
      </c>
      <c r="J476" s="16">
        <f>_xlfn.XLOOKUP(Table2[[#This Row],[Sym]],Zones!$A$2:$A$21,Zones!$B$2:$B$21)</f>
        <v/>
      </c>
      <c r="K476" s="21" t="n"/>
    </row>
    <row r="477">
      <c r="A477" s="24" t="n">
        <v>1811</v>
      </c>
      <c r="B477" s="10" t="inlineStr">
        <is>
          <t>T220 Lưu Xá</t>
        </is>
      </c>
      <c r="C477" s="10" t="inlineStr">
        <is>
          <t>TBA 220kV Lưu Xá</t>
        </is>
      </c>
      <c r="D477" s="3" t="inlineStr">
        <is>
          <t>B6</t>
        </is>
      </c>
      <c r="E477" s="9" t="inlineStr">
        <is>
          <t>E6.20</t>
        </is>
      </c>
      <c r="F477" s="15">
        <f>IF(E477&lt;&gt;"","Đã VH","Quy hoạch điện VIII")</f>
        <v/>
      </c>
      <c r="G477" s="16">
        <f>LEFT(B477,FIND(" ",B477,1)-1)</f>
        <v/>
      </c>
      <c r="H477" s="16">
        <f>TRIM(RIGHT(B477,LEN(B477)-FIND(" ",B477,1)))</f>
        <v/>
      </c>
      <c r="I477" s="16">
        <f>_xlfn.XLOOKUP(Table2[[#This Row],[Type]],Table5[Type],Table5[Type2])</f>
        <v/>
      </c>
      <c r="J477" s="16">
        <f>_xlfn.XLOOKUP(Table2[[#This Row],[Sym]],Zones!$A$2:$A$21,Zones!$B$2:$B$21)</f>
        <v/>
      </c>
      <c r="K477" s="21" t="n"/>
    </row>
    <row r="478">
      <c r="A478" s="24" t="n">
        <v>1812</v>
      </c>
      <c r="B478" s="10" t="inlineStr">
        <is>
          <t>T110 Đa Phúc</t>
        </is>
      </c>
      <c r="C478" s="10" t="inlineStr">
        <is>
          <t>TBA 110kV Đa Phúc</t>
        </is>
      </c>
      <c r="D478" s="3" t="inlineStr">
        <is>
          <t>B6</t>
        </is>
      </c>
      <c r="E478" s="9" t="inlineStr">
        <is>
          <t>E6.24</t>
        </is>
      </c>
      <c r="F478" s="15">
        <f>IF(E478&lt;&gt;"","Đã VH","Quy hoạch điện VIII")</f>
        <v/>
      </c>
      <c r="G478" s="16">
        <f>LEFT(B478,FIND(" ",B478,1)-1)</f>
        <v/>
      </c>
      <c r="H478" s="16">
        <f>TRIM(RIGHT(B478,LEN(B478)-FIND(" ",B478,1)))</f>
        <v/>
      </c>
      <c r="I478" s="16">
        <f>_xlfn.XLOOKUP(Table2[[#This Row],[Type]],Table5[Type],Table5[Type2])</f>
        <v/>
      </c>
      <c r="J478" s="16">
        <f>_xlfn.XLOOKUP(Table2[[#This Row],[Sym]],Zones!$A$2:$A$21,Zones!$B$2:$B$21)</f>
        <v/>
      </c>
      <c r="K478" s="21" t="n"/>
    </row>
    <row r="479">
      <c r="A479" s="24" t="n">
        <v>1813</v>
      </c>
      <c r="B479" s="10" t="inlineStr">
        <is>
          <t>T220 Sông Công</t>
        </is>
      </c>
      <c r="C479" s="10" t="inlineStr">
        <is>
          <t>TBA 220kV Sông Công</t>
        </is>
      </c>
      <c r="D479" s="3" t="inlineStr">
        <is>
          <t>B6</t>
        </is>
      </c>
      <c r="E479" s="9" t="n"/>
      <c r="F479" s="15">
        <f>IF(E479&lt;&gt;"","Đã VH","Quy hoạch điện VIII")</f>
        <v/>
      </c>
      <c r="G479" s="16">
        <f>LEFT(B479,FIND(" ",B479,1)-1)</f>
        <v/>
      </c>
      <c r="H479" s="16">
        <f>TRIM(RIGHT(B479,LEN(B479)-FIND(" ",B479,1)))</f>
        <v/>
      </c>
      <c r="I479" s="16">
        <f>_xlfn.XLOOKUP(Table2[[#This Row],[Type]],Table5[Type],Table5[Type2])</f>
        <v/>
      </c>
      <c r="J479" s="16">
        <f>_xlfn.XLOOKUP(Table2[[#This Row],[Sym]],Zones!$A$2:$A$21,Zones!$B$2:$B$21)</f>
        <v/>
      </c>
      <c r="K479" s="21" t="n"/>
    </row>
    <row r="480">
      <c r="A480" s="24" t="n">
        <v>1814</v>
      </c>
      <c r="B480" s="10" t="inlineStr">
        <is>
          <t>T220 Đại Từ</t>
        </is>
      </c>
      <c r="C480" s="10" t="inlineStr">
        <is>
          <t>TBA 220kV Đại Từ</t>
        </is>
      </c>
      <c r="D480" s="3" t="inlineStr">
        <is>
          <t>B6</t>
        </is>
      </c>
      <c r="E480" s="9" t="n"/>
      <c r="F480" s="15">
        <f>IF(E480&lt;&gt;"","Đã VH","Quy hoạch điện VIII")</f>
        <v/>
      </c>
      <c r="G480" s="16">
        <f>LEFT(B480,FIND(" ",B480,1)-1)</f>
        <v/>
      </c>
      <c r="H480" s="16">
        <f>TRIM(RIGHT(B480,LEN(B480)-FIND(" ",B480,1)))</f>
        <v/>
      </c>
      <c r="I480" s="16">
        <f>_xlfn.XLOOKUP(Table2[[#This Row],[Type]],Table5[Type],Table5[Type2])</f>
        <v/>
      </c>
      <c r="J480" s="16">
        <f>_xlfn.XLOOKUP(Table2[[#This Row],[Sym]],Zones!$A$2:$A$21,Zones!$B$2:$B$21)</f>
        <v/>
      </c>
      <c r="K480" s="21" t="n"/>
    </row>
    <row r="481">
      <c r="A481" s="24" t="n">
        <v>1815</v>
      </c>
      <c r="B481" s="10" t="inlineStr">
        <is>
          <t>T110 Yên Bình 6</t>
        </is>
      </c>
      <c r="C481" s="10" t="inlineStr">
        <is>
          <t>TBA 110kV Yên Bình 6</t>
        </is>
      </c>
      <c r="D481" s="3" t="inlineStr">
        <is>
          <t>B6</t>
        </is>
      </c>
      <c r="E481" s="9" t="n"/>
      <c r="F481" s="15">
        <f>IF(E481&lt;&gt;"","Đã VH","Quy hoạch điện VIII")</f>
        <v/>
      </c>
      <c r="G481" s="16">
        <f>LEFT(B481,FIND(" ",B481,1)-1)</f>
        <v/>
      </c>
      <c r="H481" s="16">
        <f>TRIM(RIGHT(B481,LEN(B481)-FIND(" ",B481,1)))</f>
        <v/>
      </c>
      <c r="I481" s="16">
        <f>_xlfn.XLOOKUP(Table2[[#This Row],[Type]],Table5[Type],Table5[Type2])</f>
        <v/>
      </c>
      <c r="J481" s="16">
        <f>_xlfn.XLOOKUP(Table2[[#This Row],[Sym]],Zones!$A$2:$A$21,Zones!$B$2:$B$21)</f>
        <v/>
      </c>
      <c r="K481" s="21" t="n"/>
    </row>
    <row r="482">
      <c r="A482" s="24" t="n">
        <v>1816</v>
      </c>
      <c r="B482" s="10" t="inlineStr">
        <is>
          <t>T110 Phú Bình 2</t>
        </is>
      </c>
      <c r="C482" s="10" t="inlineStr">
        <is>
          <t>TBA 110kV Phú Bình 2</t>
        </is>
      </c>
      <c r="D482" s="3" t="inlineStr">
        <is>
          <t>B6</t>
        </is>
      </c>
      <c r="E482" s="9" t="n"/>
      <c r="F482" s="15">
        <f>IF(E482&lt;&gt;"","Đã VH","Quy hoạch điện VIII")</f>
        <v/>
      </c>
      <c r="G482" s="16">
        <f>LEFT(B482,FIND(" ",B482,1)-1)</f>
        <v/>
      </c>
      <c r="H482" s="16">
        <f>TRIM(RIGHT(B482,LEN(B482)-FIND(" ",B482,1)))</f>
        <v/>
      </c>
      <c r="I482" s="16">
        <f>_xlfn.XLOOKUP(Table2[[#This Row],[Type]],Table5[Type],Table5[Type2])</f>
        <v/>
      </c>
      <c r="J482" s="16">
        <f>_xlfn.XLOOKUP(Table2[[#This Row],[Sym]],Zones!$A$2:$A$21,Zones!$B$2:$B$21)</f>
        <v/>
      </c>
      <c r="K482" s="21" t="n"/>
    </row>
    <row r="483">
      <c r="A483" s="24" t="n">
        <v>1817</v>
      </c>
      <c r="B483" s="10" t="inlineStr">
        <is>
          <t>T110 Phú Bình 4</t>
        </is>
      </c>
      <c r="C483" s="10" t="inlineStr">
        <is>
          <t>TBA 110kV Phú Bình 4</t>
        </is>
      </c>
      <c r="D483" s="3" t="inlineStr">
        <is>
          <t>B6</t>
        </is>
      </c>
      <c r="E483" s="9" t="n"/>
      <c r="F483" s="15">
        <f>IF(E483&lt;&gt;"","Đã VH","Quy hoạch điện VIII")</f>
        <v/>
      </c>
      <c r="G483" s="16">
        <f>LEFT(B483,FIND(" ",B483,1)-1)</f>
        <v/>
      </c>
      <c r="H483" s="16">
        <f>TRIM(RIGHT(B483,LEN(B483)-FIND(" ",B483,1)))</f>
        <v/>
      </c>
      <c r="I483" s="16">
        <f>_xlfn.XLOOKUP(Table2[[#This Row],[Type]],Table5[Type],Table5[Type2])</f>
        <v/>
      </c>
      <c r="J483" s="16">
        <f>_xlfn.XLOOKUP(Table2[[#This Row],[Sym]],Zones!$A$2:$A$21,Zones!$B$2:$B$21)</f>
        <v/>
      </c>
      <c r="K483" s="21" t="n"/>
    </row>
    <row r="484">
      <c r="A484" s="24" t="n">
        <v>1818</v>
      </c>
      <c r="B484" s="10" t="inlineStr">
        <is>
          <t>T110 Minh Đức</t>
        </is>
      </c>
      <c r="C484" s="10" t="inlineStr">
        <is>
          <t>TBA 110kV Minh Đức</t>
        </is>
      </c>
      <c r="D484" s="3" t="inlineStr">
        <is>
          <t>B6</t>
        </is>
      </c>
      <c r="E484" s="9" t="n"/>
      <c r="F484" s="15">
        <f>IF(E484&lt;&gt;"","Đã VH","Quy hoạch điện VIII")</f>
        <v/>
      </c>
      <c r="G484" s="16">
        <f>LEFT(B484,FIND(" ",B484,1)-1)</f>
        <v/>
      </c>
      <c r="H484" s="16">
        <f>TRIM(RIGHT(B484,LEN(B484)-FIND(" ",B484,1)))</f>
        <v/>
      </c>
      <c r="I484" s="16">
        <f>_xlfn.XLOOKUP(Table2[[#This Row],[Type]],Table5[Type],Table5[Type2])</f>
        <v/>
      </c>
      <c r="J484" s="16">
        <f>_xlfn.XLOOKUP(Table2[[#This Row],[Sym]],Zones!$A$2:$A$21,Zones!$B$2:$B$21)</f>
        <v/>
      </c>
      <c r="K484" s="21" t="n"/>
    </row>
    <row r="485">
      <c r="A485" s="24" t="n">
        <v>1819</v>
      </c>
      <c r="B485" s="10" t="inlineStr">
        <is>
          <t>T110 Núi Cốc</t>
        </is>
      </c>
      <c r="C485" s="10" t="inlineStr">
        <is>
          <t>TBA 110kV Núi Cốc</t>
        </is>
      </c>
      <c r="D485" s="3" t="inlineStr">
        <is>
          <t>B6</t>
        </is>
      </c>
      <c r="E485" s="9" t="n"/>
      <c r="F485" s="15">
        <f>IF(E485&lt;&gt;"","Đã VH","Quy hoạch điện VIII")</f>
        <v/>
      </c>
      <c r="G485" s="16">
        <f>LEFT(B485,FIND(" ",B485,1)-1)</f>
        <v/>
      </c>
      <c r="H485" s="16">
        <f>TRIM(RIGHT(B485,LEN(B485)-FIND(" ",B485,1)))</f>
        <v/>
      </c>
      <c r="I485" s="16">
        <f>_xlfn.XLOOKUP(Table2[[#This Row],[Type]],Table5[Type],Table5[Type2])</f>
        <v/>
      </c>
      <c r="J485" s="16">
        <f>_xlfn.XLOOKUP(Table2[[#This Row],[Sym]],Zones!$A$2:$A$21,Zones!$B$2:$B$21)</f>
        <v/>
      </c>
      <c r="K485" s="21" t="n"/>
    </row>
    <row r="486">
      <c r="A486" s="24" t="n">
        <v>1820</v>
      </c>
      <c r="B486" s="10" t="inlineStr">
        <is>
          <t>T110 Quyết Thắng</t>
        </is>
      </c>
      <c r="C486" s="10" t="inlineStr">
        <is>
          <t>TBA 110kV Quyết Thắng</t>
        </is>
      </c>
      <c r="D486" s="3" t="inlineStr">
        <is>
          <t>B6</t>
        </is>
      </c>
      <c r="E486" s="9" t="n"/>
      <c r="F486" s="15">
        <f>IF(E486&lt;&gt;"","Đã VH","Quy hoạch điện VIII")</f>
        <v/>
      </c>
      <c r="G486" s="16">
        <f>LEFT(B486,FIND(" ",B486,1)-1)</f>
        <v/>
      </c>
      <c r="H486" s="16">
        <f>TRIM(RIGHT(B486,LEN(B486)-FIND(" ",B486,1)))</f>
        <v/>
      </c>
      <c r="I486" s="16">
        <f>_xlfn.XLOOKUP(Table2[[#This Row],[Type]],Table5[Type],Table5[Type2])</f>
        <v/>
      </c>
      <c r="J486" s="16">
        <f>_xlfn.XLOOKUP(Table2[[#This Row],[Sym]],Zones!$A$2:$A$21,Zones!$B$2:$B$21)</f>
        <v/>
      </c>
      <c r="K486" s="21" t="n"/>
    </row>
    <row r="487">
      <c r="A487" s="24" t="n">
        <v>1821</v>
      </c>
      <c r="B487" s="10" t="inlineStr">
        <is>
          <t>T110 Phú Lương 2</t>
        </is>
      </c>
      <c r="C487" s="10" t="inlineStr">
        <is>
          <t>TBA 110kV Phú Lương 2</t>
        </is>
      </c>
      <c r="D487" s="3" t="inlineStr">
        <is>
          <t>B6</t>
        </is>
      </c>
      <c r="E487" s="9" t="n"/>
      <c r="F487" s="15">
        <f>IF(E487&lt;&gt;"","Đã VH","Quy hoạch điện VIII")</f>
        <v/>
      </c>
      <c r="G487" s="16">
        <f>LEFT(B487,FIND(" ",B487,1)-1)</f>
        <v/>
      </c>
      <c r="H487" s="16">
        <f>TRIM(RIGHT(B487,LEN(B487)-FIND(" ",B487,1)))</f>
        <v/>
      </c>
      <c r="I487" s="16">
        <f>_xlfn.XLOOKUP(Table2[[#This Row],[Type]],Table5[Type],Table5[Type2])</f>
        <v/>
      </c>
      <c r="J487" s="16">
        <f>_xlfn.XLOOKUP(Table2[[#This Row],[Sym]],Zones!$A$2:$A$21,Zones!$B$2:$B$21)</f>
        <v/>
      </c>
      <c r="K487" s="21" t="n"/>
    </row>
    <row r="488">
      <c r="A488" s="24" t="n">
        <v>1822</v>
      </c>
      <c r="B488" s="10" t="inlineStr">
        <is>
          <t>T110 Đại Từ 2</t>
        </is>
      </c>
      <c r="C488" s="10" t="inlineStr">
        <is>
          <t>TBA 110kV Đại Từ 2</t>
        </is>
      </c>
      <c r="D488" s="3" t="inlineStr">
        <is>
          <t>B6</t>
        </is>
      </c>
      <c r="E488" s="9" t="n"/>
      <c r="F488" s="15">
        <f>IF(E488&lt;&gt;"","Đã VH","Quy hoạch điện VIII")</f>
        <v/>
      </c>
      <c r="G488" s="16">
        <f>LEFT(B488,FIND(" ",B488,1)-1)</f>
        <v/>
      </c>
      <c r="H488" s="16">
        <f>TRIM(RIGHT(B488,LEN(B488)-FIND(" ",B488,1)))</f>
        <v/>
      </c>
      <c r="I488" s="16">
        <f>_xlfn.XLOOKUP(Table2[[#This Row],[Type]],Table5[Type],Table5[Type2])</f>
        <v/>
      </c>
      <c r="J488" s="16">
        <f>_xlfn.XLOOKUP(Table2[[#This Row],[Sym]],Zones!$A$2:$A$21,Zones!$B$2:$B$21)</f>
        <v/>
      </c>
      <c r="K488" s="21" t="n"/>
    </row>
    <row r="489">
      <c r="A489" s="24" t="n">
        <v>1823</v>
      </c>
      <c r="B489" s="10" t="inlineStr">
        <is>
          <t>T110 Phố Cò</t>
        </is>
      </c>
      <c r="C489" s="10" t="inlineStr">
        <is>
          <t>TBA 110kV Phố Cò</t>
        </is>
      </c>
      <c r="D489" s="3" t="inlineStr">
        <is>
          <t>B6</t>
        </is>
      </c>
      <c r="E489" s="9" t="n"/>
      <c r="F489" s="15">
        <f>IF(E489&lt;&gt;"","Đã VH","Quy hoạch điện VIII")</f>
        <v/>
      </c>
      <c r="G489" s="16">
        <f>LEFT(B489,FIND(" ",B489,1)-1)</f>
        <v/>
      </c>
      <c r="H489" s="16">
        <f>TRIM(RIGHT(B489,LEN(B489)-FIND(" ",B489,1)))</f>
        <v/>
      </c>
      <c r="I489" s="16">
        <f>_xlfn.XLOOKUP(Table2[[#This Row],[Type]],Table5[Type],Table5[Type2])</f>
        <v/>
      </c>
      <c r="J489" s="16">
        <f>_xlfn.XLOOKUP(Table2[[#This Row],[Sym]],Zones!$A$2:$A$21,Zones!$B$2:$B$21)</f>
        <v/>
      </c>
      <c r="K489" s="21" t="n"/>
    </row>
    <row r="490">
      <c r="A490" s="24" t="n">
        <v>1824</v>
      </c>
      <c r="B490" s="10" t="inlineStr">
        <is>
          <t>T110 Gang Thép 2</t>
        </is>
      </c>
      <c r="C490" s="10" t="inlineStr">
        <is>
          <t>TBA 110kV Gang Thép 2</t>
        </is>
      </c>
      <c r="D490" s="3" t="inlineStr">
        <is>
          <t>B6</t>
        </is>
      </c>
      <c r="E490" s="9" t="n"/>
      <c r="F490" s="15">
        <f>IF(E490&lt;&gt;"","Đã VH","Quy hoạch điện VIII")</f>
        <v/>
      </c>
      <c r="G490" s="16">
        <f>LEFT(B490,FIND(" ",B490,1)-1)</f>
        <v/>
      </c>
      <c r="H490" s="16">
        <f>TRIM(RIGHT(B490,LEN(B490)-FIND(" ",B490,1)))</f>
        <v/>
      </c>
      <c r="I490" s="16">
        <f>_xlfn.XLOOKUP(Table2[[#This Row],[Type]],Table5[Type],Table5[Type2])</f>
        <v/>
      </c>
      <c r="J490" s="16">
        <f>_xlfn.XLOOKUP(Table2[[#This Row],[Sym]],Zones!$A$2:$A$21,Zones!$B$2:$B$21)</f>
        <v/>
      </c>
      <c r="K490" s="21" t="n"/>
    </row>
    <row r="491">
      <c r="A491" s="24" t="n">
        <v>1825</v>
      </c>
      <c r="B491" s="10" t="inlineStr">
        <is>
          <t>T110 Sông Công 3</t>
        </is>
      </c>
      <c r="C491" s="10" t="inlineStr">
        <is>
          <t>TBA 110kV Sông Công 3</t>
        </is>
      </c>
      <c r="D491" s="3" t="inlineStr">
        <is>
          <t>B6</t>
        </is>
      </c>
      <c r="E491" s="9" t="n"/>
      <c r="F491" s="15">
        <f>IF(E491&lt;&gt;"","Đã VH","Quy hoạch điện VIII")</f>
        <v/>
      </c>
      <c r="G491" s="16">
        <f>LEFT(B491,FIND(" ",B491,1)-1)</f>
        <v/>
      </c>
      <c r="H491" s="16">
        <f>TRIM(RIGHT(B491,LEN(B491)-FIND(" ",B491,1)))</f>
        <v/>
      </c>
      <c r="I491" s="16">
        <f>_xlfn.XLOOKUP(Table2[[#This Row],[Type]],Table5[Type],Table5[Type2])</f>
        <v/>
      </c>
      <c r="J491" s="16">
        <f>_xlfn.XLOOKUP(Table2[[#This Row],[Sym]],Zones!$A$2:$A$21,Zones!$B$2:$B$21)</f>
        <v/>
      </c>
      <c r="K491" s="21" t="n"/>
    </row>
    <row r="492">
      <c r="A492" s="24" t="n">
        <v>1826</v>
      </c>
      <c r="B492" s="10" t="inlineStr">
        <is>
          <t>T110 Sông Công 4</t>
        </is>
      </c>
      <c r="C492" s="10" t="inlineStr">
        <is>
          <t>TBA 110kV Sông Công 4</t>
        </is>
      </c>
      <c r="D492" s="3" t="inlineStr">
        <is>
          <t>B6</t>
        </is>
      </c>
      <c r="E492" s="9" t="n"/>
      <c r="F492" s="15">
        <f>IF(E492&lt;&gt;"","Đã VH","Quy hoạch điện VIII")</f>
        <v/>
      </c>
      <c r="G492" s="16">
        <f>LEFT(B492,FIND(" ",B492,1)-1)</f>
        <v/>
      </c>
      <c r="H492" s="16">
        <f>TRIM(RIGHT(B492,LEN(B492)-FIND(" ",B492,1)))</f>
        <v/>
      </c>
      <c r="I492" s="16">
        <f>_xlfn.XLOOKUP(Table2[[#This Row],[Type]],Table5[Type],Table5[Type2])</f>
        <v/>
      </c>
      <c r="J492" s="16">
        <f>_xlfn.XLOOKUP(Table2[[#This Row],[Sym]],Zones!$A$2:$A$21,Zones!$B$2:$B$21)</f>
        <v/>
      </c>
      <c r="K492" s="21" t="n"/>
    </row>
    <row r="493">
      <c r="A493" s="24" t="n">
        <v>1827</v>
      </c>
      <c r="B493" s="10" t="inlineStr">
        <is>
          <t>T110 Sông Công 5</t>
        </is>
      </c>
      <c r="C493" s="10" t="inlineStr">
        <is>
          <t>TBA 110kV Sông Công 5</t>
        </is>
      </c>
      <c r="D493" s="3" t="inlineStr">
        <is>
          <t>B6</t>
        </is>
      </c>
      <c r="E493" s="9" t="n"/>
      <c r="F493" s="15">
        <f>IF(E493&lt;&gt;"","Đã VH","Quy hoạch điện VIII")</f>
        <v/>
      </c>
      <c r="G493" s="16">
        <f>LEFT(B493,FIND(" ",B493,1)-1)</f>
        <v/>
      </c>
      <c r="H493" s="16">
        <f>TRIM(RIGHT(B493,LEN(B493)-FIND(" ",B493,1)))</f>
        <v/>
      </c>
      <c r="I493" s="16">
        <f>_xlfn.XLOOKUP(Table2[[#This Row],[Type]],Table5[Type],Table5[Type2])</f>
        <v/>
      </c>
      <c r="J493" s="16">
        <f>_xlfn.XLOOKUP(Table2[[#This Row],[Sym]],Zones!$A$2:$A$21,Zones!$B$2:$B$21)</f>
        <v/>
      </c>
      <c r="K493" s="21" t="n"/>
    </row>
    <row r="494">
      <c r="A494" s="24" t="n">
        <v>1828</v>
      </c>
      <c r="B494" s="10" t="inlineStr">
        <is>
          <t>T110 Thịnh Đức</t>
        </is>
      </c>
      <c r="C494" s="10" t="inlineStr">
        <is>
          <t>TBA 110kV Thịnh Đức</t>
        </is>
      </c>
      <c r="D494" s="3" t="inlineStr">
        <is>
          <t>B6</t>
        </is>
      </c>
      <c r="E494" s="9" t="n"/>
      <c r="F494" s="15">
        <f>IF(E494&lt;&gt;"","Đã VH","Quy hoạch điện VIII")</f>
        <v/>
      </c>
      <c r="G494" s="16">
        <f>LEFT(B494,FIND(" ",B494,1)-1)</f>
        <v/>
      </c>
      <c r="H494" s="16">
        <f>TRIM(RIGHT(B494,LEN(B494)-FIND(" ",B494,1)))</f>
        <v/>
      </c>
      <c r="I494" s="16">
        <f>_xlfn.XLOOKUP(Table2[[#This Row],[Type]],Table5[Type],Table5[Type2])</f>
        <v/>
      </c>
      <c r="J494" s="16">
        <f>_xlfn.XLOOKUP(Table2[[#This Row],[Sym]],Zones!$A$2:$A$21,Zones!$B$2:$B$21)</f>
        <v/>
      </c>
      <c r="K494" s="21" t="n"/>
    </row>
    <row r="495">
      <c r="A495" s="24" t="n">
        <v>1829</v>
      </c>
      <c r="B495" s="10" t="inlineStr">
        <is>
          <t>T110 Cao Ngạn</t>
        </is>
      </c>
      <c r="C495" s="10" t="inlineStr">
        <is>
          <t>TBA 110kV Cao Ngạn</t>
        </is>
      </c>
      <c r="D495" s="3" t="inlineStr">
        <is>
          <t>B6</t>
        </is>
      </c>
      <c r="E495" s="9" t="n"/>
      <c r="F495" s="15">
        <f>IF(E495&lt;&gt;"","Đã VH","Quy hoạch điện VIII")</f>
        <v/>
      </c>
      <c r="G495" s="16">
        <f>LEFT(B495,FIND(" ",B495,1)-1)</f>
        <v/>
      </c>
      <c r="H495" s="16">
        <f>TRIM(RIGHT(B495,LEN(B495)-FIND(" ",B495,1)))</f>
        <v/>
      </c>
      <c r="I495" s="16">
        <f>_xlfn.XLOOKUP(Table2[[#This Row],[Type]],Table5[Type],Table5[Type2])</f>
        <v/>
      </c>
      <c r="J495" s="16">
        <f>_xlfn.XLOOKUP(Table2[[#This Row],[Sym]],Zones!$A$2:$A$21,Zones!$B$2:$B$21)</f>
        <v/>
      </c>
      <c r="K495" s="21" t="n"/>
    </row>
    <row r="496">
      <c r="A496" s="24" t="n">
        <v>1880</v>
      </c>
      <c r="B496" s="10" t="inlineStr">
        <is>
          <t>T110 Đồi Cốc</t>
        </is>
      </c>
      <c r="C496" s="10" t="inlineStr">
        <is>
          <t>TBA 110kV Đồi Cốc</t>
        </is>
      </c>
      <c r="D496" s="3" t="inlineStr">
        <is>
          <t>B27</t>
        </is>
      </c>
      <c r="E496" s="9" t="inlineStr">
        <is>
          <t>E7.1</t>
        </is>
      </c>
      <c r="F496" s="15">
        <f>IF(E496&lt;&gt;"","Đã VH","Quy hoạch điện VIII")</f>
        <v/>
      </c>
      <c r="G496" s="16">
        <f>LEFT(B496,FIND(" ",B496,1)-1)</f>
        <v/>
      </c>
      <c r="H496" s="16">
        <f>TRIM(RIGHT(B496,LEN(B496)-FIND(" ",B496,1)))</f>
        <v/>
      </c>
      <c r="I496" s="16">
        <f>_xlfn.XLOOKUP(Table2[[#This Row],[Type]],Table5[Type],Table5[Type2])</f>
        <v/>
      </c>
      <c r="J496" s="16">
        <f>_xlfn.XLOOKUP(Table2[[#This Row],[Sym]],Zones!$A$2:$A$21,Zones!$B$2:$B$21)</f>
        <v/>
      </c>
      <c r="K496" s="21" t="n"/>
    </row>
    <row r="497">
      <c r="A497" s="24" t="n">
        <v>1881</v>
      </c>
      <c r="B497" s="10" t="inlineStr">
        <is>
          <t>T220 Bắc Giang</t>
        </is>
      </c>
      <c r="C497" s="10" t="inlineStr">
        <is>
          <t>TBA 220kV Bắc Giang</t>
        </is>
      </c>
      <c r="D497" s="3" t="inlineStr">
        <is>
          <t>B27</t>
        </is>
      </c>
      <c r="E497" s="9" t="inlineStr">
        <is>
          <t>E7.6</t>
        </is>
      </c>
      <c r="F497" s="15">
        <f>IF(E497&lt;&gt;"","Đã VH","Quy hoạch điện VIII")</f>
        <v/>
      </c>
      <c r="G497" s="16">
        <f>LEFT(B497,FIND(" ",B497,1)-1)</f>
        <v/>
      </c>
      <c r="H497" s="16">
        <f>TRIM(RIGHT(B497,LEN(B497)-FIND(" ",B497,1)))</f>
        <v/>
      </c>
      <c r="I497" s="16">
        <f>_xlfn.XLOOKUP(Table2[[#This Row],[Type]],Table5[Type],Table5[Type2])</f>
        <v/>
      </c>
      <c r="J497" s="16">
        <f>_xlfn.XLOOKUP(Table2[[#This Row],[Sym]],Zones!$A$2:$A$21,Zones!$B$2:$B$21)</f>
        <v/>
      </c>
      <c r="K497" s="21" t="n"/>
    </row>
    <row r="498">
      <c r="A498" s="24" t="n">
        <v>1882</v>
      </c>
      <c r="B498" s="10" t="inlineStr">
        <is>
          <t>T110 Đình Trám</t>
        </is>
      </c>
      <c r="C498" s="10" t="inlineStr">
        <is>
          <t>TBA 110kV Đình Trám</t>
        </is>
      </c>
      <c r="D498" s="3" t="inlineStr">
        <is>
          <t>B27</t>
        </is>
      </c>
      <c r="E498" s="9" t="inlineStr">
        <is>
          <t>E7.7</t>
        </is>
      </c>
      <c r="F498" s="15">
        <f>IF(E498&lt;&gt;"","Đã VH","Quy hoạch điện VIII")</f>
        <v/>
      </c>
      <c r="G498" s="16">
        <f>LEFT(B498,FIND(" ",B498,1)-1)</f>
        <v/>
      </c>
      <c r="H498" s="16">
        <f>TRIM(RIGHT(B498,LEN(B498)-FIND(" ",B498,1)))</f>
        <v/>
      </c>
      <c r="I498" s="16">
        <f>_xlfn.XLOOKUP(Table2[[#This Row],[Type]],Table5[Type],Table5[Type2])</f>
        <v/>
      </c>
      <c r="J498" s="16">
        <f>_xlfn.XLOOKUP(Table2[[#This Row],[Sym]],Zones!$A$2:$A$21,Zones!$B$2:$B$21)</f>
        <v/>
      </c>
      <c r="K498" s="21" t="n"/>
    </row>
    <row r="499">
      <c r="A499" s="24" t="n">
        <v>1883</v>
      </c>
      <c r="B499" s="10" t="inlineStr">
        <is>
          <t>T110 Lục Ngạn</t>
        </is>
      </c>
      <c r="C499" s="10" t="inlineStr">
        <is>
          <t>TBA 110kV Lục Ngạn</t>
        </is>
      </c>
      <c r="D499" s="3" t="inlineStr">
        <is>
          <t>B27</t>
        </is>
      </c>
      <c r="E499" s="9" t="inlineStr">
        <is>
          <t>E7.8</t>
        </is>
      </c>
      <c r="F499" s="15">
        <f>IF(E499&lt;&gt;"","Đã VH","Quy hoạch điện VIII")</f>
        <v/>
      </c>
      <c r="G499" s="16">
        <f>LEFT(B499,FIND(" ",B499,1)-1)</f>
        <v/>
      </c>
      <c r="H499" s="16">
        <f>TRIM(RIGHT(B499,LEN(B499)-FIND(" ",B499,1)))</f>
        <v/>
      </c>
      <c r="I499" s="16">
        <f>_xlfn.XLOOKUP(Table2[[#This Row],[Type]],Table5[Type],Table5[Type2])</f>
        <v/>
      </c>
      <c r="J499" s="16">
        <f>_xlfn.XLOOKUP(Table2[[#This Row],[Sym]],Zones!$A$2:$A$21,Zones!$B$2:$B$21)</f>
        <v/>
      </c>
      <c r="K499" s="21" t="n"/>
    </row>
    <row r="500">
      <c r="A500" s="24" t="n">
        <v>1884</v>
      </c>
      <c r="B500" s="10" t="inlineStr">
        <is>
          <t>T110 Cầu Gồ</t>
        </is>
      </c>
      <c r="C500" s="10" t="inlineStr">
        <is>
          <t>TBA 110kV Cầu Gồ</t>
        </is>
      </c>
      <c r="D500" s="3" t="inlineStr">
        <is>
          <t>B27</t>
        </is>
      </c>
      <c r="E500" s="9" t="inlineStr">
        <is>
          <t>E7.9</t>
        </is>
      </c>
      <c r="F500" s="15">
        <f>IF(E500&lt;&gt;"","Đã VH","Quy hoạch điện VIII")</f>
        <v/>
      </c>
      <c r="G500" s="16">
        <f>LEFT(B500,FIND(" ",B500,1)-1)</f>
        <v/>
      </c>
      <c r="H500" s="16">
        <f>TRIM(RIGHT(B500,LEN(B500)-FIND(" ",B500,1)))</f>
        <v/>
      </c>
      <c r="I500" s="16">
        <f>_xlfn.XLOOKUP(Table2[[#This Row],[Type]],Table5[Type],Table5[Type2])</f>
        <v/>
      </c>
      <c r="J500" s="16">
        <f>_xlfn.XLOOKUP(Table2[[#This Row],[Sym]],Zones!$A$2:$A$21,Zones!$B$2:$B$21)</f>
        <v/>
      </c>
      <c r="K500" s="21" t="n"/>
    </row>
    <row r="501">
      <c r="A501" s="24" t="n">
        <v>1885</v>
      </c>
      <c r="B501" s="10" t="inlineStr">
        <is>
          <t>NĐ Sơn Động</t>
        </is>
      </c>
      <c r="C501" s="10" t="inlineStr">
        <is>
          <t xml:space="preserve"> Sơn Động</t>
        </is>
      </c>
      <c r="D501" s="3" t="inlineStr">
        <is>
          <t>B27</t>
        </is>
      </c>
      <c r="E501" s="9" t="inlineStr">
        <is>
          <t>A7.10</t>
        </is>
      </c>
      <c r="F501" s="15">
        <f>IF(E501&lt;&gt;"","Đã VH","Quy hoạch điện VIII")</f>
        <v/>
      </c>
      <c r="G501" s="16">
        <f>LEFT(B501,FIND(" ",B501,1)-1)</f>
        <v/>
      </c>
      <c r="H501" s="16">
        <f>TRIM(RIGHT(B501,LEN(B501)-FIND(" ",B501,1)))</f>
        <v/>
      </c>
      <c r="I501" s="16">
        <f>_xlfn.XLOOKUP(Table2[[#This Row],[Type]],Table5[Type],Table5[Type2])</f>
        <v/>
      </c>
      <c r="J501" s="16">
        <f>_xlfn.XLOOKUP(Table2[[#This Row],[Sym]],Zones!$A$2:$A$21,Zones!$B$2:$B$21)</f>
        <v/>
      </c>
      <c r="K501" s="21" t="n"/>
    </row>
    <row r="502">
      <c r="A502" s="24" t="n">
        <v>1886</v>
      </c>
      <c r="B502" s="10" t="inlineStr">
        <is>
          <t>T110 Đức Thắng</t>
        </is>
      </c>
      <c r="C502" s="10" t="inlineStr">
        <is>
          <t>TBA 110kV Đức Thắng</t>
        </is>
      </c>
      <c r="D502" s="3" t="inlineStr">
        <is>
          <t>B27</t>
        </is>
      </c>
      <c r="E502" s="9" t="inlineStr">
        <is>
          <t>E7.11</t>
        </is>
      </c>
      <c r="F502" s="15">
        <f>IF(E502&lt;&gt;"","Đã VH","Quy hoạch điện VIII")</f>
        <v/>
      </c>
      <c r="G502" s="16">
        <f>LEFT(B502,FIND(" ",B502,1)-1)</f>
        <v/>
      </c>
      <c r="H502" s="16">
        <f>TRIM(RIGHT(B502,LEN(B502)-FIND(" ",B502,1)))</f>
        <v/>
      </c>
      <c r="I502" s="16">
        <f>_xlfn.XLOOKUP(Table2[[#This Row],[Type]],Table5[Type],Table5[Type2])</f>
        <v/>
      </c>
      <c r="J502" s="16">
        <f>_xlfn.XLOOKUP(Table2[[#This Row],[Sym]],Zones!$A$2:$A$21,Zones!$B$2:$B$21)</f>
        <v/>
      </c>
      <c r="K502" s="21" t="n"/>
    </row>
    <row r="503">
      <c r="A503" s="24" t="n">
        <v>1887</v>
      </c>
      <c r="B503" s="10" t="inlineStr">
        <is>
          <t>T110 Song Khê</t>
        </is>
      </c>
      <c r="C503" s="10" t="inlineStr">
        <is>
          <t>TBA 110kV Song Khê</t>
        </is>
      </c>
      <c r="D503" s="3" t="inlineStr">
        <is>
          <t>B27</t>
        </is>
      </c>
      <c r="E503" s="9" t="inlineStr">
        <is>
          <t>E7.12</t>
        </is>
      </c>
      <c r="F503" s="15">
        <f>IF(E503&lt;&gt;"","Đã VH","Quy hoạch điện VIII")</f>
        <v/>
      </c>
      <c r="G503" s="16">
        <f>LEFT(B503,FIND(" ",B503,1)-1)</f>
        <v/>
      </c>
      <c r="H503" s="16">
        <f>TRIM(RIGHT(B503,LEN(B503)-FIND(" ",B503,1)))</f>
        <v/>
      </c>
      <c r="I503" s="16">
        <f>_xlfn.XLOOKUP(Table2[[#This Row],[Type]],Table5[Type],Table5[Type2])</f>
        <v/>
      </c>
      <c r="J503" s="16">
        <f>_xlfn.XLOOKUP(Table2[[#This Row],[Sym]],Zones!$A$2:$A$21,Zones!$B$2:$B$21)</f>
        <v/>
      </c>
      <c r="K503" s="21" t="n"/>
    </row>
    <row r="504">
      <c r="A504" s="24" t="n">
        <v>1888</v>
      </c>
      <c r="B504" s="10" t="inlineStr">
        <is>
          <t>T110 Lạng Giang</t>
        </is>
      </c>
      <c r="C504" s="10" t="inlineStr">
        <is>
          <t>TBA 110kV Lạng Giang</t>
        </is>
      </c>
      <c r="D504" s="3" t="inlineStr">
        <is>
          <t>B27</t>
        </is>
      </c>
      <c r="E504" s="9" t="inlineStr">
        <is>
          <t>E7.13</t>
        </is>
      </c>
      <c r="F504" s="15">
        <f>IF(E504&lt;&gt;"","Đã VH","Quy hoạch điện VIII")</f>
        <v/>
      </c>
      <c r="G504" s="16">
        <f>LEFT(B504,FIND(" ",B504,1)-1)</f>
        <v/>
      </c>
      <c r="H504" s="16">
        <f>TRIM(RIGHT(B504,LEN(B504)-FIND(" ",B504,1)))</f>
        <v/>
      </c>
      <c r="I504" s="16">
        <f>_xlfn.XLOOKUP(Table2[[#This Row],[Type]],Table5[Type],Table5[Type2])</f>
        <v/>
      </c>
      <c r="J504" s="16">
        <f>_xlfn.XLOOKUP(Table2[[#This Row],[Sym]],Zones!$A$2:$A$21,Zones!$B$2:$B$21)</f>
        <v/>
      </c>
      <c r="K504" s="21" t="n"/>
    </row>
    <row r="505">
      <c r="A505" s="24" t="n">
        <v>1889</v>
      </c>
      <c r="B505" s="10" t="inlineStr">
        <is>
          <t>T500 Hiệp Hòa</t>
        </is>
      </c>
      <c r="C505" s="10" t="inlineStr">
        <is>
          <t>TBA 500kV Hiệp Hòa</t>
        </is>
      </c>
      <c r="D505" s="3" t="inlineStr">
        <is>
          <t>B27</t>
        </is>
      </c>
      <c r="E505" s="9" t="inlineStr">
        <is>
          <t>T500 Hiệp Hòa</t>
        </is>
      </c>
      <c r="F505" s="15">
        <f>IF(E505&lt;&gt;"","Đã VH","Quy hoạch điện VIII")</f>
        <v/>
      </c>
      <c r="G505" s="16">
        <f>LEFT(B505,FIND(" ",B505,1)-1)</f>
        <v/>
      </c>
      <c r="H505" s="16">
        <f>TRIM(RIGHT(B505,LEN(B505)-FIND(" ",B505,1)))</f>
        <v/>
      </c>
      <c r="I505" s="16">
        <f>_xlfn.XLOOKUP(Table2[[#This Row],[Type]],Table5[Type],Table5[Type2])</f>
        <v/>
      </c>
      <c r="J505" s="16">
        <f>_xlfn.XLOOKUP(Table2[[#This Row],[Sym]],Zones!$A$2:$A$21,Zones!$B$2:$B$21)</f>
        <v/>
      </c>
      <c r="K505" s="21" t="n"/>
    </row>
    <row r="506">
      <c r="A506" s="24" t="n">
        <v>1890</v>
      </c>
      <c r="B506" s="10" t="inlineStr">
        <is>
          <t>T110 Quang Châu</t>
        </is>
      </c>
      <c r="C506" s="10" t="inlineStr">
        <is>
          <t>TBA 110kV Quang Châu</t>
        </is>
      </c>
      <c r="D506" s="3" t="inlineStr">
        <is>
          <t>B27</t>
        </is>
      </c>
      <c r="E506" s="9" t="inlineStr">
        <is>
          <t>E7.18</t>
        </is>
      </c>
      <c r="F506" s="15">
        <f>IF(E506&lt;&gt;"","Đã VH","Quy hoạch điện VIII")</f>
        <v/>
      </c>
      <c r="G506" s="16">
        <f>LEFT(B506,FIND(" ",B506,1)-1)</f>
        <v/>
      </c>
      <c r="H506" s="16">
        <f>TRIM(RIGHT(B506,LEN(B506)-FIND(" ",B506,1)))</f>
        <v/>
      </c>
      <c r="I506" s="16">
        <f>_xlfn.XLOOKUP(Table2[[#This Row],[Type]],Table5[Type],Table5[Type2])</f>
        <v/>
      </c>
      <c r="J506" s="16">
        <f>_xlfn.XLOOKUP(Table2[[#This Row],[Sym]],Zones!$A$2:$A$21,Zones!$B$2:$B$21)</f>
        <v/>
      </c>
      <c r="K506" s="21" t="n"/>
    </row>
    <row r="507">
      <c r="A507" s="24" t="n">
        <v>1891</v>
      </c>
      <c r="B507" s="10" t="inlineStr">
        <is>
          <t>T110 Lục Nam</t>
        </is>
      </c>
      <c r="C507" s="10" t="inlineStr">
        <is>
          <t>TBA 110kV Lục Nam</t>
        </is>
      </c>
      <c r="D507" s="3" t="inlineStr">
        <is>
          <t>B27</t>
        </is>
      </c>
      <c r="E507" s="9" t="inlineStr">
        <is>
          <t>E7.14</t>
        </is>
      </c>
      <c r="F507" s="15">
        <f>IF(E507&lt;&gt;"","Đã VH","Quy hoạch điện VIII")</f>
        <v/>
      </c>
      <c r="G507" s="16">
        <f>LEFT(B507,FIND(" ",B507,1)-1)</f>
        <v/>
      </c>
      <c r="H507" s="16">
        <f>TRIM(RIGHT(B507,LEN(B507)-FIND(" ",B507,1)))</f>
        <v/>
      </c>
      <c r="I507" s="16">
        <f>_xlfn.XLOOKUP(Table2[[#This Row],[Type]],Table5[Type],Table5[Type2])</f>
        <v/>
      </c>
      <c r="J507" s="16">
        <f>_xlfn.XLOOKUP(Table2[[#This Row],[Sym]],Zones!$A$2:$A$21,Zones!$B$2:$B$21)</f>
        <v/>
      </c>
      <c r="K507" s="21" t="n"/>
    </row>
    <row r="508">
      <c r="A508" s="24" t="n">
        <v>1892</v>
      </c>
      <c r="B508" s="10" t="inlineStr">
        <is>
          <t>T110 Sông Cầu</t>
        </is>
      </c>
      <c r="C508" s="10" t="inlineStr">
        <is>
          <t>TBA 110kV Sông Cầu</t>
        </is>
      </c>
      <c r="D508" s="3" t="inlineStr">
        <is>
          <t>B27</t>
        </is>
      </c>
      <c r="E508" s="9" t="inlineStr">
        <is>
          <t>E7.16</t>
        </is>
      </c>
      <c r="F508" s="15">
        <f>IF(E508&lt;&gt;"","Đã VH","Quy hoạch điện VIII")</f>
        <v/>
      </c>
      <c r="G508" s="16">
        <f>LEFT(B508,FIND(" ",B508,1)-1)</f>
        <v/>
      </c>
      <c r="H508" s="16">
        <f>TRIM(RIGHT(B508,LEN(B508)-FIND(" ",B508,1)))</f>
        <v/>
      </c>
      <c r="I508" s="16">
        <f>_xlfn.XLOOKUP(Table2[[#This Row],[Type]],Table5[Type],Table5[Type2])</f>
        <v/>
      </c>
      <c r="J508" s="16">
        <f>_xlfn.XLOOKUP(Table2[[#This Row],[Sym]],Zones!$A$2:$A$21,Zones!$B$2:$B$21)</f>
        <v/>
      </c>
      <c r="K508" s="21" t="n"/>
    </row>
    <row r="509">
      <c r="A509" s="24" t="n">
        <v>1893</v>
      </c>
      <c r="B509" s="10" t="inlineStr">
        <is>
          <t>T110 Yên Dũng</t>
        </is>
      </c>
      <c r="C509" s="10" t="inlineStr">
        <is>
          <t>TBA 110kV Yên Dũng</t>
        </is>
      </c>
      <c r="D509" s="3" t="inlineStr">
        <is>
          <t>B27</t>
        </is>
      </c>
      <c r="E509" s="9" t="inlineStr">
        <is>
          <t>E7.19</t>
        </is>
      </c>
      <c r="F509" s="15">
        <f>IF(E509&lt;&gt;"","Đã VH","Quy hoạch điện VIII")</f>
        <v/>
      </c>
      <c r="G509" s="16">
        <f>LEFT(B509,FIND(" ",B509,1)-1)</f>
        <v/>
      </c>
      <c r="H509" s="16">
        <f>TRIM(RIGHT(B509,LEN(B509)-FIND(" ",B509,1)))</f>
        <v/>
      </c>
      <c r="I509" s="16">
        <f>_xlfn.XLOOKUP(Table2[[#This Row],[Type]],Table5[Type],Table5[Type2])</f>
        <v/>
      </c>
      <c r="J509" s="16">
        <f>_xlfn.XLOOKUP(Table2[[#This Row],[Sym]],Zones!$A$2:$A$21,Zones!$B$2:$B$21)</f>
        <v/>
      </c>
      <c r="K509" s="21" t="n"/>
    </row>
    <row r="510">
      <c r="A510" s="24" t="n">
        <v>1894</v>
      </c>
      <c r="B510" s="10" t="inlineStr">
        <is>
          <t>T110 Vân Trung</t>
        </is>
      </c>
      <c r="C510" s="10" t="inlineStr">
        <is>
          <t>TBA 110kV Vân Trung</t>
        </is>
      </c>
      <c r="D510" s="3" t="inlineStr">
        <is>
          <t>B27</t>
        </is>
      </c>
      <c r="E510" s="9" t="inlineStr">
        <is>
          <t>E7.17</t>
        </is>
      </c>
      <c r="F510" s="15">
        <f>IF(E510&lt;&gt;"","Đã VH","Quy hoạch điện VIII")</f>
        <v/>
      </c>
      <c r="G510" s="16">
        <f>LEFT(B510,FIND(" ",B510,1)-1)</f>
        <v/>
      </c>
      <c r="H510" s="16">
        <f>TRIM(RIGHT(B510,LEN(B510)-FIND(" ",B510,1)))</f>
        <v/>
      </c>
      <c r="I510" s="16">
        <f>_xlfn.XLOOKUP(Table2[[#This Row],[Type]],Table5[Type],Table5[Type2])</f>
        <v/>
      </c>
      <c r="J510" s="16">
        <f>_xlfn.XLOOKUP(Table2[[#This Row],[Sym]],Zones!$A$2:$A$21,Zones!$B$2:$B$21)</f>
        <v/>
      </c>
      <c r="K510" s="21" t="n"/>
    </row>
    <row r="511">
      <c r="A511" s="24" t="n">
        <v>1895</v>
      </c>
      <c r="B511" s="10" t="inlineStr">
        <is>
          <t>T110 Hợp Thịnh</t>
        </is>
      </c>
      <c r="C511" s="10" t="inlineStr">
        <is>
          <t>TBA 110kV Hợp Thịnh</t>
        </is>
      </c>
      <c r="D511" s="3" t="inlineStr">
        <is>
          <t>B27</t>
        </is>
      </c>
      <c r="E511" s="9" t="inlineStr">
        <is>
          <t>E7.21</t>
        </is>
      </c>
      <c r="F511" s="15">
        <f>IF(E511&lt;&gt;"","Đã VH","Quy hoạch điện VIII")</f>
        <v/>
      </c>
      <c r="G511" s="16">
        <f>LEFT(B511,FIND(" ",B511,1)-1)</f>
        <v/>
      </c>
      <c r="H511" s="16">
        <f>TRIM(RIGHT(B511,LEN(B511)-FIND(" ",B511,1)))</f>
        <v/>
      </c>
      <c r="I511" s="16">
        <f>_xlfn.XLOOKUP(Table2[[#This Row],[Type]],Table5[Type],Table5[Type2])</f>
        <v/>
      </c>
      <c r="J511" s="16">
        <f>_xlfn.XLOOKUP(Table2[[#This Row],[Sym]],Zones!$A$2:$A$21,Zones!$B$2:$B$21)</f>
        <v/>
      </c>
      <c r="K511" s="21" t="n"/>
    </row>
    <row r="512">
      <c r="A512" s="24" t="n">
        <v>1896</v>
      </c>
      <c r="B512" s="10" t="inlineStr">
        <is>
          <t>T110 Nam Thành Phố</t>
        </is>
      </c>
      <c r="C512" s="10" t="inlineStr">
        <is>
          <t>TBA 110kV Nam Thành Phố</t>
        </is>
      </c>
      <c r="D512" s="3" t="inlineStr">
        <is>
          <t>B27</t>
        </is>
      </c>
      <c r="E512" s="9" t="inlineStr">
        <is>
          <t>E7.22</t>
        </is>
      </c>
      <c r="F512" s="15">
        <f>IF(E512&lt;&gt;"","Đã VH","Quy hoạch điện VIII")</f>
        <v/>
      </c>
      <c r="G512" s="16">
        <f>LEFT(B512,FIND(" ",B512,1)-1)</f>
        <v/>
      </c>
      <c r="H512" s="16">
        <f>TRIM(RIGHT(B512,LEN(B512)-FIND(" ",B512,1)))</f>
        <v/>
      </c>
      <c r="I512" s="16">
        <f>_xlfn.XLOOKUP(Table2[[#This Row],[Type]],Table5[Type],Table5[Type2])</f>
        <v/>
      </c>
      <c r="J512" s="16">
        <f>_xlfn.XLOOKUP(Table2[[#This Row],[Sym]],Zones!$A$2:$A$21,Zones!$B$2:$B$21)</f>
        <v/>
      </c>
      <c r="K512" s="21" t="n"/>
    </row>
    <row r="513">
      <c r="A513" s="24" t="n">
        <v>1897</v>
      </c>
      <c r="B513" s="10" t="inlineStr">
        <is>
          <t>T110 Lục Ngạn 2</t>
        </is>
      </c>
      <c r="C513" s="10" t="inlineStr">
        <is>
          <t>TBA 110kV Lục Ngạn 2</t>
        </is>
      </c>
      <c r="D513" s="3" t="inlineStr">
        <is>
          <t>B27</t>
        </is>
      </c>
      <c r="E513" s="9" t="inlineStr">
        <is>
          <t>E7.23</t>
        </is>
      </c>
      <c r="F513" s="15">
        <f>IF(E513&lt;&gt;"","Đã VH","Quy hoạch điện VIII")</f>
        <v/>
      </c>
      <c r="G513" s="16">
        <f>LEFT(B513,FIND(" ",B513,1)-1)</f>
        <v/>
      </c>
      <c r="H513" s="16">
        <f>TRIM(RIGHT(B513,LEN(B513)-FIND(" ",B513,1)))</f>
        <v/>
      </c>
      <c r="I513" s="16">
        <f>_xlfn.XLOOKUP(Table2[[#This Row],[Type]],Table5[Type],Table5[Type2])</f>
        <v/>
      </c>
      <c r="J513" s="16">
        <f>_xlfn.XLOOKUP(Table2[[#This Row],[Sym]],Zones!$A$2:$A$21,Zones!$B$2:$B$21)</f>
        <v/>
      </c>
      <c r="K513" s="21" t="n"/>
    </row>
    <row r="514">
      <c r="A514" s="24" t="n">
        <v>1898</v>
      </c>
      <c r="B514" s="10" t="inlineStr">
        <is>
          <t>T110 Tân Yên</t>
        </is>
      </c>
      <c r="C514" s="10" t="inlineStr">
        <is>
          <t>TBA 110kV Tân Yên</t>
        </is>
      </c>
      <c r="D514" s="3" t="inlineStr">
        <is>
          <t>B27</t>
        </is>
      </c>
      <c r="E514" s="9" t="inlineStr">
        <is>
          <t>E7.24</t>
        </is>
      </c>
      <c r="F514" s="15">
        <f>IF(E514&lt;&gt;"","Đã VH","Quy hoạch điện VIII")</f>
        <v/>
      </c>
      <c r="G514" s="16">
        <f>LEFT(B514,FIND(" ",B514,1)-1)</f>
        <v/>
      </c>
      <c r="H514" s="16">
        <f>TRIM(RIGHT(B514,LEN(B514)-FIND(" ",B514,1)))</f>
        <v/>
      </c>
      <c r="I514" s="16">
        <f>_xlfn.XLOOKUP(Table2[[#This Row],[Type]],Table5[Type],Table5[Type2])</f>
        <v/>
      </c>
      <c r="J514" s="16">
        <f>_xlfn.XLOOKUP(Table2[[#This Row],[Sym]],Zones!$A$2:$A$21,Zones!$B$2:$B$21)</f>
        <v/>
      </c>
      <c r="K514" s="21" t="n"/>
    </row>
    <row r="515">
      <c r="A515" s="24" t="n">
        <v>1899</v>
      </c>
      <c r="B515" s="10" t="inlineStr">
        <is>
          <t>T110 Quang Châu 2</t>
        </is>
      </c>
      <c r="C515" s="10" t="inlineStr">
        <is>
          <t>TBA 110kV Quang Châu 2</t>
        </is>
      </c>
      <c r="D515" s="3" t="inlineStr">
        <is>
          <t>B27</t>
        </is>
      </c>
      <c r="E515" s="9" t="inlineStr">
        <is>
          <t>E7.26</t>
        </is>
      </c>
      <c r="F515" s="15">
        <f>IF(E515&lt;&gt;"","Đã VH","Quy hoạch điện VIII")</f>
        <v/>
      </c>
      <c r="G515" s="16">
        <f>LEFT(B515,FIND(" ",B515,1)-1)</f>
        <v/>
      </c>
      <c r="H515" s="16">
        <f>TRIM(RIGHT(B515,LEN(B515)-FIND(" ",B515,1)))</f>
        <v/>
      </c>
      <c r="I515" s="16">
        <f>_xlfn.XLOOKUP(Table2[[#This Row],[Type]],Table5[Type],Table5[Type2])</f>
        <v/>
      </c>
      <c r="J515" s="16">
        <f>_xlfn.XLOOKUP(Table2[[#This Row],[Sym]],Zones!$A$2:$A$21,Zones!$B$2:$B$21)</f>
        <v/>
      </c>
      <c r="K515" s="21" t="n"/>
    </row>
    <row r="516">
      <c r="A516" s="24" t="n">
        <v>1900</v>
      </c>
      <c r="B516" s="10" t="inlineStr">
        <is>
          <t>T220 Sơn Động</t>
        </is>
      </c>
      <c r="C516" s="10" t="inlineStr">
        <is>
          <t>TBA 220kV Sơn Động</t>
        </is>
      </c>
      <c r="D516" s="3" t="inlineStr">
        <is>
          <t>B27</t>
        </is>
      </c>
      <c r="E516" s="9" t="inlineStr">
        <is>
          <t>E7.20</t>
        </is>
      </c>
      <c r="F516" s="15">
        <f>IF(E516&lt;&gt;"","Đã VH","Quy hoạch điện VIII")</f>
        <v/>
      </c>
      <c r="G516" s="16">
        <f>LEFT(B516,FIND(" ",B516,1)-1)</f>
        <v/>
      </c>
      <c r="H516" s="16">
        <f>TRIM(RIGHT(B516,LEN(B516)-FIND(" ",B516,1)))</f>
        <v/>
      </c>
      <c r="I516" s="16">
        <f>_xlfn.XLOOKUP(Table2[[#This Row],[Type]],Table5[Type],Table5[Type2])</f>
        <v/>
      </c>
      <c r="J516" s="16">
        <f>_xlfn.XLOOKUP(Table2[[#This Row],[Sym]],Zones!$A$2:$A$21,Zones!$B$2:$B$21)</f>
        <v/>
      </c>
      <c r="K516" s="21" t="n"/>
    </row>
    <row r="517">
      <c r="A517" s="24" t="n">
        <v>1901</v>
      </c>
      <c r="B517" s="10" t="inlineStr">
        <is>
          <t>T110 Việt Hàn</t>
        </is>
      </c>
      <c r="C517" s="10" t="inlineStr">
        <is>
          <t>TBA 110kV Việt Hàn</t>
        </is>
      </c>
      <c r="D517" s="3" t="inlineStr">
        <is>
          <t>B27</t>
        </is>
      </c>
      <c r="E517" s="9" t="inlineStr">
        <is>
          <t>E7.28</t>
        </is>
      </c>
      <c r="F517" s="15">
        <f>IF(E517&lt;&gt;"","Đã VH","Quy hoạch điện VIII")</f>
        <v/>
      </c>
      <c r="G517" s="16">
        <f>LEFT(B517,FIND(" ",B517,1)-1)</f>
        <v/>
      </c>
      <c r="H517" s="16">
        <f>TRIM(RIGHT(B517,LEN(B517)-FIND(" ",B517,1)))</f>
        <v/>
      </c>
      <c r="I517" s="16">
        <f>_xlfn.XLOOKUP(Table2[[#This Row],[Type]],Table5[Type],Table5[Type2])</f>
        <v/>
      </c>
      <c r="J517" s="16">
        <f>_xlfn.XLOOKUP(Table2[[#This Row],[Sym]],Zones!$A$2:$A$21,Zones!$B$2:$B$21)</f>
        <v/>
      </c>
      <c r="K517" s="21" t="n"/>
    </row>
    <row r="518">
      <c r="A518" s="24" t="n">
        <v>1902</v>
      </c>
      <c r="B518" s="10" t="inlineStr">
        <is>
          <t>T220 Yên Dũng</t>
        </is>
      </c>
      <c r="C518" s="10" t="inlineStr">
        <is>
          <t>TBA 220kV Yên Dũng</t>
        </is>
      </c>
      <c r="D518" s="3" t="inlineStr">
        <is>
          <t>B27</t>
        </is>
      </c>
      <c r="E518" s="9" t="n"/>
      <c r="F518" s="15">
        <f>IF(E518&lt;&gt;"","Đã VH","Quy hoạch điện VIII")</f>
        <v/>
      </c>
      <c r="G518" s="16">
        <f>LEFT(B518,FIND(" ",B518,1)-1)</f>
        <v/>
      </c>
      <c r="H518" s="16">
        <f>TRIM(RIGHT(B518,LEN(B518)-FIND(" ",B518,1)))</f>
        <v/>
      </c>
      <c r="I518" s="16">
        <f>_xlfn.XLOOKUP(Table2[[#This Row],[Type]],Table5[Type],Table5[Type2])</f>
        <v/>
      </c>
      <c r="J518" s="16">
        <f>_xlfn.XLOOKUP(Table2[[#This Row],[Sym]],Zones!$A$2:$A$21,Zones!$B$2:$B$21)</f>
        <v/>
      </c>
      <c r="K518" s="21" t="n"/>
    </row>
    <row r="519">
      <c r="A519" s="24" t="n">
        <v>1903</v>
      </c>
      <c r="B519" s="10" t="inlineStr">
        <is>
          <t>T220 Hiệp Hòa 2</t>
        </is>
      </c>
      <c r="C519" s="10" t="inlineStr">
        <is>
          <t>TBA 220kV Hiệp Hòa 2</t>
        </is>
      </c>
      <c r="D519" s="3" t="inlineStr">
        <is>
          <t>B27</t>
        </is>
      </c>
      <c r="E519" s="9" t="n"/>
      <c r="F519" s="15">
        <f>IF(E519&lt;&gt;"","Đã VH","Quy hoạch điện VIII")</f>
        <v/>
      </c>
      <c r="G519" s="16">
        <f>LEFT(B519,FIND(" ",B519,1)-1)</f>
        <v/>
      </c>
      <c r="H519" s="16">
        <f>TRIM(RIGHT(B519,LEN(B519)-FIND(" ",B519,1)))</f>
        <v/>
      </c>
      <c r="I519" s="16">
        <f>_xlfn.XLOOKUP(Table2[[#This Row],[Type]],Table5[Type],Table5[Type2])</f>
        <v/>
      </c>
      <c r="J519" s="16">
        <f>_xlfn.XLOOKUP(Table2[[#This Row],[Sym]],Zones!$A$2:$A$21,Zones!$B$2:$B$21)</f>
        <v/>
      </c>
      <c r="K519" s="21" t="n"/>
    </row>
    <row r="520">
      <c r="A520" s="24" t="n">
        <v>1904</v>
      </c>
      <c r="B520" s="10" t="inlineStr">
        <is>
          <t>T220 Việt Yên</t>
        </is>
      </c>
      <c r="C520" s="10" t="inlineStr">
        <is>
          <t>TBA 220kV Việt Yên</t>
        </is>
      </c>
      <c r="D520" s="3" t="inlineStr">
        <is>
          <t>B27</t>
        </is>
      </c>
      <c r="E520" s="9" t="n"/>
      <c r="F520" s="15">
        <f>IF(E520&lt;&gt;"","Đã VH","Quy hoạch điện VIII")</f>
        <v/>
      </c>
      <c r="G520" s="16">
        <f>LEFT(B520,FIND(" ",B520,1)-1)</f>
        <v/>
      </c>
      <c r="H520" s="16">
        <f>TRIM(RIGHT(B520,LEN(B520)-FIND(" ",B520,1)))</f>
        <v/>
      </c>
      <c r="I520" s="16">
        <f>_xlfn.XLOOKUP(Table2[[#This Row],[Type]],Table5[Type],Table5[Type2])</f>
        <v/>
      </c>
      <c r="J520" s="16">
        <f>_xlfn.XLOOKUP(Table2[[#This Row],[Sym]],Zones!$A$2:$A$21,Zones!$B$2:$B$21)</f>
        <v/>
      </c>
      <c r="K520" s="21" t="n"/>
    </row>
    <row r="521">
      <c r="A521" s="24" t="n">
        <v>1905</v>
      </c>
      <c r="B521" s="10" t="inlineStr">
        <is>
          <t>T220 Tân Yên</t>
        </is>
      </c>
      <c r="C521" s="10" t="inlineStr">
        <is>
          <t>TBA 220kV Tân Yên</t>
        </is>
      </c>
      <c r="D521" s="3" t="inlineStr">
        <is>
          <t>B27</t>
        </is>
      </c>
      <c r="E521" s="9" t="n"/>
      <c r="F521" s="15">
        <f>IF(E521&lt;&gt;"","Đã VH","Quy hoạch điện VIII")</f>
        <v/>
      </c>
      <c r="G521" s="16">
        <f>LEFT(B521,FIND(" ",B521,1)-1)</f>
        <v/>
      </c>
      <c r="H521" s="16">
        <f>TRIM(RIGHT(B521,LEN(B521)-FIND(" ",B521,1)))</f>
        <v/>
      </c>
      <c r="I521" s="16">
        <f>_xlfn.XLOOKUP(Table2[[#This Row],[Type]],Table5[Type],Table5[Type2])</f>
        <v/>
      </c>
      <c r="J521" s="16">
        <f>_xlfn.XLOOKUP(Table2[[#This Row],[Sym]],Zones!$A$2:$A$21,Zones!$B$2:$B$21)</f>
        <v/>
      </c>
      <c r="K521" s="21" t="n"/>
    </row>
    <row r="522">
      <c r="A522" s="24" t="n">
        <v>1906</v>
      </c>
      <c r="B522" s="10" t="inlineStr">
        <is>
          <t>T110 Sơn Động</t>
        </is>
      </c>
      <c r="C522" s="10" t="inlineStr">
        <is>
          <t>TBA 110kV Sơn Động</t>
        </is>
      </c>
      <c r="D522" s="3" t="inlineStr">
        <is>
          <t>B27</t>
        </is>
      </c>
      <c r="E522" s="9" t="inlineStr">
        <is>
          <t>E7.27</t>
        </is>
      </c>
      <c r="F522" s="15">
        <f>IF(E522&lt;&gt;"","Đã VH","Quy hoạch điện VIII")</f>
        <v/>
      </c>
      <c r="G522" s="16">
        <f>LEFT(B522,FIND(" ",B522,1)-1)</f>
        <v/>
      </c>
      <c r="H522" s="16">
        <f>TRIM(RIGHT(B522,LEN(B522)-FIND(" ",B522,1)))</f>
        <v/>
      </c>
      <c r="I522" s="16">
        <f>_xlfn.XLOOKUP(Table2[[#This Row],[Type]],Table5[Type],Table5[Type2])</f>
        <v/>
      </c>
      <c r="J522" s="16">
        <f>_xlfn.XLOOKUP(Table2[[#This Row],[Sym]],Zones!$A$2:$A$21,Zones!$B$2:$B$21)</f>
        <v/>
      </c>
      <c r="K522" s="21" t="n"/>
    </row>
    <row r="523">
      <c r="A523" s="24" t="n">
        <v>1907</v>
      </c>
      <c r="B523" s="10" t="inlineStr">
        <is>
          <t>T110 Vân Trung 2</t>
        </is>
      </c>
      <c r="C523" s="10" t="inlineStr">
        <is>
          <t>TBA 110kV Vân Trung 2</t>
        </is>
      </c>
      <c r="D523" s="3" t="inlineStr">
        <is>
          <t>B27</t>
        </is>
      </c>
      <c r="E523" s="9" t="inlineStr">
        <is>
          <t>E7.29</t>
        </is>
      </c>
      <c r="F523" s="15">
        <f>IF(E523&lt;&gt;"","Đã VH","Quy hoạch điện VIII")</f>
        <v/>
      </c>
      <c r="G523" s="16">
        <f>LEFT(B523,FIND(" ",B523,1)-1)</f>
        <v/>
      </c>
      <c r="H523" s="16">
        <f>TRIM(RIGHT(B523,LEN(B523)-FIND(" ",B523,1)))</f>
        <v/>
      </c>
      <c r="I523" s="16">
        <f>_xlfn.XLOOKUP(Table2[[#This Row],[Type]],Table5[Type],Table5[Type2])</f>
        <v/>
      </c>
      <c r="J523" s="16">
        <f>_xlfn.XLOOKUP(Table2[[#This Row],[Sym]],Zones!$A$2:$A$21,Zones!$B$2:$B$21)</f>
        <v/>
      </c>
      <c r="K523" s="21" t="n"/>
    </row>
    <row r="524">
      <c r="A524" s="24" t="n">
        <v>1908</v>
      </c>
      <c r="B524" s="10" t="inlineStr">
        <is>
          <t>T110 Quang Châu 4</t>
        </is>
      </c>
      <c r="C524" s="10" t="inlineStr">
        <is>
          <t>TBA 110kV Quang Châu 4</t>
        </is>
      </c>
      <c r="D524" s="3" t="inlineStr">
        <is>
          <t>B27</t>
        </is>
      </c>
      <c r="E524" s="9" t="n"/>
      <c r="F524" s="15">
        <f>IF(E524&lt;&gt;"","Đã VH","Quy hoạch điện VIII")</f>
        <v/>
      </c>
      <c r="G524" s="16">
        <f>LEFT(B524,FIND(" ",B524,1)-1)</f>
        <v/>
      </c>
      <c r="H524" s="16">
        <f>TRIM(RIGHT(B524,LEN(B524)-FIND(" ",B524,1)))</f>
        <v/>
      </c>
      <c r="I524" s="16">
        <f>_xlfn.XLOOKUP(Table2[[#This Row],[Type]],Table5[Type],Table5[Type2])</f>
        <v/>
      </c>
      <c r="J524" s="16">
        <f>_xlfn.XLOOKUP(Table2[[#This Row],[Sym]],Zones!$A$2:$A$21,Zones!$B$2:$B$21)</f>
        <v/>
      </c>
      <c r="K524" s="21" t="n"/>
    </row>
    <row r="525">
      <c r="A525" s="24" t="n">
        <v>1909</v>
      </c>
      <c r="B525" s="10" t="inlineStr">
        <is>
          <t>T110 Thanh Vân</t>
        </is>
      </c>
      <c r="C525" s="10" t="inlineStr">
        <is>
          <t>TBA 110kV Thanh Vân</t>
        </is>
      </c>
      <c r="D525" s="3" t="inlineStr">
        <is>
          <t>B27</t>
        </is>
      </c>
      <c r="E525" s="9" t="n"/>
      <c r="F525" s="15">
        <f>IF(E525&lt;&gt;"","Đã VH","Quy hoạch điện VIII")</f>
        <v/>
      </c>
      <c r="G525" s="16">
        <f>LEFT(B525,FIND(" ",B525,1)-1)</f>
        <v/>
      </c>
      <c r="H525" s="16">
        <f>TRIM(RIGHT(B525,LEN(B525)-FIND(" ",B525,1)))</f>
        <v/>
      </c>
      <c r="I525" s="16">
        <f>_xlfn.XLOOKUP(Table2[[#This Row],[Type]],Table5[Type],Table5[Type2])</f>
        <v/>
      </c>
      <c r="J525" s="16">
        <f>_xlfn.XLOOKUP(Table2[[#This Row],[Sym]],Zones!$A$2:$A$21,Zones!$B$2:$B$21)</f>
        <v/>
      </c>
      <c r="K525" s="21" t="n"/>
    </row>
    <row r="526">
      <c r="A526" s="24" t="n">
        <v>1910</v>
      </c>
      <c r="B526" s="10" t="inlineStr">
        <is>
          <t>T110 Đồng Phúc</t>
        </is>
      </c>
      <c r="C526" s="10" t="inlineStr">
        <is>
          <t>TBA 110kV Đồng Phúc</t>
        </is>
      </c>
      <c r="D526" s="3" t="inlineStr">
        <is>
          <t>B27</t>
        </is>
      </c>
      <c r="E526" s="9" t="n"/>
      <c r="F526" s="15">
        <f>IF(E526&lt;&gt;"","Đã VH","Quy hoạch điện VIII")</f>
        <v/>
      </c>
      <c r="G526" s="16">
        <f>LEFT(B526,FIND(" ",B526,1)-1)</f>
        <v/>
      </c>
      <c r="H526" s="16">
        <f>TRIM(RIGHT(B526,LEN(B526)-FIND(" ",B526,1)))</f>
        <v/>
      </c>
      <c r="I526" s="16">
        <f>_xlfn.XLOOKUP(Table2[[#This Row],[Type]],Table5[Type],Table5[Type2])</f>
        <v/>
      </c>
      <c r="J526" s="16">
        <f>_xlfn.XLOOKUP(Table2[[#This Row],[Sym]],Zones!$A$2:$A$21,Zones!$B$2:$B$21)</f>
        <v/>
      </c>
      <c r="K526" s="21" t="n"/>
    </row>
    <row r="527">
      <c r="A527" s="24" t="n">
        <v>1911</v>
      </c>
      <c r="B527" s="10" t="inlineStr">
        <is>
          <t>T110 Hòa Yên</t>
        </is>
      </c>
      <c r="C527" s="10" t="inlineStr">
        <is>
          <t>TBA 110kV Hòa Yên</t>
        </is>
      </c>
      <c r="D527" s="3" t="inlineStr">
        <is>
          <t>B27</t>
        </is>
      </c>
      <c r="E527" s="9" t="n"/>
      <c r="F527" s="15">
        <f>IF(E527&lt;&gt;"","Đã VH","Quy hoạch điện VIII")</f>
        <v/>
      </c>
      <c r="G527" s="16">
        <f>LEFT(B527,FIND(" ",B527,1)-1)</f>
        <v/>
      </c>
      <c r="H527" s="16">
        <f>TRIM(RIGHT(B527,LEN(B527)-FIND(" ",B527,1)))</f>
        <v/>
      </c>
      <c r="I527" s="16">
        <f>_xlfn.XLOOKUP(Table2[[#This Row],[Type]],Table5[Type],Table5[Type2])</f>
        <v/>
      </c>
      <c r="J527" s="16">
        <f>_xlfn.XLOOKUP(Table2[[#This Row],[Sym]],Zones!$A$2:$A$21,Zones!$B$2:$B$21)</f>
        <v/>
      </c>
      <c r="K527" s="21" t="n"/>
    </row>
    <row r="528">
      <c r="A528" s="24" t="n">
        <v>1912</v>
      </c>
      <c r="B528" s="10" t="inlineStr">
        <is>
          <t>NĐ Lục Nam</t>
        </is>
      </c>
      <c r="C528" s="10" t="inlineStr">
        <is>
          <t xml:space="preserve"> Lục Nam</t>
        </is>
      </c>
      <c r="D528" s="3" t="inlineStr">
        <is>
          <t>B27</t>
        </is>
      </c>
      <c r="E528" s="9" t="n"/>
      <c r="F528" s="15">
        <f>IF(E528&lt;&gt;"","Đã VH","Quy hoạch điện VIII")</f>
        <v/>
      </c>
      <c r="G528" s="16">
        <f>LEFT(B528,FIND(" ",B528,1)-1)</f>
        <v/>
      </c>
      <c r="H528" s="16">
        <f>TRIM(RIGHT(B528,LEN(B528)-FIND(" ",B528,1)))</f>
        <v/>
      </c>
      <c r="I528" s="16">
        <f>_xlfn.XLOOKUP(Table2[[#This Row],[Type]],Table5[Type],Table5[Type2])</f>
        <v/>
      </c>
      <c r="J528" s="16">
        <f>_xlfn.XLOOKUP(Table2[[#This Row],[Sym]],Zones!$A$2:$A$21,Zones!$B$2:$B$21)</f>
        <v/>
      </c>
      <c r="K528" s="21" t="n"/>
    </row>
    <row r="529">
      <c r="A529" s="24" t="n">
        <v>1913</v>
      </c>
      <c r="B529" s="10" t="inlineStr">
        <is>
          <t>T110 Thượng Lan</t>
        </is>
      </c>
      <c r="C529" s="10" t="inlineStr">
        <is>
          <t>TBA 110kV Thượng Lan</t>
        </is>
      </c>
      <c r="D529" s="3" t="inlineStr">
        <is>
          <t>B27</t>
        </is>
      </c>
      <c r="E529" s="9" t="n"/>
      <c r="F529" s="15">
        <f>IF(E529&lt;&gt;"","Đã VH","Quy hoạch điện VIII")</f>
        <v/>
      </c>
      <c r="G529" s="16">
        <f>LEFT(B529,FIND(" ",B529,1)-1)</f>
        <v/>
      </c>
      <c r="H529" s="16">
        <f>TRIM(RIGHT(B529,LEN(B529)-FIND(" ",B529,1)))</f>
        <v/>
      </c>
      <c r="I529" s="16">
        <f>_xlfn.XLOOKUP(Table2[[#This Row],[Type]],Table5[Type],Table5[Type2])</f>
        <v/>
      </c>
      <c r="J529" s="16">
        <f>_xlfn.XLOOKUP(Table2[[#This Row],[Sym]],Zones!$A$2:$A$21,Zones!$B$2:$B$21)</f>
        <v/>
      </c>
      <c r="K529" s="21" t="n"/>
    </row>
    <row r="530">
      <c r="A530" s="24" t="n">
        <v>1914</v>
      </c>
      <c r="B530" s="10" t="inlineStr">
        <is>
          <t>T110 Châu Bắc Hương</t>
        </is>
      </c>
      <c r="C530" s="10" t="inlineStr">
        <is>
          <t>TBA 110kV Châu Bắc Hương</t>
        </is>
      </c>
      <c r="D530" s="3" t="inlineStr">
        <is>
          <t>B27</t>
        </is>
      </c>
      <c r="E530" s="9" t="n"/>
      <c r="F530" s="15">
        <f>IF(E530&lt;&gt;"","Đã VH","Quy hoạch điện VIII")</f>
        <v/>
      </c>
      <c r="G530" s="16">
        <f>LEFT(B530,FIND(" ",B530,1)-1)</f>
        <v/>
      </c>
      <c r="H530" s="16">
        <f>TRIM(RIGHT(B530,LEN(B530)-FIND(" ",B530,1)))</f>
        <v/>
      </c>
      <c r="I530" s="16">
        <f>_xlfn.XLOOKUP(Table2[[#This Row],[Type]],Table5[Type],Table5[Type2])</f>
        <v/>
      </c>
      <c r="J530" s="16">
        <f>_xlfn.XLOOKUP(Table2[[#This Row],[Sym]],Zones!$A$2:$A$21,Zones!$B$2:$B$21)</f>
        <v/>
      </c>
      <c r="K530" s="21" t="n"/>
    </row>
    <row r="531">
      <c r="A531" s="24" t="n">
        <v>1915</v>
      </c>
      <c r="B531" s="10" t="inlineStr">
        <is>
          <t>T110 Xuân Hương</t>
        </is>
      </c>
      <c r="C531" s="10" t="inlineStr">
        <is>
          <t>TBA 110kV Xuân Hương</t>
        </is>
      </c>
      <c r="D531" s="3" t="inlineStr">
        <is>
          <t>B27</t>
        </is>
      </c>
      <c r="E531" s="9" t="n"/>
      <c r="F531" s="15">
        <f>IF(E531&lt;&gt;"","Đã VH","Quy hoạch điện VIII")</f>
        <v/>
      </c>
      <c r="G531" s="16">
        <f>LEFT(B531,FIND(" ",B531,1)-1)</f>
        <v/>
      </c>
      <c r="H531" s="16">
        <f>TRIM(RIGHT(B531,LEN(B531)-FIND(" ",B531,1)))</f>
        <v/>
      </c>
      <c r="I531" s="16">
        <f>_xlfn.XLOOKUP(Table2[[#This Row],[Type]],Table5[Type],Table5[Type2])</f>
        <v/>
      </c>
      <c r="J531" s="16">
        <f>_xlfn.XLOOKUP(Table2[[#This Row],[Sym]],Zones!$A$2:$A$21,Zones!$B$2:$B$21)</f>
        <v/>
      </c>
      <c r="K531" s="21" t="n"/>
    </row>
    <row r="532">
      <c r="A532" s="24" t="n">
        <v>1916</v>
      </c>
      <c r="B532" s="10" t="inlineStr">
        <is>
          <t>T110 Song Mai</t>
        </is>
      </c>
      <c r="C532" s="10" t="inlineStr">
        <is>
          <t>TBA 110kV Song Mai</t>
        </is>
      </c>
      <c r="D532" s="3" t="inlineStr">
        <is>
          <t>B27</t>
        </is>
      </c>
      <c r="E532" s="9" t="n"/>
      <c r="F532" s="15">
        <f>IF(E532&lt;&gt;"","Đã VH","Quy hoạch điện VIII")</f>
        <v/>
      </c>
      <c r="G532" s="16">
        <f>LEFT(B532,FIND(" ",B532,1)-1)</f>
        <v/>
      </c>
      <c r="H532" s="16">
        <f>TRIM(RIGHT(B532,LEN(B532)-FIND(" ",B532,1)))</f>
        <v/>
      </c>
      <c r="I532" s="16">
        <f>_xlfn.XLOOKUP(Table2[[#This Row],[Type]],Table5[Type],Table5[Type2])</f>
        <v/>
      </c>
      <c r="J532" s="16">
        <f>_xlfn.XLOOKUP(Table2[[#This Row],[Sym]],Zones!$A$2:$A$21,Zones!$B$2:$B$21)</f>
        <v/>
      </c>
      <c r="K532" s="21" t="n"/>
    </row>
    <row r="533">
      <c r="A533" s="24" t="n">
        <v>1917</v>
      </c>
      <c r="B533" s="10" t="inlineStr">
        <is>
          <t>T110 Tiên Ninh</t>
        </is>
      </c>
      <c r="C533" s="10" t="inlineStr">
        <is>
          <t>TBA 110kV Tiên Ninh</t>
        </is>
      </c>
      <c r="D533" s="3" t="inlineStr">
        <is>
          <t>B27</t>
        </is>
      </c>
      <c r="E533" s="9" t="n"/>
      <c r="F533" s="15">
        <f>IF(E533&lt;&gt;"","Đã VH","Quy hoạch điện VIII")</f>
        <v/>
      </c>
      <c r="G533" s="16">
        <f>LEFT(B533,FIND(" ",B533,1)-1)</f>
        <v/>
      </c>
      <c r="H533" s="16">
        <f>TRIM(RIGHT(B533,LEN(B533)-FIND(" ",B533,1)))</f>
        <v/>
      </c>
      <c r="I533" s="16">
        <f>_xlfn.XLOOKUP(Table2[[#This Row],[Type]],Table5[Type],Table5[Type2])</f>
        <v/>
      </c>
      <c r="J533" s="16">
        <f>_xlfn.XLOOKUP(Table2[[#This Row],[Sym]],Zones!$A$2:$A$21,Zones!$B$2:$B$21)</f>
        <v/>
      </c>
      <c r="K533" s="21" t="n"/>
    </row>
    <row r="534">
      <c r="A534" s="24" t="n">
        <v>1918</v>
      </c>
      <c r="B534" s="10" t="inlineStr">
        <is>
          <t>T110 Hòa Phú</t>
        </is>
      </c>
      <c r="C534" s="10" t="inlineStr">
        <is>
          <t>TBA 110kV Hòa Phú</t>
        </is>
      </c>
      <c r="D534" s="3" t="inlineStr">
        <is>
          <t>B27</t>
        </is>
      </c>
      <c r="E534" s="9" t="n"/>
      <c r="F534" s="15">
        <f>IF(E534&lt;&gt;"","Đã VH","Quy hoạch điện VIII")</f>
        <v/>
      </c>
      <c r="G534" s="16">
        <f>LEFT(B534,FIND(" ",B534,1)-1)</f>
        <v/>
      </c>
      <c r="H534" s="16">
        <f>TRIM(RIGHT(B534,LEN(B534)-FIND(" ",B534,1)))</f>
        <v/>
      </c>
      <c r="I534" s="16">
        <f>_xlfn.XLOOKUP(Table2[[#This Row],[Type]],Table5[Type],Table5[Type2])</f>
        <v/>
      </c>
      <c r="J534" s="16">
        <f>_xlfn.XLOOKUP(Table2[[#This Row],[Sym]],Zones!$A$2:$A$21,Zones!$B$2:$B$21)</f>
        <v/>
      </c>
      <c r="K534" s="21" t="n"/>
    </row>
    <row r="535">
      <c r="A535" s="24" t="n">
        <v>1919</v>
      </c>
      <c r="B535" s="10" t="inlineStr">
        <is>
          <t>T110 NC Hiệp Hòa 2</t>
        </is>
      </c>
      <c r="C535" s="10" t="inlineStr">
        <is>
          <t>TBA 110kV NC Hiệp Hòa 2</t>
        </is>
      </c>
      <c r="D535" s="3" t="inlineStr">
        <is>
          <t>B27</t>
        </is>
      </c>
      <c r="E535" s="9" t="n"/>
      <c r="F535" s="15">
        <f>IF(E535&lt;&gt;"","Đã VH","Quy hoạch điện VIII")</f>
        <v/>
      </c>
      <c r="G535" s="16">
        <f>LEFT(B535,FIND(" ",B535,1)-1)</f>
        <v/>
      </c>
      <c r="H535" s="16">
        <f>TRIM(RIGHT(B535,LEN(B535)-FIND(" ",B535,1)))</f>
        <v/>
      </c>
      <c r="I535" s="16">
        <f>_xlfn.XLOOKUP(Table2[[#This Row],[Type]],Table5[Type],Table5[Type2])</f>
        <v/>
      </c>
      <c r="J535" s="16">
        <f>_xlfn.XLOOKUP(Table2[[#This Row],[Sym]],Zones!$A$2:$A$21,Zones!$B$2:$B$21)</f>
        <v/>
      </c>
      <c r="K535" s="21" t="n"/>
    </row>
    <row r="536">
      <c r="A536" s="24" t="n">
        <v>1920</v>
      </c>
      <c r="B536" s="10" t="inlineStr">
        <is>
          <t>T500 Bắc Giang</t>
        </is>
      </c>
      <c r="C536" s="10" t="inlineStr">
        <is>
          <t>TBA 500kV Bắc Giang</t>
        </is>
      </c>
      <c r="D536" s="3" t="inlineStr">
        <is>
          <t>B27</t>
        </is>
      </c>
      <c r="E536" s="9" t="n"/>
      <c r="F536" s="15">
        <f>IF(E536&lt;&gt;"","Đã VH","Quy hoạch điện VIII")</f>
        <v/>
      </c>
      <c r="G536" s="16">
        <f>LEFT(B536,FIND(" ",B536,1)-1)</f>
        <v/>
      </c>
      <c r="H536" s="16">
        <f>TRIM(RIGHT(B536,LEN(B536)-FIND(" ",B536,1)))</f>
        <v/>
      </c>
      <c r="I536" s="16">
        <f>_xlfn.XLOOKUP(Table2[[#This Row],[Type]],Table5[Type],Table5[Type2])</f>
        <v/>
      </c>
      <c r="J536" s="16">
        <f>_xlfn.XLOOKUP(Table2[[#This Row],[Sym]],Zones!$A$2:$A$21,Zones!$B$2:$B$21)</f>
        <v/>
      </c>
      <c r="K536" s="21" t="n"/>
    </row>
    <row r="537">
      <c r="A537" s="24" t="n">
        <v>1921</v>
      </c>
      <c r="B537" s="10" t="inlineStr">
        <is>
          <t>T220 Quang Châu</t>
        </is>
      </c>
      <c r="C537" s="10" t="inlineStr">
        <is>
          <t>TBA 220kV Quang Châu</t>
        </is>
      </c>
      <c r="D537" s="3" t="inlineStr">
        <is>
          <t>B27</t>
        </is>
      </c>
      <c r="E537" s="9" t="inlineStr">
        <is>
          <t>E7.15</t>
        </is>
      </c>
      <c r="F537" s="15">
        <f>IF(E537&lt;&gt;"","Đã VH","Quy hoạch điện VIII")</f>
        <v/>
      </c>
      <c r="G537" s="16">
        <f>LEFT(B537,FIND(" ",B537,1)-1)</f>
        <v/>
      </c>
      <c r="H537" s="16">
        <f>TRIM(RIGHT(B537,LEN(B537)-FIND(" ",B537,1)))</f>
        <v/>
      </c>
      <c r="I537" s="16">
        <f>_xlfn.XLOOKUP(Table2[[#This Row],[Type]],Table5[Type],Table5[Type2])</f>
        <v/>
      </c>
      <c r="J537" s="16">
        <f>_xlfn.XLOOKUP(Table2[[#This Row],[Sym]],Zones!$A$2:$A$21,Zones!$B$2:$B$21)</f>
        <v/>
      </c>
      <c r="K537" s="21" t="n"/>
    </row>
    <row r="538">
      <c r="A538" s="24" t="n">
        <v>1922</v>
      </c>
      <c r="B538" s="10" t="inlineStr">
        <is>
          <t>T220 Lạng Giang</t>
        </is>
      </c>
      <c r="C538" s="10" t="inlineStr">
        <is>
          <t>TBA 220kV Lạng Giang</t>
        </is>
      </c>
      <c r="D538" s="3" t="inlineStr">
        <is>
          <t>B27</t>
        </is>
      </c>
      <c r="E538" s="9" t="n"/>
      <c r="F538" s="15">
        <f>IF(E538&lt;&gt;"","Đã VH","Quy hoạch điện VIII")</f>
        <v/>
      </c>
      <c r="G538" s="16">
        <f>LEFT(B538,FIND(" ",B538,1)-1)</f>
        <v/>
      </c>
      <c r="H538" s="16">
        <f>TRIM(RIGHT(B538,LEN(B538)-FIND(" ",B538,1)))</f>
        <v/>
      </c>
      <c r="I538" s="16">
        <f>_xlfn.XLOOKUP(Table2[[#This Row],[Type]],Table5[Type],Table5[Type2])</f>
        <v/>
      </c>
      <c r="J538" s="16">
        <f>_xlfn.XLOOKUP(Table2[[#This Row],[Sym]],Zones!$A$2:$A$21,Zones!$B$2:$B$21)</f>
        <v/>
      </c>
      <c r="K538" s="21" t="n"/>
    </row>
    <row r="539">
      <c r="A539" s="24" t="n">
        <v>1923</v>
      </c>
      <c r="B539" s="10" t="inlineStr">
        <is>
          <t>T220 Chũ</t>
        </is>
      </c>
      <c r="C539" s="10" t="inlineStr">
        <is>
          <t>TBA 220kV Chũ</t>
        </is>
      </c>
      <c r="D539" s="3" t="inlineStr">
        <is>
          <t>B27</t>
        </is>
      </c>
      <c r="E539" s="9" t="n"/>
      <c r="F539" s="15">
        <f>IF(E539&lt;&gt;"","Đã VH","Quy hoạch điện VIII")</f>
        <v/>
      </c>
      <c r="G539" s="16">
        <f>LEFT(B539,FIND(" ",B539,1)-1)</f>
        <v/>
      </c>
      <c r="H539" s="16">
        <f>TRIM(RIGHT(B539,LEN(B539)-FIND(" ",B539,1)))</f>
        <v/>
      </c>
      <c r="I539" s="16">
        <f>_xlfn.XLOOKUP(Table2[[#This Row],[Type]],Table5[Type],Table5[Type2])</f>
        <v/>
      </c>
      <c r="J539" s="16">
        <f>_xlfn.XLOOKUP(Table2[[#This Row],[Sym]],Zones!$A$2:$A$21,Zones!$B$2:$B$21)</f>
        <v/>
      </c>
      <c r="K539" s="21" t="n"/>
    </row>
    <row r="540">
      <c r="A540" s="24" t="n">
        <v>1924</v>
      </c>
      <c r="B540" s="10" t="inlineStr">
        <is>
          <t>T110 Việt Hàn 2</t>
        </is>
      </c>
      <c r="C540" s="10" t="inlineStr">
        <is>
          <t>TBA 110kV Việt Hàn 2</t>
        </is>
      </c>
      <c r="D540" s="3" t="inlineStr">
        <is>
          <t>B27</t>
        </is>
      </c>
      <c r="E540" s="9" t="n"/>
      <c r="F540" s="15">
        <f>IF(E540&lt;&gt;"","Đã VH","Quy hoạch điện VIII")</f>
        <v/>
      </c>
      <c r="G540" s="16">
        <f>LEFT(B540,FIND(" ",B540,1)-1)</f>
        <v/>
      </c>
      <c r="H540" s="16">
        <f>TRIM(RIGHT(B540,LEN(B540)-FIND(" ",B540,1)))</f>
        <v/>
      </c>
      <c r="I540" s="16">
        <f>_xlfn.XLOOKUP(Table2[[#This Row],[Type]],Table5[Type],Table5[Type2])</f>
        <v/>
      </c>
      <c r="J540" s="16">
        <f>_xlfn.XLOOKUP(Table2[[#This Row],[Sym]],Zones!$A$2:$A$21,Zones!$B$2:$B$21)</f>
        <v/>
      </c>
      <c r="K540" s="21" t="n"/>
    </row>
    <row r="541">
      <c r="A541" s="24" t="n">
        <v>1925</v>
      </c>
      <c r="B541" s="10" t="inlineStr">
        <is>
          <t>T110 Đức Giang</t>
        </is>
      </c>
      <c r="C541" s="10" t="inlineStr">
        <is>
          <t>TBA 110kV Đức Giang</t>
        </is>
      </c>
      <c r="D541" s="3" t="inlineStr">
        <is>
          <t>B27</t>
        </is>
      </c>
      <c r="E541" s="9" t="n"/>
      <c r="F541" s="15">
        <f>IF(E541&lt;&gt;"","Đã VH","Quy hoạch điện VIII")</f>
        <v/>
      </c>
      <c r="G541" s="16">
        <f>LEFT(B541,FIND(" ",B541,1)-1)</f>
        <v/>
      </c>
      <c r="H541" s="16">
        <f>TRIM(RIGHT(B541,LEN(B541)-FIND(" ",B541,1)))</f>
        <v/>
      </c>
      <c r="I541" s="16">
        <f>_xlfn.XLOOKUP(Table2[[#This Row],[Type]],Table5[Type],Table5[Type2])</f>
        <v/>
      </c>
      <c r="J541" s="16">
        <f>_xlfn.XLOOKUP(Table2[[#This Row],[Sym]],Zones!$A$2:$A$21,Zones!$B$2:$B$21)</f>
        <v/>
      </c>
      <c r="K541" s="21" t="n"/>
    </row>
    <row r="542">
      <c r="A542" s="24" t="n">
        <v>1926</v>
      </c>
      <c r="B542" s="10" t="inlineStr">
        <is>
          <t>T500 Yên Thế</t>
        </is>
      </c>
      <c r="C542" s="10" t="inlineStr">
        <is>
          <t>TBA 500kV Yên Thế</t>
        </is>
      </c>
      <c r="D542" s="3" t="inlineStr">
        <is>
          <t>B27</t>
        </is>
      </c>
      <c r="E542" s="9" t="n"/>
      <c r="F542" s="15">
        <f>IF(E542&lt;&gt;"","Đã VH","Quy hoạch điện VIII")</f>
        <v/>
      </c>
      <c r="G542" s="16">
        <f>LEFT(B542,FIND(" ",B542,1)-1)</f>
        <v/>
      </c>
      <c r="H542" s="16">
        <f>TRIM(RIGHT(B542,LEN(B542)-FIND(" ",B542,1)))</f>
        <v/>
      </c>
      <c r="I542" s="16">
        <f>_xlfn.XLOOKUP(Table2[[#This Row],[Type]],Table5[Type],Table5[Type2])</f>
        <v/>
      </c>
      <c r="J542" s="16">
        <f>_xlfn.XLOOKUP(Table2[[#This Row],[Sym]],Zones!$A$2:$A$21,Zones!$B$2:$B$21)</f>
        <v/>
      </c>
      <c r="K542" s="21" t="n"/>
    </row>
    <row r="543">
      <c r="A543" s="24" t="n">
        <v>1927</v>
      </c>
      <c r="B543" s="10" t="inlineStr">
        <is>
          <t>T110 Trung Sơn</t>
        </is>
      </c>
      <c r="C543" s="10" t="inlineStr">
        <is>
          <t>TBA 110kV Trung Sơn</t>
        </is>
      </c>
      <c r="D543" s="3" t="inlineStr">
        <is>
          <t>B27</t>
        </is>
      </c>
      <c r="E543" s="9" t="n"/>
      <c r="F543" s="15">
        <f>IF(E543&lt;&gt;"","Đã VH","Quy hoạch điện VIII")</f>
        <v/>
      </c>
      <c r="G543" s="16">
        <f>LEFT(B543,FIND(" ",B543,1)-1)</f>
        <v/>
      </c>
      <c r="H543" s="16">
        <f>TRIM(RIGHT(B543,LEN(B543)-FIND(" ",B543,1)))</f>
        <v/>
      </c>
      <c r="I543" s="16">
        <f>_xlfn.XLOOKUP(Table2[[#This Row],[Type]],Table5[Type],Table5[Type2])</f>
        <v/>
      </c>
      <c r="J543" s="16">
        <f>_xlfn.XLOOKUP(Table2[[#This Row],[Sym]],Zones!$A$2:$A$21,Zones!$B$2:$B$21)</f>
        <v/>
      </c>
      <c r="K543" s="21" t="n"/>
    </row>
    <row r="544">
      <c r="A544" s="24" t="n">
        <v>1928</v>
      </c>
      <c r="B544" s="10" t="inlineStr">
        <is>
          <t>T110 Song Khê 2</t>
        </is>
      </c>
      <c r="C544" s="10" t="inlineStr">
        <is>
          <t>TBA 110kV Song Khê 2</t>
        </is>
      </c>
      <c r="D544" s="3" t="inlineStr">
        <is>
          <t>B27</t>
        </is>
      </c>
      <c r="E544" s="9" t="n"/>
      <c r="F544" s="15">
        <f>IF(E544&lt;&gt;"","Đã VH","Quy hoạch điện VIII")</f>
        <v/>
      </c>
      <c r="G544" s="16">
        <f>LEFT(B544,FIND(" ",B544,1)-1)</f>
        <v/>
      </c>
      <c r="H544" s="16">
        <f>TRIM(RIGHT(B544,LEN(B544)-FIND(" ",B544,1)))</f>
        <v/>
      </c>
      <c r="I544" s="16">
        <f>_xlfn.XLOOKUP(Table2[[#This Row],[Type]],Table5[Type],Table5[Type2])</f>
        <v/>
      </c>
      <c r="J544" s="16">
        <f>_xlfn.XLOOKUP(Table2[[#This Row],[Sym]],Zones!$A$2:$A$21,Zones!$B$2:$B$21)</f>
        <v/>
      </c>
      <c r="K544" s="21" t="n"/>
    </row>
    <row r="545">
      <c r="A545" s="24" t="n">
        <v>1929</v>
      </c>
      <c r="B545" s="10" t="inlineStr">
        <is>
          <t>T110 Hòa Phú 2</t>
        </is>
      </c>
      <c r="C545" s="10" t="inlineStr">
        <is>
          <t>TBA 110kV Hòa Phú 2</t>
        </is>
      </c>
      <c r="D545" s="3" t="inlineStr">
        <is>
          <t>B27</t>
        </is>
      </c>
      <c r="E545" s="9" t="n"/>
      <c r="F545" s="15">
        <f>IF(E545&lt;&gt;"","Đã VH","Quy hoạch điện VIII")</f>
        <v/>
      </c>
      <c r="G545" s="16">
        <f>LEFT(B545,FIND(" ",B545,1)-1)</f>
        <v/>
      </c>
      <c r="H545" s="16">
        <f>TRIM(RIGHT(B545,LEN(B545)-FIND(" ",B545,1)))</f>
        <v/>
      </c>
      <c r="I545" s="16">
        <f>_xlfn.XLOOKUP(Table2[[#This Row],[Type]],Table5[Type],Table5[Type2])</f>
        <v/>
      </c>
      <c r="J545" s="16">
        <f>_xlfn.XLOOKUP(Table2[[#This Row],[Sym]],Zones!$A$2:$A$21,Zones!$B$2:$B$21)</f>
        <v/>
      </c>
      <c r="K545" s="21" t="n"/>
    </row>
    <row r="546">
      <c r="A546" s="24" t="n">
        <v>1930</v>
      </c>
      <c r="B546" s="10" t="inlineStr">
        <is>
          <t>T110 Yên Lư 2</t>
        </is>
      </c>
      <c r="C546" s="10" t="inlineStr">
        <is>
          <t>TBA 110kV Yên Lư 2</t>
        </is>
      </c>
      <c r="D546" s="3" t="inlineStr">
        <is>
          <t>B27</t>
        </is>
      </c>
      <c r="E546" s="9" t="n"/>
      <c r="F546" s="15">
        <f>IF(E546&lt;&gt;"","Đã VH","Quy hoạch điện VIII")</f>
        <v/>
      </c>
      <c r="G546" s="16">
        <f>LEFT(B546,FIND(" ",B546,1)-1)</f>
        <v/>
      </c>
      <c r="H546" s="16">
        <f>TRIM(RIGHT(B546,LEN(B546)-FIND(" ",B546,1)))</f>
        <v/>
      </c>
      <c r="I546" s="16">
        <f>_xlfn.XLOOKUP(Table2[[#This Row],[Type]],Table5[Type],Table5[Type2])</f>
        <v/>
      </c>
      <c r="J546" s="16">
        <f>_xlfn.XLOOKUP(Table2[[#This Row],[Sym]],Zones!$A$2:$A$21,Zones!$B$2:$B$21)</f>
        <v/>
      </c>
      <c r="K546" s="21" t="n"/>
    </row>
    <row r="547">
      <c r="A547" s="24" t="n">
        <v>1931</v>
      </c>
      <c r="B547" s="10" t="inlineStr">
        <is>
          <t>T110 Đa Mai</t>
        </is>
      </c>
      <c r="C547" s="10" t="inlineStr">
        <is>
          <t>TBA 110kV Đa Mai</t>
        </is>
      </c>
      <c r="D547" s="3" t="inlineStr">
        <is>
          <t>B27</t>
        </is>
      </c>
      <c r="E547" s="9" t="n"/>
      <c r="F547" s="15">
        <f>IF(E547&lt;&gt;"","Đã VH","Quy hoạch điện VIII")</f>
        <v/>
      </c>
      <c r="G547" s="16">
        <f>LEFT(B547,FIND(" ",B547,1)-1)</f>
        <v/>
      </c>
      <c r="H547" s="16">
        <f>TRIM(RIGHT(B547,LEN(B547)-FIND(" ",B547,1)))</f>
        <v/>
      </c>
      <c r="I547" s="16">
        <f>_xlfn.XLOOKUP(Table2[[#This Row],[Type]],Table5[Type],Table5[Type2])</f>
        <v/>
      </c>
      <c r="J547" s="16">
        <f>_xlfn.XLOOKUP(Table2[[#This Row],[Sym]],Zones!$A$2:$A$21,Zones!$B$2:$B$21)</f>
        <v/>
      </c>
      <c r="K547" s="21" t="n"/>
    </row>
    <row r="548">
      <c r="A548" s="24" t="n">
        <v>1932</v>
      </c>
      <c r="B548" s="10" t="inlineStr">
        <is>
          <t>T110 Bắc Lũng</t>
        </is>
      </c>
      <c r="C548" s="10" t="inlineStr">
        <is>
          <t>TBA 110kV Bắc Lũng</t>
        </is>
      </c>
      <c r="D548" s="3" t="inlineStr">
        <is>
          <t>B27</t>
        </is>
      </c>
      <c r="E548" s="9" t="inlineStr">
        <is>
          <t>E7.31</t>
        </is>
      </c>
      <c r="F548" s="15">
        <f>IF(E548&lt;&gt;"","Đã VH","Quy hoạch điện VIII")</f>
        <v/>
      </c>
      <c r="G548" s="16">
        <f>LEFT(B548,FIND(" ",B548,1)-1)</f>
        <v/>
      </c>
      <c r="H548" s="16">
        <f>TRIM(RIGHT(B548,LEN(B548)-FIND(" ",B548,1)))</f>
        <v/>
      </c>
      <c r="I548" s="16">
        <f>_xlfn.XLOOKUP(Table2[[#This Row],[Type]],Table5[Type],Table5[Type2])</f>
        <v/>
      </c>
      <c r="J548" s="16">
        <f>_xlfn.XLOOKUP(Table2[[#This Row],[Sym]],Zones!$A$2:$A$21,Zones!$B$2:$B$21)</f>
        <v/>
      </c>
      <c r="K548" s="21" t="n"/>
    </row>
    <row r="549">
      <c r="A549" s="24" t="n">
        <v>1933</v>
      </c>
      <c r="B549" s="10" t="inlineStr">
        <is>
          <t>T110 Đoan Phong</t>
        </is>
      </c>
      <c r="C549" s="10" t="inlineStr">
        <is>
          <t>TBA 110kV Đoan Phong</t>
        </is>
      </c>
      <c r="D549" s="3" t="inlineStr">
        <is>
          <t>B27</t>
        </is>
      </c>
      <c r="E549" s="9" t="n"/>
      <c r="F549" s="15">
        <f>IF(E549&lt;&gt;"","Đã VH","Quy hoạch điện VIII")</f>
        <v/>
      </c>
      <c r="G549" s="16">
        <f>LEFT(B549,FIND(" ",B549,1)-1)</f>
        <v/>
      </c>
      <c r="H549" s="16">
        <f>TRIM(RIGHT(B549,LEN(B549)-FIND(" ",B549,1)))</f>
        <v/>
      </c>
      <c r="I549" s="16">
        <f>_xlfn.XLOOKUP(Table2[[#This Row],[Type]],Table5[Type],Table5[Type2])</f>
        <v/>
      </c>
      <c r="J549" s="16">
        <f>_xlfn.XLOOKUP(Table2[[#This Row],[Sym]],Zones!$A$2:$A$21,Zones!$B$2:$B$21)</f>
        <v/>
      </c>
      <c r="K549" s="21" t="n"/>
    </row>
    <row r="550">
      <c r="A550" s="24" t="n">
        <v>1934</v>
      </c>
      <c r="B550" s="10" t="inlineStr">
        <is>
          <t>T110 TP Bắc Giang 2</t>
        </is>
      </c>
      <c r="C550" s="10" t="inlineStr">
        <is>
          <t>TBA 110kV TP Bắc Giang 2</t>
        </is>
      </c>
      <c r="D550" s="3" t="inlineStr">
        <is>
          <t>B27</t>
        </is>
      </c>
      <c r="E550" s="9" t="n"/>
      <c r="F550" s="15">
        <f>IF(E550&lt;&gt;"","Đã VH","Quy hoạch điện VIII")</f>
        <v/>
      </c>
      <c r="G550" s="16">
        <f>LEFT(B550,FIND(" ",B550,1)-1)</f>
        <v/>
      </c>
      <c r="H550" s="16">
        <f>TRIM(RIGHT(B550,LEN(B550)-FIND(" ",B550,1)))</f>
        <v/>
      </c>
      <c r="I550" s="16">
        <f>_xlfn.XLOOKUP(Table2[[#This Row],[Type]],Table5[Type],Table5[Type2])</f>
        <v/>
      </c>
      <c r="J550" s="16">
        <f>_xlfn.XLOOKUP(Table2[[#This Row],[Sym]],Zones!$A$2:$A$21,Zones!$B$2:$B$21)</f>
        <v/>
      </c>
      <c r="K550" s="21" t="n"/>
    </row>
    <row r="551">
      <c r="A551" s="24" t="n">
        <v>1935</v>
      </c>
      <c r="B551" s="10" t="inlineStr">
        <is>
          <t>T110 Yên Lư</t>
        </is>
      </c>
      <c r="C551" s="10" t="inlineStr">
        <is>
          <t>TBA 110kV Yên Lư</t>
        </is>
      </c>
      <c r="D551" s="3" t="inlineStr">
        <is>
          <t>B27</t>
        </is>
      </c>
      <c r="E551" s="9" t="n"/>
      <c r="F551" s="15">
        <f>IF(E551&lt;&gt;"","Đã VH","Quy hoạch điện VIII")</f>
        <v/>
      </c>
      <c r="G551" s="16">
        <f>LEFT(B551,FIND(" ",B551,1)-1)</f>
        <v/>
      </c>
      <c r="H551" s="16">
        <f>TRIM(RIGHT(B551,LEN(B551)-FIND(" ",B551,1)))</f>
        <v/>
      </c>
      <c r="I551" s="16">
        <f>_xlfn.XLOOKUP(Table2[[#This Row],[Type]],Table5[Type],Table5[Type2])</f>
        <v/>
      </c>
      <c r="J551" s="16">
        <f>_xlfn.XLOOKUP(Table2[[#This Row],[Sym]],Zones!$A$2:$A$21,Zones!$B$2:$B$21)</f>
        <v/>
      </c>
      <c r="K551" s="21" t="n"/>
    </row>
    <row r="552">
      <c r="A552" s="24" t="n">
        <v>1936</v>
      </c>
      <c r="B552" s="10" t="inlineStr">
        <is>
          <t>T110 Nhã Nam</t>
        </is>
      </c>
      <c r="C552" s="10" t="inlineStr">
        <is>
          <t>TBA 110kV Nhã Nam</t>
        </is>
      </c>
      <c r="D552" s="3" t="inlineStr">
        <is>
          <t>B27</t>
        </is>
      </c>
      <c r="E552" s="9" t="n"/>
      <c r="F552" s="15">
        <f>IF(E552&lt;&gt;"","Đã VH","Quy hoạch điện VIII")</f>
        <v/>
      </c>
      <c r="G552" s="16">
        <f>LEFT(B552,FIND(" ",B552,1)-1)</f>
        <v/>
      </c>
      <c r="H552" s="16">
        <f>TRIM(RIGHT(B552,LEN(B552)-FIND(" ",B552,1)))</f>
        <v/>
      </c>
      <c r="I552" s="16">
        <f>_xlfn.XLOOKUP(Table2[[#This Row],[Type]],Table5[Type],Table5[Type2])</f>
        <v/>
      </c>
      <c r="J552" s="16">
        <f>_xlfn.XLOOKUP(Table2[[#This Row],[Sym]],Zones!$A$2:$A$21,Zones!$B$2:$B$21)</f>
        <v/>
      </c>
      <c r="K552" s="21" t="n"/>
    </row>
    <row r="553">
      <c r="A553" s="24" t="n">
        <v>1937</v>
      </c>
      <c r="B553" s="10" t="inlineStr">
        <is>
          <t>T110 Yên Dũng 2</t>
        </is>
      </c>
      <c r="C553" s="10" t="inlineStr">
        <is>
          <t>TBA 110kV Yên Dũng 2</t>
        </is>
      </c>
      <c r="D553" s="3" t="inlineStr">
        <is>
          <t>B27</t>
        </is>
      </c>
      <c r="E553" s="9" t="n"/>
      <c r="F553" s="15">
        <f>IF(E553&lt;&gt;"","Đã VH","Quy hoạch điện VIII")</f>
        <v/>
      </c>
      <c r="G553" s="16">
        <f>LEFT(B553,FIND(" ",B553,1)-1)</f>
        <v/>
      </c>
      <c r="H553" s="16">
        <f>TRIM(RIGHT(B553,LEN(B553)-FIND(" ",B553,1)))</f>
        <v/>
      </c>
      <c r="I553" s="16">
        <f>_xlfn.XLOOKUP(Table2[[#This Row],[Type]],Table5[Type],Table5[Type2])</f>
        <v/>
      </c>
      <c r="J553" s="16">
        <f>_xlfn.XLOOKUP(Table2[[#This Row],[Sym]],Zones!$A$2:$A$21,Zones!$B$2:$B$21)</f>
        <v/>
      </c>
      <c r="K553" s="21" t="n"/>
    </row>
    <row r="554">
      <c r="A554" s="24" t="n">
        <v>1938</v>
      </c>
      <c r="B554" s="10" t="inlineStr">
        <is>
          <t>T110 Bố Hạ</t>
        </is>
      </c>
      <c r="C554" s="10" t="inlineStr">
        <is>
          <t>TBA 110kV Bố Hạ</t>
        </is>
      </c>
      <c r="D554" s="3" t="inlineStr">
        <is>
          <t>B27</t>
        </is>
      </c>
      <c r="E554" s="9" t="n"/>
      <c r="F554" s="15">
        <f>IF(E554&lt;&gt;"","Đã VH","Quy hoạch điện VIII")</f>
        <v/>
      </c>
      <c r="G554" s="16">
        <f>LEFT(B554,FIND(" ",B554,1)-1)</f>
        <v/>
      </c>
      <c r="H554" s="16">
        <f>TRIM(RIGHT(B554,LEN(B554)-FIND(" ",B554,1)))</f>
        <v/>
      </c>
      <c r="I554" s="16">
        <f>_xlfn.XLOOKUP(Table2[[#This Row],[Type]],Table5[Type],Table5[Type2])</f>
        <v/>
      </c>
      <c r="J554" s="16">
        <f>_xlfn.XLOOKUP(Table2[[#This Row],[Sym]],Zones!$A$2:$A$21,Zones!$B$2:$B$21)</f>
        <v/>
      </c>
      <c r="K554" s="21" t="n"/>
    </row>
    <row r="555">
      <c r="A555" s="24" t="n">
        <v>1939</v>
      </c>
      <c r="B555" s="10" t="inlineStr">
        <is>
          <t>T110 Quang Châu 3</t>
        </is>
      </c>
      <c r="C555" s="10" t="inlineStr">
        <is>
          <t>TBA 110kV Quang Châu 3</t>
        </is>
      </c>
      <c r="D555" s="3" t="inlineStr">
        <is>
          <t>B27</t>
        </is>
      </c>
      <c r="E555" s="9" t="n"/>
      <c r="F555" s="15">
        <f>IF(E555&lt;&gt;"","Đã VH","Quy hoạch điện VIII")</f>
        <v/>
      </c>
      <c r="G555" s="16">
        <f>LEFT(B555,FIND(" ",B555,1)-1)</f>
        <v/>
      </c>
      <c r="H555" s="16">
        <f>TRIM(RIGHT(B555,LEN(B555)-FIND(" ",B555,1)))</f>
        <v/>
      </c>
      <c r="I555" s="16">
        <f>_xlfn.XLOOKUP(Table2[[#This Row],[Type]],Table5[Type],Table5[Type2])</f>
        <v/>
      </c>
      <c r="J555" s="16">
        <f>_xlfn.XLOOKUP(Table2[[#This Row],[Sym]],Zones!$A$2:$A$21,Zones!$B$2:$B$21)</f>
        <v/>
      </c>
      <c r="K555" s="21" t="n"/>
    </row>
    <row r="556">
      <c r="A556" s="24" t="n">
        <v>1940</v>
      </c>
      <c r="B556" s="10" t="inlineStr">
        <is>
          <t>T110 Tân Hưng</t>
        </is>
      </c>
      <c r="C556" s="10" t="inlineStr">
        <is>
          <t>TBA 110kV Tân Hưng</t>
        </is>
      </c>
      <c r="D556" s="3" t="inlineStr">
        <is>
          <t>B27</t>
        </is>
      </c>
      <c r="E556" s="9" t="n"/>
      <c r="F556" s="15">
        <f>IF(E556&lt;&gt;"","Đã VH","Quy hoạch điện VIII")</f>
        <v/>
      </c>
      <c r="G556" s="16">
        <f>LEFT(B556,FIND(" ",B556,1)-1)</f>
        <v/>
      </c>
      <c r="H556" s="16">
        <f>TRIM(RIGHT(B556,LEN(B556)-FIND(" ",B556,1)))</f>
        <v/>
      </c>
      <c r="I556" s="16">
        <f>_xlfn.XLOOKUP(Table2[[#This Row],[Type]],Table5[Type],Table5[Type2])</f>
        <v/>
      </c>
      <c r="J556" s="16">
        <f>_xlfn.XLOOKUP(Table2[[#This Row],[Sym]],Zones!$A$2:$A$21,Zones!$B$2:$B$21)</f>
        <v/>
      </c>
      <c r="K556" s="21" t="n"/>
    </row>
    <row r="557">
      <c r="A557" s="24" t="n">
        <v>1941</v>
      </c>
      <c r="B557" s="10" t="inlineStr">
        <is>
          <t>T110 Nghĩa Hưng</t>
        </is>
      </c>
      <c r="C557" s="10" t="inlineStr">
        <is>
          <t>TBA 110kV Nghĩa Hưng</t>
        </is>
      </c>
      <c r="D557" s="3" t="inlineStr">
        <is>
          <t>B27</t>
        </is>
      </c>
      <c r="E557" s="9" t="n"/>
      <c r="F557" s="15">
        <f>IF(E557&lt;&gt;"","Đã VH","Quy hoạch điện VIII")</f>
        <v/>
      </c>
      <c r="G557" s="16">
        <f>LEFT(B557,FIND(" ",B557,1)-1)</f>
        <v/>
      </c>
      <c r="H557" s="16">
        <f>TRIM(RIGHT(B557,LEN(B557)-FIND(" ",B557,1)))</f>
        <v/>
      </c>
      <c r="I557" s="16">
        <f>_xlfn.XLOOKUP(Table2[[#This Row],[Type]],Table5[Type],Table5[Type2])</f>
        <v/>
      </c>
      <c r="J557" s="16">
        <f>_xlfn.XLOOKUP(Table2[[#This Row],[Sym]],Zones!$A$2:$A$21,Zones!$B$2:$B$21)</f>
        <v/>
      </c>
      <c r="K557" s="21" t="n"/>
    </row>
    <row r="558">
      <c r="A558" s="24" t="n">
        <v>1942</v>
      </c>
      <c r="B558" s="10" t="inlineStr">
        <is>
          <t>T110 Xuân Phú</t>
        </is>
      </c>
      <c r="C558" s="10" t="inlineStr">
        <is>
          <t>TBA 110kV Xuân Phú</t>
        </is>
      </c>
      <c r="D558" s="3" t="inlineStr">
        <is>
          <t>B27</t>
        </is>
      </c>
      <c r="E558" s="9" t="n"/>
      <c r="F558" s="15">
        <f>IF(E558&lt;&gt;"","Đã VH","Quy hoạch điện VIII")</f>
        <v/>
      </c>
      <c r="G558" s="16">
        <f>LEFT(B558,FIND(" ",B558,1)-1)</f>
        <v/>
      </c>
      <c r="H558" s="16">
        <f>TRIM(RIGHT(B558,LEN(B558)-FIND(" ",B558,1)))</f>
        <v/>
      </c>
      <c r="I558" s="16">
        <f>_xlfn.XLOOKUP(Table2[[#This Row],[Type]],Table5[Type],Table5[Type2])</f>
        <v/>
      </c>
      <c r="J558" s="16">
        <f>_xlfn.XLOOKUP(Table2[[#This Row],[Sym]],Zones!$A$2:$A$21,Zones!$B$2:$B$21)</f>
        <v/>
      </c>
      <c r="K558" s="21" t="n"/>
    </row>
    <row r="559">
      <c r="A559" s="24" t="n">
        <v>1943</v>
      </c>
      <c r="B559" s="10" t="inlineStr">
        <is>
          <t>T110 Vân Trung 3</t>
        </is>
      </c>
      <c r="C559" s="10" t="inlineStr">
        <is>
          <t>TBA 110kV Vân Trung 3</t>
        </is>
      </c>
      <c r="D559" s="3" t="inlineStr">
        <is>
          <t>B27</t>
        </is>
      </c>
      <c r="E559" s="9" t="n"/>
      <c r="F559" s="15">
        <f>IF(E559&lt;&gt;"","Đã VH","Quy hoạch điện VIII")</f>
        <v/>
      </c>
      <c r="G559" s="16">
        <f>LEFT(B559,FIND(" ",B559,1)-1)</f>
        <v/>
      </c>
      <c r="H559" s="16">
        <f>TRIM(RIGHT(B559,LEN(B559)-FIND(" ",B559,1)))</f>
        <v/>
      </c>
      <c r="I559" s="16">
        <f>_xlfn.XLOOKUP(Table2[[#This Row],[Type]],Table5[Type],Table5[Type2])</f>
        <v/>
      </c>
      <c r="J559" s="16">
        <f>_xlfn.XLOOKUP(Table2[[#This Row],[Sym]],Zones!$A$2:$A$21,Zones!$B$2:$B$21)</f>
        <v/>
      </c>
      <c r="K559" s="21" t="n"/>
    </row>
    <row r="560">
      <c r="A560" s="24" t="n">
        <v>1944</v>
      </c>
      <c r="B560" s="10" t="inlineStr">
        <is>
          <t>T110 Tân Thịnh</t>
        </is>
      </c>
      <c r="C560" s="10" t="inlineStr">
        <is>
          <t>TBA 110kV Tân Thịnh</t>
        </is>
      </c>
      <c r="D560" s="3" t="inlineStr">
        <is>
          <t>B27</t>
        </is>
      </c>
      <c r="E560" s="9" t="n"/>
      <c r="F560" s="15">
        <f>IF(E560&lt;&gt;"","Đã VH","Quy hoạch điện VIII")</f>
        <v/>
      </c>
      <c r="G560" s="16">
        <f>LEFT(B560,FIND(" ",B560,1)-1)</f>
        <v/>
      </c>
      <c r="H560" s="16">
        <f>TRIM(RIGHT(B560,LEN(B560)-FIND(" ",B560,1)))</f>
        <v/>
      </c>
      <c r="I560" s="16">
        <f>_xlfn.XLOOKUP(Table2[[#This Row],[Type]],Table5[Type],Table5[Type2])</f>
        <v/>
      </c>
      <c r="J560" s="16">
        <f>_xlfn.XLOOKUP(Table2[[#This Row],[Sym]],Zones!$A$2:$A$21,Zones!$B$2:$B$21)</f>
        <v/>
      </c>
      <c r="K560" s="21" t="n"/>
    </row>
    <row r="561">
      <c r="A561" s="24" t="n">
        <v>1945</v>
      </c>
      <c r="B561" s="10" t="inlineStr">
        <is>
          <t>T110 Thái An</t>
        </is>
      </c>
      <c r="C561" s="10" t="inlineStr">
        <is>
          <t>TBA 110kV Thái An</t>
        </is>
      </c>
      <c r="D561" s="3" t="inlineStr">
        <is>
          <t>B27</t>
        </is>
      </c>
      <c r="E561" s="9" t="n"/>
      <c r="F561" s="15">
        <f>IF(E561&lt;&gt;"","Đã VH","Quy hoạch điện VIII")</f>
        <v/>
      </c>
      <c r="G561" s="16">
        <f>LEFT(B561,FIND(" ",B561,1)-1)</f>
        <v/>
      </c>
      <c r="H561" s="16">
        <f>TRIM(RIGHT(B561,LEN(B561)-FIND(" ",B561,1)))</f>
        <v/>
      </c>
      <c r="I561" s="16">
        <f>_xlfn.XLOOKUP(Table2[[#This Row],[Type]],Table5[Type],Table5[Type2])</f>
        <v/>
      </c>
      <c r="J561" s="16">
        <f>_xlfn.XLOOKUP(Table2[[#This Row],[Sym]],Zones!$A$2:$A$21,Zones!$B$2:$B$21)</f>
        <v/>
      </c>
      <c r="K561" s="21" t="n"/>
    </row>
    <row r="562">
      <c r="A562" s="24" t="n">
        <v>1946</v>
      </c>
      <c r="B562" s="10" t="inlineStr">
        <is>
          <t>T110 Mỹ Thái</t>
        </is>
      </c>
      <c r="C562" s="10" t="inlineStr">
        <is>
          <t>TBA 110kV Mỹ Thái</t>
        </is>
      </c>
      <c r="D562" s="3" t="inlineStr">
        <is>
          <t>B27</t>
        </is>
      </c>
      <c r="E562" s="9" t="n"/>
      <c r="F562" s="15">
        <f>IF(E562&lt;&gt;"","Đã VH","Quy hoạch điện VIII")</f>
        <v/>
      </c>
      <c r="G562" s="16">
        <f>LEFT(B562,FIND(" ",B562,1)-1)</f>
        <v/>
      </c>
      <c r="H562" s="16">
        <f>TRIM(RIGHT(B562,LEN(B562)-FIND(" ",B562,1)))</f>
        <v/>
      </c>
      <c r="I562" s="16">
        <f>_xlfn.XLOOKUP(Table2[[#This Row],[Type]],Table5[Type],Table5[Type2])</f>
        <v/>
      </c>
      <c r="J562" s="16">
        <f>_xlfn.XLOOKUP(Table2[[#This Row],[Sym]],Zones!$A$2:$A$21,Zones!$B$2:$B$21)</f>
        <v/>
      </c>
      <c r="K562" s="21" t="n"/>
    </row>
    <row r="563">
      <c r="A563" s="24" t="n">
        <v>1947</v>
      </c>
      <c r="B563" s="10" t="inlineStr">
        <is>
          <t>T110 Ngọc Thiện</t>
        </is>
      </c>
      <c r="C563" s="10" t="inlineStr">
        <is>
          <t>TBA 110kV Ngọc Thiện</t>
        </is>
      </c>
      <c r="D563" s="3" t="inlineStr">
        <is>
          <t>B27</t>
        </is>
      </c>
      <c r="E563" s="9" t="n"/>
      <c r="F563" s="15">
        <f>IF(E563&lt;&gt;"","Đã VH","Quy hoạch điện VIII")</f>
        <v/>
      </c>
      <c r="G563" s="16">
        <f>LEFT(B563,FIND(" ",B563,1)-1)</f>
        <v/>
      </c>
      <c r="H563" s="16">
        <f>TRIM(RIGHT(B563,LEN(B563)-FIND(" ",B563,1)))</f>
        <v/>
      </c>
      <c r="I563" s="16">
        <f>_xlfn.XLOOKUP(Table2[[#This Row],[Type]],Table5[Type],Table5[Type2])</f>
        <v/>
      </c>
      <c r="J563" s="16">
        <f>_xlfn.XLOOKUP(Table2[[#This Row],[Sym]],Zones!$A$2:$A$21,Zones!$B$2:$B$21)</f>
        <v/>
      </c>
      <c r="K563" s="21" t="n"/>
    </row>
    <row r="564">
      <c r="A564" s="24" t="n">
        <v>1948</v>
      </c>
      <c r="B564" s="10" t="inlineStr">
        <is>
          <t>T110 Mỹ Xuân</t>
        </is>
      </c>
      <c r="C564" s="10" t="inlineStr">
        <is>
          <t>TBA 110kV Mỹ Xuân</t>
        </is>
      </c>
      <c r="D564" s="3" t="inlineStr">
        <is>
          <t>B27</t>
        </is>
      </c>
      <c r="E564" s="9" t="n"/>
      <c r="F564" s="15">
        <f>IF(E564&lt;&gt;"","Đã VH","Quy hoạch điện VIII")</f>
        <v/>
      </c>
      <c r="G564" s="16">
        <f>LEFT(B564,FIND(" ",B564,1)-1)</f>
        <v/>
      </c>
      <c r="H564" s="16">
        <f>TRIM(RIGHT(B564,LEN(B564)-FIND(" ",B564,1)))</f>
        <v/>
      </c>
      <c r="I564" s="16">
        <f>_xlfn.XLOOKUP(Table2[[#This Row],[Type]],Table5[Type],Table5[Type2])</f>
        <v/>
      </c>
      <c r="J564" s="16">
        <f>_xlfn.XLOOKUP(Table2[[#This Row],[Sym]],Zones!$A$2:$A$21,Zones!$B$2:$B$21)</f>
        <v/>
      </c>
      <c r="K564" s="21" t="n"/>
    </row>
    <row r="565">
      <c r="A565" s="24" t="n">
        <v>1949</v>
      </c>
      <c r="B565" s="10" t="inlineStr">
        <is>
          <t>T110 Minh Đức</t>
        </is>
      </c>
      <c r="C565" s="10" t="inlineStr">
        <is>
          <t>TBA 110kV Minh Đức</t>
        </is>
      </c>
      <c r="D565" s="3" t="inlineStr">
        <is>
          <t>B27</t>
        </is>
      </c>
      <c r="E565" s="9" t="n"/>
      <c r="F565" s="15">
        <f>IF(E565&lt;&gt;"","Đã VH","Quy hoạch điện VIII")</f>
        <v/>
      </c>
      <c r="G565" s="16">
        <f>LEFT(B565,FIND(" ",B565,1)-1)</f>
        <v/>
      </c>
      <c r="H565" s="16">
        <f>TRIM(RIGHT(B565,LEN(B565)-FIND(" ",B565,1)))</f>
        <v/>
      </c>
      <c r="I565" s="16">
        <f>_xlfn.XLOOKUP(Table2[[#This Row],[Type]],Table5[Type],Table5[Type2])</f>
        <v/>
      </c>
      <c r="J565" s="16">
        <f>_xlfn.XLOOKUP(Table2[[#This Row],[Sym]],Zones!$A$2:$A$21,Zones!$B$2:$B$21)</f>
        <v/>
      </c>
      <c r="K565" s="21" t="n"/>
    </row>
    <row r="566">
      <c r="A566" s="24" t="n">
        <v>1950</v>
      </c>
      <c r="B566" s="10" t="inlineStr">
        <is>
          <t>T110 Phúc Sơn</t>
        </is>
      </c>
      <c r="C566" s="10" t="inlineStr">
        <is>
          <t>TBA 110kV Phúc Sơn</t>
        </is>
      </c>
      <c r="D566" s="3" t="inlineStr">
        <is>
          <t>B27</t>
        </is>
      </c>
      <c r="E566" s="9" t="n"/>
      <c r="F566" s="15">
        <f>IF(E566&lt;&gt;"","Đã VH","Quy hoạch điện VIII")</f>
        <v/>
      </c>
      <c r="G566" s="16">
        <f>LEFT(B566,FIND(" ",B566,1)-1)</f>
        <v/>
      </c>
      <c r="H566" s="16">
        <f>TRIM(RIGHT(B566,LEN(B566)-FIND(" ",B566,1)))</f>
        <v/>
      </c>
      <c r="I566" s="16">
        <f>_xlfn.XLOOKUP(Table2[[#This Row],[Type]],Table5[Type],Table5[Type2])</f>
        <v/>
      </c>
      <c r="J566" s="16">
        <f>_xlfn.XLOOKUP(Table2[[#This Row],[Sym]],Zones!$A$2:$A$21,Zones!$B$2:$B$21)</f>
        <v/>
      </c>
      <c r="K566" s="21" t="n"/>
    </row>
    <row r="567">
      <c r="A567" s="24" t="n">
        <v>1951</v>
      </c>
      <c r="B567" s="10" t="inlineStr">
        <is>
          <t>T110 Ngọc Lý</t>
        </is>
      </c>
      <c r="C567" s="10" t="inlineStr">
        <is>
          <t>TBA 110kV Ngọc Lý</t>
        </is>
      </c>
      <c r="D567" s="3" t="inlineStr">
        <is>
          <t>B27</t>
        </is>
      </c>
      <c r="E567" s="9" t="n"/>
      <c r="F567" s="15">
        <f>IF(E567&lt;&gt;"","Đã VH","Quy hoạch điện VIII")</f>
        <v/>
      </c>
      <c r="G567" s="16">
        <f>LEFT(B567,FIND(" ",B567,1)-1)</f>
        <v/>
      </c>
      <c r="H567" s="16">
        <f>TRIM(RIGHT(B567,LEN(B567)-FIND(" ",B567,1)))</f>
        <v/>
      </c>
      <c r="I567" s="16">
        <f>_xlfn.XLOOKUP(Table2[[#This Row],[Type]],Table5[Type],Table5[Type2])</f>
        <v/>
      </c>
      <c r="J567" s="16">
        <f>_xlfn.XLOOKUP(Table2[[#This Row],[Sym]],Zones!$A$2:$A$21,Zones!$B$2:$B$21)</f>
        <v/>
      </c>
      <c r="K567" s="21" t="n"/>
    </row>
    <row r="568">
      <c r="A568" s="24" t="n">
        <v>1952</v>
      </c>
      <c r="B568" s="10" t="inlineStr">
        <is>
          <t>T110 Quế Nham</t>
        </is>
      </c>
      <c r="C568" s="10" t="inlineStr">
        <is>
          <t>TBA 110kV Quế Nham</t>
        </is>
      </c>
      <c r="D568" s="3" t="inlineStr">
        <is>
          <t>B27</t>
        </is>
      </c>
      <c r="E568" s="9" t="n"/>
      <c r="F568" s="15">
        <f>IF(E568&lt;&gt;"","Đã VH","Quy hoạch điện VIII")</f>
        <v/>
      </c>
      <c r="G568" s="16">
        <f>LEFT(B568,FIND(" ",B568,1)-1)</f>
        <v/>
      </c>
      <c r="H568" s="16">
        <f>TRIM(RIGHT(B568,LEN(B568)-FIND(" ",B568,1)))</f>
        <v/>
      </c>
      <c r="I568" s="16">
        <f>_xlfn.XLOOKUP(Table2[[#This Row],[Type]],Table5[Type],Table5[Type2])</f>
        <v/>
      </c>
      <c r="J568" s="16">
        <f>_xlfn.XLOOKUP(Table2[[#This Row],[Sym]],Zones!$A$2:$A$21,Zones!$B$2:$B$21)</f>
        <v/>
      </c>
      <c r="K568" s="21" t="n"/>
    </row>
    <row r="569">
      <c r="A569" s="24" t="n">
        <v>1953</v>
      </c>
      <c r="B569" s="10" t="inlineStr">
        <is>
          <t>T110 Lục Nam 2</t>
        </is>
      </c>
      <c r="C569" s="10" t="inlineStr">
        <is>
          <t>TBA 110kV Lục Nam 2</t>
        </is>
      </c>
      <c r="D569" s="3" t="inlineStr">
        <is>
          <t>B27</t>
        </is>
      </c>
      <c r="E569" s="9" t="n"/>
      <c r="F569" s="15">
        <f>IF(E569&lt;&gt;"","Đã VH","Quy hoạch điện VIII")</f>
        <v/>
      </c>
      <c r="G569" s="16">
        <f>LEFT(B569,FIND(" ",B569,1)-1)</f>
        <v/>
      </c>
      <c r="H569" s="16">
        <f>TRIM(RIGHT(B569,LEN(B569)-FIND(" ",B569,1)))</f>
        <v/>
      </c>
      <c r="I569" s="16">
        <f>_xlfn.XLOOKUP(Table2[[#This Row],[Type]],Table5[Type],Table5[Type2])</f>
        <v/>
      </c>
      <c r="J569" s="16">
        <f>_xlfn.XLOOKUP(Table2[[#This Row],[Sym]],Zones!$A$2:$A$21,Zones!$B$2:$B$21)</f>
        <v/>
      </c>
      <c r="K569" s="21" t="n"/>
    </row>
    <row r="570">
      <c r="A570" s="24" t="n">
        <v>1954</v>
      </c>
      <c r="B570" s="10" t="inlineStr">
        <is>
          <t>T110 Sơn Động NC</t>
        </is>
      </c>
      <c r="C570" s="10" t="inlineStr">
        <is>
          <t>TBA 110kV Sơn Động NC</t>
        </is>
      </c>
      <c r="D570" s="3" t="inlineStr">
        <is>
          <t>B27</t>
        </is>
      </c>
      <c r="E570" s="9" t="n"/>
      <c r="F570" s="15">
        <f>IF(E570&lt;&gt;"","Đã VH","Quy hoạch điện VIII")</f>
        <v/>
      </c>
      <c r="G570" s="16">
        <f>LEFT(B570,FIND(" ",B570,1)-1)</f>
        <v/>
      </c>
      <c r="H570" s="16">
        <f>TRIM(RIGHT(B570,LEN(B570)-FIND(" ",B570,1)))</f>
        <v/>
      </c>
      <c r="I570" s="16">
        <f>_xlfn.XLOOKUP(Table2[[#This Row],[Type]],Table5[Type],Table5[Type2])</f>
        <v/>
      </c>
      <c r="J570" s="16">
        <f>_xlfn.XLOOKUP(Table2[[#This Row],[Sym]],Zones!$A$2:$A$21,Zones!$B$2:$B$21)</f>
        <v/>
      </c>
      <c r="K570" s="21" t="n"/>
    </row>
    <row r="571">
      <c r="A571" s="24" t="n">
        <v>1955</v>
      </c>
      <c r="B571" s="10" t="inlineStr">
        <is>
          <t>T110 Yên Sơn</t>
        </is>
      </c>
      <c r="C571" s="10" t="inlineStr">
        <is>
          <t>TBA 110kV Yên Sơn</t>
        </is>
      </c>
      <c r="D571" s="3" t="inlineStr">
        <is>
          <t>B27</t>
        </is>
      </c>
      <c r="E571" s="9" t="n"/>
      <c r="F571" s="15">
        <f>IF(E571&lt;&gt;"","Đã VH","Quy hoạch điện VIII")</f>
        <v/>
      </c>
      <c r="G571" s="16">
        <f>LEFT(B571,FIND(" ",B571,1)-1)</f>
        <v/>
      </c>
      <c r="H571" s="16">
        <f>TRIM(RIGHT(B571,LEN(B571)-FIND(" ",B571,1)))</f>
        <v/>
      </c>
      <c r="I571" s="16">
        <f>_xlfn.XLOOKUP(Table2[[#This Row],[Type]],Table5[Type],Table5[Type2])</f>
        <v/>
      </c>
      <c r="J571" s="16">
        <f>_xlfn.XLOOKUP(Table2[[#This Row],[Sym]],Zones!$A$2:$A$21,Zones!$B$2:$B$21)</f>
        <v/>
      </c>
      <c r="K571" s="21" t="n"/>
    </row>
    <row r="572">
      <c r="A572" s="24" t="n">
        <v>1956</v>
      </c>
      <c r="B572" s="10" t="inlineStr">
        <is>
          <t>T110 Huyền Sơn</t>
        </is>
      </c>
      <c r="C572" s="10" t="inlineStr">
        <is>
          <t>TBA 110kV Huyền Sơn</t>
        </is>
      </c>
      <c r="D572" s="3" t="inlineStr">
        <is>
          <t>B27</t>
        </is>
      </c>
      <c r="E572" s="9" t="n"/>
      <c r="F572" s="15">
        <f>IF(E572&lt;&gt;"","Đã VH","Quy hoạch điện VIII")</f>
        <v/>
      </c>
      <c r="G572" s="16">
        <f>LEFT(B572,FIND(" ",B572,1)-1)</f>
        <v/>
      </c>
      <c r="H572" s="16">
        <f>TRIM(RIGHT(B572,LEN(B572)-FIND(" ",B572,1)))</f>
        <v/>
      </c>
      <c r="I572" s="16">
        <f>_xlfn.XLOOKUP(Table2[[#This Row],[Type]],Table5[Type],Table5[Type2])</f>
        <v/>
      </c>
      <c r="J572" s="16">
        <f>_xlfn.XLOOKUP(Table2[[#This Row],[Sym]],Zones!$A$2:$A$21,Zones!$B$2:$B$21)</f>
        <v/>
      </c>
      <c r="K572" s="21" t="n"/>
    </row>
    <row r="573">
      <c r="A573" s="24" t="n">
        <v>1957</v>
      </c>
      <c r="B573" s="10" t="inlineStr">
        <is>
          <t>T110 Bắc Lũng 2</t>
        </is>
      </c>
      <c r="C573" s="10" t="inlineStr">
        <is>
          <t>TBA 110kV Bắc Lũng 2</t>
        </is>
      </c>
      <c r="D573" s="3" t="inlineStr">
        <is>
          <t>B27</t>
        </is>
      </c>
      <c r="E573" s="9" t="n"/>
      <c r="F573" s="15">
        <f>IF(E573&lt;&gt;"","Đã VH","Quy hoạch điện VIII")</f>
        <v/>
      </c>
      <c r="G573" s="16">
        <f>LEFT(B573,FIND(" ",B573,1)-1)</f>
        <v/>
      </c>
      <c r="H573" s="16">
        <f>TRIM(RIGHT(B573,LEN(B573)-FIND(" ",B573,1)))</f>
        <v/>
      </c>
      <c r="I573" s="16">
        <f>_xlfn.XLOOKUP(Table2[[#This Row],[Type]],Table5[Type],Table5[Type2])</f>
        <v/>
      </c>
      <c r="J573" s="16">
        <f>_xlfn.XLOOKUP(Table2[[#This Row],[Sym]],Zones!$A$2:$A$21,Zones!$B$2:$B$21)</f>
        <v/>
      </c>
      <c r="K573" s="21" t="n"/>
    </row>
    <row r="574">
      <c r="A574" s="24" t="n">
        <v>1958</v>
      </c>
      <c r="B574" s="10" t="inlineStr">
        <is>
          <t>T110 Chũ</t>
        </is>
      </c>
      <c r="C574" s="10" t="inlineStr">
        <is>
          <t>TBA 110kV Chũ</t>
        </is>
      </c>
      <c r="D574" s="3" t="inlineStr">
        <is>
          <t>B27</t>
        </is>
      </c>
      <c r="E574" s="9" t="n"/>
      <c r="F574" s="15">
        <f>IF(E574&lt;&gt;"","Đã VH","Quy hoạch điện VIII")</f>
        <v/>
      </c>
      <c r="G574" s="16">
        <f>LEFT(B574,FIND(" ",B574,1)-1)</f>
        <v/>
      </c>
      <c r="H574" s="16">
        <f>TRIM(RIGHT(B574,LEN(B574)-FIND(" ",B574,1)))</f>
        <v/>
      </c>
      <c r="I574" s="16">
        <f>_xlfn.XLOOKUP(Table2[[#This Row],[Type]],Table5[Type],Table5[Type2])</f>
        <v/>
      </c>
      <c r="J574" s="16">
        <f>_xlfn.XLOOKUP(Table2[[#This Row],[Sym]],Zones!$A$2:$A$21,Zones!$B$2:$B$21)</f>
        <v/>
      </c>
      <c r="K574" s="21" t="n"/>
    </row>
    <row r="575">
      <c r="A575" s="24" t="n">
        <v>1959</v>
      </c>
      <c r="B575" s="10" t="inlineStr">
        <is>
          <t>T110 Phương Sơn</t>
        </is>
      </c>
      <c r="C575" s="10" t="inlineStr">
        <is>
          <t>TBA 110kV Phương Sơn</t>
        </is>
      </c>
      <c r="D575" s="3" t="inlineStr">
        <is>
          <t>B27</t>
        </is>
      </c>
      <c r="E575" s="9" t="n"/>
      <c r="F575" s="15">
        <f>IF(E575&lt;&gt;"","Đã VH","Quy hoạch điện VIII")</f>
        <v/>
      </c>
      <c r="G575" s="16">
        <f>LEFT(B575,FIND(" ",B575,1)-1)</f>
        <v/>
      </c>
      <c r="H575" s="16">
        <f>TRIM(RIGHT(B575,LEN(B575)-FIND(" ",B575,1)))</f>
        <v/>
      </c>
      <c r="I575" s="16">
        <f>_xlfn.XLOOKUP(Table2[[#This Row],[Type]],Table5[Type],Table5[Type2])</f>
        <v/>
      </c>
      <c r="J575" s="16">
        <f>_xlfn.XLOOKUP(Table2[[#This Row],[Sym]],Zones!$A$2:$A$21,Zones!$B$2:$B$21)</f>
        <v/>
      </c>
      <c r="K575" s="21" t="n"/>
    </row>
    <row r="576">
      <c r="A576" s="24" t="n">
        <v>1960</v>
      </c>
      <c r="B576" s="10" t="inlineStr">
        <is>
          <t>T110 Đồi Ngô</t>
        </is>
      </c>
      <c r="C576" s="10" t="inlineStr">
        <is>
          <t>TBA 110kV Đồi Ngô</t>
        </is>
      </c>
      <c r="D576" s="3" t="inlineStr">
        <is>
          <t>B27</t>
        </is>
      </c>
      <c r="E576" s="9" t="n"/>
      <c r="F576" s="15">
        <f>IF(E576&lt;&gt;"","Đã VH","Quy hoạch điện VIII")</f>
        <v/>
      </c>
      <c r="G576" s="16">
        <f>LEFT(B576,FIND(" ",B576,1)-1)</f>
        <v/>
      </c>
      <c r="H576" s="16">
        <f>TRIM(RIGHT(B576,LEN(B576)-FIND(" ",B576,1)))</f>
        <v/>
      </c>
      <c r="I576" s="16">
        <f>_xlfn.XLOOKUP(Table2[[#This Row],[Type]],Table5[Type],Table5[Type2])</f>
        <v/>
      </c>
      <c r="J576" s="16">
        <f>_xlfn.XLOOKUP(Table2[[#This Row],[Sym]],Zones!$A$2:$A$21,Zones!$B$2:$B$21)</f>
        <v/>
      </c>
      <c r="K576" s="21" t="n"/>
    </row>
    <row r="577">
      <c r="A577" s="24" t="n">
        <v>1961</v>
      </c>
      <c r="B577" s="10" t="inlineStr">
        <is>
          <t>T110 Lục Ngạn 3</t>
        </is>
      </c>
      <c r="C577" s="10" t="inlineStr">
        <is>
          <t>TBA 110kV Lục Ngạn 3</t>
        </is>
      </c>
      <c r="D577" s="3" t="inlineStr">
        <is>
          <t>B27</t>
        </is>
      </c>
      <c r="E577" s="9" t="n"/>
      <c r="F577" s="15">
        <f>IF(E577&lt;&gt;"","Đã VH","Quy hoạch điện VIII")</f>
        <v/>
      </c>
      <c r="G577" s="16">
        <f>LEFT(B577,FIND(" ",B577,1)-1)</f>
        <v/>
      </c>
      <c r="H577" s="16">
        <f>TRIM(RIGHT(B577,LEN(B577)-FIND(" ",B577,1)))</f>
        <v/>
      </c>
      <c r="I577" s="16">
        <f>_xlfn.XLOOKUP(Table2[[#This Row],[Type]],Table5[Type],Table5[Type2])</f>
        <v/>
      </c>
      <c r="J577" s="16">
        <f>_xlfn.XLOOKUP(Table2[[#This Row],[Sym]],Zones!$A$2:$A$21,Zones!$B$2:$B$21)</f>
        <v/>
      </c>
      <c r="K577" s="21" t="n"/>
    </row>
    <row r="578">
      <c r="A578" s="24" t="n">
        <v>1980</v>
      </c>
      <c r="B578" s="10" t="inlineStr">
        <is>
          <t>T110 Đồng Niên</t>
        </is>
      </c>
      <c r="C578" s="10" t="inlineStr">
        <is>
          <t>TBA 110kV Đồng Niên</t>
        </is>
      </c>
      <c r="D578" s="3" t="inlineStr">
        <is>
          <t>B2</t>
        </is>
      </c>
      <c r="E578" s="9" t="inlineStr">
        <is>
          <t>E8.1</t>
        </is>
      </c>
      <c r="F578" s="15">
        <f>IF(E578&lt;&gt;"","Đã VH","Quy hoạch điện VIII")</f>
        <v/>
      </c>
      <c r="G578" s="16">
        <f>LEFT(B578,FIND(" ",B578,1)-1)</f>
        <v/>
      </c>
      <c r="H578" s="16">
        <f>TRIM(RIGHT(B578,LEN(B578)-FIND(" ",B578,1)))</f>
        <v/>
      </c>
      <c r="I578" s="16">
        <f>_xlfn.XLOOKUP(Table2[[#This Row],[Type]],Table5[Type],Table5[Type2])</f>
        <v/>
      </c>
      <c r="J578" s="16">
        <f>_xlfn.XLOOKUP(Table2[[#This Row],[Sym]],Zones!$A$2:$A$21,Zones!$B$2:$B$21)</f>
        <v/>
      </c>
      <c r="K578" s="21" t="n"/>
    </row>
    <row r="579">
      <c r="A579" s="24" t="n">
        <v>1981</v>
      </c>
      <c r="B579" s="10" t="inlineStr">
        <is>
          <t>T110 XM Hoàng Thạch</t>
        </is>
      </c>
      <c r="C579" s="10" t="inlineStr">
        <is>
          <t>TBA 110kV XM Hoàng Thạch</t>
        </is>
      </c>
      <c r="D579" s="3" t="inlineStr">
        <is>
          <t>B2</t>
        </is>
      </c>
      <c r="E579" s="9" t="inlineStr">
        <is>
          <t>E8.2</t>
        </is>
      </c>
      <c r="F579" s="15">
        <f>IF(E579&lt;&gt;"","Đã VH","Quy hoạch điện VIII")</f>
        <v/>
      </c>
      <c r="G579" s="16">
        <f>LEFT(B579,FIND(" ",B579,1)-1)</f>
        <v/>
      </c>
      <c r="H579" s="16">
        <f>TRIM(RIGHT(B579,LEN(B579)-FIND(" ",B579,1)))</f>
        <v/>
      </c>
      <c r="I579" s="16">
        <f>_xlfn.XLOOKUP(Table2[[#This Row],[Type]],Table5[Type],Table5[Type2])</f>
        <v/>
      </c>
      <c r="J579" s="16">
        <f>_xlfn.XLOOKUP(Table2[[#This Row],[Sym]],Zones!$A$2:$A$21,Zones!$B$2:$B$21)</f>
        <v/>
      </c>
      <c r="K579" s="21" t="n"/>
    </row>
    <row r="580">
      <c r="A580" s="24" t="n">
        <v>1982</v>
      </c>
      <c r="B580" s="10" t="inlineStr">
        <is>
          <t>T110 Phả Lại</t>
        </is>
      </c>
      <c r="C580" s="30" t="inlineStr">
        <is>
          <t>TBA 110kV Phả Lại TC</t>
        </is>
      </c>
      <c r="D580" s="3" t="inlineStr">
        <is>
          <t>B2</t>
        </is>
      </c>
      <c r="E580" s="9" t="inlineStr">
        <is>
          <t>E8.4</t>
        </is>
      </c>
      <c r="F580" s="15">
        <f>IF(E580&lt;&gt;"","Đã VH","Quy hoạch điện VIII")</f>
        <v/>
      </c>
      <c r="G580" s="16">
        <f>LEFT(B580,FIND(" ",B580,1)-1)</f>
        <v/>
      </c>
      <c r="H580" s="16">
        <f>TRIM(RIGHT(B580,LEN(B580)-FIND(" ",B580,1)))</f>
        <v/>
      </c>
      <c r="I580" s="16">
        <f>_xlfn.XLOOKUP(Table2[[#This Row],[Type]],Table5[Type],Table5[Type2])</f>
        <v/>
      </c>
      <c r="J580" s="16">
        <f>_xlfn.XLOOKUP(Table2[[#This Row],[Sym]],Zones!$A$2:$A$21,Zones!$B$2:$B$21)</f>
        <v/>
      </c>
      <c r="K580" s="21" t="n"/>
      <c r="Q580" t="inlineStr">
        <is>
          <t>Đã sửa từ dashboard (TBA 110kV Phả Lại ➔ TBA 110kV Phả Lại TC)</t>
        </is>
      </c>
    </row>
    <row r="581">
      <c r="A581" s="24" t="n">
        <v>1983</v>
      </c>
      <c r="B581" s="10" t="inlineStr">
        <is>
          <t>T110 Chí Linh</t>
        </is>
      </c>
      <c r="C581" s="10" t="inlineStr">
        <is>
          <t>TBA 110kV Chí Linh</t>
        </is>
      </c>
      <c r="D581" s="3" t="inlineStr">
        <is>
          <t>B2</t>
        </is>
      </c>
      <c r="E581" s="9" t="inlineStr">
        <is>
          <t>E8.5</t>
        </is>
      </c>
      <c r="F581" s="15">
        <f>IF(E581&lt;&gt;"","Đã VH","Quy hoạch điện VIII")</f>
        <v/>
      </c>
      <c r="G581" s="16">
        <f>LEFT(B581,FIND(" ",B581,1)-1)</f>
        <v/>
      </c>
      <c r="H581" s="16">
        <f>TRIM(RIGHT(B581,LEN(B581)-FIND(" ",B581,1)))</f>
        <v/>
      </c>
      <c r="I581" s="16">
        <f>_xlfn.XLOOKUP(Table2[[#This Row],[Type]],Table5[Type],Table5[Type2])</f>
        <v/>
      </c>
      <c r="J581" s="16">
        <f>_xlfn.XLOOKUP(Table2[[#This Row],[Sym]],Zones!$A$2:$A$21,Zones!$B$2:$B$21)</f>
        <v/>
      </c>
      <c r="K581" s="21" t="n"/>
    </row>
    <row r="582">
      <c r="A582" s="24" t="n">
        <v>1984</v>
      </c>
      <c r="B582" s="10" t="inlineStr">
        <is>
          <t>T110 Lai Khê</t>
        </is>
      </c>
      <c r="C582" s="10" t="inlineStr">
        <is>
          <t>TBA 110kV Lai Khê</t>
        </is>
      </c>
      <c r="D582" s="3" t="inlineStr">
        <is>
          <t>B2</t>
        </is>
      </c>
      <c r="E582" s="9" t="inlineStr">
        <is>
          <t>E8.6</t>
        </is>
      </c>
      <c r="F582" s="15">
        <f>IF(E582&lt;&gt;"","Đã VH","Quy hoạch điện VIII")</f>
        <v/>
      </c>
      <c r="G582" s="16">
        <f>LEFT(B582,FIND(" ",B582,1)-1)</f>
        <v/>
      </c>
      <c r="H582" s="16">
        <f>TRIM(RIGHT(B582,LEN(B582)-FIND(" ",B582,1)))</f>
        <v/>
      </c>
      <c r="I582" s="16">
        <f>_xlfn.XLOOKUP(Table2[[#This Row],[Type]],Table5[Type],Table5[Type2])</f>
        <v/>
      </c>
      <c r="J582" s="16">
        <f>_xlfn.XLOOKUP(Table2[[#This Row],[Sym]],Zones!$A$2:$A$21,Zones!$B$2:$B$21)</f>
        <v/>
      </c>
      <c r="K582" s="21" t="n"/>
    </row>
    <row r="583">
      <c r="A583" s="24" t="n">
        <v>1985</v>
      </c>
      <c r="B583" s="10" t="inlineStr">
        <is>
          <t>T110 Nghĩa An</t>
        </is>
      </c>
      <c r="C583" s="10" t="inlineStr">
        <is>
          <t>TBA 110kV Nghĩa An</t>
        </is>
      </c>
      <c r="D583" s="3" t="inlineStr">
        <is>
          <t>B2</t>
        </is>
      </c>
      <c r="E583" s="9" t="inlineStr">
        <is>
          <t>E8.7</t>
        </is>
      </c>
      <c r="F583" s="15">
        <f>IF(E583&lt;&gt;"","Đã VH","Quy hoạch điện VIII")</f>
        <v/>
      </c>
      <c r="G583" s="16">
        <f>LEFT(B583,FIND(" ",B583,1)-1)</f>
        <v/>
      </c>
      <c r="H583" s="16">
        <f>TRIM(RIGHT(B583,LEN(B583)-FIND(" ",B583,1)))</f>
        <v/>
      </c>
      <c r="I583" s="16">
        <f>_xlfn.XLOOKUP(Table2[[#This Row],[Type]],Table5[Type],Table5[Type2])</f>
        <v/>
      </c>
      <c r="J583" s="16">
        <f>_xlfn.XLOOKUP(Table2[[#This Row],[Sym]],Zones!$A$2:$A$21,Zones!$B$2:$B$21)</f>
        <v/>
      </c>
      <c r="K583" s="21" t="n"/>
    </row>
    <row r="584">
      <c r="A584" s="24" t="n">
        <v>1986</v>
      </c>
      <c r="B584" s="10" t="inlineStr">
        <is>
          <t>T110 XM Phúc Sơn</t>
        </is>
      </c>
      <c r="C584" s="10" t="inlineStr">
        <is>
          <t>TBA 110kV XM Phúc Sơn</t>
        </is>
      </c>
      <c r="D584" s="3" t="inlineStr">
        <is>
          <t>B2</t>
        </is>
      </c>
      <c r="E584" s="9" t="inlineStr">
        <is>
          <t>E8.8</t>
        </is>
      </c>
      <c r="F584" s="15">
        <f>IF(E584&lt;&gt;"","Đã VH","Quy hoạch điện VIII")</f>
        <v/>
      </c>
      <c r="G584" s="16">
        <f>LEFT(B584,FIND(" ",B584,1)-1)</f>
        <v/>
      </c>
      <c r="H584" s="16">
        <f>TRIM(RIGHT(B584,LEN(B584)-FIND(" ",B584,1)))</f>
        <v/>
      </c>
      <c r="I584" s="16">
        <f>_xlfn.XLOOKUP(Table2[[#This Row],[Type]],Table5[Type],Table5[Type2])</f>
        <v/>
      </c>
      <c r="J584" s="16">
        <f>_xlfn.XLOOKUP(Table2[[#This Row],[Sym]],Zones!$A$2:$A$21,Zones!$B$2:$B$21)</f>
        <v/>
      </c>
      <c r="K584" s="21" t="n"/>
    </row>
    <row r="585">
      <c r="A585" s="24" t="n">
        <v>1987</v>
      </c>
      <c r="B585" s="10" t="inlineStr">
        <is>
          <t>T220 Hải Dương</t>
        </is>
      </c>
      <c r="C585" s="10" t="inlineStr">
        <is>
          <t>TBA 220kV Hải Dương</t>
        </is>
      </c>
      <c r="D585" s="3" t="inlineStr">
        <is>
          <t>B2</t>
        </is>
      </c>
      <c r="E585" s="9" t="inlineStr">
        <is>
          <t>E8.9</t>
        </is>
      </c>
      <c r="F585" s="15">
        <f>IF(E585&lt;&gt;"","Đã VH","Quy hoạch điện VIII")</f>
        <v/>
      </c>
      <c r="G585" s="16">
        <f>LEFT(B585,FIND(" ",B585,1)-1)</f>
        <v/>
      </c>
      <c r="H585" s="16">
        <f>TRIM(RIGHT(B585,LEN(B585)-FIND(" ",B585,1)))</f>
        <v/>
      </c>
      <c r="I585" s="16">
        <f>_xlfn.XLOOKUP(Table2[[#This Row],[Type]],Table5[Type],Table5[Type2])</f>
        <v/>
      </c>
      <c r="J585" s="16">
        <f>_xlfn.XLOOKUP(Table2[[#This Row],[Sym]],Zones!$A$2:$A$21,Zones!$B$2:$B$21)</f>
        <v/>
      </c>
      <c r="K585" s="21" t="n"/>
    </row>
    <row r="586">
      <c r="A586" s="24" t="n">
        <v>1988</v>
      </c>
      <c r="B586" s="10" t="inlineStr">
        <is>
          <t>T110 Nhị Chiểu</t>
        </is>
      </c>
      <c r="C586" s="10" t="inlineStr">
        <is>
          <t>TBA 110kV Nhị Chiểu</t>
        </is>
      </c>
      <c r="D586" s="3" t="inlineStr">
        <is>
          <t>B2</t>
        </is>
      </c>
      <c r="E586" s="9" t="inlineStr">
        <is>
          <t>E8.10</t>
        </is>
      </c>
      <c r="F586" s="15">
        <f>IF(E586&lt;&gt;"","Đã VH","Quy hoạch điện VIII")</f>
        <v/>
      </c>
      <c r="G586" s="16">
        <f>LEFT(B586,FIND(" ",B586,1)-1)</f>
        <v/>
      </c>
      <c r="H586" s="16">
        <f>TRIM(RIGHT(B586,LEN(B586)-FIND(" ",B586,1)))</f>
        <v/>
      </c>
      <c r="I586" s="16">
        <f>_xlfn.XLOOKUP(Table2[[#This Row],[Type]],Table5[Type],Table5[Type2])</f>
        <v/>
      </c>
      <c r="J586" s="16">
        <f>_xlfn.XLOOKUP(Table2[[#This Row],[Sym]],Zones!$A$2:$A$21,Zones!$B$2:$B$21)</f>
        <v/>
      </c>
      <c r="K586" s="21" t="n"/>
    </row>
    <row r="587">
      <c r="A587" s="24" t="n">
        <v>1989</v>
      </c>
      <c r="B587" s="10" t="inlineStr">
        <is>
          <t>T110 Đại An</t>
        </is>
      </c>
      <c r="C587" s="10" t="inlineStr">
        <is>
          <t>TBA 110kV Đại An</t>
        </is>
      </c>
      <c r="D587" s="3" t="inlineStr">
        <is>
          <t>B2</t>
        </is>
      </c>
      <c r="E587" s="9" t="inlineStr">
        <is>
          <t>E8.11</t>
        </is>
      </c>
      <c r="F587" s="15">
        <f>IF(E587&lt;&gt;"","Đã VH","Quy hoạch điện VIII")</f>
        <v/>
      </c>
      <c r="G587" s="16">
        <f>LEFT(B587,FIND(" ",B587,1)-1)</f>
        <v/>
      </c>
      <c r="H587" s="16">
        <f>TRIM(RIGHT(B587,LEN(B587)-FIND(" ",B587,1)))</f>
        <v/>
      </c>
      <c r="I587" s="16">
        <f>_xlfn.XLOOKUP(Table2[[#This Row],[Type]],Table5[Type],Table5[Type2])</f>
        <v/>
      </c>
      <c r="J587" s="16">
        <f>_xlfn.XLOOKUP(Table2[[#This Row],[Sym]],Zones!$A$2:$A$21,Zones!$B$2:$B$21)</f>
        <v/>
      </c>
      <c r="K587" s="21" t="n"/>
    </row>
    <row r="588">
      <c r="A588" s="24" t="n">
        <v>1990</v>
      </c>
      <c r="B588" s="10" t="inlineStr">
        <is>
          <t>T110 Thép Hòa Phát</t>
        </is>
      </c>
      <c r="C588" s="30" t="inlineStr">
        <is>
          <t>TBA 110kV Thép Hoà Phát</t>
        </is>
      </c>
      <c r="D588" s="3" t="inlineStr">
        <is>
          <t>B2</t>
        </is>
      </c>
      <c r="E588" s="9" t="inlineStr">
        <is>
          <t>E8.12</t>
        </is>
      </c>
      <c r="F588" s="15">
        <f>IF(E588&lt;&gt;"","Đã VH","Quy hoạch điện VIII")</f>
        <v/>
      </c>
      <c r="G588" s="16">
        <f>LEFT(B588,FIND(" ",B588,1)-1)</f>
        <v/>
      </c>
      <c r="H588" s="16">
        <f>TRIM(RIGHT(B588,LEN(B588)-FIND(" ",B588,1)))</f>
        <v/>
      </c>
      <c r="I588" s="16">
        <f>_xlfn.XLOOKUP(Table2[[#This Row],[Type]],Table5[Type],Table5[Type2])</f>
        <v/>
      </c>
      <c r="J588" s="16">
        <f>_xlfn.XLOOKUP(Table2[[#This Row],[Sym]],Zones!$A$2:$A$21,Zones!$B$2:$B$21)</f>
        <v/>
      </c>
      <c r="K588" s="21" t="n"/>
      <c r="AD588" t="inlineStr">
        <is>
          <t>Đã sửa từ dashboard (TBA 110kV Thép Hòa Phát ➔ TBA 110kV Thép Hoà Phát)</t>
        </is>
      </c>
    </row>
    <row r="589">
      <c r="A589" s="24" t="n">
        <v>1991</v>
      </c>
      <c r="B589" s="10" t="inlineStr">
        <is>
          <t>T110 Ngọc Sơn</t>
        </is>
      </c>
      <c r="C589" s="10" t="inlineStr">
        <is>
          <t>TBA 110kV Ngọc Sơn</t>
        </is>
      </c>
      <c r="D589" s="3" t="inlineStr">
        <is>
          <t>B2</t>
        </is>
      </c>
      <c r="E589" s="9" t="inlineStr">
        <is>
          <t>E8.13</t>
        </is>
      </c>
      <c r="F589" s="15">
        <f>IF(E589&lt;&gt;"","Đã VH","Quy hoạch điện VIII")</f>
        <v/>
      </c>
      <c r="G589" s="16">
        <f>LEFT(B589,FIND(" ",B589,1)-1)</f>
        <v/>
      </c>
      <c r="H589" s="16">
        <f>TRIM(RIGHT(B589,LEN(B589)-FIND(" ",B589,1)))</f>
        <v/>
      </c>
      <c r="I589" s="16">
        <f>_xlfn.XLOOKUP(Table2[[#This Row],[Type]],Table5[Type],Table5[Type2])</f>
        <v/>
      </c>
      <c r="J589" s="16">
        <f>_xlfn.XLOOKUP(Table2[[#This Row],[Sym]],Zones!$A$2:$A$21,Zones!$B$2:$B$21)</f>
        <v/>
      </c>
      <c r="K589" s="21" t="n"/>
    </row>
    <row r="590">
      <c r="A590" s="24" t="n">
        <v>1992</v>
      </c>
      <c r="B590" s="10" t="inlineStr">
        <is>
          <t>T110 Thanh Miện</t>
        </is>
      </c>
      <c r="C590" s="10" t="inlineStr">
        <is>
          <t>TBA 110kV Thanh Miện</t>
        </is>
      </c>
      <c r="D590" s="3" t="inlineStr">
        <is>
          <t>B2</t>
        </is>
      </c>
      <c r="E590" s="9" t="inlineStr">
        <is>
          <t>E8.14</t>
        </is>
      </c>
      <c r="F590" s="15">
        <f>IF(E590&lt;&gt;"","Đã VH","Quy hoạch điện VIII")</f>
        <v/>
      </c>
      <c r="G590" s="16">
        <f>LEFT(B590,FIND(" ",B590,1)-1)</f>
        <v/>
      </c>
      <c r="H590" s="16">
        <f>TRIM(RIGHT(B590,LEN(B590)-FIND(" ",B590,1)))</f>
        <v/>
      </c>
      <c r="I590" s="16">
        <f>_xlfn.XLOOKUP(Table2[[#This Row],[Type]],Table5[Type],Table5[Type2])</f>
        <v/>
      </c>
      <c r="J590" s="16">
        <f>_xlfn.XLOOKUP(Table2[[#This Row],[Sym]],Zones!$A$2:$A$21,Zones!$B$2:$B$21)</f>
        <v/>
      </c>
      <c r="K590" s="21" t="n"/>
    </row>
    <row r="591">
      <c r="A591" s="24" t="n">
        <v>1993</v>
      </c>
      <c r="B591" s="10" t="inlineStr">
        <is>
          <t>T110 Phúc Điền</t>
        </is>
      </c>
      <c r="C591" s="10" t="inlineStr">
        <is>
          <t>TBA 110kV Phúc Điền</t>
        </is>
      </c>
      <c r="D591" s="3" t="inlineStr">
        <is>
          <t>B2</t>
        </is>
      </c>
      <c r="E591" s="9" t="inlineStr">
        <is>
          <t>E8.15</t>
        </is>
      </c>
      <c r="F591" s="15">
        <f>IF(E591&lt;&gt;"","Đã VH","Quy hoạch điện VIII")</f>
        <v/>
      </c>
      <c r="G591" s="16">
        <f>LEFT(B591,FIND(" ",B591,1)-1)</f>
        <v/>
      </c>
      <c r="H591" s="16">
        <f>TRIM(RIGHT(B591,LEN(B591)-FIND(" ",B591,1)))</f>
        <v/>
      </c>
      <c r="I591" s="16">
        <f>_xlfn.XLOOKUP(Table2[[#This Row],[Type]],Table5[Type],Table5[Type2])</f>
        <v/>
      </c>
      <c r="J591" s="16">
        <f>_xlfn.XLOOKUP(Table2[[#This Row],[Sym]],Zones!$A$2:$A$21,Zones!$B$2:$B$21)</f>
        <v/>
      </c>
      <c r="K591" s="21" t="n"/>
    </row>
    <row r="592">
      <c r="A592" s="24" t="n">
        <v>1994</v>
      </c>
      <c r="B592" s="10" t="inlineStr">
        <is>
          <t>T110 Tiền Trung</t>
        </is>
      </c>
      <c r="C592" s="10" t="inlineStr">
        <is>
          <t>TBA 110kV Tiền Trung</t>
        </is>
      </c>
      <c r="D592" s="3" t="inlineStr">
        <is>
          <t>B2</t>
        </is>
      </c>
      <c r="E592" s="9" t="inlineStr">
        <is>
          <t>E8.16</t>
        </is>
      </c>
      <c r="F592" s="15">
        <f>IF(E592&lt;&gt;"","Đã VH","Quy hoạch điện VIII")</f>
        <v/>
      </c>
      <c r="G592" s="16">
        <f>LEFT(B592,FIND(" ",B592,1)-1)</f>
        <v/>
      </c>
      <c r="H592" s="16">
        <f>TRIM(RIGHT(B592,LEN(B592)-FIND(" ",B592,1)))</f>
        <v/>
      </c>
      <c r="I592" s="16">
        <f>_xlfn.XLOOKUP(Table2[[#This Row],[Type]],Table5[Type],Table5[Type2])</f>
        <v/>
      </c>
      <c r="J592" s="16">
        <f>_xlfn.XLOOKUP(Table2[[#This Row],[Sym]],Zones!$A$2:$A$21,Zones!$B$2:$B$21)</f>
        <v/>
      </c>
      <c r="K592" s="21" t="n"/>
    </row>
    <row r="593">
      <c r="A593" s="24" t="n">
        <v>1995</v>
      </c>
      <c r="B593" s="10" t="inlineStr">
        <is>
          <t>T110 Sic Hải Dương</t>
        </is>
      </c>
      <c r="C593" s="10" t="inlineStr">
        <is>
          <t>TBA 110kV Sic Hải Dương</t>
        </is>
      </c>
      <c r="D593" s="3" t="inlineStr">
        <is>
          <t>B2</t>
        </is>
      </c>
      <c r="E593" s="9" t="inlineStr">
        <is>
          <t>E.17</t>
        </is>
      </c>
      <c r="F593" s="15">
        <f>IF(E593&lt;&gt;"","Đã VH","Quy hoạch điện VIII")</f>
        <v/>
      </c>
      <c r="G593" s="16">
        <f>LEFT(B593,FIND(" ",B593,1)-1)</f>
        <v/>
      </c>
      <c r="H593" s="16">
        <f>TRIM(RIGHT(B593,LEN(B593)-FIND(" ",B593,1)))</f>
        <v/>
      </c>
      <c r="I593" s="16">
        <f>_xlfn.XLOOKUP(Table2[[#This Row],[Type]],Table5[Type],Table5[Type2])</f>
        <v/>
      </c>
      <c r="J593" s="16">
        <f>_xlfn.XLOOKUP(Table2[[#This Row],[Sym]],Zones!$A$2:$A$21,Zones!$B$2:$B$21)</f>
        <v/>
      </c>
      <c r="K593" s="21" t="n"/>
    </row>
    <row r="594">
      <c r="A594" s="24" t="n">
        <v>1996</v>
      </c>
      <c r="B594" s="10" t="inlineStr">
        <is>
          <t>T220 Hải Dương 2</t>
        </is>
      </c>
      <c r="C594" s="10" t="inlineStr">
        <is>
          <t>TBA 220kV Hải Dương 2</t>
        </is>
      </c>
      <c r="D594" s="3" t="inlineStr">
        <is>
          <t>B2</t>
        </is>
      </c>
      <c r="E594" s="9" t="inlineStr">
        <is>
          <t>E8.20</t>
        </is>
      </c>
      <c r="F594" s="15">
        <f>IF(E594&lt;&gt;"","Đã VH","Quy hoạch điện VIII")</f>
        <v/>
      </c>
      <c r="G594" s="16">
        <f>LEFT(B594,FIND(" ",B594,1)-1)</f>
        <v/>
      </c>
      <c r="H594" s="16">
        <f>TRIM(RIGHT(B594,LEN(B594)-FIND(" ",B594,1)))</f>
        <v/>
      </c>
      <c r="I594" s="16">
        <f>_xlfn.XLOOKUP(Table2[[#This Row],[Type]],Table5[Type],Table5[Type2])</f>
        <v/>
      </c>
      <c r="J594" s="16">
        <f>_xlfn.XLOOKUP(Table2[[#This Row],[Sym]],Zones!$A$2:$A$21,Zones!$B$2:$B$21)</f>
        <v/>
      </c>
      <c r="K594" s="21" t="n"/>
    </row>
    <row r="595">
      <c r="A595" s="24" t="n">
        <v>1997</v>
      </c>
      <c r="B595" s="10" t="inlineStr">
        <is>
          <t>NĐ Phả Lại</t>
        </is>
      </c>
      <c r="C595" s="10" t="inlineStr">
        <is>
          <t xml:space="preserve"> Phả Lại</t>
        </is>
      </c>
      <c r="D595" s="3" t="inlineStr">
        <is>
          <t>B2</t>
        </is>
      </c>
      <c r="E595" s="9" t="inlineStr">
        <is>
          <t>A80</t>
        </is>
      </c>
      <c r="F595" s="15">
        <f>IF(E595&lt;&gt;"","Đã VH","Quy hoạch điện VIII")</f>
        <v/>
      </c>
      <c r="G595" s="16">
        <f>LEFT(B595,FIND(" ",B595,1)-1)</f>
        <v/>
      </c>
      <c r="H595" s="16">
        <f>TRIM(RIGHT(B595,LEN(B595)-FIND(" ",B595,1)))</f>
        <v/>
      </c>
      <c r="I595" s="16">
        <f>_xlfn.XLOOKUP(Table2[[#This Row],[Type]],Table5[Type],Table5[Type2])</f>
        <v/>
      </c>
      <c r="J595" s="16">
        <f>_xlfn.XLOOKUP(Table2[[#This Row],[Sym]],Zones!$A$2:$A$21,Zones!$B$2:$B$21)</f>
        <v/>
      </c>
      <c r="K595" s="21" t="n"/>
    </row>
    <row r="596">
      <c r="A596" s="24" t="n">
        <v>1998</v>
      </c>
      <c r="B596" s="10" t="inlineStr">
        <is>
          <t>T110 Nguyên Giáp</t>
        </is>
      </c>
      <c r="C596" s="10" t="inlineStr">
        <is>
          <t>TBA 110kV Nguyên Giáp</t>
        </is>
      </c>
      <c r="D596" s="3" t="inlineStr">
        <is>
          <t>B2</t>
        </is>
      </c>
      <c r="E596" s="9" t="inlineStr">
        <is>
          <t>E8.19</t>
        </is>
      </c>
      <c r="F596" s="15">
        <f>IF(E596&lt;&gt;"","Đã VH","Quy hoạch điện VIII")</f>
        <v/>
      </c>
      <c r="G596" s="16">
        <f>LEFT(B596,FIND(" ",B596,1)-1)</f>
        <v/>
      </c>
      <c r="H596" s="16">
        <f>TRIM(RIGHT(B596,LEN(B596)-FIND(" ",B596,1)))</f>
        <v/>
      </c>
      <c r="I596" s="16">
        <f>_xlfn.XLOOKUP(Table2[[#This Row],[Type]],Table5[Type],Table5[Type2])</f>
        <v/>
      </c>
      <c r="J596" s="16">
        <f>_xlfn.XLOOKUP(Table2[[#This Row],[Sym]],Zones!$A$2:$A$21,Zones!$B$2:$B$21)</f>
        <v/>
      </c>
      <c r="K596" s="21" t="n"/>
    </row>
    <row r="597">
      <c r="A597" s="24" t="n">
        <v>1999</v>
      </c>
      <c r="B597" s="10" t="inlineStr">
        <is>
          <t>T110 Kim Thành</t>
        </is>
      </c>
      <c r="C597" s="10" t="inlineStr">
        <is>
          <t>TBA 110kV Kim Thành</t>
        </is>
      </c>
      <c r="D597" s="3" t="inlineStr">
        <is>
          <t>B2</t>
        </is>
      </c>
      <c r="E597" s="9" t="inlineStr">
        <is>
          <t>E8.22</t>
        </is>
      </c>
      <c r="F597" s="15">
        <f>IF(E597&lt;&gt;"","Đã VH","Quy hoạch điện VIII")</f>
        <v/>
      </c>
      <c r="G597" s="16">
        <f>LEFT(B597,FIND(" ",B597,1)-1)</f>
        <v/>
      </c>
      <c r="H597" s="16">
        <f>TRIM(RIGHT(B597,LEN(B597)-FIND(" ",B597,1)))</f>
        <v/>
      </c>
      <c r="I597" s="16">
        <f>_xlfn.XLOOKUP(Table2[[#This Row],[Type]],Table5[Type],Table5[Type2])</f>
        <v/>
      </c>
      <c r="J597" s="16">
        <f>_xlfn.XLOOKUP(Table2[[#This Row],[Sym]],Zones!$A$2:$A$21,Zones!$B$2:$B$21)</f>
        <v/>
      </c>
      <c r="K597" s="21" t="n"/>
    </row>
    <row r="598">
      <c r="A598" s="24" t="n">
        <v>2000</v>
      </c>
      <c r="B598" s="10" t="inlineStr">
        <is>
          <t>T110 Cẩm Điền</t>
        </is>
      </c>
      <c r="C598" s="10" t="inlineStr">
        <is>
          <t>TBA 110kV Cẩm Điền</t>
        </is>
      </c>
      <c r="D598" s="3" t="inlineStr">
        <is>
          <t>B2</t>
        </is>
      </c>
      <c r="E598" s="9" t="inlineStr">
        <is>
          <t>E8.21</t>
        </is>
      </c>
      <c r="F598" s="15">
        <f>IF(E598&lt;&gt;"","Đã VH","Quy hoạch điện VIII")</f>
        <v/>
      </c>
      <c r="G598" s="16">
        <f>LEFT(B598,FIND(" ",B598,1)-1)</f>
        <v/>
      </c>
      <c r="H598" s="16">
        <f>TRIM(RIGHT(B598,LEN(B598)-FIND(" ",B598,1)))</f>
        <v/>
      </c>
      <c r="I598" s="16">
        <f>_xlfn.XLOOKUP(Table2[[#This Row],[Type]],Table5[Type],Table5[Type2])</f>
        <v/>
      </c>
      <c r="J598" s="16">
        <f>_xlfn.XLOOKUP(Table2[[#This Row],[Sym]],Zones!$A$2:$A$21,Zones!$B$2:$B$21)</f>
        <v/>
      </c>
      <c r="K598" s="21" t="n"/>
    </row>
    <row r="599">
      <c r="A599" s="24" t="n">
        <v>2001</v>
      </c>
      <c r="B599" s="10" t="inlineStr">
        <is>
          <t>T110 Cộng Hòa</t>
        </is>
      </c>
      <c r="C599" s="10" t="inlineStr">
        <is>
          <t>TBA 110kV Cộng Hòa</t>
        </is>
      </c>
      <c r="D599" s="3" t="inlineStr">
        <is>
          <t>B2</t>
        </is>
      </c>
      <c r="E599" s="9" t="inlineStr">
        <is>
          <t>E8.18</t>
        </is>
      </c>
      <c r="F599" s="15">
        <f>IF(E599&lt;&gt;"","Đã VH","Quy hoạch điện VIII")</f>
        <v/>
      </c>
      <c r="G599" s="16">
        <f>LEFT(B599,FIND(" ",B599,1)-1)</f>
        <v/>
      </c>
      <c r="H599" s="16">
        <f>TRIM(RIGHT(B599,LEN(B599)-FIND(" ",B599,1)))</f>
        <v/>
      </c>
      <c r="I599" s="16">
        <f>_xlfn.XLOOKUP(Table2[[#This Row],[Type]],Table5[Type],Table5[Type2])</f>
        <v/>
      </c>
      <c r="J599" s="16">
        <f>_xlfn.XLOOKUP(Table2[[#This Row],[Sym]],Zones!$A$2:$A$21,Zones!$B$2:$B$21)</f>
        <v/>
      </c>
      <c r="K599" s="21" t="n"/>
    </row>
    <row r="600">
      <c r="A600" s="24" t="n">
        <v>2002</v>
      </c>
      <c r="B600" s="10" t="inlineStr">
        <is>
          <t>T110 Nam Sách</t>
        </is>
      </c>
      <c r="C600" s="10" t="inlineStr">
        <is>
          <t>TBA 110kV Nam Sách</t>
        </is>
      </c>
      <c r="D600" s="3" t="inlineStr">
        <is>
          <t>B2</t>
        </is>
      </c>
      <c r="E600" s="9" t="inlineStr">
        <is>
          <t>E8.24</t>
        </is>
      </c>
      <c r="F600" s="15">
        <f>IF(E600&lt;&gt;"","Đã VH","Quy hoạch điện VIII")</f>
        <v/>
      </c>
      <c r="G600" s="16">
        <f>LEFT(B600,FIND(" ",B600,1)-1)</f>
        <v/>
      </c>
      <c r="H600" s="16">
        <f>TRIM(RIGHT(B600,LEN(B600)-FIND(" ",B600,1)))</f>
        <v/>
      </c>
      <c r="I600" s="16">
        <f>_xlfn.XLOOKUP(Table2[[#This Row],[Type]],Table5[Type],Table5[Type2])</f>
        <v/>
      </c>
      <c r="J600" s="16">
        <f>_xlfn.XLOOKUP(Table2[[#This Row],[Sym]],Zones!$A$2:$A$21,Zones!$B$2:$B$21)</f>
        <v/>
      </c>
      <c r="K600" s="21" t="n"/>
    </row>
    <row r="601">
      <c r="A601" s="24" t="n">
        <v>2003</v>
      </c>
      <c r="B601" s="10" t="inlineStr">
        <is>
          <t>T110 Tân Trường</t>
        </is>
      </c>
      <c r="C601" s="10" t="inlineStr">
        <is>
          <t>TBA 110kV Tân Trường</t>
        </is>
      </c>
      <c r="D601" s="3" t="inlineStr">
        <is>
          <t>B2</t>
        </is>
      </c>
      <c r="E601" s="9" t="inlineStr">
        <is>
          <t>E8.26</t>
        </is>
      </c>
      <c r="F601" s="15">
        <f>IF(E601&lt;&gt;"","Đã VH","Quy hoạch điện VIII")</f>
        <v/>
      </c>
      <c r="G601" s="16">
        <f>LEFT(B601,FIND(" ",B601,1)-1)</f>
        <v/>
      </c>
      <c r="H601" s="16">
        <f>TRIM(RIGHT(B601,LEN(B601)-FIND(" ",B601,1)))</f>
        <v/>
      </c>
      <c r="I601" s="16">
        <f>_xlfn.XLOOKUP(Table2[[#This Row],[Type]],Table5[Type],Table5[Type2])</f>
        <v/>
      </c>
      <c r="J601" s="16">
        <f>_xlfn.XLOOKUP(Table2[[#This Row],[Sym]],Zones!$A$2:$A$21,Zones!$B$2:$B$21)</f>
        <v/>
      </c>
      <c r="K601" s="21" t="n"/>
    </row>
    <row r="602">
      <c r="A602" s="24" t="n">
        <v>2004</v>
      </c>
      <c r="B602" s="10" t="inlineStr">
        <is>
          <t>T110 Thanh Hà</t>
        </is>
      </c>
      <c r="C602" s="10" t="inlineStr">
        <is>
          <t>TBA 110kV Thanh Hà</t>
        </is>
      </c>
      <c r="D602" s="3" t="inlineStr">
        <is>
          <t>B2</t>
        </is>
      </c>
      <c r="E602" s="9" t="inlineStr">
        <is>
          <t>E8.23</t>
        </is>
      </c>
      <c r="F602" s="15">
        <f>IF(E602&lt;&gt;"","Đã VH","Quy hoạch điện VIII")</f>
        <v/>
      </c>
      <c r="G602" s="16">
        <f>LEFT(B602,FIND(" ",B602,1)-1)</f>
        <v/>
      </c>
      <c r="H602" s="16">
        <f>TRIM(RIGHT(B602,LEN(B602)-FIND(" ",B602,1)))</f>
        <v/>
      </c>
      <c r="I602" s="16">
        <f>_xlfn.XLOOKUP(Table2[[#This Row],[Type]],Table5[Type],Table5[Type2])</f>
        <v/>
      </c>
      <c r="J602" s="16">
        <f>_xlfn.XLOOKUP(Table2[[#This Row],[Sym]],Zones!$A$2:$A$21,Zones!$B$2:$B$21)</f>
        <v/>
      </c>
      <c r="K602" s="21" t="n"/>
    </row>
    <row r="603">
      <c r="A603" s="24" t="n">
        <v>2005</v>
      </c>
      <c r="B603" s="10" t="inlineStr">
        <is>
          <t>T110 Nam Sách 2</t>
        </is>
      </c>
      <c r="C603" s="10" t="inlineStr">
        <is>
          <t>TBA 110kV Nam Sách 2</t>
        </is>
      </c>
      <c r="D603" s="3" t="inlineStr">
        <is>
          <t>B2</t>
        </is>
      </c>
      <c r="E603" s="9" t="inlineStr">
        <is>
          <t>E8.28</t>
        </is>
      </c>
      <c r="F603" s="15">
        <f>IF(E603&lt;&gt;"","Đã VH","Quy hoạch điện VIII")</f>
        <v/>
      </c>
      <c r="G603" s="16">
        <f>LEFT(B603,FIND(" ",B603,1)-1)</f>
        <v/>
      </c>
      <c r="H603" s="16">
        <f>TRIM(RIGHT(B603,LEN(B603)-FIND(" ",B603,1)))</f>
        <v/>
      </c>
      <c r="I603" s="16">
        <f>_xlfn.XLOOKUP(Table2[[#This Row],[Type]],Table5[Type],Table5[Type2])</f>
        <v/>
      </c>
      <c r="J603" s="16">
        <f>_xlfn.XLOOKUP(Table2[[#This Row],[Sym]],Zones!$A$2:$A$21,Zones!$B$2:$B$21)</f>
        <v/>
      </c>
      <c r="K603" s="21" t="n"/>
    </row>
    <row r="604">
      <c r="A604" s="24" t="n">
        <v>2006</v>
      </c>
      <c r="B604" s="10" t="inlineStr">
        <is>
          <t>T110 Tân Trường 2</t>
        </is>
      </c>
      <c r="C604" s="10" t="inlineStr">
        <is>
          <t>TBA 110kV Tân Trường 2</t>
        </is>
      </c>
      <c r="D604" s="3" t="inlineStr">
        <is>
          <t>B2</t>
        </is>
      </c>
      <c r="E604" s="9" t="n"/>
      <c r="F604" s="15">
        <f>IF(E604&lt;&gt;"","Đã VH","Quy hoạch điện VIII")</f>
        <v/>
      </c>
      <c r="G604" s="16">
        <f>LEFT(B604,FIND(" ",B604,1)-1)</f>
        <v/>
      </c>
      <c r="H604" s="16">
        <f>TRIM(RIGHT(B604,LEN(B604)-FIND(" ",B604,1)))</f>
        <v/>
      </c>
      <c r="I604" s="16">
        <f>_xlfn.XLOOKUP(Table2[[#This Row],[Type]],Table5[Type],Table5[Type2])</f>
        <v/>
      </c>
      <c r="J604" s="16">
        <f>_xlfn.XLOOKUP(Table2[[#This Row],[Sym]],Zones!$A$2:$A$21,Zones!$B$2:$B$21)</f>
        <v/>
      </c>
      <c r="K604" s="21" t="n"/>
    </row>
    <row r="605">
      <c r="A605" s="24" t="n">
        <v>2007</v>
      </c>
      <c r="B605" s="10" t="inlineStr">
        <is>
          <t>T110 KĐT phía Nam</t>
        </is>
      </c>
      <c r="C605" s="10" t="inlineStr">
        <is>
          <t>TBA 110kV KĐT phía Nam</t>
        </is>
      </c>
      <c r="D605" s="3" t="inlineStr">
        <is>
          <t>B2</t>
        </is>
      </c>
      <c r="E605" s="9" t="n"/>
      <c r="F605" s="15">
        <f>IF(E605&lt;&gt;"","Đã VH","Quy hoạch điện VIII")</f>
        <v/>
      </c>
      <c r="G605" s="16">
        <f>LEFT(B605,FIND(" ",B605,1)-1)</f>
        <v/>
      </c>
      <c r="H605" s="16">
        <f>TRIM(RIGHT(B605,LEN(B605)-FIND(" ",B605,1)))</f>
        <v/>
      </c>
      <c r="I605" s="16">
        <f>_xlfn.XLOOKUP(Table2[[#This Row],[Type]],Table5[Type],Table5[Type2])</f>
        <v/>
      </c>
      <c r="J605" s="16">
        <f>_xlfn.XLOOKUP(Table2[[#This Row],[Sym]],Zones!$A$2:$A$21,Zones!$B$2:$B$21)</f>
        <v/>
      </c>
      <c r="K605" s="21" t="n"/>
    </row>
    <row r="606">
      <c r="A606" s="24" t="n">
        <v>2008</v>
      </c>
      <c r="B606" s="10" t="inlineStr">
        <is>
          <t>T110 NC Hải Dương</t>
        </is>
      </c>
      <c r="C606" s="10" t="inlineStr">
        <is>
          <t>TBA 110kV NC Hải Dương</t>
        </is>
      </c>
      <c r="D606" s="3" t="inlineStr">
        <is>
          <t>B2</t>
        </is>
      </c>
      <c r="E606" s="9" t="n"/>
      <c r="F606" s="15">
        <f>IF(E606&lt;&gt;"","Đã VH","Quy hoạch điện VIII")</f>
        <v/>
      </c>
      <c r="G606" s="16">
        <f>LEFT(B606,FIND(" ",B606,1)-1)</f>
        <v/>
      </c>
      <c r="H606" s="16">
        <f>TRIM(RIGHT(B606,LEN(B606)-FIND(" ",B606,1)))</f>
        <v/>
      </c>
      <c r="I606" s="16">
        <f>_xlfn.XLOOKUP(Table2[[#This Row],[Type]],Table5[Type],Table5[Type2])</f>
        <v/>
      </c>
      <c r="J606" s="16">
        <f>_xlfn.XLOOKUP(Table2[[#This Row],[Sym]],Zones!$A$2:$A$21,Zones!$B$2:$B$21)</f>
        <v/>
      </c>
      <c r="K606" s="21" t="n"/>
    </row>
    <row r="607">
      <c r="A607" s="24" t="n">
        <v>2009</v>
      </c>
      <c r="B607" s="10" t="inlineStr">
        <is>
          <t>T110 Cẩm Giàng</t>
        </is>
      </c>
      <c r="C607" s="10" t="inlineStr">
        <is>
          <t>TBA 110kV Cẩm Giàng</t>
        </is>
      </c>
      <c r="D607" s="3" t="inlineStr">
        <is>
          <t>B2</t>
        </is>
      </c>
      <c r="E607" s="9" t="n"/>
      <c r="F607" s="15">
        <f>IF(E607&lt;&gt;"","Đã VH","Quy hoạch điện VIII")</f>
        <v/>
      </c>
      <c r="G607" s="16">
        <f>LEFT(B607,FIND(" ",B607,1)-1)</f>
        <v/>
      </c>
      <c r="H607" s="16">
        <f>TRIM(RIGHT(B607,LEN(B607)-FIND(" ",B607,1)))</f>
        <v/>
      </c>
      <c r="I607" s="16">
        <f>_xlfn.XLOOKUP(Table2[[#This Row],[Type]],Table5[Type],Table5[Type2])</f>
        <v/>
      </c>
      <c r="J607" s="16">
        <f>_xlfn.XLOOKUP(Table2[[#This Row],[Sym]],Zones!$A$2:$A$21,Zones!$B$2:$B$21)</f>
        <v/>
      </c>
      <c r="K607" s="21" t="n"/>
    </row>
    <row r="608">
      <c r="A608" s="24" t="n">
        <v>2010</v>
      </c>
      <c r="B608" s="10" t="inlineStr">
        <is>
          <t>T220 Gia Lộc</t>
        </is>
      </c>
      <c r="C608" s="10" t="inlineStr">
        <is>
          <t>TBA 220kV Gia Lộc</t>
        </is>
      </c>
      <c r="D608" s="3" t="inlineStr">
        <is>
          <t>B2</t>
        </is>
      </c>
      <c r="E608" s="9" t="inlineStr">
        <is>
          <t>E8.35</t>
        </is>
      </c>
      <c r="F608" s="15">
        <f>IF(E608&lt;&gt;"","Đã VH","Quy hoạch điện VIII")</f>
        <v/>
      </c>
      <c r="G608" s="16">
        <f>LEFT(B608,FIND(" ",B608,1)-1)</f>
        <v/>
      </c>
      <c r="H608" s="16">
        <f>TRIM(RIGHT(B608,LEN(B608)-FIND(" ",B608,1)))</f>
        <v/>
      </c>
      <c r="I608" s="16">
        <f>_xlfn.XLOOKUP(Table2[[#This Row],[Type]],Table5[Type],Table5[Type2])</f>
        <v/>
      </c>
      <c r="J608" s="16">
        <f>_xlfn.XLOOKUP(Table2[[#This Row],[Sym]],Zones!$A$2:$A$21,Zones!$B$2:$B$21)</f>
        <v/>
      </c>
      <c r="K608" s="21" t="n"/>
    </row>
    <row r="609">
      <c r="A609" s="24" t="n">
        <v>2011</v>
      </c>
      <c r="B609" s="10" t="inlineStr">
        <is>
          <t>T220 Tứ Kỳ</t>
        </is>
      </c>
      <c r="C609" s="10" t="inlineStr">
        <is>
          <t>TBA 220kV Tứ Kỳ</t>
        </is>
      </c>
      <c r="D609" s="3" t="inlineStr">
        <is>
          <t>B2</t>
        </is>
      </c>
      <c r="E609" s="9" t="n"/>
      <c r="F609" s="15">
        <f>IF(E609&lt;&gt;"","Đã VH","Quy hoạch điện VIII")</f>
        <v/>
      </c>
      <c r="G609" s="16">
        <f>LEFT(B609,FIND(" ",B609,1)-1)</f>
        <v/>
      </c>
      <c r="H609" s="16">
        <f>TRIM(RIGHT(B609,LEN(B609)-FIND(" ",B609,1)))</f>
        <v/>
      </c>
      <c r="I609" s="16">
        <f>_xlfn.XLOOKUP(Table2[[#This Row],[Type]],Table5[Type],Table5[Type2])</f>
        <v/>
      </c>
      <c r="J609" s="16">
        <f>_xlfn.XLOOKUP(Table2[[#This Row],[Sym]],Zones!$A$2:$A$21,Zones!$B$2:$B$21)</f>
        <v/>
      </c>
      <c r="K609" s="21" t="n"/>
    </row>
    <row r="610">
      <c r="A610" s="24" t="n">
        <v>2012</v>
      </c>
      <c r="B610" s="10" t="inlineStr">
        <is>
          <t>T220 Tân Việt</t>
        </is>
      </c>
      <c r="C610" s="10" t="inlineStr">
        <is>
          <t>TBA 220kV Tân Việt</t>
        </is>
      </c>
      <c r="D610" s="3" t="inlineStr">
        <is>
          <t>B2</t>
        </is>
      </c>
      <c r="E610" s="9" t="n"/>
      <c r="F610" s="15">
        <f>IF(E610&lt;&gt;"","Đã VH","Quy hoạch điện VIII")</f>
        <v/>
      </c>
      <c r="G610" s="16">
        <f>LEFT(B610,FIND(" ",B610,1)-1)</f>
        <v/>
      </c>
      <c r="H610" s="16">
        <f>TRIM(RIGHT(B610,LEN(B610)-FIND(" ",B610,1)))</f>
        <v/>
      </c>
      <c r="I610" s="16">
        <f>_xlfn.XLOOKUP(Table2[[#This Row],[Type]],Table5[Type],Table5[Type2])</f>
        <v/>
      </c>
      <c r="J610" s="16">
        <f>_xlfn.XLOOKUP(Table2[[#This Row],[Sym]],Zones!$A$2:$A$21,Zones!$B$2:$B$21)</f>
        <v/>
      </c>
      <c r="K610" s="21" t="n"/>
    </row>
    <row r="611">
      <c r="A611" s="24" t="n">
        <v>2013</v>
      </c>
      <c r="B611" s="10" t="inlineStr">
        <is>
          <t>T220 Thanh Hà</t>
        </is>
      </c>
      <c r="C611" s="10" t="inlineStr">
        <is>
          <t>TBA 220kV Thanh Hà</t>
        </is>
      </c>
      <c r="D611" s="3" t="inlineStr">
        <is>
          <t>B2</t>
        </is>
      </c>
      <c r="E611" s="9" t="n"/>
      <c r="F611" s="15">
        <f>IF(E611&lt;&gt;"","Đã VH","Quy hoạch điện VIII")</f>
        <v/>
      </c>
      <c r="G611" s="16">
        <f>LEFT(B611,FIND(" ",B611,1)-1)</f>
        <v/>
      </c>
      <c r="H611" s="16">
        <f>TRIM(RIGHT(B611,LEN(B611)-FIND(" ",B611,1)))</f>
        <v/>
      </c>
      <c r="I611" s="16">
        <f>_xlfn.XLOOKUP(Table2[[#This Row],[Type]],Table5[Type],Table5[Type2])</f>
        <v/>
      </c>
      <c r="J611" s="16">
        <f>_xlfn.XLOOKUP(Table2[[#This Row],[Sym]],Zones!$A$2:$A$21,Zones!$B$2:$B$21)</f>
        <v/>
      </c>
      <c r="K611" s="21" t="n"/>
    </row>
    <row r="612">
      <c r="A612" s="24" t="n">
        <v>2014</v>
      </c>
      <c r="B612" s="10" t="inlineStr">
        <is>
          <t>T110 Cẩm Giàng 2</t>
        </is>
      </c>
      <c r="C612" s="10" t="inlineStr">
        <is>
          <t>TBA 110kV Cẩm Giàng 2</t>
        </is>
      </c>
      <c r="D612" s="3" t="inlineStr">
        <is>
          <t>B2</t>
        </is>
      </c>
      <c r="E612" s="9" t="n"/>
      <c r="F612" s="15">
        <f>IF(E612&lt;&gt;"","Đã VH","Quy hoạch điện VIII")</f>
        <v/>
      </c>
      <c r="G612" s="16">
        <f>LEFT(B612,FIND(" ",B612,1)-1)</f>
        <v/>
      </c>
      <c r="H612" s="16">
        <f>TRIM(RIGHT(B612,LEN(B612)-FIND(" ",B612,1)))</f>
        <v/>
      </c>
      <c r="I612" s="16">
        <f>_xlfn.XLOOKUP(Table2[[#This Row],[Type]],Table5[Type],Table5[Type2])</f>
        <v/>
      </c>
      <c r="J612" s="16">
        <f>_xlfn.XLOOKUP(Table2[[#This Row],[Sym]],Zones!$A$2:$A$21,Zones!$B$2:$B$21)</f>
        <v/>
      </c>
      <c r="K612" s="21" t="n"/>
    </row>
    <row r="613">
      <c r="A613" s="24" t="n">
        <v>2015</v>
      </c>
      <c r="B613" s="10" t="inlineStr">
        <is>
          <t>T110 Ecopark</t>
        </is>
      </c>
      <c r="C613" s="10" t="inlineStr">
        <is>
          <t>TBA 110kV Ecopark</t>
        </is>
      </c>
      <c r="D613" s="3" t="inlineStr">
        <is>
          <t>B2</t>
        </is>
      </c>
      <c r="E613" s="9" t="n"/>
      <c r="F613" s="15">
        <f>IF(E613&lt;&gt;"","Đã VH","Quy hoạch điện VIII")</f>
        <v/>
      </c>
      <c r="G613" s="16">
        <f>LEFT(B613,FIND(" ",B613,1)-1)</f>
        <v/>
      </c>
      <c r="H613" s="16">
        <f>TRIM(RIGHT(B613,LEN(B613)-FIND(" ",B613,1)))</f>
        <v/>
      </c>
      <c r="I613" s="16">
        <f>_xlfn.XLOOKUP(Table2[[#This Row],[Type]],Table5[Type],Table5[Type2])</f>
        <v/>
      </c>
      <c r="J613" s="16">
        <f>_xlfn.XLOOKUP(Table2[[#This Row],[Sym]],Zones!$A$2:$A$21,Zones!$B$2:$B$21)</f>
        <v/>
      </c>
      <c r="K613" s="21" t="n"/>
    </row>
    <row r="614">
      <c r="A614" s="24" t="n">
        <v>2016</v>
      </c>
      <c r="B614" s="10" t="inlineStr">
        <is>
          <t>T110 Nam Sách 3</t>
        </is>
      </c>
      <c r="C614" s="10" t="inlineStr">
        <is>
          <t>TBA 110kV Nam Sách 3</t>
        </is>
      </c>
      <c r="D614" s="3" t="inlineStr">
        <is>
          <t>B2</t>
        </is>
      </c>
      <c r="E614" s="9" t="n"/>
      <c r="F614" s="15">
        <f>IF(E614&lt;&gt;"","Đã VH","Quy hoạch điện VIII")</f>
        <v/>
      </c>
      <c r="G614" s="16">
        <f>LEFT(B614,FIND(" ",B614,1)-1)</f>
        <v/>
      </c>
      <c r="H614" s="16">
        <f>TRIM(RIGHT(B614,LEN(B614)-FIND(" ",B614,1)))</f>
        <v/>
      </c>
      <c r="I614" s="16">
        <f>_xlfn.XLOOKUP(Table2[[#This Row],[Type]],Table5[Type],Table5[Type2])</f>
        <v/>
      </c>
      <c r="J614" s="16">
        <f>_xlfn.XLOOKUP(Table2[[#This Row],[Sym]],Zones!$A$2:$A$21,Zones!$B$2:$B$21)</f>
        <v/>
      </c>
      <c r="K614" s="21" t="n"/>
    </row>
    <row r="615">
      <c r="A615" s="24" t="n">
        <v>2017</v>
      </c>
      <c r="B615" s="10" t="inlineStr">
        <is>
          <t>T110 Kim Thành 3</t>
        </is>
      </c>
      <c r="C615" s="10" t="inlineStr">
        <is>
          <t>TBA 110kV Kim Thành 3</t>
        </is>
      </c>
      <c r="D615" s="3" t="inlineStr">
        <is>
          <t>B2</t>
        </is>
      </c>
      <c r="E615" s="9" t="n"/>
      <c r="F615" s="15">
        <f>IF(E615&lt;&gt;"","Đã VH","Quy hoạch điện VIII")</f>
        <v/>
      </c>
      <c r="G615" s="16">
        <f>LEFT(B615,FIND(" ",B615,1)-1)</f>
        <v/>
      </c>
      <c r="H615" s="16">
        <f>TRIM(RIGHT(B615,LEN(B615)-FIND(" ",B615,1)))</f>
        <v/>
      </c>
      <c r="I615" s="16">
        <f>_xlfn.XLOOKUP(Table2[[#This Row],[Type]],Table5[Type],Table5[Type2])</f>
        <v/>
      </c>
      <c r="J615" s="16">
        <f>_xlfn.XLOOKUP(Table2[[#This Row],[Sym]],Zones!$A$2:$A$21,Zones!$B$2:$B$21)</f>
        <v/>
      </c>
      <c r="K615" s="21" t="n"/>
    </row>
    <row r="616">
      <c r="A616" s="24" t="n">
        <v>2018</v>
      </c>
      <c r="B616" s="10" t="inlineStr">
        <is>
          <t>T110 Cộng Hòa 2</t>
        </is>
      </c>
      <c r="C616" s="10" t="inlineStr">
        <is>
          <t>TBA 110kV Cộng Hòa 2</t>
        </is>
      </c>
      <c r="D616" s="3" t="inlineStr">
        <is>
          <t>B2</t>
        </is>
      </c>
      <c r="E616" s="9" t="inlineStr">
        <is>
          <t>E8.27</t>
        </is>
      </c>
      <c r="F616" s="15">
        <f>IF(E616&lt;&gt;"","Đã VH","Quy hoạch điện VIII")</f>
        <v/>
      </c>
      <c r="G616" s="16">
        <f>LEFT(B616,FIND(" ",B616,1)-1)</f>
        <v/>
      </c>
      <c r="H616" s="16">
        <f>TRIM(RIGHT(B616,LEN(B616)-FIND(" ",B616,1)))</f>
        <v/>
      </c>
      <c r="I616" s="16">
        <f>_xlfn.XLOOKUP(Table2[[#This Row],[Type]],Table5[Type],Table5[Type2])</f>
        <v/>
      </c>
      <c r="J616" s="16">
        <f>_xlfn.XLOOKUP(Table2[[#This Row],[Sym]],Zones!$A$2:$A$21,Zones!$B$2:$B$21)</f>
        <v/>
      </c>
      <c r="K616" s="21" t="n"/>
    </row>
    <row r="617">
      <c r="A617" s="24" t="n">
        <v>2019</v>
      </c>
      <c r="B617" s="10" t="inlineStr">
        <is>
          <t>T110 Cộng Hòa 3</t>
        </is>
      </c>
      <c r="C617" s="10" t="inlineStr">
        <is>
          <t>TBA 110kV Cộng Hòa 3</t>
        </is>
      </c>
      <c r="D617" s="3" t="inlineStr">
        <is>
          <t>B2</t>
        </is>
      </c>
      <c r="E617" s="9" t="n"/>
      <c r="F617" s="15">
        <f>IF(E617&lt;&gt;"","Đã VH","Quy hoạch điện VIII")</f>
        <v/>
      </c>
      <c r="G617" s="16">
        <f>LEFT(B617,FIND(" ",B617,1)-1)</f>
        <v/>
      </c>
      <c r="H617" s="16">
        <f>TRIM(RIGHT(B617,LEN(B617)-FIND(" ",B617,1)))</f>
        <v/>
      </c>
      <c r="I617" s="16">
        <f>_xlfn.XLOOKUP(Table2[[#This Row],[Type]],Table5[Type],Table5[Type2])</f>
        <v/>
      </c>
      <c r="J617" s="16">
        <f>_xlfn.XLOOKUP(Table2[[#This Row],[Sym]],Zones!$A$2:$A$21,Zones!$B$2:$B$21)</f>
        <v/>
      </c>
      <c r="K617" s="21" t="n"/>
    </row>
    <row r="618">
      <c r="A618" s="24" t="n">
        <v>2020</v>
      </c>
      <c r="B618" s="10" t="inlineStr">
        <is>
          <t>NĐ Hải Dương</t>
        </is>
      </c>
      <c r="C618" s="10" t="inlineStr">
        <is>
          <t xml:space="preserve"> Hải Dương</t>
        </is>
      </c>
      <c r="D618" s="3" t="inlineStr">
        <is>
          <t>B2</t>
        </is>
      </c>
      <c r="E618" s="9" t="inlineStr">
        <is>
          <t>A8.25</t>
        </is>
      </c>
      <c r="F618" s="15">
        <f>IF(E618&lt;&gt;"","Đã VH","Quy hoạch điện VIII")</f>
        <v/>
      </c>
      <c r="G618" s="16">
        <f>LEFT(B618,FIND(" ",B618,1)-1)</f>
        <v/>
      </c>
      <c r="H618" s="16">
        <f>TRIM(RIGHT(B618,LEN(B618)-FIND(" ",B618,1)))</f>
        <v/>
      </c>
      <c r="I618" s="16">
        <f>_xlfn.XLOOKUP(Table2[[#This Row],[Type]],Table5[Type],Table5[Type2])</f>
        <v/>
      </c>
      <c r="J618" s="16">
        <f>_xlfn.XLOOKUP(Table2[[#This Row],[Sym]],Zones!$A$2:$A$21,Zones!$B$2:$B$21)</f>
        <v/>
      </c>
      <c r="K618" s="21" t="n"/>
    </row>
    <row r="619">
      <c r="A619" s="24" t="n">
        <v>2021</v>
      </c>
      <c r="B619" s="10" t="inlineStr">
        <is>
          <t>T110 Kinh Môn 3</t>
        </is>
      </c>
      <c r="C619" s="10" t="inlineStr">
        <is>
          <t>TBA 110kV Kinh Môn 3</t>
        </is>
      </c>
      <c r="D619" s="3" t="inlineStr">
        <is>
          <t>B2</t>
        </is>
      </c>
      <c r="E619" s="9" t="n"/>
      <c r="F619" s="15">
        <f>IF(E619&lt;&gt;"","Đã VH","Quy hoạch điện VIII")</f>
        <v/>
      </c>
      <c r="G619" s="16">
        <f>LEFT(B619,FIND(" ",B619,1)-1)</f>
        <v/>
      </c>
      <c r="H619" s="16">
        <f>TRIM(RIGHT(B619,LEN(B619)-FIND(" ",B619,1)))</f>
        <v/>
      </c>
      <c r="I619" s="16">
        <f>_xlfn.XLOOKUP(Table2[[#This Row],[Type]],Table5[Type],Table5[Type2])</f>
        <v/>
      </c>
      <c r="J619" s="16">
        <f>_xlfn.XLOOKUP(Table2[[#This Row],[Sym]],Zones!$A$2:$A$21,Zones!$B$2:$B$21)</f>
        <v/>
      </c>
      <c r="K619" s="21" t="n"/>
    </row>
    <row r="620">
      <c r="A620" s="24" t="n">
        <v>2022</v>
      </c>
      <c r="B620" s="10" t="inlineStr">
        <is>
          <t>T110 Tứ Minh</t>
        </is>
      </c>
      <c r="C620" s="10" t="inlineStr">
        <is>
          <t>TBA 110kV Tứ Minh</t>
        </is>
      </c>
      <c r="D620" s="3" t="inlineStr">
        <is>
          <t>B2</t>
        </is>
      </c>
      <c r="E620" s="9" t="n"/>
      <c r="F620" s="15">
        <f>IF(E620&lt;&gt;"","Đã VH","Quy hoạch điện VIII")</f>
        <v/>
      </c>
      <c r="G620" s="16">
        <f>LEFT(B620,FIND(" ",B620,1)-1)</f>
        <v/>
      </c>
      <c r="H620" s="16">
        <f>TRIM(RIGHT(B620,LEN(B620)-FIND(" ",B620,1)))</f>
        <v/>
      </c>
      <c r="I620" s="16">
        <f>_xlfn.XLOOKUP(Table2[[#This Row],[Type]],Table5[Type],Table5[Type2])</f>
        <v/>
      </c>
      <c r="J620" s="16">
        <f>_xlfn.XLOOKUP(Table2[[#This Row],[Sym]],Zones!$A$2:$A$21,Zones!$B$2:$B$21)</f>
        <v/>
      </c>
      <c r="K620" s="21" t="n"/>
    </row>
    <row r="621">
      <c r="A621" s="24" t="n">
        <v>2023</v>
      </c>
      <c r="B621" s="10" t="inlineStr">
        <is>
          <t>T110 Kinh Môn</t>
        </is>
      </c>
      <c r="C621" s="10" t="inlineStr">
        <is>
          <t>TBA 110kV Kinh Môn</t>
        </is>
      </c>
      <c r="D621" s="3" t="inlineStr">
        <is>
          <t>B2</t>
        </is>
      </c>
      <c r="E621" s="9" t="n"/>
      <c r="F621" s="15">
        <f>IF(E621&lt;&gt;"","Đã VH","Quy hoạch điện VIII")</f>
        <v/>
      </c>
      <c r="G621" s="16">
        <f>LEFT(B621,FIND(" ",B621,1)-1)</f>
        <v/>
      </c>
      <c r="H621" s="16">
        <f>TRIM(RIGHT(B621,LEN(B621)-FIND(" ",B621,1)))</f>
        <v/>
      </c>
      <c r="I621" s="16">
        <f>_xlfn.XLOOKUP(Table2[[#This Row],[Type]],Table5[Type],Table5[Type2])</f>
        <v/>
      </c>
      <c r="J621" s="16">
        <f>_xlfn.XLOOKUP(Table2[[#This Row],[Sym]],Zones!$A$2:$A$21,Zones!$B$2:$B$21)</f>
        <v/>
      </c>
      <c r="K621" s="21" t="n"/>
    </row>
    <row r="622">
      <c r="A622" s="24" t="n">
        <v>2024</v>
      </c>
      <c r="B622" s="10" t="inlineStr">
        <is>
          <t>T110 Rác Chí Linh</t>
        </is>
      </c>
      <c r="C622" s="10" t="inlineStr">
        <is>
          <t>TBA 110kV Rác Chí Linh</t>
        </is>
      </c>
      <c r="D622" s="3" t="inlineStr">
        <is>
          <t>B2</t>
        </is>
      </c>
      <c r="E622" s="9" t="n"/>
      <c r="F622" s="15">
        <f>IF(E622&lt;&gt;"","Đã VH","Quy hoạch điện VIII")</f>
        <v/>
      </c>
      <c r="G622" s="16">
        <f>LEFT(B622,FIND(" ",B622,1)-1)</f>
        <v/>
      </c>
      <c r="H622" s="16">
        <f>TRIM(RIGHT(B622,LEN(B622)-FIND(" ",B622,1)))</f>
        <v/>
      </c>
      <c r="I622" s="16">
        <f>_xlfn.XLOOKUP(Table2[[#This Row],[Type]],Table5[Type],Table5[Type2])</f>
        <v/>
      </c>
      <c r="J622" s="16">
        <f>_xlfn.XLOOKUP(Table2[[#This Row],[Sym]],Zones!$A$2:$A$21,Zones!$B$2:$B$21)</f>
        <v/>
      </c>
      <c r="K622" s="21" t="n"/>
    </row>
    <row r="623">
      <c r="A623" s="24" t="n">
        <v>2025</v>
      </c>
      <c r="B623" s="10" t="inlineStr">
        <is>
          <t>T110 Bình Giang</t>
        </is>
      </c>
      <c r="C623" s="10" t="inlineStr">
        <is>
          <t>TBA 110kV Bình Giang</t>
        </is>
      </c>
      <c r="D623" s="3" t="inlineStr">
        <is>
          <t>B2</t>
        </is>
      </c>
      <c r="E623" s="9" t="n"/>
      <c r="F623" s="15">
        <f>IF(E623&lt;&gt;"","Đã VH","Quy hoạch điện VIII")</f>
        <v/>
      </c>
      <c r="G623" s="16">
        <f>LEFT(B623,FIND(" ",B623,1)-1)</f>
        <v/>
      </c>
      <c r="H623" s="16">
        <f>TRIM(RIGHT(B623,LEN(B623)-FIND(" ",B623,1)))</f>
        <v/>
      </c>
      <c r="I623" s="16">
        <f>_xlfn.XLOOKUP(Table2[[#This Row],[Type]],Table5[Type],Table5[Type2])</f>
        <v/>
      </c>
      <c r="J623" s="16">
        <f>_xlfn.XLOOKUP(Table2[[#This Row],[Sym]],Zones!$A$2:$A$21,Zones!$B$2:$B$21)</f>
        <v/>
      </c>
      <c r="K623" s="21" t="n"/>
    </row>
    <row r="624">
      <c r="A624" s="24" t="n">
        <v>2026</v>
      </c>
      <c r="B624" s="10" t="inlineStr">
        <is>
          <t>T110 Kinh Môn 2</t>
        </is>
      </c>
      <c r="C624" s="10" t="inlineStr">
        <is>
          <t>TBA 110kV Kinh Môn 2</t>
        </is>
      </c>
      <c r="D624" s="3" t="inlineStr">
        <is>
          <t>B2</t>
        </is>
      </c>
      <c r="E624" s="9" t="n"/>
      <c r="F624" s="15">
        <f>IF(E624&lt;&gt;"","Đã VH","Quy hoạch điện VIII")</f>
        <v/>
      </c>
      <c r="G624" s="16">
        <f>LEFT(B624,FIND(" ",B624,1)-1)</f>
        <v/>
      </c>
      <c r="H624" s="16">
        <f>TRIM(RIGHT(B624,LEN(B624)-FIND(" ",B624,1)))</f>
        <v/>
      </c>
      <c r="I624" s="16">
        <f>_xlfn.XLOOKUP(Table2[[#This Row],[Type]],Table5[Type],Table5[Type2])</f>
        <v/>
      </c>
      <c r="J624" s="16">
        <f>_xlfn.XLOOKUP(Table2[[#This Row],[Sym]],Zones!$A$2:$A$21,Zones!$B$2:$B$21)</f>
        <v/>
      </c>
      <c r="K624" s="21" t="n"/>
    </row>
    <row r="625">
      <c r="A625" s="24" t="n">
        <v>2027</v>
      </c>
      <c r="B625" s="10" t="inlineStr">
        <is>
          <t>T110 Chí Linh 2</t>
        </is>
      </c>
      <c r="C625" s="10" t="inlineStr">
        <is>
          <t>TBA 110kV Chí Linh 2</t>
        </is>
      </c>
      <c r="D625" s="3" t="inlineStr">
        <is>
          <t>B2</t>
        </is>
      </c>
      <c r="E625" s="9" t="n"/>
      <c r="F625" s="15">
        <f>IF(E625&lt;&gt;"","Đã VH","Quy hoạch điện VIII")</f>
        <v/>
      </c>
      <c r="G625" s="16">
        <f>LEFT(B625,FIND(" ",B625,1)-1)</f>
        <v/>
      </c>
      <c r="H625" s="16">
        <f>TRIM(RIGHT(B625,LEN(B625)-FIND(" ",B625,1)))</f>
        <v/>
      </c>
      <c r="I625" s="16">
        <f>_xlfn.XLOOKUP(Table2[[#This Row],[Type]],Table5[Type],Table5[Type2])</f>
        <v/>
      </c>
      <c r="J625" s="16">
        <f>_xlfn.XLOOKUP(Table2[[#This Row],[Sym]],Zones!$A$2:$A$21,Zones!$B$2:$B$21)</f>
        <v/>
      </c>
      <c r="K625" s="21" t="n"/>
    </row>
    <row r="626">
      <c r="A626" s="24" t="n">
        <v>2028</v>
      </c>
      <c r="B626" s="10" t="inlineStr">
        <is>
          <t>T110 Gia Lộc 2</t>
        </is>
      </c>
      <c r="C626" s="10" t="inlineStr">
        <is>
          <t>TBA 110kV Gia Lộc 2</t>
        </is>
      </c>
      <c r="D626" s="3" t="inlineStr">
        <is>
          <t>B2</t>
        </is>
      </c>
      <c r="E626" s="9" t="n"/>
      <c r="F626" s="15">
        <f>IF(E626&lt;&gt;"","Đã VH","Quy hoạch điện VIII")</f>
        <v/>
      </c>
      <c r="G626" s="16">
        <f>LEFT(B626,FIND(" ",B626,1)-1)</f>
        <v/>
      </c>
      <c r="H626" s="16">
        <f>TRIM(RIGHT(B626,LEN(B626)-FIND(" ",B626,1)))</f>
        <v/>
      </c>
      <c r="I626" s="16">
        <f>_xlfn.XLOOKUP(Table2[[#This Row],[Type]],Table5[Type],Table5[Type2])</f>
        <v/>
      </c>
      <c r="J626" s="16">
        <f>_xlfn.XLOOKUP(Table2[[#This Row],[Sym]],Zones!$A$2:$A$21,Zones!$B$2:$B$21)</f>
        <v/>
      </c>
      <c r="K626" s="21" t="n"/>
    </row>
    <row r="627">
      <c r="A627" s="24" t="n">
        <v>2029</v>
      </c>
      <c r="B627" s="10" t="inlineStr">
        <is>
          <t>T110 Hưng Thái</t>
        </is>
      </c>
      <c r="C627" s="10" t="inlineStr">
        <is>
          <t>TBA 110kV Hưng Thái</t>
        </is>
      </c>
      <c r="D627" s="3" t="inlineStr">
        <is>
          <t>B2</t>
        </is>
      </c>
      <c r="E627" s="9" t="inlineStr">
        <is>
          <t>E8.29</t>
        </is>
      </c>
      <c r="F627" s="15">
        <f>IF(E627&lt;&gt;"","Đã VH","Quy hoạch điện VIII")</f>
        <v/>
      </c>
      <c r="G627" s="16">
        <f>LEFT(B627,FIND(" ",B627,1)-1)</f>
        <v/>
      </c>
      <c r="H627" s="16">
        <f>TRIM(RIGHT(B627,LEN(B627)-FIND(" ",B627,1)))</f>
        <v/>
      </c>
      <c r="I627" s="16">
        <f>_xlfn.XLOOKUP(Table2[[#This Row],[Type]],Table5[Type],Table5[Type2])</f>
        <v/>
      </c>
      <c r="J627" s="16">
        <f>_xlfn.XLOOKUP(Table2[[#This Row],[Sym]],Zones!$A$2:$A$21,Zones!$B$2:$B$21)</f>
        <v/>
      </c>
      <c r="K627" s="21" t="n"/>
    </row>
    <row r="628">
      <c r="A628" s="24" t="n">
        <v>2030</v>
      </c>
      <c r="B628" s="10" t="inlineStr">
        <is>
          <t>T110 Thanh Miện 2</t>
        </is>
      </c>
      <c r="C628" s="10" t="inlineStr">
        <is>
          <t>TBA 110kV Thanh Miện 2</t>
        </is>
      </c>
      <c r="D628" s="3" t="inlineStr">
        <is>
          <t>B2</t>
        </is>
      </c>
      <c r="E628" s="9" t="n"/>
      <c r="F628" s="15">
        <f>IF(E628&lt;&gt;"","Đã VH","Quy hoạch điện VIII")</f>
        <v/>
      </c>
      <c r="G628" s="16">
        <f>LEFT(B628,FIND(" ",B628,1)-1)</f>
        <v/>
      </c>
      <c r="H628" s="16">
        <f>TRIM(RIGHT(B628,LEN(B628)-FIND(" ",B628,1)))</f>
        <v/>
      </c>
      <c r="I628" s="16">
        <f>_xlfn.XLOOKUP(Table2[[#This Row],[Type]],Table5[Type],Table5[Type2])</f>
        <v/>
      </c>
      <c r="J628" s="16">
        <f>_xlfn.XLOOKUP(Table2[[#This Row],[Sym]],Zones!$A$2:$A$21,Zones!$B$2:$B$21)</f>
        <v/>
      </c>
      <c r="K628" s="21" t="n"/>
    </row>
    <row r="629">
      <c r="A629" s="24" t="n">
        <v>2031</v>
      </c>
      <c r="B629" s="10" t="inlineStr">
        <is>
          <t>T110 NC Gia Lộc</t>
        </is>
      </c>
      <c r="C629" s="10" t="inlineStr">
        <is>
          <t>TBA 110kV NC Gia Lộc</t>
        </is>
      </c>
      <c r="D629" s="3" t="inlineStr">
        <is>
          <t>B2</t>
        </is>
      </c>
      <c r="E629" s="9" t="n"/>
      <c r="F629" s="15">
        <f>IF(E629&lt;&gt;"","Đã VH","Quy hoạch điện VIII")</f>
        <v/>
      </c>
      <c r="G629" s="16">
        <f>LEFT(B629,FIND(" ",B629,1)-1)</f>
        <v/>
      </c>
      <c r="H629" s="16">
        <f>TRIM(RIGHT(B629,LEN(B629)-FIND(" ",B629,1)))</f>
        <v/>
      </c>
      <c r="I629" s="16">
        <f>_xlfn.XLOOKUP(Table2[[#This Row],[Type]],Table5[Type],Table5[Type2])</f>
        <v/>
      </c>
      <c r="J629" s="16">
        <f>_xlfn.XLOOKUP(Table2[[#This Row],[Sym]],Zones!$A$2:$A$21,Zones!$B$2:$B$21)</f>
        <v/>
      </c>
      <c r="K629" s="21" t="n"/>
    </row>
    <row r="630">
      <c r="A630" s="24" t="n">
        <v>2032</v>
      </c>
      <c r="B630" s="10" t="inlineStr">
        <is>
          <t>T110 Thanh Giang</t>
        </is>
      </c>
      <c r="C630" s="10" t="inlineStr">
        <is>
          <t>TBA 110kV Thanh Giang</t>
        </is>
      </c>
      <c r="D630" s="3" t="inlineStr">
        <is>
          <t>B2</t>
        </is>
      </c>
      <c r="E630" s="9" t="n"/>
      <c r="F630" s="15">
        <f>IF(E630&lt;&gt;"","Đã VH","Quy hoạch điện VIII")</f>
        <v/>
      </c>
      <c r="G630" s="16">
        <f>LEFT(B630,FIND(" ",B630,1)-1)</f>
        <v/>
      </c>
      <c r="H630" s="16">
        <f>TRIM(RIGHT(B630,LEN(B630)-FIND(" ",B630,1)))</f>
        <v/>
      </c>
      <c r="I630" s="16">
        <f>_xlfn.XLOOKUP(Table2[[#This Row],[Type]],Table5[Type],Table5[Type2])</f>
        <v/>
      </c>
      <c r="J630" s="16">
        <f>_xlfn.XLOOKUP(Table2[[#This Row],[Sym]],Zones!$A$2:$A$21,Zones!$B$2:$B$21)</f>
        <v/>
      </c>
      <c r="K630" s="21" t="n"/>
    </row>
    <row r="631">
      <c r="A631" s="24" t="n">
        <v>2033</v>
      </c>
      <c r="B631" s="10" t="inlineStr">
        <is>
          <t>T110 Thanh Hà 2</t>
        </is>
      </c>
      <c r="C631" s="10" t="inlineStr">
        <is>
          <t>TBA 110kV Thanh Hà 2</t>
        </is>
      </c>
      <c r="D631" s="3" t="inlineStr">
        <is>
          <t>B2</t>
        </is>
      </c>
      <c r="E631" s="9" t="n"/>
      <c r="F631" s="15">
        <f>IF(E631&lt;&gt;"","Đã VH","Quy hoạch điện VIII")</f>
        <v/>
      </c>
      <c r="G631" s="16">
        <f>LEFT(B631,FIND(" ",B631,1)-1)</f>
        <v/>
      </c>
      <c r="H631" s="16">
        <f>TRIM(RIGHT(B631,LEN(B631)-FIND(" ",B631,1)))</f>
        <v/>
      </c>
      <c r="I631" s="16">
        <f>_xlfn.XLOOKUP(Table2[[#This Row],[Type]],Table5[Type],Table5[Type2])</f>
        <v/>
      </c>
      <c r="J631" s="16">
        <f>_xlfn.XLOOKUP(Table2[[#This Row],[Sym]],Zones!$A$2:$A$21,Zones!$B$2:$B$21)</f>
        <v/>
      </c>
      <c r="K631" s="21" t="n"/>
    </row>
    <row r="632">
      <c r="A632" s="24" t="n">
        <v>2034</v>
      </c>
      <c r="B632" s="10" t="inlineStr">
        <is>
          <t>T110 Tàu Thủy</t>
        </is>
      </c>
      <c r="C632" s="10" t="inlineStr">
        <is>
          <t>TBA 110kV Tàu Thủy</t>
        </is>
      </c>
      <c r="D632" s="3" t="inlineStr">
        <is>
          <t>B2</t>
        </is>
      </c>
      <c r="E632" s="9" t="n"/>
      <c r="F632" s="15">
        <f>IF(E632&lt;&gt;"","Đã VH","Quy hoạch điện VIII")</f>
        <v/>
      </c>
      <c r="G632" s="16">
        <f>LEFT(B632,FIND(" ",B632,1)-1)</f>
        <v/>
      </c>
      <c r="H632" s="16">
        <f>TRIM(RIGHT(B632,LEN(B632)-FIND(" ",B632,1)))</f>
        <v/>
      </c>
      <c r="I632" s="16">
        <f>_xlfn.XLOOKUP(Table2[[#This Row],[Type]],Table5[Type],Table5[Type2])</f>
        <v/>
      </c>
      <c r="J632" s="16">
        <f>_xlfn.XLOOKUP(Table2[[#This Row],[Sym]],Zones!$A$2:$A$21,Zones!$B$2:$B$21)</f>
        <v/>
      </c>
      <c r="K632" s="21" t="n"/>
    </row>
    <row r="633">
      <c r="A633" s="24" t="n">
        <v>2035</v>
      </c>
      <c r="B633" s="10" t="inlineStr">
        <is>
          <t>T110 Thanh Miện 3</t>
        </is>
      </c>
      <c r="C633" s="10" t="inlineStr">
        <is>
          <t>TBA 110kV Thanh Miện 3</t>
        </is>
      </c>
      <c r="D633" s="3" t="inlineStr">
        <is>
          <t>B2</t>
        </is>
      </c>
      <c r="E633" s="9" t="n"/>
      <c r="F633" s="15">
        <f>IF(E633&lt;&gt;"","Đã VH","Quy hoạch điện VIII")</f>
        <v/>
      </c>
      <c r="G633" s="16">
        <f>LEFT(B633,FIND(" ",B633,1)-1)</f>
        <v/>
      </c>
      <c r="H633" s="16">
        <f>TRIM(RIGHT(B633,LEN(B633)-FIND(" ",B633,1)))</f>
        <v/>
      </c>
      <c r="I633" s="16">
        <f>_xlfn.XLOOKUP(Table2[[#This Row],[Type]],Table5[Type],Table5[Type2])</f>
        <v/>
      </c>
      <c r="J633" s="16">
        <f>_xlfn.XLOOKUP(Table2[[#This Row],[Sym]],Zones!$A$2:$A$21,Zones!$B$2:$B$21)</f>
        <v/>
      </c>
      <c r="K633" s="21" t="n"/>
    </row>
    <row r="634">
      <c r="A634" s="24" t="n">
        <v>2036</v>
      </c>
      <c r="B634" s="10" t="inlineStr">
        <is>
          <t>T110 NC Tứ Kỳ</t>
        </is>
      </c>
      <c r="C634" s="10" t="inlineStr">
        <is>
          <t>TBA 110kV NC Tứ Kỳ</t>
        </is>
      </c>
      <c r="D634" s="3" t="inlineStr">
        <is>
          <t>B2</t>
        </is>
      </c>
      <c r="E634" s="9" t="n"/>
      <c r="F634" s="15">
        <f>IF(E634&lt;&gt;"","Đã VH","Quy hoạch điện VIII")</f>
        <v/>
      </c>
      <c r="G634" s="16">
        <f>LEFT(B634,FIND(" ",B634,1)-1)</f>
        <v/>
      </c>
      <c r="H634" s="16">
        <f>TRIM(RIGHT(B634,LEN(B634)-FIND(" ",B634,1)))</f>
        <v/>
      </c>
      <c r="I634" s="16">
        <f>_xlfn.XLOOKUP(Table2[[#This Row],[Type]],Table5[Type],Table5[Type2])</f>
        <v/>
      </c>
      <c r="J634" s="16">
        <f>_xlfn.XLOOKUP(Table2[[#This Row],[Sym]],Zones!$A$2:$A$21,Zones!$B$2:$B$21)</f>
        <v/>
      </c>
      <c r="K634" s="21" t="n"/>
    </row>
    <row r="635">
      <c r="A635" s="24" t="n">
        <v>2037</v>
      </c>
      <c r="B635" s="10" t="inlineStr">
        <is>
          <t>T110 Bình Giang 2</t>
        </is>
      </c>
      <c r="C635" s="10" t="inlineStr">
        <is>
          <t>TBA 110kV Bình Giang 2</t>
        </is>
      </c>
      <c r="D635" s="3" t="inlineStr">
        <is>
          <t>B2</t>
        </is>
      </c>
      <c r="E635" s="9" t="n"/>
      <c r="F635" s="15">
        <f>IF(E635&lt;&gt;"","Đã VH","Quy hoạch điện VIII")</f>
        <v/>
      </c>
      <c r="G635" s="16">
        <f>LEFT(B635,FIND(" ",B635,1)-1)</f>
        <v/>
      </c>
      <c r="H635" s="16">
        <f>TRIM(RIGHT(B635,LEN(B635)-FIND(" ",B635,1)))</f>
        <v/>
      </c>
      <c r="I635" s="16">
        <f>_xlfn.XLOOKUP(Table2[[#This Row],[Type]],Table5[Type],Table5[Type2])</f>
        <v/>
      </c>
      <c r="J635" s="16">
        <f>_xlfn.XLOOKUP(Table2[[#This Row],[Sym]],Zones!$A$2:$A$21,Zones!$B$2:$B$21)</f>
        <v/>
      </c>
      <c r="K635" s="21" t="n"/>
    </row>
    <row r="636">
      <c r="A636" s="24" t="n">
        <v>2038</v>
      </c>
      <c r="B636" s="10" t="inlineStr">
        <is>
          <t>T110 Kim Thành 2</t>
        </is>
      </c>
      <c r="C636" s="10" t="inlineStr">
        <is>
          <t>TBA 110kV Kim Thành 2</t>
        </is>
      </c>
      <c r="D636" s="3" t="inlineStr">
        <is>
          <t>B2</t>
        </is>
      </c>
      <c r="E636" s="9" t="n"/>
      <c r="F636" s="15">
        <f>IF(E636&lt;&gt;"","Đã VH","Quy hoạch điện VIII")</f>
        <v/>
      </c>
      <c r="G636" s="16">
        <f>LEFT(B636,FIND(" ",B636,1)-1)</f>
        <v/>
      </c>
      <c r="H636" s="16">
        <f>TRIM(RIGHT(B636,LEN(B636)-FIND(" ",B636,1)))</f>
        <v/>
      </c>
      <c r="I636" s="16">
        <f>_xlfn.XLOOKUP(Table2[[#This Row],[Type]],Table5[Type],Table5[Type2])</f>
        <v/>
      </c>
      <c r="J636" s="16">
        <f>_xlfn.XLOOKUP(Table2[[#This Row],[Sym]],Zones!$A$2:$A$21,Zones!$B$2:$B$21)</f>
        <v/>
      </c>
      <c r="K636" s="21" t="n"/>
    </row>
    <row r="637">
      <c r="A637" s="24" t="n">
        <v>2039</v>
      </c>
      <c r="B637" s="10" t="inlineStr">
        <is>
          <t>T110 Tứ Kỳ</t>
        </is>
      </c>
      <c r="C637" s="10" t="inlineStr">
        <is>
          <t>TBA 110kV Tứ Kỳ</t>
        </is>
      </c>
      <c r="D637" s="3" t="inlineStr">
        <is>
          <t>B2</t>
        </is>
      </c>
      <c r="E637" s="9" t="n"/>
      <c r="F637" s="15">
        <f>IF(E637&lt;&gt;"","Đã VH","Quy hoạch điện VIII")</f>
        <v/>
      </c>
      <c r="G637" s="16">
        <f>LEFT(B637,FIND(" ",B637,1)-1)</f>
        <v/>
      </c>
      <c r="H637" s="16">
        <f>TRIM(RIGHT(B637,LEN(B637)-FIND(" ",B637,1)))</f>
        <v/>
      </c>
      <c r="I637" s="16">
        <f>_xlfn.XLOOKUP(Table2[[#This Row],[Type]],Table5[Type],Table5[Type2])</f>
        <v/>
      </c>
      <c r="J637" s="16">
        <f>_xlfn.XLOOKUP(Table2[[#This Row],[Sym]],Zones!$A$2:$A$21,Zones!$B$2:$B$21)</f>
        <v/>
      </c>
      <c r="K637" s="21" t="n"/>
    </row>
    <row r="638">
      <c r="A638" s="24" t="n">
        <v>2040</v>
      </c>
      <c r="B638" s="10" t="inlineStr">
        <is>
          <t>T500 Gia Lộc</t>
        </is>
      </c>
      <c r="C638" s="10" t="inlineStr">
        <is>
          <t>TBA 500kV Gia Lộc</t>
        </is>
      </c>
      <c r="D638" s="3" t="inlineStr">
        <is>
          <t>B2</t>
        </is>
      </c>
      <c r="E638" s="9" t="n"/>
      <c r="F638" s="15">
        <f>IF(E638&lt;&gt;"","Đã VH","Quy hoạch điện VIII")</f>
        <v/>
      </c>
      <c r="G638" s="16">
        <f>LEFT(B638,FIND(" ",B638,1)-1)</f>
        <v/>
      </c>
      <c r="H638" s="16">
        <f>TRIM(RIGHT(B638,LEN(B638)-FIND(" ",B638,1)))</f>
        <v/>
      </c>
      <c r="I638" s="16">
        <f>_xlfn.XLOOKUP(Table2[[#This Row],[Type]],Table5[Type],Table5[Type2])</f>
        <v/>
      </c>
      <c r="J638" s="16">
        <f>_xlfn.XLOOKUP(Table2[[#This Row],[Sym]],Zones!$A$2:$A$21,Zones!$B$2:$B$21)</f>
        <v/>
      </c>
      <c r="K638" s="21" t="n"/>
    </row>
    <row r="639">
      <c r="A639" s="24" t="n">
        <v>2041</v>
      </c>
      <c r="B639" s="10" t="inlineStr">
        <is>
          <t>T220 Nhị Chiểu</t>
        </is>
      </c>
      <c r="C639" s="10" t="inlineStr">
        <is>
          <t>TBA 220kV Nhị Chiểu</t>
        </is>
      </c>
      <c r="D639" s="3" t="inlineStr">
        <is>
          <t>B2</t>
        </is>
      </c>
      <c r="E639" s="9" t="n"/>
      <c r="F639" s="15">
        <f>IF(E639&lt;&gt;"","Đã VH","Quy hoạch điện VIII")</f>
        <v/>
      </c>
      <c r="G639" s="16">
        <f>LEFT(B639,FIND(" ",B639,1)-1)</f>
        <v/>
      </c>
      <c r="H639" s="16">
        <f>TRIM(RIGHT(B639,LEN(B639)-FIND(" ",B639,1)))</f>
        <v/>
      </c>
      <c r="I639" s="16">
        <f>_xlfn.XLOOKUP(Table2[[#This Row],[Type]],Table5[Type],Table5[Type2])</f>
        <v/>
      </c>
      <c r="J639" s="16">
        <f>_xlfn.XLOOKUP(Table2[[#This Row],[Sym]],Zones!$A$2:$A$21,Zones!$B$2:$B$21)</f>
        <v/>
      </c>
      <c r="K639" s="21" t="n"/>
    </row>
    <row r="640">
      <c r="A640" s="24" t="n">
        <v>2042</v>
      </c>
      <c r="B640" s="10" t="inlineStr">
        <is>
          <t>T110 Gia Lộc 3</t>
        </is>
      </c>
      <c r="C640" s="10" t="inlineStr">
        <is>
          <t>TBA 110kV Gia Lộc 3</t>
        </is>
      </c>
      <c r="D640" s="3" t="inlineStr">
        <is>
          <t>B2</t>
        </is>
      </c>
      <c r="E640" s="9" t="n"/>
      <c r="F640" s="15">
        <f>IF(E640&lt;&gt;"","Đã VH","Quy hoạch điện VIII")</f>
        <v/>
      </c>
      <c r="G640" s="16">
        <f>LEFT(B640,FIND(" ",B640,1)-1)</f>
        <v/>
      </c>
      <c r="H640" s="16">
        <f>TRIM(RIGHT(B640,LEN(B640)-FIND(" ",B640,1)))</f>
        <v/>
      </c>
      <c r="I640" s="16">
        <f>_xlfn.XLOOKUP(Table2[[#This Row],[Type]],Table5[Type],Table5[Type2])</f>
        <v/>
      </c>
      <c r="J640" s="16">
        <f>_xlfn.XLOOKUP(Table2[[#This Row],[Sym]],Zones!$A$2:$A$21,Zones!$B$2:$B$21)</f>
        <v/>
      </c>
      <c r="K640" s="21" t="n"/>
    </row>
    <row r="641">
      <c r="A641" s="24" t="n">
        <v>2043</v>
      </c>
      <c r="B641" s="10" t="inlineStr">
        <is>
          <t>T110 Thanh Hà 3</t>
        </is>
      </c>
      <c r="C641" s="10" t="inlineStr">
        <is>
          <t>TBA 110kV Thanh Hà 3</t>
        </is>
      </c>
      <c r="D641" s="3" t="inlineStr">
        <is>
          <t>B2</t>
        </is>
      </c>
      <c r="E641" s="9" t="n"/>
      <c r="F641" s="15">
        <f>IF(E641&lt;&gt;"","Đã VH","Quy hoạch điện VIII")</f>
        <v/>
      </c>
      <c r="G641" s="16">
        <f>LEFT(B641,FIND(" ",B641,1)-1)</f>
        <v/>
      </c>
      <c r="H641" s="16">
        <f>TRIM(RIGHT(B641,LEN(B641)-FIND(" ",B641,1)))</f>
        <v/>
      </c>
      <c r="I641" s="16">
        <f>_xlfn.XLOOKUP(Table2[[#This Row],[Type]],Table5[Type],Table5[Type2])</f>
        <v/>
      </c>
      <c r="J641" s="16">
        <f>_xlfn.XLOOKUP(Table2[[#This Row],[Sym]],Zones!$A$2:$A$21,Zones!$B$2:$B$21)</f>
        <v/>
      </c>
      <c r="K641" s="21" t="n"/>
    </row>
    <row r="642">
      <c r="A642" s="24" t="n">
        <v>2044</v>
      </c>
      <c r="B642" s="10" t="inlineStr">
        <is>
          <t>T110 Bình Giang 3</t>
        </is>
      </c>
      <c r="C642" s="10" t="inlineStr">
        <is>
          <t>TBA 110kV Bình Giang 3</t>
        </is>
      </c>
      <c r="D642" s="3" t="inlineStr">
        <is>
          <t>B2</t>
        </is>
      </c>
      <c r="E642" s="9" t="n"/>
      <c r="F642" s="15">
        <f>IF(E642&lt;&gt;"","Đã VH","Quy hoạch điện VIII")</f>
        <v/>
      </c>
      <c r="G642" s="16">
        <f>LEFT(B642,FIND(" ",B642,1)-1)</f>
        <v/>
      </c>
      <c r="H642" s="16">
        <f>TRIM(RIGHT(B642,LEN(B642)-FIND(" ",B642,1)))</f>
        <v/>
      </c>
      <c r="I642" s="16">
        <f>_xlfn.XLOOKUP(Table2[[#This Row],[Type]],Table5[Type],Table5[Type2])</f>
        <v/>
      </c>
      <c r="J642" s="16">
        <f>_xlfn.XLOOKUP(Table2[[#This Row],[Sym]],Zones!$A$2:$A$21,Zones!$B$2:$B$21)</f>
        <v/>
      </c>
      <c r="K642" s="21" t="n"/>
    </row>
    <row r="643">
      <c r="A643" s="24" t="n">
        <v>2045</v>
      </c>
      <c r="B643" s="10" t="inlineStr">
        <is>
          <t>T110 Tân Phong</t>
        </is>
      </c>
      <c r="C643" s="10" t="inlineStr">
        <is>
          <t>TBA 110kV Tân Phong</t>
        </is>
      </c>
      <c r="D643" s="3" t="inlineStr">
        <is>
          <t>B2</t>
        </is>
      </c>
      <c r="E643" s="9" t="n"/>
      <c r="F643" s="15">
        <f>IF(E643&lt;&gt;"","Đã VH","Quy hoạch điện VIII")</f>
        <v/>
      </c>
      <c r="G643" s="16">
        <f>LEFT(B643,FIND(" ",B643,1)-1)</f>
        <v/>
      </c>
      <c r="H643" s="16">
        <f>TRIM(RIGHT(B643,LEN(B643)-FIND(" ",B643,1)))</f>
        <v/>
      </c>
      <c r="I643" s="16">
        <f>_xlfn.XLOOKUP(Table2[[#This Row],[Type]],Table5[Type],Table5[Type2])</f>
        <v/>
      </c>
      <c r="J643" s="16">
        <f>_xlfn.XLOOKUP(Table2[[#This Row],[Sym]],Zones!$A$2:$A$21,Zones!$B$2:$B$21)</f>
        <v/>
      </c>
      <c r="K643" s="21" t="n"/>
    </row>
    <row r="644">
      <c r="A644" s="24" t="n">
        <v>2046</v>
      </c>
      <c r="B644" s="10" t="inlineStr">
        <is>
          <t>T110 Rác Thanh Hà</t>
        </is>
      </c>
      <c r="C644" s="10" t="inlineStr">
        <is>
          <t>TBA 110kV Rác Thanh Hà</t>
        </is>
      </c>
      <c r="D644" s="3" t="inlineStr">
        <is>
          <t>B2</t>
        </is>
      </c>
      <c r="E644" s="9" t="n"/>
      <c r="F644" s="15">
        <f>IF(E644&lt;&gt;"","Đã VH","Quy hoạch điện VIII")</f>
        <v/>
      </c>
      <c r="G644" s="16">
        <f>LEFT(B644,FIND(" ",B644,1)-1)</f>
        <v/>
      </c>
      <c r="H644" s="16">
        <f>TRIM(RIGHT(B644,LEN(B644)-FIND(" ",B644,1)))</f>
        <v/>
      </c>
      <c r="I644" s="16">
        <f>_xlfn.XLOOKUP(Table2[[#This Row],[Type]],Table5[Type],Table5[Type2])</f>
        <v/>
      </c>
      <c r="J644" s="16">
        <f>_xlfn.XLOOKUP(Table2[[#This Row],[Sym]],Zones!$A$2:$A$21,Zones!$B$2:$B$21)</f>
        <v/>
      </c>
      <c r="K644" s="21" t="n"/>
    </row>
    <row r="645">
      <c r="A645" s="24" t="n">
        <v>2047</v>
      </c>
      <c r="B645" s="10" t="inlineStr">
        <is>
          <t>T110 Tứ Kỳ 2</t>
        </is>
      </c>
      <c r="C645" s="10" t="inlineStr">
        <is>
          <t>TBA 110kV Tứ Kỳ 2</t>
        </is>
      </c>
      <c r="D645" s="3" t="inlineStr">
        <is>
          <t>B2</t>
        </is>
      </c>
      <c r="E645" s="9" t="n"/>
      <c r="F645" s="15">
        <f>IF(E645&lt;&gt;"","Đã VH","Quy hoạch điện VIII")</f>
        <v/>
      </c>
      <c r="G645" s="16">
        <f>LEFT(B645,FIND(" ",B645,1)-1)</f>
        <v/>
      </c>
      <c r="H645" s="16">
        <f>TRIM(RIGHT(B645,LEN(B645)-FIND(" ",B645,1)))</f>
        <v/>
      </c>
      <c r="I645" s="16">
        <f>_xlfn.XLOOKUP(Table2[[#This Row],[Type]],Table5[Type],Table5[Type2])</f>
        <v/>
      </c>
      <c r="J645" s="16">
        <f>_xlfn.XLOOKUP(Table2[[#This Row],[Sym]],Zones!$A$2:$A$21,Zones!$B$2:$B$21)</f>
        <v/>
      </c>
      <c r="K645" s="21" t="n"/>
    </row>
    <row r="646">
      <c r="A646" s="24" t="n">
        <v>2048</v>
      </c>
      <c r="B646" s="10" t="inlineStr">
        <is>
          <t>T110 Gia Lộc 4</t>
        </is>
      </c>
      <c r="C646" s="10" t="inlineStr">
        <is>
          <t>TBA 110kV Gia Lộc 4</t>
        </is>
      </c>
      <c r="D646" s="3" t="inlineStr">
        <is>
          <t>B2</t>
        </is>
      </c>
      <c r="E646" s="9" t="n"/>
      <c r="F646" s="15">
        <f>IF(E646&lt;&gt;"","Đã VH","Quy hoạch điện VIII")</f>
        <v/>
      </c>
      <c r="G646" s="16">
        <f>LEFT(B646,FIND(" ",B646,1)-1)</f>
        <v/>
      </c>
      <c r="H646" s="16">
        <f>TRIM(RIGHT(B646,LEN(B646)-FIND(" ",B646,1)))</f>
        <v/>
      </c>
      <c r="I646" s="16">
        <f>_xlfn.XLOOKUP(Table2[[#This Row],[Type]],Table5[Type],Table5[Type2])</f>
        <v/>
      </c>
      <c r="J646" s="16">
        <f>_xlfn.XLOOKUP(Table2[[#This Row],[Sym]],Zones!$A$2:$A$21,Zones!$B$2:$B$21)</f>
        <v/>
      </c>
      <c r="K646" s="21" t="n"/>
    </row>
    <row r="647">
      <c r="A647" s="24" t="n">
        <v>2049</v>
      </c>
      <c r="B647" s="10" t="inlineStr">
        <is>
          <t>T110 Bình Giang 4</t>
        </is>
      </c>
      <c r="C647" s="10" t="inlineStr">
        <is>
          <t>TBA 110kV Bình Giang 4</t>
        </is>
      </c>
      <c r="D647" s="3" t="inlineStr">
        <is>
          <t>B2</t>
        </is>
      </c>
      <c r="E647" s="9" t="n"/>
      <c r="F647" s="15">
        <f>IF(E647&lt;&gt;"","Đã VH","Quy hoạch điện VIII")</f>
        <v/>
      </c>
      <c r="G647" s="16">
        <f>LEFT(B647,FIND(" ",B647,1)-1)</f>
        <v/>
      </c>
      <c r="H647" s="16">
        <f>TRIM(RIGHT(B647,LEN(B647)-FIND(" ",B647,1)))</f>
        <v/>
      </c>
      <c r="I647" s="16">
        <f>_xlfn.XLOOKUP(Table2[[#This Row],[Type]],Table5[Type],Table5[Type2])</f>
        <v/>
      </c>
      <c r="J647" s="16">
        <f>_xlfn.XLOOKUP(Table2[[#This Row],[Sym]],Zones!$A$2:$A$21,Zones!$B$2:$B$21)</f>
        <v/>
      </c>
      <c r="K647" s="21" t="n"/>
    </row>
    <row r="648">
      <c r="A648" s="24" t="n">
        <v>2050</v>
      </c>
      <c r="B648" s="10" t="inlineStr">
        <is>
          <t>T110 Bình Giang 5</t>
        </is>
      </c>
      <c r="C648" s="10" t="inlineStr">
        <is>
          <t>TBA 110kV Bình Giang 5</t>
        </is>
      </c>
      <c r="D648" s="3" t="inlineStr">
        <is>
          <t>B2</t>
        </is>
      </c>
      <c r="E648" s="9" t="n"/>
      <c r="F648" s="15">
        <f>IF(E648&lt;&gt;"","Đã VH","Quy hoạch điện VIII")</f>
        <v/>
      </c>
      <c r="G648" s="16">
        <f>LEFT(B648,FIND(" ",B648,1)-1)</f>
        <v/>
      </c>
      <c r="H648" s="16">
        <f>TRIM(RIGHT(B648,LEN(B648)-FIND(" ",B648,1)))</f>
        <v/>
      </c>
      <c r="I648" s="16">
        <f>_xlfn.XLOOKUP(Table2[[#This Row],[Type]],Table5[Type],Table5[Type2])</f>
        <v/>
      </c>
      <c r="J648" s="16">
        <f>_xlfn.XLOOKUP(Table2[[#This Row],[Sym]],Zones!$A$2:$A$21,Zones!$B$2:$B$21)</f>
        <v/>
      </c>
      <c r="K648" s="21" t="n"/>
    </row>
    <row r="649">
      <c r="A649" s="24" t="n">
        <v>2080</v>
      </c>
      <c r="B649" s="10" t="inlineStr">
        <is>
          <t>T110 Núi Một</t>
        </is>
      </c>
      <c r="C649" s="10" t="inlineStr">
        <is>
          <t>TBA 110kV Núi Một</t>
        </is>
      </c>
      <c r="D649" s="3" t="inlineStr">
        <is>
          <t>B9</t>
        </is>
      </c>
      <c r="E649" s="9" t="inlineStr">
        <is>
          <t>E9.1</t>
        </is>
      </c>
      <c r="F649" s="15">
        <f>IF(E649&lt;&gt;"","Đã VH","Quy hoạch điện VIII")</f>
        <v/>
      </c>
      <c r="G649" s="16">
        <f>LEFT(B649,FIND(" ",B649,1)-1)</f>
        <v/>
      </c>
      <c r="H649" s="16">
        <f>TRIM(RIGHT(B649,LEN(B649)-FIND(" ",B649,1)))</f>
        <v/>
      </c>
      <c r="I649" s="16">
        <f>_xlfn.XLOOKUP(Table2[[#This Row],[Type]],Table5[Type],Table5[Type2])</f>
        <v/>
      </c>
      <c r="J649" s="16">
        <f>_xlfn.XLOOKUP(Table2[[#This Row],[Sym]],Zones!$A$2:$A$21,Zones!$B$2:$B$21)</f>
        <v/>
      </c>
      <c r="K649" s="21" t="n"/>
    </row>
    <row r="650">
      <c r="A650" s="24" t="n">
        <v>2081</v>
      </c>
      <c r="B650" s="10" t="inlineStr">
        <is>
          <t>T220 Ba Chè</t>
        </is>
      </c>
      <c r="C650" s="10" t="inlineStr">
        <is>
          <t>TBA 220kV Ba Chè</t>
        </is>
      </c>
      <c r="D650" s="3" t="inlineStr">
        <is>
          <t>B9</t>
        </is>
      </c>
      <c r="E650" s="9" t="inlineStr">
        <is>
          <t>E9.2</t>
        </is>
      </c>
      <c r="F650" s="15">
        <f>IF(E650&lt;&gt;"","Đã VH","Quy hoạch điện VIII")</f>
        <v/>
      </c>
      <c r="G650" s="16">
        <f>LEFT(B650,FIND(" ",B650,1)-1)</f>
        <v/>
      </c>
      <c r="H650" s="16">
        <f>TRIM(RIGHT(B650,LEN(B650)-FIND(" ",B650,1)))</f>
        <v/>
      </c>
      <c r="I650" s="16">
        <f>_xlfn.XLOOKUP(Table2[[#This Row],[Type]],Table5[Type],Table5[Type2])</f>
        <v/>
      </c>
      <c r="J650" s="16">
        <f>_xlfn.XLOOKUP(Table2[[#This Row],[Sym]],Zones!$A$2:$A$21,Zones!$B$2:$B$21)</f>
        <v/>
      </c>
      <c r="K650" s="21" t="n"/>
    </row>
    <row r="651">
      <c r="A651" s="24" t="n">
        <v>2082</v>
      </c>
      <c r="B651" s="10" t="inlineStr">
        <is>
          <t>T110 Thọ Xuân</t>
        </is>
      </c>
      <c r="C651" s="10" t="inlineStr">
        <is>
          <t>TBA 110kV Thọ Xuân</t>
        </is>
      </c>
      <c r="D651" s="3" t="inlineStr">
        <is>
          <t>B9</t>
        </is>
      </c>
      <c r="E651" s="9" t="inlineStr">
        <is>
          <t>E9.3</t>
        </is>
      </c>
      <c r="F651" s="15">
        <f>IF(E651&lt;&gt;"","Đã VH","Quy hoạch điện VIII")</f>
        <v/>
      </c>
      <c r="G651" s="16">
        <f>LEFT(B651,FIND(" ",B651,1)-1)</f>
        <v/>
      </c>
      <c r="H651" s="16">
        <f>TRIM(RIGHT(B651,LEN(B651)-FIND(" ",B651,1)))</f>
        <v/>
      </c>
      <c r="I651" s="16">
        <f>_xlfn.XLOOKUP(Table2[[#This Row],[Type]],Table5[Type],Table5[Type2])</f>
        <v/>
      </c>
      <c r="J651" s="16">
        <f>_xlfn.XLOOKUP(Table2[[#This Row],[Sym]],Zones!$A$2:$A$21,Zones!$B$2:$B$21)</f>
        <v/>
      </c>
      <c r="K651" s="21" t="n"/>
    </row>
    <row r="652">
      <c r="A652" s="24" t="n">
        <v>2083</v>
      </c>
      <c r="B652" s="10" t="inlineStr">
        <is>
          <t>T110 Hà Trung</t>
        </is>
      </c>
      <c r="C652" s="10" t="inlineStr">
        <is>
          <t>TBA 110kV Hà Trung</t>
        </is>
      </c>
      <c r="D652" s="3" t="inlineStr">
        <is>
          <t>B9</t>
        </is>
      </c>
      <c r="E652" s="9" t="inlineStr">
        <is>
          <t>E9.4</t>
        </is>
      </c>
      <c r="F652" s="15">
        <f>IF(E652&lt;&gt;"","Đã VH","Quy hoạch điện VIII")</f>
        <v/>
      </c>
      <c r="G652" s="16">
        <f>LEFT(B652,FIND(" ",B652,1)-1)</f>
        <v/>
      </c>
      <c r="H652" s="16">
        <f>TRIM(RIGHT(B652,LEN(B652)-FIND(" ",B652,1)))</f>
        <v/>
      </c>
      <c r="I652" s="16">
        <f>_xlfn.XLOOKUP(Table2[[#This Row],[Type]],Table5[Type],Table5[Type2])</f>
        <v/>
      </c>
      <c r="J652" s="16">
        <f>_xlfn.XLOOKUP(Table2[[#This Row],[Sym]],Zones!$A$2:$A$21,Zones!$B$2:$B$21)</f>
        <v/>
      </c>
      <c r="K652" s="21" t="n"/>
    </row>
    <row r="653">
      <c r="A653" s="24" t="n">
        <v>2084</v>
      </c>
      <c r="B653" s="10" t="inlineStr">
        <is>
          <t>T110 Thiệu Yên</t>
        </is>
      </c>
      <c r="C653" s="10" t="inlineStr">
        <is>
          <t>TBA 110kV Thiệu Yên</t>
        </is>
      </c>
      <c r="D653" s="3" t="inlineStr">
        <is>
          <t>B9</t>
        </is>
      </c>
      <c r="E653" s="9" t="inlineStr">
        <is>
          <t>E9.5</t>
        </is>
      </c>
      <c r="F653" s="15">
        <f>IF(E653&lt;&gt;"","Đã VH","Quy hoạch điện VIII")</f>
        <v/>
      </c>
      <c r="G653" s="16">
        <f>LEFT(B653,FIND(" ",B653,1)-1)</f>
        <v/>
      </c>
      <c r="H653" s="16">
        <f>TRIM(RIGHT(B653,LEN(B653)-FIND(" ",B653,1)))</f>
        <v/>
      </c>
      <c r="I653" s="16">
        <f>_xlfn.XLOOKUP(Table2[[#This Row],[Type]],Table5[Type],Table5[Type2])</f>
        <v/>
      </c>
      <c r="J653" s="16">
        <f>_xlfn.XLOOKUP(Table2[[#This Row],[Sym]],Zones!$A$2:$A$21,Zones!$B$2:$B$21)</f>
        <v/>
      </c>
      <c r="K653" s="21" t="n"/>
    </row>
    <row r="654">
      <c r="A654" s="24" t="n">
        <v>2085</v>
      </c>
      <c r="B654" s="10" t="inlineStr">
        <is>
          <t>T110 XM Bỉm Sơn</t>
        </is>
      </c>
      <c r="C654" s="30" t="inlineStr">
        <is>
          <t>TBA 110kV Xi Măng Bỉm Sơn</t>
        </is>
      </c>
      <c r="D654" s="3" t="inlineStr">
        <is>
          <t>B9</t>
        </is>
      </c>
      <c r="E654" s="9" t="inlineStr">
        <is>
          <t>E9.6</t>
        </is>
      </c>
      <c r="F654" s="15">
        <f>IF(E654&lt;&gt;"","Đã VH","Quy hoạch điện VIII")</f>
        <v/>
      </c>
      <c r="G654" s="16">
        <f>LEFT(B654,FIND(" ",B654,1)-1)</f>
        <v/>
      </c>
      <c r="H654" s="16">
        <f>TRIM(RIGHT(B654,LEN(B654)-FIND(" ",B654,1)))</f>
        <v/>
      </c>
      <c r="I654" s="16">
        <f>_xlfn.XLOOKUP(Table2[[#This Row],[Type]],Table5[Type],Table5[Type2])</f>
        <v/>
      </c>
      <c r="J654" s="16">
        <f>_xlfn.XLOOKUP(Table2[[#This Row],[Sym]],Zones!$A$2:$A$21,Zones!$B$2:$B$21)</f>
        <v/>
      </c>
      <c r="K654" s="21" t="n"/>
      <c r="V654" t="inlineStr">
        <is>
          <t>Đã sửa từ dashboard (TBA 110kV XM Bỉm Sơn ➔ TBA 110kV Xi Măng Bỉm Sơn)</t>
        </is>
      </c>
    </row>
    <row r="655">
      <c r="A655" s="24" t="n">
        <v>2086</v>
      </c>
      <c r="B655" s="10" t="inlineStr">
        <is>
          <t>T110 XM Nghi Sơn</t>
        </is>
      </c>
      <c r="C655" s="10" t="inlineStr">
        <is>
          <t>TBA 110kV XM Nghi Sơn</t>
        </is>
      </c>
      <c r="D655" s="3" t="inlineStr">
        <is>
          <t>B9</t>
        </is>
      </c>
      <c r="E655" s="9" t="inlineStr">
        <is>
          <t>E9.7</t>
        </is>
      </c>
      <c r="F655" s="15">
        <f>IF(E655&lt;&gt;"","Đã VH","Quy hoạch điện VIII")</f>
        <v/>
      </c>
      <c r="G655" s="16">
        <f>LEFT(B655,FIND(" ",B655,1)-1)</f>
        <v/>
      </c>
      <c r="H655" s="16">
        <f>TRIM(RIGHT(B655,LEN(B655)-FIND(" ",B655,1)))</f>
        <v/>
      </c>
      <c r="I655" s="16">
        <f>_xlfn.XLOOKUP(Table2[[#This Row],[Type]],Table5[Type],Table5[Type2])</f>
        <v/>
      </c>
      <c r="J655" s="16">
        <f>_xlfn.XLOOKUP(Table2[[#This Row],[Sym]],Zones!$A$2:$A$21,Zones!$B$2:$B$21)</f>
        <v/>
      </c>
      <c r="K655" s="21" t="n"/>
    </row>
    <row r="656">
      <c r="A656" s="24" t="n">
        <v>2087</v>
      </c>
      <c r="B656" s="10" t="inlineStr">
        <is>
          <t>T110 Nông Cống</t>
        </is>
      </c>
      <c r="C656" s="10" t="inlineStr">
        <is>
          <t>TBA 110kV Nông Cống</t>
        </is>
      </c>
      <c r="D656" s="3" t="inlineStr">
        <is>
          <t>B9</t>
        </is>
      </c>
      <c r="E656" s="9" t="inlineStr">
        <is>
          <t>E9.8</t>
        </is>
      </c>
      <c r="F656" s="15">
        <f>IF(E656&lt;&gt;"","Đã VH","Quy hoạch điện VIII")</f>
        <v/>
      </c>
      <c r="G656" s="16">
        <f>LEFT(B656,FIND(" ",B656,1)-1)</f>
        <v/>
      </c>
      <c r="H656" s="16">
        <f>TRIM(RIGHT(B656,LEN(B656)-FIND(" ",B656,1)))</f>
        <v/>
      </c>
      <c r="I656" s="16">
        <f>_xlfn.XLOOKUP(Table2[[#This Row],[Type]],Table5[Type],Table5[Type2])</f>
        <v/>
      </c>
      <c r="J656" s="16">
        <f>_xlfn.XLOOKUP(Table2[[#This Row],[Sym]],Zones!$A$2:$A$21,Zones!$B$2:$B$21)</f>
        <v/>
      </c>
      <c r="K656" s="21" t="n"/>
    </row>
    <row r="657">
      <c r="A657" s="24" t="n">
        <v>2088</v>
      </c>
      <c r="B657" s="10" t="inlineStr">
        <is>
          <t>T110 Thanh Hóa</t>
        </is>
      </c>
      <c r="C657" s="10" t="inlineStr">
        <is>
          <t>TBA 110kV Thanh Hóa</t>
        </is>
      </c>
      <c r="D657" s="3" t="inlineStr">
        <is>
          <t>B9</t>
        </is>
      </c>
      <c r="E657" s="9" t="inlineStr">
        <is>
          <t>E9.9</t>
        </is>
      </c>
      <c r="F657" s="15">
        <f>IF(E657&lt;&gt;"","Đã VH","Quy hoạch điện VIII")</f>
        <v/>
      </c>
      <c r="G657" s="16">
        <f>LEFT(B657,FIND(" ",B657,1)-1)</f>
        <v/>
      </c>
      <c r="H657" s="16">
        <f>TRIM(RIGHT(B657,LEN(B657)-FIND(" ",B657,1)))</f>
        <v/>
      </c>
      <c r="I657" s="16">
        <f>_xlfn.XLOOKUP(Table2[[#This Row],[Type]],Table5[Type],Table5[Type2])</f>
        <v/>
      </c>
      <c r="J657" s="16">
        <f>_xlfn.XLOOKUP(Table2[[#This Row],[Sym]],Zones!$A$2:$A$21,Zones!$B$2:$B$21)</f>
        <v/>
      </c>
      <c r="K657" s="21" t="n"/>
    </row>
    <row r="658">
      <c r="A658" s="24" t="n">
        <v>2089</v>
      </c>
      <c r="B658" s="10" t="inlineStr">
        <is>
          <t>T220 Nghi Sơn</t>
        </is>
      </c>
      <c r="C658" s="10" t="inlineStr">
        <is>
          <t>TBA 220kV Nghi Sơn</t>
        </is>
      </c>
      <c r="D658" s="3" t="inlineStr">
        <is>
          <t>B9</t>
        </is>
      </c>
      <c r="E658" s="9" t="inlineStr">
        <is>
          <t>E9.10</t>
        </is>
      </c>
      <c r="F658" s="15">
        <f>IF(E658&lt;&gt;"","Đã VH","Quy hoạch điện VIII")</f>
        <v/>
      </c>
      <c r="G658" s="16">
        <f>LEFT(B658,FIND(" ",B658,1)-1)</f>
        <v/>
      </c>
      <c r="H658" s="16">
        <f>TRIM(RIGHT(B658,LEN(B658)-FIND(" ",B658,1)))</f>
        <v/>
      </c>
      <c r="I658" s="16">
        <f>_xlfn.XLOOKUP(Table2[[#This Row],[Type]],Table5[Type],Table5[Type2])</f>
        <v/>
      </c>
      <c r="J658" s="16">
        <f>_xlfn.XLOOKUP(Table2[[#This Row],[Sym]],Zones!$A$2:$A$21,Zones!$B$2:$B$21)</f>
        <v/>
      </c>
      <c r="K658" s="21" t="n"/>
    </row>
    <row r="659">
      <c r="A659" s="24" t="n">
        <v>2090</v>
      </c>
      <c r="B659" s="10" t="inlineStr">
        <is>
          <t>T110 Sầm Sơn</t>
        </is>
      </c>
      <c r="C659" s="10" t="inlineStr">
        <is>
          <t>TBA 110kV Sầm Sơn</t>
        </is>
      </c>
      <c r="D659" s="3" t="inlineStr">
        <is>
          <t>B9</t>
        </is>
      </c>
      <c r="E659" s="9" t="inlineStr">
        <is>
          <t>E9.11</t>
        </is>
      </c>
      <c r="F659" s="15">
        <f>IF(E659&lt;&gt;"","Đã VH","Quy hoạch điện VIII")</f>
        <v/>
      </c>
      <c r="G659" s="16">
        <f>LEFT(B659,FIND(" ",B659,1)-1)</f>
        <v/>
      </c>
      <c r="H659" s="16">
        <f>TRIM(RIGHT(B659,LEN(B659)-FIND(" ",B659,1)))</f>
        <v/>
      </c>
      <c r="I659" s="16">
        <f>_xlfn.XLOOKUP(Table2[[#This Row],[Type]],Table5[Type],Table5[Type2])</f>
        <v/>
      </c>
      <c r="J659" s="16">
        <f>_xlfn.XLOOKUP(Table2[[#This Row],[Sym]],Zones!$A$2:$A$21,Zones!$B$2:$B$21)</f>
        <v/>
      </c>
      <c r="K659" s="21" t="n"/>
    </row>
    <row r="660">
      <c r="A660" s="24" t="n">
        <v>2091</v>
      </c>
      <c r="B660" s="10" t="inlineStr">
        <is>
          <t>T110 Bá Thước</t>
        </is>
      </c>
      <c r="C660" s="10" t="inlineStr">
        <is>
          <t>TBA 110kV Bá Thước</t>
        </is>
      </c>
      <c r="D660" s="3" t="inlineStr">
        <is>
          <t>B9</t>
        </is>
      </c>
      <c r="E660" s="9" t="inlineStr">
        <is>
          <t>E9.12</t>
        </is>
      </c>
      <c r="F660" s="15">
        <f>IF(E660&lt;&gt;"","Đã VH","Quy hoạch điện VIII")</f>
        <v/>
      </c>
      <c r="G660" s="16">
        <f>LEFT(B660,FIND(" ",B660,1)-1)</f>
        <v/>
      </c>
      <c r="H660" s="16">
        <f>TRIM(RIGHT(B660,LEN(B660)-FIND(" ",B660,1)))</f>
        <v/>
      </c>
      <c r="I660" s="16">
        <f>_xlfn.XLOOKUP(Table2[[#This Row],[Type]],Table5[Type],Table5[Type2])</f>
        <v/>
      </c>
      <c r="J660" s="16">
        <f>_xlfn.XLOOKUP(Table2[[#This Row],[Sym]],Zones!$A$2:$A$21,Zones!$B$2:$B$21)</f>
        <v/>
      </c>
      <c r="K660" s="21" t="n"/>
    </row>
    <row r="661">
      <c r="A661" s="24" t="n">
        <v>2092</v>
      </c>
      <c r="B661" s="10" t="inlineStr">
        <is>
          <t>T110 Tĩnh Gia</t>
        </is>
      </c>
      <c r="C661" s="10" t="inlineStr">
        <is>
          <t>TBA 110kV Tĩnh Gia</t>
        </is>
      </c>
      <c r="D661" s="3" t="inlineStr">
        <is>
          <t>B9</t>
        </is>
      </c>
      <c r="E661" s="9" t="inlineStr">
        <is>
          <t>E9.13</t>
        </is>
      </c>
      <c r="F661" s="15">
        <f>IF(E661&lt;&gt;"","Đã VH","Quy hoạch điện VIII")</f>
        <v/>
      </c>
      <c r="G661" s="16">
        <f>LEFT(B661,FIND(" ",B661,1)-1)</f>
        <v/>
      </c>
      <c r="H661" s="16">
        <f>TRIM(RIGHT(B661,LEN(B661)-FIND(" ",B661,1)))</f>
        <v/>
      </c>
      <c r="I661" s="16">
        <f>_xlfn.XLOOKUP(Table2[[#This Row],[Type]],Table5[Type],Table5[Type2])</f>
        <v/>
      </c>
      <c r="J661" s="16">
        <f>_xlfn.XLOOKUP(Table2[[#This Row],[Sym]],Zones!$A$2:$A$21,Zones!$B$2:$B$21)</f>
        <v/>
      </c>
      <c r="K661" s="21" t="n"/>
    </row>
    <row r="662">
      <c r="A662" s="24" t="n">
        <v>2093</v>
      </c>
      <c r="B662" s="10" t="inlineStr">
        <is>
          <t>T110 Hoằng Hóa</t>
        </is>
      </c>
      <c r="C662" s="10" t="inlineStr">
        <is>
          <t>TBA 110kV Hoằng Hóa</t>
        </is>
      </c>
      <c r="D662" s="3" t="inlineStr">
        <is>
          <t>B9</t>
        </is>
      </c>
      <c r="E662" s="9" t="inlineStr">
        <is>
          <t>E9.14</t>
        </is>
      </c>
      <c r="F662" s="15">
        <f>IF(E662&lt;&gt;"","Đã VH","Quy hoạch điện VIII")</f>
        <v/>
      </c>
      <c r="G662" s="16">
        <f>LEFT(B662,FIND(" ",B662,1)-1)</f>
        <v/>
      </c>
      <c r="H662" s="16">
        <f>TRIM(RIGHT(B662,LEN(B662)-FIND(" ",B662,1)))</f>
        <v/>
      </c>
      <c r="I662" s="16">
        <f>_xlfn.XLOOKUP(Table2[[#This Row],[Type]],Table5[Type],Table5[Type2])</f>
        <v/>
      </c>
      <c r="J662" s="16">
        <f>_xlfn.XLOOKUP(Table2[[#This Row],[Sym]],Zones!$A$2:$A$21,Zones!$B$2:$B$21)</f>
        <v/>
      </c>
      <c r="K662" s="21" t="n"/>
    </row>
    <row r="663">
      <c r="A663" s="24" t="n">
        <v>2094</v>
      </c>
      <c r="B663" s="10" t="inlineStr">
        <is>
          <t>T110 XM Công Thanh</t>
        </is>
      </c>
      <c r="C663" s="10" t="inlineStr">
        <is>
          <t>TBA 110kV XM Công Thanh</t>
        </is>
      </c>
      <c r="D663" s="3" t="inlineStr">
        <is>
          <t>B9</t>
        </is>
      </c>
      <c r="E663" s="9" t="inlineStr">
        <is>
          <t>E9.15</t>
        </is>
      </c>
      <c r="F663" s="15">
        <f>IF(E663&lt;&gt;"","Đã VH","Quy hoạch điện VIII")</f>
        <v/>
      </c>
      <c r="G663" s="16">
        <f>LEFT(B663,FIND(" ",B663,1)-1)</f>
        <v/>
      </c>
      <c r="H663" s="16">
        <f>TRIM(RIGHT(B663,LEN(B663)-FIND(" ",B663,1)))</f>
        <v/>
      </c>
      <c r="I663" s="16">
        <f>_xlfn.XLOOKUP(Table2[[#This Row],[Type]],Table5[Type],Table5[Type2])</f>
        <v/>
      </c>
      <c r="J663" s="16">
        <f>_xlfn.XLOOKUP(Table2[[#This Row],[Sym]],Zones!$A$2:$A$21,Zones!$B$2:$B$21)</f>
        <v/>
      </c>
      <c r="K663" s="21" t="n"/>
    </row>
    <row r="664">
      <c r="A664" s="24" t="n">
        <v>2095</v>
      </c>
      <c r="B664" s="10" t="inlineStr">
        <is>
          <t>T110 VEAM</t>
        </is>
      </c>
      <c r="C664" s="10" t="inlineStr">
        <is>
          <t>TBA 110kV VEAM</t>
        </is>
      </c>
      <c r="D664" s="3" t="inlineStr">
        <is>
          <t>B9</t>
        </is>
      </c>
      <c r="E664" s="9" t="inlineStr">
        <is>
          <t>E9.16</t>
        </is>
      </c>
      <c r="F664" s="15">
        <f>IF(E664&lt;&gt;"","Đã VH","Quy hoạch điện VIII")</f>
        <v/>
      </c>
      <c r="G664" s="16">
        <f>LEFT(B664,FIND(" ",B664,1)-1)</f>
        <v/>
      </c>
      <c r="H664" s="16">
        <f>TRIM(RIGHT(B664,LEN(B664)-FIND(" ",B664,1)))</f>
        <v/>
      </c>
      <c r="I664" s="16">
        <f>_xlfn.XLOOKUP(Table2[[#This Row],[Type]],Table5[Type],Table5[Type2])</f>
        <v/>
      </c>
      <c r="J664" s="16">
        <f>_xlfn.XLOOKUP(Table2[[#This Row],[Sym]],Zones!$A$2:$A$21,Zones!$B$2:$B$21)</f>
        <v/>
      </c>
      <c r="K664" s="21" t="n"/>
    </row>
    <row r="665">
      <c r="A665" s="24" t="n">
        <v>2096</v>
      </c>
      <c r="B665" s="10" t="inlineStr">
        <is>
          <t>T110 Triệu Sơn</t>
        </is>
      </c>
      <c r="C665" s="10" t="inlineStr">
        <is>
          <t>TBA 110kV Triệu Sơn</t>
        </is>
      </c>
      <c r="D665" s="3" t="inlineStr">
        <is>
          <t>B9</t>
        </is>
      </c>
      <c r="E665" s="9" t="inlineStr">
        <is>
          <t>E9.17</t>
        </is>
      </c>
      <c r="F665" s="15">
        <f>IF(E665&lt;&gt;"","Đã VH","Quy hoạch điện VIII")</f>
        <v/>
      </c>
      <c r="G665" s="16">
        <f>LEFT(B665,FIND(" ",B665,1)-1)</f>
        <v/>
      </c>
      <c r="H665" s="16">
        <f>TRIM(RIGHT(B665,LEN(B665)-FIND(" ",B665,1)))</f>
        <v/>
      </c>
      <c r="I665" s="16">
        <f>_xlfn.XLOOKUP(Table2[[#This Row],[Type]],Table5[Type],Table5[Type2])</f>
        <v/>
      </c>
      <c r="J665" s="16">
        <f>_xlfn.XLOOKUP(Table2[[#This Row],[Sym]],Zones!$A$2:$A$21,Zones!$B$2:$B$21)</f>
        <v/>
      </c>
      <c r="K665" s="21" t="n"/>
    </row>
    <row r="666">
      <c r="A666" s="24" t="n">
        <v>2097</v>
      </c>
      <c r="B666" s="10" t="inlineStr">
        <is>
          <t>T110 Hậu Lộc</t>
        </is>
      </c>
      <c r="C666" s="10" t="inlineStr">
        <is>
          <t>TBA 110kV Hậu Lộc</t>
        </is>
      </c>
      <c r="D666" s="3" t="inlineStr">
        <is>
          <t>B9</t>
        </is>
      </c>
      <c r="E666" s="9" t="inlineStr">
        <is>
          <t>E9.18</t>
        </is>
      </c>
      <c r="F666" s="15">
        <f>IF(E666&lt;&gt;"","Đã VH","Quy hoạch điện VIII")</f>
        <v/>
      </c>
      <c r="G666" s="16">
        <f>LEFT(B666,FIND(" ",B666,1)-1)</f>
        <v/>
      </c>
      <c r="H666" s="16">
        <f>TRIM(RIGHT(B666,LEN(B666)-FIND(" ",B666,1)))</f>
        <v/>
      </c>
      <c r="I666" s="16">
        <f>_xlfn.XLOOKUP(Table2[[#This Row],[Type]],Table5[Type],Table5[Type2])</f>
        <v/>
      </c>
      <c r="J666" s="16">
        <f>_xlfn.XLOOKUP(Table2[[#This Row],[Sym]],Zones!$A$2:$A$21,Zones!$B$2:$B$21)</f>
        <v/>
      </c>
      <c r="K666" s="21" t="n"/>
    </row>
    <row r="667">
      <c r="A667" s="24" t="n">
        <v>2098</v>
      </c>
      <c r="B667" s="10" t="inlineStr">
        <is>
          <t>T110 Cổ Định</t>
        </is>
      </c>
      <c r="C667" s="10" t="inlineStr">
        <is>
          <t>TBA 110kV Cổ Định</t>
        </is>
      </c>
      <c r="D667" s="3" t="inlineStr">
        <is>
          <t>B9</t>
        </is>
      </c>
      <c r="E667" s="9" t="inlineStr">
        <is>
          <t>E9.19</t>
        </is>
      </c>
      <c r="F667" s="15">
        <f>IF(E667&lt;&gt;"","Đã VH","Quy hoạch điện VIII")</f>
        <v/>
      </c>
      <c r="G667" s="16">
        <f>LEFT(B667,FIND(" ",B667,1)-1)</f>
        <v/>
      </c>
      <c r="H667" s="16">
        <f>TRIM(RIGHT(B667,LEN(B667)-FIND(" ",B667,1)))</f>
        <v/>
      </c>
      <c r="I667" s="16">
        <f>_xlfn.XLOOKUP(Table2[[#This Row],[Type]],Table5[Type],Table5[Type2])</f>
        <v/>
      </c>
      <c r="J667" s="16">
        <f>_xlfn.XLOOKUP(Table2[[#This Row],[Sym]],Zones!$A$2:$A$21,Zones!$B$2:$B$21)</f>
        <v/>
      </c>
      <c r="K667" s="21" t="n"/>
    </row>
    <row r="668">
      <c r="A668" s="24" t="n">
        <v>2099</v>
      </c>
      <c r="B668" s="10" t="inlineStr">
        <is>
          <t>T220 Bỉm Sơn</t>
        </is>
      </c>
      <c r="C668" s="10" t="inlineStr">
        <is>
          <t>TBA 220kV Bỉm Sơn</t>
        </is>
      </c>
      <c r="D668" s="3" t="inlineStr">
        <is>
          <t>B9</t>
        </is>
      </c>
      <c r="E668" s="9" t="inlineStr">
        <is>
          <t>E9.20</t>
        </is>
      </c>
      <c r="F668" s="15">
        <f>IF(E668&lt;&gt;"","Đã VH","Quy hoạch điện VIII")</f>
        <v/>
      </c>
      <c r="G668" s="16">
        <f>LEFT(B668,FIND(" ",B668,1)-1)</f>
        <v/>
      </c>
      <c r="H668" s="16">
        <f>TRIM(RIGHT(B668,LEN(B668)-FIND(" ",B668,1)))</f>
        <v/>
      </c>
      <c r="I668" s="16">
        <f>_xlfn.XLOOKUP(Table2[[#This Row],[Type]],Table5[Type],Table5[Type2])</f>
        <v/>
      </c>
      <c r="J668" s="16">
        <f>_xlfn.XLOOKUP(Table2[[#This Row],[Sym]],Zones!$A$2:$A$21,Zones!$B$2:$B$21)</f>
        <v/>
      </c>
      <c r="K668" s="21" t="n"/>
    </row>
    <row r="669">
      <c r="A669" s="24" t="n">
        <v>2100</v>
      </c>
      <c r="B669" s="10" t="inlineStr">
        <is>
          <t>T110 Ngọc Lặc</t>
        </is>
      </c>
      <c r="C669" s="10" t="inlineStr">
        <is>
          <t>TBA 110kV Ngọc Lặc</t>
        </is>
      </c>
      <c r="D669" s="3" t="inlineStr">
        <is>
          <t>B9</t>
        </is>
      </c>
      <c r="E669" s="9" t="inlineStr">
        <is>
          <t>E9.21</t>
        </is>
      </c>
      <c r="F669" s="15">
        <f>IF(E669&lt;&gt;"","Đã VH","Quy hoạch điện VIII")</f>
        <v/>
      </c>
      <c r="G669" s="16">
        <f>LEFT(B669,FIND(" ",B669,1)-1)</f>
        <v/>
      </c>
      <c r="H669" s="16">
        <f>TRIM(RIGHT(B669,LEN(B669)-FIND(" ",B669,1)))</f>
        <v/>
      </c>
      <c r="I669" s="16">
        <f>_xlfn.XLOOKUP(Table2[[#This Row],[Type]],Table5[Type],Table5[Type2])</f>
        <v/>
      </c>
      <c r="J669" s="16">
        <f>_xlfn.XLOOKUP(Table2[[#This Row],[Sym]],Zones!$A$2:$A$21,Zones!$B$2:$B$21)</f>
        <v/>
      </c>
      <c r="K669" s="21" t="n"/>
    </row>
    <row r="670">
      <c r="A670" s="24" t="n">
        <v>2101</v>
      </c>
      <c r="B670" s="10" t="inlineStr">
        <is>
          <t>T110 Ferocrom</t>
        </is>
      </c>
      <c r="C670" s="10" t="inlineStr">
        <is>
          <t>TBA 110kV Ferocrom</t>
        </is>
      </c>
      <c r="D670" s="3" t="inlineStr">
        <is>
          <t>B9</t>
        </is>
      </c>
      <c r="E670" s="9" t="inlineStr">
        <is>
          <t>E9.22</t>
        </is>
      </c>
      <c r="F670" s="15">
        <f>IF(E670&lt;&gt;"","Đã VH","Quy hoạch điện VIII")</f>
        <v/>
      </c>
      <c r="G670" s="16">
        <f>LEFT(B670,FIND(" ",B670,1)-1)</f>
        <v/>
      </c>
      <c r="H670" s="16">
        <f>TRIM(RIGHT(B670,LEN(B670)-FIND(" ",B670,1)))</f>
        <v/>
      </c>
      <c r="I670" s="16">
        <f>_xlfn.XLOOKUP(Table2[[#This Row],[Type]],Table5[Type],Table5[Type2])</f>
        <v/>
      </c>
      <c r="J670" s="16">
        <f>_xlfn.XLOOKUP(Table2[[#This Row],[Sym]],Zones!$A$2:$A$21,Zones!$B$2:$B$21)</f>
        <v/>
      </c>
      <c r="K670" s="21" t="n"/>
    </row>
    <row r="671">
      <c r="A671" s="24" t="n">
        <v>2102</v>
      </c>
      <c r="B671" s="10" t="inlineStr">
        <is>
          <t>T110 Bỉm Sơn</t>
        </is>
      </c>
      <c r="C671" s="10" t="inlineStr">
        <is>
          <t>TBA 110kV Bỉm Sơn</t>
        </is>
      </c>
      <c r="D671" s="3" t="inlineStr">
        <is>
          <t>B9</t>
        </is>
      </c>
      <c r="E671" s="9" t="inlineStr">
        <is>
          <t>E9.23</t>
        </is>
      </c>
      <c r="F671" s="15">
        <f>IF(E671&lt;&gt;"","Đã VH","Quy hoạch điện VIII")</f>
        <v/>
      </c>
      <c r="G671" s="16">
        <f>LEFT(B671,FIND(" ",B671,1)-1)</f>
        <v/>
      </c>
      <c r="H671" s="16">
        <f>TRIM(RIGHT(B671,LEN(B671)-FIND(" ",B671,1)))</f>
        <v/>
      </c>
      <c r="I671" s="16">
        <f>_xlfn.XLOOKUP(Table2[[#This Row],[Type]],Table5[Type],Table5[Type2])</f>
        <v/>
      </c>
      <c r="J671" s="16">
        <f>_xlfn.XLOOKUP(Table2[[#This Row],[Sym]],Zones!$A$2:$A$21,Zones!$B$2:$B$21)</f>
        <v/>
      </c>
      <c r="K671" s="21" t="n"/>
    </row>
    <row r="672">
      <c r="A672" s="24" t="n">
        <v>2103</v>
      </c>
      <c r="B672" s="10" t="inlineStr">
        <is>
          <t>TĐ Cửa Đạt</t>
        </is>
      </c>
      <c r="C672" s="10" t="inlineStr">
        <is>
          <t>NM TĐN Cửa Đạt</t>
        </is>
      </c>
      <c r="D672" s="3" t="inlineStr">
        <is>
          <t>B9</t>
        </is>
      </c>
      <c r="E672" s="9" t="inlineStr">
        <is>
          <t>A9.0</t>
        </is>
      </c>
      <c r="F672" s="15">
        <f>IF(E672&lt;&gt;"","Đã VH","Quy hoạch điện VIII")</f>
        <v/>
      </c>
      <c r="G672" s="16">
        <f>LEFT(B672,FIND(" ",B672,1)-1)</f>
        <v/>
      </c>
      <c r="H672" s="16">
        <f>TRIM(RIGHT(B672,LEN(B672)-FIND(" ",B672,1)))</f>
        <v/>
      </c>
      <c r="I672" s="16">
        <f>_xlfn.XLOOKUP(Table2[[#This Row],[Type]],Table5[Type],Table5[Type2])</f>
        <v/>
      </c>
      <c r="J672" s="16">
        <f>_xlfn.XLOOKUP(Table2[[#This Row],[Sym]],Zones!$A$2:$A$21,Zones!$B$2:$B$21)</f>
        <v/>
      </c>
      <c r="K672" s="21" t="n"/>
    </row>
    <row r="673">
      <c r="A673" s="24" t="n">
        <v>2104</v>
      </c>
      <c r="B673" s="10" t="inlineStr">
        <is>
          <t>TĐ Bá Thước 2</t>
        </is>
      </c>
      <c r="C673" s="10" t="inlineStr">
        <is>
          <t>NM TĐN Bá Thước 2</t>
        </is>
      </c>
      <c r="D673" s="3" t="inlineStr">
        <is>
          <t>B9</t>
        </is>
      </c>
      <c r="E673" s="9" t="inlineStr">
        <is>
          <t>A9.30</t>
        </is>
      </c>
      <c r="F673" s="15">
        <f>IF(E673&lt;&gt;"","Đã VH","Quy hoạch điện VIII")</f>
        <v/>
      </c>
      <c r="G673" s="16">
        <f>LEFT(B673,FIND(" ",B673,1)-1)</f>
        <v/>
      </c>
      <c r="H673" s="16">
        <f>TRIM(RIGHT(B673,LEN(B673)-FIND(" ",B673,1)))</f>
        <v/>
      </c>
      <c r="I673" s="16">
        <f>_xlfn.XLOOKUP(Table2[[#This Row],[Type]],Table5[Type],Table5[Type2])</f>
        <v/>
      </c>
      <c r="J673" s="16">
        <f>_xlfn.XLOOKUP(Table2[[#This Row],[Sym]],Zones!$A$2:$A$21,Zones!$B$2:$B$21)</f>
        <v/>
      </c>
      <c r="K673" s="21" t="n"/>
    </row>
    <row r="674">
      <c r="A674" s="24" t="n">
        <v>2105</v>
      </c>
      <c r="B674" s="10" t="inlineStr">
        <is>
          <t>TĐ Hủa Na</t>
        </is>
      </c>
      <c r="C674" s="10" t="inlineStr">
        <is>
          <t>NM TĐN Hủa Na</t>
        </is>
      </c>
      <c r="D674" s="3" t="inlineStr">
        <is>
          <t>B9</t>
        </is>
      </c>
      <c r="E674" s="9" t="inlineStr">
        <is>
          <t>A9.25</t>
        </is>
      </c>
      <c r="F674" s="15">
        <f>IF(E674&lt;&gt;"","Đã VH","Quy hoạch điện VIII")</f>
        <v/>
      </c>
      <c r="G674" s="16">
        <f>LEFT(B674,FIND(" ",B674,1)-1)</f>
        <v/>
      </c>
      <c r="H674" s="16">
        <f>TRIM(RIGHT(B674,LEN(B674)-FIND(" ",B674,1)))</f>
        <v/>
      </c>
      <c r="I674" s="16">
        <f>_xlfn.XLOOKUP(Table2[[#This Row],[Type]],Table5[Type],Table5[Type2])</f>
        <v/>
      </c>
      <c r="J674" s="16">
        <f>_xlfn.XLOOKUP(Table2[[#This Row],[Sym]],Zones!$A$2:$A$21,Zones!$B$2:$B$21)</f>
        <v/>
      </c>
      <c r="K674" s="21" t="n"/>
    </row>
    <row r="675">
      <c r="A675" s="24" t="n">
        <v>2106</v>
      </c>
      <c r="B675" s="10" t="inlineStr">
        <is>
          <t>NĐ Nghi Sơn 1</t>
        </is>
      </c>
      <c r="C675" s="10" t="inlineStr">
        <is>
          <t xml:space="preserve"> Nghi Sơn 1</t>
        </is>
      </c>
      <c r="D675" s="3" t="inlineStr">
        <is>
          <t>B9</t>
        </is>
      </c>
      <c r="E675" s="9" t="inlineStr">
        <is>
          <t>A9.35</t>
        </is>
      </c>
      <c r="F675" s="15">
        <f>IF(E675&lt;&gt;"","Đã VH","Quy hoạch điện VIII")</f>
        <v/>
      </c>
      <c r="G675" s="16">
        <f>LEFT(B675,FIND(" ",B675,1)-1)</f>
        <v/>
      </c>
      <c r="H675" s="16">
        <f>TRIM(RIGHT(B675,LEN(B675)-FIND(" ",B675,1)))</f>
        <v/>
      </c>
      <c r="I675" s="16">
        <f>_xlfn.XLOOKUP(Table2[[#This Row],[Type]],Table5[Type],Table5[Type2])</f>
        <v/>
      </c>
      <c r="J675" s="16">
        <f>_xlfn.XLOOKUP(Table2[[#This Row],[Sym]],Zones!$A$2:$A$21,Zones!$B$2:$B$21)</f>
        <v/>
      </c>
      <c r="K675" s="21" t="n"/>
    </row>
    <row r="676">
      <c r="A676" s="24" t="n">
        <v>2107</v>
      </c>
      <c r="B676" s="10" t="inlineStr">
        <is>
          <t>T110 Luyện Kim 1</t>
        </is>
      </c>
      <c r="C676" s="10" t="inlineStr">
        <is>
          <t>TBA 110kV Luyện Kim 1</t>
        </is>
      </c>
      <c r="D676" s="3" t="inlineStr">
        <is>
          <t>B9</t>
        </is>
      </c>
      <c r="E676" s="9" t="inlineStr">
        <is>
          <t>E9.28</t>
        </is>
      </c>
      <c r="F676" s="15">
        <f>IF(E676&lt;&gt;"","Đã VH","Quy hoạch điện VIII")</f>
        <v/>
      </c>
      <c r="G676" s="16">
        <f>LEFT(B676,FIND(" ",B676,1)-1)</f>
        <v/>
      </c>
      <c r="H676" s="16">
        <f>TRIM(RIGHT(B676,LEN(B676)-FIND(" ",B676,1)))</f>
        <v/>
      </c>
      <c r="I676" s="16">
        <f>_xlfn.XLOOKUP(Table2[[#This Row],[Type]],Table5[Type],Table5[Type2])</f>
        <v/>
      </c>
      <c r="J676" s="16">
        <f>_xlfn.XLOOKUP(Table2[[#This Row],[Sym]],Zones!$A$2:$A$21,Zones!$B$2:$B$21)</f>
        <v/>
      </c>
      <c r="K676" s="21" t="n"/>
    </row>
    <row r="677">
      <c r="A677" s="24" t="n">
        <v>2108</v>
      </c>
      <c r="B677" s="10" t="inlineStr">
        <is>
          <t>TĐ Trung Sơn</t>
        </is>
      </c>
      <c r="C677" s="10" t="inlineStr">
        <is>
          <t>NM TĐN Trung Sơn</t>
        </is>
      </c>
      <c r="D677" s="3" t="inlineStr">
        <is>
          <t>B9</t>
        </is>
      </c>
      <c r="E677" s="9" t="inlineStr">
        <is>
          <t>A9.36</t>
        </is>
      </c>
      <c r="F677" s="15">
        <f>IF(E677&lt;&gt;"","Đã VH","Quy hoạch điện VIII")</f>
        <v/>
      </c>
      <c r="G677" s="16">
        <f>LEFT(B677,FIND(" ",B677,1)-1)</f>
        <v/>
      </c>
      <c r="H677" s="16">
        <f>TRIM(RIGHT(B677,LEN(B677)-FIND(" ",B677,1)))</f>
        <v/>
      </c>
      <c r="I677" s="16">
        <f>_xlfn.XLOOKUP(Table2[[#This Row],[Type]],Table5[Type],Table5[Type2])</f>
        <v/>
      </c>
      <c r="J677" s="16">
        <f>_xlfn.XLOOKUP(Table2[[#This Row],[Sym]],Zones!$A$2:$A$21,Zones!$B$2:$B$21)</f>
        <v/>
      </c>
      <c r="K677" s="21" t="n"/>
    </row>
    <row r="678">
      <c r="A678" s="24" t="n">
        <v>2109</v>
      </c>
      <c r="B678" s="10" t="inlineStr">
        <is>
          <t>TĐ Xuân Minh</t>
        </is>
      </c>
      <c r="C678" s="10" t="inlineStr">
        <is>
          <t>NM TĐN Xuân Minh</t>
        </is>
      </c>
      <c r="D678" s="3" t="inlineStr">
        <is>
          <t>B9</t>
        </is>
      </c>
      <c r="E678" s="9" t="inlineStr">
        <is>
          <t>A9.34</t>
        </is>
      </c>
      <c r="F678" s="15">
        <f>IF(E678&lt;&gt;"","Đã VH","Quy hoạch điện VIII")</f>
        <v/>
      </c>
      <c r="G678" s="16">
        <f>LEFT(B678,FIND(" ",B678,1)-1)</f>
        <v/>
      </c>
      <c r="H678" s="16">
        <f>TRIM(RIGHT(B678,LEN(B678)-FIND(" ",B678,1)))</f>
        <v/>
      </c>
      <c r="I678" s="16">
        <f>_xlfn.XLOOKUP(Table2[[#This Row],[Type]],Table5[Type],Table5[Type2])</f>
        <v/>
      </c>
      <c r="J678" s="16">
        <f>_xlfn.XLOOKUP(Table2[[#This Row],[Sym]],Zones!$A$2:$A$21,Zones!$B$2:$B$21)</f>
        <v/>
      </c>
      <c r="K678" s="21" t="n"/>
    </row>
    <row r="679">
      <c r="A679" s="24" t="n">
        <v>2110</v>
      </c>
      <c r="B679" s="10" t="inlineStr">
        <is>
          <t>T110 Yên Định</t>
        </is>
      </c>
      <c r="C679" s="10" t="inlineStr">
        <is>
          <t>TBA 110kV Yên Định</t>
        </is>
      </c>
      <c r="D679" s="3" t="inlineStr">
        <is>
          <t>B9</t>
        </is>
      </c>
      <c r="E679" s="9" t="inlineStr">
        <is>
          <t>E9.26</t>
        </is>
      </c>
      <c r="F679" s="15">
        <f>IF(E679&lt;&gt;"","Đã VH","Quy hoạch điện VIII")</f>
        <v/>
      </c>
      <c r="G679" s="16">
        <f>LEFT(B679,FIND(" ",B679,1)-1)</f>
        <v/>
      </c>
      <c r="H679" s="16">
        <f>TRIM(RIGHT(B679,LEN(B679)-FIND(" ",B679,1)))</f>
        <v/>
      </c>
      <c r="I679" s="16">
        <f>_xlfn.XLOOKUP(Table2[[#This Row],[Type]],Table5[Type],Table5[Type2])</f>
        <v/>
      </c>
      <c r="J679" s="16">
        <f>_xlfn.XLOOKUP(Table2[[#This Row],[Sym]],Zones!$A$2:$A$21,Zones!$B$2:$B$21)</f>
        <v/>
      </c>
      <c r="K679" s="21" t="n"/>
    </row>
    <row r="680">
      <c r="A680" s="24" t="n">
        <v>2111</v>
      </c>
      <c r="B680" s="10" t="inlineStr">
        <is>
          <t>T110 XM Long Sơn</t>
        </is>
      </c>
      <c r="C680" s="10" t="inlineStr">
        <is>
          <t>TBA 110kV XM Long Sơn</t>
        </is>
      </c>
      <c r="D680" s="3" t="inlineStr">
        <is>
          <t>B9</t>
        </is>
      </c>
      <c r="E680" s="9" t="inlineStr">
        <is>
          <t>E9.24</t>
        </is>
      </c>
      <c r="F680" s="15">
        <f>IF(E680&lt;&gt;"","Đã VH","Quy hoạch điện VIII")</f>
        <v/>
      </c>
      <c r="G680" s="16">
        <f>LEFT(B680,FIND(" ",B680,1)-1)</f>
        <v/>
      </c>
      <c r="H680" s="16">
        <f>TRIM(RIGHT(B680,LEN(B680)-FIND(" ",B680,1)))</f>
        <v/>
      </c>
      <c r="I680" s="16">
        <f>_xlfn.XLOOKUP(Table2[[#This Row],[Type]],Table5[Type],Table5[Type2])</f>
        <v/>
      </c>
      <c r="J680" s="16">
        <f>_xlfn.XLOOKUP(Table2[[#This Row],[Sym]],Zones!$A$2:$A$21,Zones!$B$2:$B$21)</f>
        <v/>
      </c>
      <c r="K680" s="21" t="n"/>
    </row>
    <row r="681">
      <c r="A681" s="24" t="n">
        <v>2112</v>
      </c>
      <c r="B681" s="10" t="inlineStr">
        <is>
          <t>TĐ Thành Sơn</t>
        </is>
      </c>
      <c r="C681" s="10" t="inlineStr">
        <is>
          <t>NM TĐN Thành Sơn</t>
        </is>
      </c>
      <c r="D681" s="3" t="inlineStr">
        <is>
          <t>B9</t>
        </is>
      </c>
      <c r="E681" s="9" t="inlineStr">
        <is>
          <t>A9.33</t>
        </is>
      </c>
      <c r="F681" s="15">
        <f>IF(E681&lt;&gt;"","Đã VH","Quy hoạch điện VIII")</f>
        <v/>
      </c>
      <c r="G681" s="16">
        <f>LEFT(B681,FIND(" ",B681,1)-1)</f>
        <v/>
      </c>
      <c r="H681" s="16">
        <f>TRIM(RIGHT(B681,LEN(B681)-FIND(" ",B681,1)))</f>
        <v/>
      </c>
      <c r="I681" s="16">
        <f>_xlfn.XLOOKUP(Table2[[#This Row],[Type]],Table5[Type],Table5[Type2])</f>
        <v/>
      </c>
      <c r="J681" s="16">
        <f>_xlfn.XLOOKUP(Table2[[#This Row],[Sym]],Zones!$A$2:$A$21,Zones!$B$2:$B$21)</f>
        <v/>
      </c>
      <c r="K681" s="21" t="n"/>
    </row>
    <row r="682">
      <c r="A682" s="24" t="n">
        <v>2113</v>
      </c>
      <c r="B682" s="10" t="inlineStr">
        <is>
          <t>TĐ Bá Thước 1</t>
        </is>
      </c>
      <c r="C682" s="10" t="inlineStr">
        <is>
          <t>NM TĐN Bá Thước 1</t>
        </is>
      </c>
      <c r="D682" s="3" t="inlineStr">
        <is>
          <t>B9</t>
        </is>
      </c>
      <c r="E682" s="9" t="inlineStr">
        <is>
          <t>A9.40</t>
        </is>
      </c>
      <c r="F682" s="15">
        <f>IF(E682&lt;&gt;"","Đã VH","Quy hoạch điện VIII")</f>
        <v/>
      </c>
      <c r="G682" s="16">
        <f>LEFT(B682,FIND(" ",B682,1)-1)</f>
        <v/>
      </c>
      <c r="H682" s="16">
        <f>TRIM(RIGHT(B682,LEN(B682)-FIND(" ",B682,1)))</f>
        <v/>
      </c>
      <c r="I682" s="16">
        <f>_xlfn.XLOOKUP(Table2[[#This Row],[Type]],Table5[Type],Table5[Type2])</f>
        <v/>
      </c>
      <c r="J682" s="16">
        <f>_xlfn.XLOOKUP(Table2[[#This Row],[Sym]],Zones!$A$2:$A$21,Zones!$B$2:$B$21)</f>
        <v/>
      </c>
      <c r="K682" s="21" t="n"/>
    </row>
    <row r="683">
      <c r="A683" s="24" t="n">
        <v>2114</v>
      </c>
      <c r="B683" s="10" t="inlineStr">
        <is>
          <t>T110 Thạch Thành</t>
        </is>
      </c>
      <c r="C683" s="10" t="inlineStr">
        <is>
          <t>TBA 110kV Thạch Thành</t>
        </is>
      </c>
      <c r="D683" s="3" t="inlineStr">
        <is>
          <t>B9</t>
        </is>
      </c>
      <c r="E683" s="9" t="inlineStr">
        <is>
          <t>E9.49</t>
        </is>
      </c>
      <c r="F683" s="15">
        <f>IF(E683&lt;&gt;"","Đã VH","Quy hoạch điện VIII")</f>
        <v/>
      </c>
      <c r="G683" s="16">
        <f>LEFT(B683,FIND(" ",B683,1)-1)</f>
        <v/>
      </c>
      <c r="H683" s="16">
        <f>TRIM(RIGHT(B683,LEN(B683)-FIND(" ",B683,1)))</f>
        <v/>
      </c>
      <c r="I683" s="16">
        <f>_xlfn.XLOOKUP(Table2[[#This Row],[Type]],Table5[Type],Table5[Type2])</f>
        <v/>
      </c>
      <c r="J683" s="16">
        <f>_xlfn.XLOOKUP(Table2[[#This Row],[Sym]],Zones!$A$2:$A$21,Zones!$B$2:$B$21)</f>
        <v/>
      </c>
      <c r="K683" s="21" t="n"/>
    </row>
    <row r="684">
      <c r="A684" s="24" t="n">
        <v>2115</v>
      </c>
      <c r="B684" s="10" t="inlineStr">
        <is>
          <t>T110 Cẩm Thủy</t>
        </is>
      </c>
      <c r="C684" s="10" t="inlineStr">
        <is>
          <t>TBA 110kV Cẩm Thủy</t>
        </is>
      </c>
      <c r="D684" s="3" t="inlineStr">
        <is>
          <t>B9</t>
        </is>
      </c>
      <c r="E684" s="9" t="inlineStr">
        <is>
          <t>E9.38</t>
        </is>
      </c>
      <c r="F684" s="15">
        <f>IF(E684&lt;&gt;"","Đã VH","Quy hoạch điện VIII")</f>
        <v/>
      </c>
      <c r="G684" s="16">
        <f>LEFT(B684,FIND(" ",B684,1)-1)</f>
        <v/>
      </c>
      <c r="H684" s="16">
        <f>TRIM(RIGHT(B684,LEN(B684)-FIND(" ",B684,1)))</f>
        <v/>
      </c>
      <c r="I684" s="16">
        <f>_xlfn.XLOOKUP(Table2[[#This Row],[Type]],Table5[Type],Table5[Type2])</f>
        <v/>
      </c>
      <c r="J684" s="16">
        <f>_xlfn.XLOOKUP(Table2[[#This Row],[Sym]],Zones!$A$2:$A$21,Zones!$B$2:$B$21)</f>
        <v/>
      </c>
      <c r="K684" s="21" t="n"/>
    </row>
    <row r="685">
      <c r="A685" s="24" t="n">
        <v>2116</v>
      </c>
      <c r="B685" s="10" t="inlineStr">
        <is>
          <t>T110 Tây Thành Phố</t>
        </is>
      </c>
      <c r="C685" s="10" t="inlineStr">
        <is>
          <t>TBA 110kV Tây Thành Phố</t>
        </is>
      </c>
      <c r="D685" s="3" t="inlineStr">
        <is>
          <t>B9</t>
        </is>
      </c>
      <c r="E685" s="9" t="inlineStr">
        <is>
          <t>E9.27</t>
        </is>
      </c>
      <c r="F685" s="15">
        <f>IF(E685&lt;&gt;"","Đã VH","Quy hoạch điện VIII")</f>
        <v/>
      </c>
      <c r="G685" s="16">
        <f>LEFT(B685,FIND(" ",B685,1)-1)</f>
        <v/>
      </c>
      <c r="H685" s="16">
        <f>TRIM(RIGHT(B685,LEN(B685)-FIND(" ",B685,1)))</f>
        <v/>
      </c>
      <c r="I685" s="16">
        <f>_xlfn.XLOOKUP(Table2[[#This Row],[Type]],Table5[Type],Table5[Type2])</f>
        <v/>
      </c>
      <c r="J685" s="16">
        <f>_xlfn.XLOOKUP(Table2[[#This Row],[Sym]],Zones!$A$2:$A$21,Zones!$B$2:$B$21)</f>
        <v/>
      </c>
      <c r="K685" s="21" t="n"/>
    </row>
    <row r="686">
      <c r="A686" s="24" t="n">
        <v>2117</v>
      </c>
      <c r="B686" s="10" t="inlineStr">
        <is>
          <t>T110 KCN Nghi Sơn 1</t>
        </is>
      </c>
      <c r="C686" s="10" t="inlineStr">
        <is>
          <t>TBA 110kV KCN Nghi Sơn 1</t>
        </is>
      </c>
      <c r="D686" s="3" t="inlineStr">
        <is>
          <t>B9</t>
        </is>
      </c>
      <c r="E686" s="9" t="inlineStr">
        <is>
          <t>E9.43</t>
        </is>
      </c>
      <c r="F686" s="15">
        <f>IF(E686&lt;&gt;"","Đã VH","Quy hoạch điện VIII")</f>
        <v/>
      </c>
      <c r="G686" s="16">
        <f>LEFT(B686,FIND(" ",B686,1)-1)</f>
        <v/>
      </c>
      <c r="H686" s="16">
        <f>TRIM(RIGHT(B686,LEN(B686)-FIND(" ",B686,1)))</f>
        <v/>
      </c>
      <c r="I686" s="16">
        <f>_xlfn.XLOOKUP(Table2[[#This Row],[Type]],Table5[Type],Table5[Type2])</f>
        <v/>
      </c>
      <c r="J686" s="16">
        <f>_xlfn.XLOOKUP(Table2[[#This Row],[Sym]],Zones!$A$2:$A$21,Zones!$B$2:$B$21)</f>
        <v/>
      </c>
      <c r="K686" s="21" t="n"/>
    </row>
    <row r="687">
      <c r="A687" s="24" t="n">
        <v>2118</v>
      </c>
      <c r="B687" s="10" t="inlineStr">
        <is>
          <t>T110 TNXM Long Sơn</t>
        </is>
      </c>
      <c r="C687" s="10" t="inlineStr">
        <is>
          <t>TBA 110kV TNXM Long Sơn</t>
        </is>
      </c>
      <c r="D687" s="3" t="inlineStr">
        <is>
          <t>B9</t>
        </is>
      </c>
      <c r="E687" s="9" t="inlineStr">
        <is>
          <t>E9.44</t>
        </is>
      </c>
      <c r="F687" s="15">
        <f>IF(E687&lt;&gt;"","Đã VH","Quy hoạch điện VIII")</f>
        <v/>
      </c>
      <c r="G687" s="16">
        <f>LEFT(B687,FIND(" ",B687,1)-1)</f>
        <v/>
      </c>
      <c r="H687" s="16">
        <f>TRIM(RIGHT(B687,LEN(B687)-FIND(" ",B687,1)))</f>
        <v/>
      </c>
      <c r="I687" s="16">
        <f>_xlfn.XLOOKUP(Table2[[#This Row],[Type]],Table5[Type],Table5[Type2])</f>
        <v/>
      </c>
      <c r="J687" s="16">
        <f>_xlfn.XLOOKUP(Table2[[#This Row],[Sym]],Zones!$A$2:$A$21,Zones!$B$2:$B$21)</f>
        <v/>
      </c>
      <c r="K687" s="21" t="n"/>
    </row>
    <row r="688">
      <c r="A688" s="24" t="n">
        <v>2119</v>
      </c>
      <c r="B688" s="10" t="inlineStr">
        <is>
          <t>TĐ Hồi Xuân</t>
        </is>
      </c>
      <c r="C688" s="10" t="inlineStr">
        <is>
          <t>NM TĐN Hồi Xuân</t>
        </is>
      </c>
      <c r="D688" s="3" t="inlineStr">
        <is>
          <t>B9</t>
        </is>
      </c>
      <c r="E688" s="9" t="n"/>
      <c r="F688" s="15">
        <f>IF(E688&lt;&gt;"","Đã VH","Quy hoạch điện VIII")</f>
        <v/>
      </c>
      <c r="G688" s="16">
        <f>LEFT(B688,FIND(" ",B688,1)-1)</f>
        <v/>
      </c>
      <c r="H688" s="16">
        <f>TRIM(RIGHT(B688,LEN(B688)-FIND(" ",B688,1)))</f>
        <v/>
      </c>
      <c r="I688" s="16">
        <f>_xlfn.XLOOKUP(Table2[[#This Row],[Type]],Table5[Type],Table5[Type2])</f>
        <v/>
      </c>
      <c r="J688" s="16">
        <f>_xlfn.XLOOKUP(Table2[[#This Row],[Sym]],Zones!$A$2:$A$21,Zones!$B$2:$B$21)</f>
        <v/>
      </c>
      <c r="K688" s="21" t="n"/>
    </row>
    <row r="689">
      <c r="A689" s="24" t="n">
        <v>2120</v>
      </c>
      <c r="B689" s="10" t="inlineStr">
        <is>
          <t>T500 Nghi Sơn</t>
        </is>
      </c>
      <c r="C689" s="10" t="inlineStr">
        <is>
          <t>TBA 500kV Nghi Sơn</t>
        </is>
      </c>
      <c r="D689" s="3" t="inlineStr">
        <is>
          <t>B9</t>
        </is>
      </c>
      <c r="E689" s="9" t="n"/>
      <c r="F689" s="15">
        <f>IF(E689&lt;&gt;"","Đã VH","Quy hoạch điện VIII")</f>
        <v/>
      </c>
      <c r="G689" s="16">
        <f>LEFT(B689,FIND(" ",B689,1)-1)</f>
        <v/>
      </c>
      <c r="H689" s="16">
        <f>TRIM(RIGHT(B689,LEN(B689)-FIND(" ",B689,1)))</f>
        <v/>
      </c>
      <c r="I689" s="16">
        <f>_xlfn.XLOOKUP(Table2[[#This Row],[Type]],Table5[Type],Table5[Type2])</f>
        <v/>
      </c>
      <c r="J689" s="16">
        <f>_xlfn.XLOOKUP(Table2[[#This Row],[Sym]],Zones!$A$2:$A$21,Zones!$B$2:$B$21)</f>
        <v/>
      </c>
      <c r="K689" s="21" t="n"/>
    </row>
    <row r="690">
      <c r="A690" s="24" t="n">
        <v>2121</v>
      </c>
      <c r="B690" s="10" t="inlineStr">
        <is>
          <t>T220 Nông Cống</t>
        </is>
      </c>
      <c r="C690" s="10" t="inlineStr">
        <is>
          <t>TBA 220kV Nông Cống</t>
        </is>
      </c>
      <c r="D690" s="3" t="inlineStr">
        <is>
          <t>B9</t>
        </is>
      </c>
      <c r="E690" s="9" t="inlineStr">
        <is>
          <t>E9.50</t>
        </is>
      </c>
      <c r="F690" s="15">
        <f>IF(E690&lt;&gt;"","Đã VH","Quy hoạch điện VIII")</f>
        <v/>
      </c>
      <c r="G690" s="16">
        <f>LEFT(B690,FIND(" ",B690,1)-1)</f>
        <v/>
      </c>
      <c r="H690" s="16">
        <f>TRIM(RIGHT(B690,LEN(B690)-FIND(" ",B690,1)))</f>
        <v/>
      </c>
      <c r="I690" s="16">
        <f>_xlfn.XLOOKUP(Table2[[#This Row],[Type]],Table5[Type],Table5[Type2])</f>
        <v/>
      </c>
      <c r="J690" s="16">
        <f>_xlfn.XLOOKUP(Table2[[#This Row],[Sym]],Zones!$A$2:$A$21,Zones!$B$2:$B$21)</f>
        <v/>
      </c>
      <c r="K690" s="21" t="n"/>
    </row>
    <row r="691">
      <c r="A691" s="24" t="n">
        <v>2122</v>
      </c>
      <c r="B691" s="10" t="inlineStr">
        <is>
          <t>T220 Sầm Sơn</t>
        </is>
      </c>
      <c r="C691" s="10" t="inlineStr">
        <is>
          <t>TBA 220kV Sầm Sơn</t>
        </is>
      </c>
      <c r="D691" s="3" t="inlineStr">
        <is>
          <t>B9</t>
        </is>
      </c>
      <c r="E691" s="9" t="n"/>
      <c r="F691" s="15">
        <f>IF(E691&lt;&gt;"","Đã VH","Quy hoạch điện VIII")</f>
        <v/>
      </c>
      <c r="G691" s="16">
        <f>LEFT(B691,FIND(" ",B691,1)-1)</f>
        <v/>
      </c>
      <c r="H691" s="16">
        <f>TRIM(RIGHT(B691,LEN(B691)-FIND(" ",B691,1)))</f>
        <v/>
      </c>
      <c r="I691" s="16">
        <f>_xlfn.XLOOKUP(Table2[[#This Row],[Type]],Table5[Type],Table5[Type2])</f>
        <v/>
      </c>
      <c r="J691" s="16">
        <f>_xlfn.XLOOKUP(Table2[[#This Row],[Sym]],Zones!$A$2:$A$21,Zones!$B$2:$B$21)</f>
        <v/>
      </c>
      <c r="K691" s="21" t="n"/>
    </row>
    <row r="692">
      <c r="A692" s="24" t="n">
        <v>2123</v>
      </c>
      <c r="B692" s="10" t="inlineStr">
        <is>
          <t>T220 Hậu Lộc</t>
        </is>
      </c>
      <c r="C692" s="10" t="inlineStr">
        <is>
          <t>TBA 220kV Hậu Lộc</t>
        </is>
      </c>
      <c r="D692" s="3" t="inlineStr">
        <is>
          <t>B9</t>
        </is>
      </c>
      <c r="E692" s="9" t="n"/>
      <c r="F692" s="15">
        <f>IF(E692&lt;&gt;"","Đã VH","Quy hoạch điện VIII")</f>
        <v/>
      </c>
      <c r="G692" s="16">
        <f>LEFT(B692,FIND(" ",B692,1)-1)</f>
        <v/>
      </c>
      <c r="H692" s="16">
        <f>TRIM(RIGHT(B692,LEN(B692)-FIND(" ",B692,1)))</f>
        <v/>
      </c>
      <c r="I692" s="16">
        <f>_xlfn.XLOOKUP(Table2[[#This Row],[Type]],Table5[Type],Table5[Type2])</f>
        <v/>
      </c>
      <c r="J692" s="16">
        <f>_xlfn.XLOOKUP(Table2[[#This Row],[Sym]],Zones!$A$2:$A$21,Zones!$B$2:$B$21)</f>
        <v/>
      </c>
      <c r="K692" s="21" t="n"/>
    </row>
    <row r="693">
      <c r="A693" s="24" t="n">
        <v>2124</v>
      </c>
      <c r="B693" s="10" t="inlineStr">
        <is>
          <t>T220 Ngọc Lặc</t>
        </is>
      </c>
      <c r="C693" s="10" t="inlineStr">
        <is>
          <t>TBA 220kV Ngọc Lặc</t>
        </is>
      </c>
      <c r="D693" s="3" t="inlineStr">
        <is>
          <t>B9</t>
        </is>
      </c>
      <c r="E693" s="9" t="n"/>
      <c r="F693" s="15">
        <f>IF(E693&lt;&gt;"","Đã VH","Quy hoạch điện VIII")</f>
        <v/>
      </c>
      <c r="G693" s="16">
        <f>LEFT(B693,FIND(" ",B693,1)-1)</f>
        <v/>
      </c>
      <c r="H693" s="16">
        <f>TRIM(RIGHT(B693,LEN(B693)-FIND(" ",B693,1)))</f>
        <v/>
      </c>
      <c r="I693" s="16">
        <f>_xlfn.XLOOKUP(Table2[[#This Row],[Type]],Table5[Type],Table5[Type2])</f>
        <v/>
      </c>
      <c r="J693" s="16">
        <f>_xlfn.XLOOKUP(Table2[[#This Row],[Sym]],Zones!$A$2:$A$21,Zones!$B$2:$B$21)</f>
        <v/>
      </c>
      <c r="K693" s="21" t="n"/>
    </row>
    <row r="694">
      <c r="A694" s="24" t="n">
        <v>2125</v>
      </c>
      <c r="B694" s="10" t="inlineStr">
        <is>
          <t>TĐ Cẩm Thủy 1</t>
        </is>
      </c>
      <c r="C694" s="10" t="inlineStr">
        <is>
          <t>NM TĐN Cẩm Thủy 1</t>
        </is>
      </c>
      <c r="D694" s="3" t="inlineStr">
        <is>
          <t>B9</t>
        </is>
      </c>
      <c r="E694" s="9" t="inlineStr">
        <is>
          <t>A9.31</t>
        </is>
      </c>
      <c r="F694" s="15">
        <f>IF(E694&lt;&gt;"","Đã VH","Quy hoạch điện VIII")</f>
        <v/>
      </c>
      <c r="G694" s="16">
        <f>LEFT(B694,FIND(" ",B694,1)-1)</f>
        <v/>
      </c>
      <c r="H694" s="16">
        <f>TRIM(RIGHT(B694,LEN(B694)-FIND(" ",B694,1)))</f>
        <v/>
      </c>
      <c r="I694" s="16">
        <f>_xlfn.XLOOKUP(Table2[[#This Row],[Type]],Table5[Type],Table5[Type2])</f>
        <v/>
      </c>
      <c r="J694" s="16">
        <f>_xlfn.XLOOKUP(Table2[[#This Row],[Sym]],Zones!$A$2:$A$21,Zones!$B$2:$B$21)</f>
        <v/>
      </c>
      <c r="K694" s="21" t="n"/>
    </row>
    <row r="695">
      <c r="A695" s="24" t="n">
        <v>2126</v>
      </c>
      <c r="B695" s="10" t="inlineStr">
        <is>
          <t>T110 Tĩnh Gia 2</t>
        </is>
      </c>
      <c r="C695" s="10" t="inlineStr">
        <is>
          <t>TBA 110kV Tĩnh Gia 2</t>
        </is>
      </c>
      <c r="D695" s="3" t="inlineStr">
        <is>
          <t>B9</t>
        </is>
      </c>
      <c r="E695" s="9" t="inlineStr">
        <is>
          <t>E9.37</t>
        </is>
      </c>
      <c r="F695" s="15">
        <f>IF(E695&lt;&gt;"","Đã VH","Quy hoạch điện VIII")</f>
        <v/>
      </c>
      <c r="G695" s="16">
        <f>LEFT(B695,FIND(" ",B695,1)-1)</f>
        <v/>
      </c>
      <c r="H695" s="16">
        <f>TRIM(RIGHT(B695,LEN(B695)-FIND(" ",B695,1)))</f>
        <v/>
      </c>
      <c r="I695" s="16">
        <f>_xlfn.XLOOKUP(Table2[[#This Row],[Type]],Table5[Type],Table5[Type2])</f>
        <v/>
      </c>
      <c r="J695" s="16">
        <f>_xlfn.XLOOKUP(Table2[[#This Row],[Sym]],Zones!$A$2:$A$21,Zones!$B$2:$B$21)</f>
        <v/>
      </c>
      <c r="K695" s="21" t="n"/>
    </row>
    <row r="696">
      <c r="A696" s="24" t="n">
        <v>2127</v>
      </c>
      <c r="B696" s="10" t="inlineStr">
        <is>
          <t>T110 Quảng Xương</t>
        </is>
      </c>
      <c r="C696" s="10" t="inlineStr">
        <is>
          <t>TBA 110kV Quảng Xương</t>
        </is>
      </c>
      <c r="D696" s="3" t="inlineStr">
        <is>
          <t>B9</t>
        </is>
      </c>
      <c r="E696" s="9" t="inlineStr">
        <is>
          <t>E9.29</t>
        </is>
      </c>
      <c r="F696" s="15">
        <f>IF(E696&lt;&gt;"","Đã VH","Quy hoạch điện VIII")</f>
        <v/>
      </c>
      <c r="G696" s="16">
        <f>LEFT(B696,FIND(" ",B696,1)-1)</f>
        <v/>
      </c>
      <c r="H696" s="16">
        <f>TRIM(RIGHT(B696,LEN(B696)-FIND(" ",B696,1)))</f>
        <v/>
      </c>
      <c r="I696" s="16">
        <f>_xlfn.XLOOKUP(Table2[[#This Row],[Type]],Table5[Type],Table5[Type2])</f>
        <v/>
      </c>
      <c r="J696" s="16">
        <f>_xlfn.XLOOKUP(Table2[[#This Row],[Sym]],Zones!$A$2:$A$21,Zones!$B$2:$B$21)</f>
        <v/>
      </c>
      <c r="K696" s="21" t="n"/>
    </row>
    <row r="697">
      <c r="A697" s="24" t="n">
        <v>2128</v>
      </c>
      <c r="B697" s="10" t="inlineStr">
        <is>
          <t>T110 Nga Sơn</t>
        </is>
      </c>
      <c r="C697" s="10" t="inlineStr">
        <is>
          <t>TBA 110kV Nga Sơn</t>
        </is>
      </c>
      <c r="D697" s="3" t="inlineStr">
        <is>
          <t>B9</t>
        </is>
      </c>
      <c r="E697" s="9" t="inlineStr">
        <is>
          <t>E9.47</t>
        </is>
      </c>
      <c r="F697" s="15">
        <f>IF(E697&lt;&gt;"","Đã VH","Quy hoạch điện VIII")</f>
        <v/>
      </c>
      <c r="G697" s="16">
        <f>LEFT(B697,FIND(" ",B697,1)-1)</f>
        <v/>
      </c>
      <c r="H697" s="16">
        <f>TRIM(RIGHT(B697,LEN(B697)-FIND(" ",B697,1)))</f>
        <v/>
      </c>
      <c r="I697" s="16">
        <f>_xlfn.XLOOKUP(Table2[[#This Row],[Type]],Table5[Type],Table5[Type2])</f>
        <v/>
      </c>
      <c r="J697" s="16">
        <f>_xlfn.XLOOKUP(Table2[[#This Row],[Sym]],Zones!$A$2:$A$21,Zones!$B$2:$B$21)</f>
        <v/>
      </c>
      <c r="K697" s="21" t="n"/>
    </row>
    <row r="698">
      <c r="A698" s="24" t="n">
        <v>2129</v>
      </c>
      <c r="B698" s="10" t="inlineStr">
        <is>
          <t>T220 KKT Nghi Sơn</t>
        </is>
      </c>
      <c r="C698" s="30" t="inlineStr">
        <is>
          <t>TBA 220kV Khu kinh tế Nghi Sơn</t>
        </is>
      </c>
      <c r="D698" s="3" t="inlineStr">
        <is>
          <t>B9</t>
        </is>
      </c>
      <c r="E698" s="9" t="inlineStr">
        <is>
          <t>E9.60</t>
        </is>
      </c>
      <c r="F698" s="15">
        <f>IF(E698&lt;&gt;"","Đã VH","Quy hoạch điện VIII")</f>
        <v/>
      </c>
      <c r="G698" s="16">
        <f>LEFT(B698,FIND(" ",B698,1)-1)</f>
        <v/>
      </c>
      <c r="H698" s="16">
        <f>TRIM(RIGHT(B698,LEN(B698)-FIND(" ",B698,1)))</f>
        <v/>
      </c>
      <c r="I698" s="16">
        <f>_xlfn.XLOOKUP(Table2[[#This Row],[Type]],Table5[Type],Table5[Type2])</f>
        <v/>
      </c>
      <c r="J698" s="16">
        <f>_xlfn.XLOOKUP(Table2[[#This Row],[Sym]],Zones!$A$2:$A$21,Zones!$B$2:$B$21)</f>
        <v/>
      </c>
      <c r="K698" s="21" t="n"/>
      <c r="T698" t="inlineStr">
        <is>
          <t>Đã sửa từ dashboard (TBA 220kV KKT Nghi Sơn ➔ TBA 220kV Khu kinh tế Nghi Sơn)</t>
        </is>
      </c>
    </row>
    <row r="699">
      <c r="A699" s="24" t="n">
        <v>2130</v>
      </c>
      <c r="B699" s="10" t="inlineStr">
        <is>
          <t>NĐ Công Thanh</t>
        </is>
      </c>
      <c r="C699" s="10" t="inlineStr">
        <is>
          <t xml:space="preserve"> Công Thanh</t>
        </is>
      </c>
      <c r="D699" s="3" t="inlineStr">
        <is>
          <t>B9</t>
        </is>
      </c>
      <c r="E699" s="9" t="n"/>
      <c r="F699" s="15">
        <f>IF(E699&lt;&gt;"","Đã VH","Quy hoạch điện VIII")</f>
        <v/>
      </c>
      <c r="G699" s="16">
        <f>LEFT(B699,FIND(" ",B699,1)-1)</f>
        <v/>
      </c>
      <c r="H699" s="16">
        <f>TRIM(RIGHT(B699,LEN(B699)-FIND(" ",B699,1)))</f>
        <v/>
      </c>
      <c r="I699" s="16">
        <f>_xlfn.XLOOKUP(Table2[[#This Row],[Type]],Table5[Type],Table5[Type2])</f>
        <v/>
      </c>
      <c r="J699" s="16">
        <f>_xlfn.XLOOKUP(Table2[[#This Row],[Sym]],Zones!$A$2:$A$21,Zones!$B$2:$B$21)</f>
        <v/>
      </c>
      <c r="K699" s="21" t="n"/>
    </row>
    <row r="700">
      <c r="A700" s="24" t="n">
        <v>2131</v>
      </c>
      <c r="B700" s="10" t="inlineStr">
        <is>
          <t>T110 XM Đại Dương</t>
        </is>
      </c>
      <c r="C700" s="30" t="inlineStr">
        <is>
          <t>TBA XM Đại Dương</t>
        </is>
      </c>
      <c r="D700" s="3" t="inlineStr">
        <is>
          <t>B9</t>
        </is>
      </c>
      <c r="E700" s="9" t="inlineStr">
        <is>
          <t>E9.46</t>
        </is>
      </c>
      <c r="F700" s="15">
        <f>IF(E700&lt;&gt;"","Đã VH","Quy hoạch điện VIII")</f>
        <v/>
      </c>
      <c r="G700" s="16">
        <f>LEFT(B700,FIND(" ",B700,1)-1)</f>
        <v/>
      </c>
      <c r="H700" s="16">
        <f>TRIM(RIGHT(B700,LEN(B700)-FIND(" ",B700,1)))</f>
        <v/>
      </c>
      <c r="I700" s="16">
        <f>_xlfn.XLOOKUP(Table2[[#This Row],[Type]],Table5[Type],Table5[Type2])</f>
        <v/>
      </c>
      <c r="J700" s="16">
        <f>_xlfn.XLOOKUP(Table2[[#This Row],[Sym]],Zones!$A$2:$A$21,Zones!$B$2:$B$21)</f>
        <v/>
      </c>
      <c r="K700" s="21" t="n"/>
      <c r="Z700" t="inlineStr">
        <is>
          <t>Đã sửa từ dashboard (TBA 110kV XM Đại Dương ➔ TBA XM Đại Dương)</t>
        </is>
      </c>
    </row>
    <row r="701">
      <c r="A701" s="24" t="n">
        <v>2132</v>
      </c>
      <c r="B701" s="10" t="inlineStr">
        <is>
          <t>NĐ Nghi Sơn 2 (Đấu nối 500kV nên không dùng)</t>
        </is>
      </c>
      <c r="C701" s="10" t="inlineStr">
        <is>
          <t xml:space="preserve"> Nghi Sơn 2 (Đấu nối 500kV nên không dùng)</t>
        </is>
      </c>
      <c r="D701" s="3" t="inlineStr">
        <is>
          <t>B9</t>
        </is>
      </c>
      <c r="E701" s="9" t="n"/>
      <c r="F701" s="15">
        <f>IF(E701&lt;&gt;"","Đã VH","Quy hoạch điện VIII")</f>
        <v/>
      </c>
      <c r="G701" s="16">
        <f>LEFT(B701,FIND(" ",B701,1)-1)</f>
        <v/>
      </c>
      <c r="H701" s="16">
        <f>TRIM(RIGHT(B701,LEN(B701)-FIND(" ",B701,1)))</f>
        <v/>
      </c>
      <c r="I701" s="16">
        <f>_xlfn.XLOOKUP(Table2[[#This Row],[Type]],Table5[Type],Table5[Type2])</f>
        <v/>
      </c>
      <c r="J701" s="16">
        <f>_xlfn.XLOOKUP(Table2[[#This Row],[Sym]],Zones!$A$2:$A$21,Zones!$B$2:$B$21)</f>
        <v/>
      </c>
      <c r="K701" s="21" t="n"/>
    </row>
    <row r="702">
      <c r="A702" s="24" t="n">
        <v>2133</v>
      </c>
      <c r="B702" s="10" t="inlineStr">
        <is>
          <t>T110 Bãi Trành</t>
        </is>
      </c>
      <c r="C702" s="10" t="inlineStr">
        <is>
          <t>TBA 110kV Bãi Trành</t>
        </is>
      </c>
      <c r="D702" s="3" t="inlineStr">
        <is>
          <t>B9</t>
        </is>
      </c>
      <c r="E702" s="9" t="inlineStr">
        <is>
          <t>E9.41</t>
        </is>
      </c>
      <c r="F702" s="15">
        <f>IF(E702&lt;&gt;"","Đã VH","Quy hoạch điện VIII")</f>
        <v/>
      </c>
      <c r="G702" s="16">
        <f>LEFT(B702,FIND(" ",B702,1)-1)</f>
        <v/>
      </c>
      <c r="H702" s="16">
        <f>TRIM(RIGHT(B702,LEN(B702)-FIND(" ",B702,1)))</f>
        <v/>
      </c>
      <c r="I702" s="16">
        <f>_xlfn.XLOOKUP(Table2[[#This Row],[Type]],Table5[Type],Table5[Type2])</f>
        <v/>
      </c>
      <c r="J702" s="16">
        <f>_xlfn.XLOOKUP(Table2[[#This Row],[Sym]],Zones!$A$2:$A$21,Zones!$B$2:$B$21)</f>
        <v/>
      </c>
      <c r="K702" s="21" t="n"/>
    </row>
    <row r="703">
      <c r="A703" s="24" t="n">
        <v>2134</v>
      </c>
      <c r="B703" s="10" t="inlineStr">
        <is>
          <t>T110 Như Thanh</t>
        </is>
      </c>
      <c r="C703" s="10" t="inlineStr">
        <is>
          <t>TBA 110kV Như Thanh</t>
        </is>
      </c>
      <c r="D703" s="3" t="inlineStr">
        <is>
          <t>B9</t>
        </is>
      </c>
      <c r="E703" s="9" t="inlineStr">
        <is>
          <t>E9.52</t>
        </is>
      </c>
      <c r="F703" s="15">
        <f>IF(E703&lt;&gt;"","Đã VH","Quy hoạch điện VIII")</f>
        <v/>
      </c>
      <c r="G703" s="16">
        <f>LEFT(B703,FIND(" ",B703,1)-1)</f>
        <v/>
      </c>
      <c r="H703" s="16">
        <f>TRIM(RIGHT(B703,LEN(B703)-FIND(" ",B703,1)))</f>
        <v/>
      </c>
      <c r="I703" s="16">
        <f>_xlfn.XLOOKUP(Table2[[#This Row],[Type]],Table5[Type],Table5[Type2])</f>
        <v/>
      </c>
      <c r="J703" s="16">
        <f>_xlfn.XLOOKUP(Table2[[#This Row],[Sym]],Zones!$A$2:$A$21,Zones!$B$2:$B$21)</f>
        <v/>
      </c>
      <c r="K703" s="21" t="n"/>
    </row>
    <row r="704">
      <c r="A704" s="24" t="n">
        <v>2135</v>
      </c>
      <c r="B704" s="10" t="inlineStr">
        <is>
          <t>T110 Lop Cofo</t>
        </is>
      </c>
      <c r="C704" s="10" t="inlineStr">
        <is>
          <t>TBA 110kV Lop Cofo</t>
        </is>
      </c>
      <c r="D704" s="3" t="inlineStr">
        <is>
          <t>B9</t>
        </is>
      </c>
      <c r="E704" s="9" t="inlineStr">
        <is>
          <t>E9.53</t>
        </is>
      </c>
      <c r="F704" s="15">
        <f>IF(E704&lt;&gt;"","Đã VH","Quy hoạch điện VIII")</f>
        <v/>
      </c>
      <c r="G704" s="16">
        <f>LEFT(B704,FIND(" ",B704,1)-1)</f>
        <v/>
      </c>
      <c r="H704" s="16">
        <f>TRIM(RIGHT(B704,LEN(B704)-FIND(" ",B704,1)))</f>
        <v/>
      </c>
      <c r="I704" s="16">
        <f>_xlfn.XLOOKUP(Table2[[#This Row],[Type]],Table5[Type],Table5[Type2])</f>
        <v/>
      </c>
      <c r="J704" s="16">
        <f>_xlfn.XLOOKUP(Table2[[#This Row],[Sym]],Zones!$A$2:$A$21,Zones!$B$2:$B$21)</f>
        <v/>
      </c>
      <c r="K704" s="21" t="n"/>
    </row>
    <row r="705">
      <c r="A705" s="24" t="n">
        <v>2136</v>
      </c>
      <c r="B705" s="10" t="inlineStr">
        <is>
          <t>T110 KCN Hoàng Long</t>
        </is>
      </c>
      <c r="C705" s="10" t="inlineStr">
        <is>
          <t>TBA 110kV KCN Hoàng Long</t>
        </is>
      </c>
      <c r="D705" s="3" t="inlineStr">
        <is>
          <t>B9</t>
        </is>
      </c>
      <c r="E705" s="9" t="inlineStr">
        <is>
          <t>E9.39</t>
        </is>
      </c>
      <c r="F705" s="15">
        <f>IF(E705&lt;&gt;"","Đã VH","Quy hoạch điện VIII")</f>
        <v/>
      </c>
      <c r="G705" s="16">
        <f>LEFT(B705,FIND(" ",B705,1)-1)</f>
        <v/>
      </c>
      <c r="H705" s="16">
        <f>TRIM(RIGHT(B705,LEN(B705)-FIND(" ",B705,1)))</f>
        <v/>
      </c>
      <c r="I705" s="16">
        <f>_xlfn.XLOOKUP(Table2[[#This Row],[Type]],Table5[Type],Table5[Type2])</f>
        <v/>
      </c>
      <c r="J705" s="16">
        <f>_xlfn.XLOOKUP(Table2[[#This Row],[Sym]],Zones!$A$2:$A$21,Zones!$B$2:$B$21)</f>
        <v/>
      </c>
      <c r="K705" s="21" t="n"/>
    </row>
    <row r="706">
      <c r="A706" s="24" t="n">
        <v>2137</v>
      </c>
      <c r="B706" s="10" t="inlineStr">
        <is>
          <t>T110 Vĩnh Lộc</t>
        </is>
      </c>
      <c r="C706" s="10" t="inlineStr">
        <is>
          <t>TBA 110kV Vĩnh Lộc</t>
        </is>
      </c>
      <c r="D706" s="3" t="inlineStr">
        <is>
          <t>B9</t>
        </is>
      </c>
      <c r="E706" s="9" t="inlineStr">
        <is>
          <t>E9.51</t>
        </is>
      </c>
      <c r="F706" s="15">
        <f>IF(E706&lt;&gt;"","Đã VH","Quy hoạch điện VIII")</f>
        <v/>
      </c>
      <c r="G706" s="16">
        <f>LEFT(B706,FIND(" ",B706,1)-1)</f>
        <v/>
      </c>
      <c r="H706" s="16">
        <f>TRIM(RIGHT(B706,LEN(B706)-FIND(" ",B706,1)))</f>
        <v/>
      </c>
      <c r="I706" s="16">
        <f>_xlfn.XLOOKUP(Table2[[#This Row],[Type]],Table5[Type],Table5[Type2])</f>
        <v/>
      </c>
      <c r="J706" s="16">
        <f>_xlfn.XLOOKUP(Table2[[#This Row],[Sym]],Zones!$A$2:$A$21,Zones!$B$2:$B$21)</f>
        <v/>
      </c>
      <c r="K706" s="21" t="n"/>
    </row>
    <row r="707">
      <c r="A707" s="24" t="n">
        <v>2138</v>
      </c>
      <c r="B707" s="10" t="inlineStr">
        <is>
          <t>T110 Sầm Sơn 2</t>
        </is>
      </c>
      <c r="C707" s="10" t="inlineStr">
        <is>
          <t>TBA 110kV Sầm Sơn 2</t>
        </is>
      </c>
      <c r="D707" s="3" t="inlineStr">
        <is>
          <t>B9</t>
        </is>
      </c>
      <c r="E707" s="9" t="inlineStr">
        <is>
          <t>E9.54</t>
        </is>
      </c>
      <c r="F707" s="15">
        <f>IF(E707&lt;&gt;"","Đã VH","Quy hoạch điện VIII")</f>
        <v/>
      </c>
      <c r="G707" s="16">
        <f>LEFT(B707,FIND(" ",B707,1)-1)</f>
        <v/>
      </c>
      <c r="H707" s="16">
        <f>TRIM(RIGHT(B707,LEN(B707)-FIND(" ",B707,1)))</f>
        <v/>
      </c>
      <c r="I707" s="16">
        <f>_xlfn.XLOOKUP(Table2[[#This Row],[Type]],Table5[Type],Table5[Type2])</f>
        <v/>
      </c>
      <c r="J707" s="16">
        <f>_xlfn.XLOOKUP(Table2[[#This Row],[Sym]],Zones!$A$2:$A$21,Zones!$B$2:$B$21)</f>
        <v/>
      </c>
      <c r="K707" s="21" t="n"/>
    </row>
    <row r="708">
      <c r="A708" s="24" t="n">
        <v>2139</v>
      </c>
      <c r="B708" s="10" t="inlineStr">
        <is>
          <t>T110 Đông Sơn</t>
        </is>
      </c>
      <c r="C708" s="10" t="inlineStr">
        <is>
          <t>TBA 110kV Đông Sơn</t>
        </is>
      </c>
      <c r="D708" s="3" t="inlineStr">
        <is>
          <t>B9</t>
        </is>
      </c>
      <c r="E708" s="9" t="inlineStr">
        <is>
          <t>E9.48</t>
        </is>
      </c>
      <c r="F708" s="15">
        <f>IF(E708&lt;&gt;"","Đã VH","Quy hoạch điện VIII")</f>
        <v/>
      </c>
      <c r="G708" s="16">
        <f>LEFT(B708,FIND(" ",B708,1)-1)</f>
        <v/>
      </c>
      <c r="H708" s="16">
        <f>TRIM(RIGHT(B708,LEN(B708)-FIND(" ",B708,1)))</f>
        <v/>
      </c>
      <c r="I708" s="16">
        <f>_xlfn.XLOOKUP(Table2[[#This Row],[Type]],Table5[Type],Table5[Type2])</f>
        <v/>
      </c>
      <c r="J708" s="16">
        <f>_xlfn.XLOOKUP(Table2[[#This Row],[Sym]],Zones!$A$2:$A$21,Zones!$B$2:$B$21)</f>
        <v/>
      </c>
      <c r="K708" s="21" t="n"/>
    </row>
    <row r="709">
      <c r="A709" s="24" t="n">
        <v>2140</v>
      </c>
      <c r="B709" s="10" t="inlineStr">
        <is>
          <t>T110 XM Long Sơn 2</t>
        </is>
      </c>
      <c r="C709" s="10" t="inlineStr">
        <is>
          <t>TBA 110kV XM Long Sơn 2</t>
        </is>
      </c>
      <c r="D709" s="3" t="inlineStr">
        <is>
          <t>B9</t>
        </is>
      </c>
      <c r="E709" s="9" t="inlineStr">
        <is>
          <t>E9.42</t>
        </is>
      </c>
      <c r="F709" s="15">
        <f>IF(E709&lt;&gt;"","Đã VH","Quy hoạch điện VIII")</f>
        <v/>
      </c>
      <c r="G709" s="16">
        <f>LEFT(B709,FIND(" ",B709,1)-1)</f>
        <v/>
      </c>
      <c r="H709" s="16">
        <f>TRIM(RIGHT(B709,LEN(B709)-FIND(" ",B709,1)))</f>
        <v/>
      </c>
      <c r="I709" s="16">
        <f>_xlfn.XLOOKUP(Table2[[#This Row],[Type]],Table5[Type],Table5[Type2])</f>
        <v/>
      </c>
      <c r="J709" s="16">
        <f>_xlfn.XLOOKUP(Table2[[#This Row],[Sym]],Zones!$A$2:$A$21,Zones!$B$2:$B$21)</f>
        <v/>
      </c>
      <c r="K709" s="21" t="n"/>
    </row>
    <row r="710">
      <c r="A710" s="24" t="n">
        <v>2141</v>
      </c>
      <c r="B710" s="10" t="inlineStr">
        <is>
          <t>T220 Thanh Hóa 1</t>
        </is>
      </c>
      <c r="C710" s="10" t="inlineStr">
        <is>
          <t>TBA 220kV Thanh Hóa 1</t>
        </is>
      </c>
      <c r="D710" s="3" t="inlineStr">
        <is>
          <t>B9</t>
        </is>
      </c>
      <c r="E710" s="9" t="n"/>
      <c r="F710" s="15">
        <f>IF(E710&lt;&gt;"","Đã VH","Quy hoạch điện VIII")</f>
        <v/>
      </c>
      <c r="G710" s="16">
        <f>LEFT(B710,FIND(" ",B710,1)-1)</f>
        <v/>
      </c>
      <c r="H710" s="16">
        <f>TRIM(RIGHT(B710,LEN(B710)-FIND(" ",B710,1)))</f>
        <v/>
      </c>
      <c r="I710" s="16">
        <f>_xlfn.XLOOKUP(Table2[[#This Row],[Type]],Table5[Type],Table5[Type2])</f>
        <v/>
      </c>
      <c r="J710" s="16">
        <f>_xlfn.XLOOKUP(Table2[[#This Row],[Sym]],Zones!$A$2:$A$21,Zones!$B$2:$B$21)</f>
        <v/>
      </c>
      <c r="K710" s="21" t="n"/>
    </row>
    <row r="711">
      <c r="A711" s="24" t="n">
        <v>2142</v>
      </c>
      <c r="B711" s="10" t="inlineStr">
        <is>
          <t>T220 Đồng Vàng</t>
        </is>
      </c>
      <c r="C711" s="10" t="inlineStr">
        <is>
          <t>TBA 220kV Đồng Vàng</t>
        </is>
      </c>
      <c r="D711" s="3" t="inlineStr">
        <is>
          <t>B9</t>
        </is>
      </c>
      <c r="E711" s="9" t="n"/>
      <c r="F711" s="15">
        <f>IF(E711&lt;&gt;"","Đã VH","Quy hoạch điện VIII")</f>
        <v/>
      </c>
      <c r="G711" s="16">
        <f>LEFT(B711,FIND(" ",B711,1)-1)</f>
        <v/>
      </c>
      <c r="H711" s="16">
        <f>TRIM(RIGHT(B711,LEN(B711)-FIND(" ",B711,1)))</f>
        <v/>
      </c>
      <c r="I711" s="16">
        <f>_xlfn.XLOOKUP(Table2[[#This Row],[Type]],Table5[Type],Table5[Type2])</f>
        <v/>
      </c>
      <c r="J711" s="16">
        <f>_xlfn.XLOOKUP(Table2[[#This Row],[Sym]],Zones!$A$2:$A$21,Zones!$B$2:$B$21)</f>
        <v/>
      </c>
      <c r="K711" s="21" t="n"/>
    </row>
    <row r="712">
      <c r="A712" s="24" t="n">
        <v>2143</v>
      </c>
      <c r="B712" s="10" t="inlineStr">
        <is>
          <t>T220 Thiệu Yên</t>
        </is>
      </c>
      <c r="C712" s="10" t="inlineStr">
        <is>
          <t>TBA 220kV Thiệu Yên</t>
        </is>
      </c>
      <c r="D712" s="3" t="inlineStr">
        <is>
          <t>B9</t>
        </is>
      </c>
      <c r="E712" s="9" t="n"/>
      <c r="F712" s="15">
        <f>IF(E712&lt;&gt;"","Đã VH","Quy hoạch điện VIII")</f>
        <v/>
      </c>
      <c r="G712" s="16">
        <f>LEFT(B712,FIND(" ",B712,1)-1)</f>
        <v/>
      </c>
      <c r="H712" s="16">
        <f>TRIM(RIGHT(B712,LEN(B712)-FIND(" ",B712,1)))</f>
        <v/>
      </c>
      <c r="I712" s="16">
        <f>_xlfn.XLOOKUP(Table2[[#This Row],[Type]],Table5[Type],Table5[Type2])</f>
        <v/>
      </c>
      <c r="J712" s="16">
        <f>_xlfn.XLOOKUP(Table2[[#This Row],[Sym]],Zones!$A$2:$A$21,Zones!$B$2:$B$21)</f>
        <v/>
      </c>
      <c r="K712" s="21" t="n"/>
    </row>
    <row r="713">
      <c r="A713" s="24" t="n">
        <v>2144</v>
      </c>
      <c r="B713" s="10" t="inlineStr">
        <is>
          <t>T110 NC Sầm Sơn</t>
        </is>
      </c>
      <c r="C713" s="10" t="inlineStr">
        <is>
          <t>TBA 110kV NC Sầm Sơn</t>
        </is>
      </c>
      <c r="D713" s="3" t="inlineStr">
        <is>
          <t>B9</t>
        </is>
      </c>
      <c r="E713" s="9" t="n"/>
      <c r="F713" s="15">
        <f>IF(E713&lt;&gt;"","Đã VH","Quy hoạch điện VIII")</f>
        <v/>
      </c>
      <c r="G713" s="16">
        <f>LEFT(B713,FIND(" ",B713,1)-1)</f>
        <v/>
      </c>
      <c r="H713" s="16">
        <f>TRIM(RIGHT(B713,LEN(B713)-FIND(" ",B713,1)))</f>
        <v/>
      </c>
      <c r="I713" s="16">
        <f>_xlfn.XLOOKUP(Table2[[#This Row],[Type]],Table5[Type],Table5[Type2])</f>
        <v/>
      </c>
      <c r="J713" s="16">
        <f>_xlfn.XLOOKUP(Table2[[#This Row],[Sym]],Zones!$A$2:$A$21,Zones!$B$2:$B$21)</f>
        <v/>
      </c>
      <c r="K713" s="21" t="n"/>
    </row>
    <row r="714">
      <c r="A714" s="24" t="n">
        <v>2145</v>
      </c>
      <c r="B714" s="10" t="inlineStr">
        <is>
          <t>T110 TP Thanh Hóa 2</t>
        </is>
      </c>
      <c r="C714" s="10" t="inlineStr">
        <is>
          <t>TBA 110kV TP Thanh Hóa 2</t>
        </is>
      </c>
      <c r="D714" s="3" t="inlineStr">
        <is>
          <t>B9</t>
        </is>
      </c>
      <c r="E714" s="9" t="n"/>
      <c r="F714" s="15">
        <f>IF(E714&lt;&gt;"","Đã VH","Quy hoạch điện VIII")</f>
        <v/>
      </c>
      <c r="G714" s="16">
        <f>LEFT(B714,FIND(" ",B714,1)-1)</f>
        <v/>
      </c>
      <c r="H714" s="16">
        <f>TRIM(RIGHT(B714,LEN(B714)-FIND(" ",B714,1)))</f>
        <v/>
      </c>
      <c r="I714" s="16">
        <f>_xlfn.XLOOKUP(Table2[[#This Row],[Type]],Table5[Type],Table5[Type2])</f>
        <v/>
      </c>
      <c r="J714" s="16">
        <f>_xlfn.XLOOKUP(Table2[[#This Row],[Sym]],Zones!$A$2:$A$21,Zones!$B$2:$B$21)</f>
        <v/>
      </c>
      <c r="K714" s="21" t="n"/>
    </row>
    <row r="715">
      <c r="A715" s="24" t="n">
        <v>2146</v>
      </c>
      <c r="B715" s="10" t="inlineStr">
        <is>
          <t>T110 Sầm Sơn 3</t>
        </is>
      </c>
      <c r="C715" s="10" t="inlineStr">
        <is>
          <t>TBA 110kV Sầm Sơn 3</t>
        </is>
      </c>
      <c r="D715" s="3" t="inlineStr">
        <is>
          <t>B9</t>
        </is>
      </c>
      <c r="E715" s="9" t="n"/>
      <c r="F715" s="15">
        <f>IF(E715&lt;&gt;"","Đã VH","Quy hoạch điện VIII")</f>
        <v/>
      </c>
      <c r="G715" s="16">
        <f>LEFT(B715,FIND(" ",B715,1)-1)</f>
        <v/>
      </c>
      <c r="H715" s="16">
        <f>TRIM(RIGHT(B715,LEN(B715)-FIND(" ",B715,1)))</f>
        <v/>
      </c>
      <c r="I715" s="16">
        <f>_xlfn.XLOOKUP(Table2[[#This Row],[Type]],Table5[Type],Table5[Type2])</f>
        <v/>
      </c>
      <c r="J715" s="16">
        <f>_xlfn.XLOOKUP(Table2[[#This Row],[Sym]],Zones!$A$2:$A$21,Zones!$B$2:$B$21)</f>
        <v/>
      </c>
      <c r="K715" s="21" t="n"/>
    </row>
    <row r="716">
      <c r="A716" s="24" t="n">
        <v>2147</v>
      </c>
      <c r="B716" s="10" t="inlineStr">
        <is>
          <t>ĐMT Yên Định</t>
        </is>
      </c>
      <c r="C716" s="30" t="inlineStr">
        <is>
          <t>NM ĐMT Yên Định</t>
        </is>
      </c>
      <c r="D716" s="3" t="inlineStr">
        <is>
          <t>B9</t>
        </is>
      </c>
      <c r="E716" s="9" t="inlineStr">
        <is>
          <t>A9.55</t>
        </is>
      </c>
      <c r="F716" s="15">
        <f>IF(E716&lt;&gt;"","Đã VH","Quy hoạch điện VIII")</f>
        <v/>
      </c>
      <c r="G716" s="16">
        <f>LEFT(B716,FIND(" ",B716,1)-1)</f>
        <v/>
      </c>
      <c r="H716" s="16">
        <f>TRIM(RIGHT(B716,LEN(B716)-FIND(" ",B716,1)))</f>
        <v/>
      </c>
      <c r="I716" s="16">
        <f>_xlfn.XLOOKUP(Table2[[#This Row],[Type]],Table5[Type],Table5[Type2])</f>
        <v/>
      </c>
      <c r="J716" s="16">
        <f>_xlfn.XLOOKUP(Table2[[#This Row],[Sym]],Zones!$A$2:$A$21,Zones!$B$2:$B$21)</f>
        <v/>
      </c>
      <c r="K716" s="21" t="n"/>
      <c r="AF716" t="inlineStr">
        <is>
          <t>Đã sửa từ dashboard ( Yên Định ➔ NM ĐMT Yên Định )</t>
        </is>
      </c>
    </row>
    <row r="717">
      <c r="A717" s="24" t="n">
        <v>2148</v>
      </c>
      <c r="B717" s="10" t="inlineStr">
        <is>
          <t>ĐMT TP Thanh Hóa</t>
        </is>
      </c>
      <c r="C717" s="10" t="inlineStr">
        <is>
          <t xml:space="preserve"> TP Thanh Hóa</t>
        </is>
      </c>
      <c r="D717" s="3" t="inlineStr">
        <is>
          <t>B9</t>
        </is>
      </c>
      <c r="E717" s="9" t="n"/>
      <c r="F717" s="15">
        <f>IF(E717&lt;&gt;"","Đã VH","Quy hoạch điện VIII")</f>
        <v/>
      </c>
      <c r="G717" s="16">
        <f>LEFT(B717,FIND(" ",B717,1)-1)</f>
        <v/>
      </c>
      <c r="H717" s="16">
        <f>TRIM(RIGHT(B717,LEN(B717)-FIND(" ",B717,1)))</f>
        <v/>
      </c>
      <c r="I717" s="16">
        <f>_xlfn.XLOOKUP(Table2[[#This Row],[Type]],Table5[Type],Table5[Type2])</f>
        <v/>
      </c>
      <c r="J717" s="16">
        <f>_xlfn.XLOOKUP(Table2[[#This Row],[Sym]],Zones!$A$2:$A$21,Zones!$B$2:$B$21)</f>
        <v/>
      </c>
      <c r="K717" s="21" t="n"/>
    </row>
    <row r="718">
      <c r="A718" s="24" t="n">
        <v>2149</v>
      </c>
      <c r="B718" s="10" t="inlineStr">
        <is>
          <t>T110 Quảng Xương 2</t>
        </is>
      </c>
      <c r="C718" s="10" t="inlineStr">
        <is>
          <t>TBA 110kV Quảng Xương 2</t>
        </is>
      </c>
      <c r="D718" s="3" t="inlineStr">
        <is>
          <t>B9</t>
        </is>
      </c>
      <c r="E718" s="9" t="n"/>
      <c r="F718" s="15">
        <f>IF(E718&lt;&gt;"","Đã VH","Quy hoạch điện VIII")</f>
        <v/>
      </c>
      <c r="G718" s="16">
        <f>LEFT(B718,FIND(" ",B718,1)-1)</f>
        <v/>
      </c>
      <c r="H718" s="16">
        <f>TRIM(RIGHT(B718,LEN(B718)-FIND(" ",B718,1)))</f>
        <v/>
      </c>
      <c r="I718" s="16">
        <f>_xlfn.XLOOKUP(Table2[[#This Row],[Type]],Table5[Type],Table5[Type2])</f>
        <v/>
      </c>
      <c r="J718" s="16">
        <f>_xlfn.XLOOKUP(Table2[[#This Row],[Sym]],Zones!$A$2:$A$21,Zones!$B$2:$B$21)</f>
        <v/>
      </c>
      <c r="K718" s="21" t="n"/>
    </row>
    <row r="719">
      <c r="A719" s="24" t="n">
        <v>2150</v>
      </c>
      <c r="B719" s="10" t="inlineStr">
        <is>
          <t>T500 Thanh Hóa</t>
        </is>
      </c>
      <c r="C719" s="10" t="inlineStr">
        <is>
          <t>TBA 500kV Thanh Hóa</t>
        </is>
      </c>
      <c r="D719" s="3" t="inlineStr">
        <is>
          <t>B9</t>
        </is>
      </c>
      <c r="E719" s="9" t="inlineStr">
        <is>
          <t>T500 Thanh Hóa</t>
        </is>
      </c>
      <c r="F719" s="15">
        <f>IF(E719&lt;&gt;"","Đã VH","Quy hoạch điện VIII")</f>
        <v/>
      </c>
      <c r="G719" s="16">
        <f>LEFT(B719,FIND(" ",B719,1)-1)</f>
        <v/>
      </c>
      <c r="H719" s="16">
        <f>TRIM(RIGHT(B719,LEN(B719)-FIND(" ",B719,1)))</f>
        <v/>
      </c>
      <c r="I719" s="16">
        <f>_xlfn.XLOOKUP(Table2[[#This Row],[Type]],Table5[Type],Table5[Type2])</f>
        <v/>
      </c>
      <c r="J719" s="16">
        <f>_xlfn.XLOOKUP(Table2[[#This Row],[Sym]],Zones!$A$2:$A$21,Zones!$B$2:$B$21)</f>
        <v/>
      </c>
      <c r="K719" s="21" t="n"/>
    </row>
    <row r="720">
      <c r="A720" s="24" t="n">
        <v>2151</v>
      </c>
      <c r="B720" s="10" t="inlineStr">
        <is>
          <t>T220 Tĩnh Gia</t>
        </is>
      </c>
      <c r="C720" s="10" t="inlineStr">
        <is>
          <t>TBA 220kV Tĩnh Gia</t>
        </is>
      </c>
      <c r="D720" s="3" t="inlineStr">
        <is>
          <t>B9</t>
        </is>
      </c>
      <c r="E720" s="9" t="n"/>
      <c r="F720" s="15">
        <f>IF(E720&lt;&gt;"","Đã VH","Quy hoạch điện VIII")</f>
        <v/>
      </c>
      <c r="G720" s="16">
        <f>LEFT(B720,FIND(" ",B720,1)-1)</f>
        <v/>
      </c>
      <c r="H720" s="16">
        <f>TRIM(RIGHT(B720,LEN(B720)-FIND(" ",B720,1)))</f>
        <v/>
      </c>
      <c r="I720" s="16">
        <f>_xlfn.XLOOKUP(Table2[[#This Row],[Type]],Table5[Type],Table5[Type2])</f>
        <v/>
      </c>
      <c r="J720" s="16">
        <f>_xlfn.XLOOKUP(Table2[[#This Row],[Sym]],Zones!$A$2:$A$21,Zones!$B$2:$B$21)</f>
        <v/>
      </c>
      <c r="K720" s="21" t="n"/>
    </row>
    <row r="721">
      <c r="A721" s="24" t="n">
        <v>2152</v>
      </c>
      <c r="B721" s="10" t="inlineStr">
        <is>
          <t>T220 Gang thép Nghi Sơn</t>
        </is>
      </c>
      <c r="C721" s="10" t="inlineStr">
        <is>
          <t>TBA 220kV Gang thép Nghi Sơn</t>
        </is>
      </c>
      <c r="D721" s="3" t="inlineStr">
        <is>
          <t>B9</t>
        </is>
      </c>
      <c r="E721" s="9" t="n"/>
      <c r="F721" s="15">
        <f>IF(E721&lt;&gt;"","Đã VH","Quy hoạch điện VIII")</f>
        <v/>
      </c>
      <c r="G721" s="16">
        <f>LEFT(B721,FIND(" ",B721,1)-1)</f>
        <v/>
      </c>
      <c r="H721" s="16">
        <f>TRIM(RIGHT(B721,LEN(B721)-FIND(" ",B721,1)))</f>
        <v/>
      </c>
      <c r="I721" s="16">
        <f>_xlfn.XLOOKUP(Table2[[#This Row],[Type]],Table5[Type],Table5[Type2])</f>
        <v/>
      </c>
      <c r="J721" s="16">
        <f>_xlfn.XLOOKUP(Table2[[#This Row],[Sym]],Zones!$A$2:$A$21,Zones!$B$2:$B$21)</f>
        <v/>
      </c>
      <c r="K721" s="21" t="n"/>
    </row>
    <row r="722">
      <c r="A722" s="24" t="n">
        <v>2153</v>
      </c>
      <c r="B722" s="10" t="inlineStr">
        <is>
          <t>T220 Thiệu Hóa</t>
        </is>
      </c>
      <c r="C722" s="10" t="inlineStr">
        <is>
          <t>TBA 220kV Thiệu Hóa</t>
        </is>
      </c>
      <c r="D722" s="3" t="inlineStr">
        <is>
          <t>B9</t>
        </is>
      </c>
      <c r="E722" s="9" t="n"/>
      <c r="F722" s="15">
        <f>IF(E722&lt;&gt;"","Đã VH","Quy hoạch điện VIII")</f>
        <v/>
      </c>
      <c r="G722" s="16">
        <f>LEFT(B722,FIND(" ",B722,1)-1)</f>
        <v/>
      </c>
      <c r="H722" s="16">
        <f>TRIM(RIGHT(B722,LEN(B722)-FIND(" ",B722,1)))</f>
        <v/>
      </c>
      <c r="I722" s="16">
        <f>_xlfn.XLOOKUP(Table2[[#This Row],[Type]],Table5[Type],Table5[Type2])</f>
        <v/>
      </c>
      <c r="J722" s="16">
        <f>_xlfn.XLOOKUP(Table2[[#This Row],[Sym]],Zones!$A$2:$A$21,Zones!$B$2:$B$21)</f>
        <v/>
      </c>
      <c r="K722" s="21" t="n"/>
    </row>
    <row r="723">
      <c r="A723" s="24" t="n">
        <v>2154</v>
      </c>
      <c r="B723" s="10" t="inlineStr">
        <is>
          <t>T220 Bá Thước</t>
        </is>
      </c>
      <c r="C723" s="10" t="inlineStr">
        <is>
          <t>TBA 220kV Bá Thước</t>
        </is>
      </c>
      <c r="D723" s="3" t="inlineStr">
        <is>
          <t>B9</t>
        </is>
      </c>
      <c r="E723" s="9" t="n"/>
      <c r="F723" s="15">
        <f>IF(E723&lt;&gt;"","Đã VH","Quy hoạch điện VIII")</f>
        <v/>
      </c>
      <c r="G723" s="16">
        <f>LEFT(B723,FIND(" ",B723,1)-1)</f>
        <v/>
      </c>
      <c r="H723" s="16">
        <f>TRIM(RIGHT(B723,LEN(B723)-FIND(" ",B723,1)))</f>
        <v/>
      </c>
      <c r="I723" s="16">
        <f>_xlfn.XLOOKUP(Table2[[#This Row],[Type]],Table5[Type],Table5[Type2])</f>
        <v/>
      </c>
      <c r="J723" s="16">
        <f>_xlfn.XLOOKUP(Table2[[#This Row],[Sym]],Zones!$A$2:$A$21,Zones!$B$2:$B$21)</f>
        <v/>
      </c>
      <c r="K723" s="21" t="n"/>
    </row>
    <row r="724">
      <c r="A724" s="24" t="n">
        <v>2155</v>
      </c>
      <c r="B724" s="10" t="inlineStr">
        <is>
          <t>T110 KCN phía Tây thành phố</t>
        </is>
      </c>
      <c r="C724" s="10" t="inlineStr">
        <is>
          <t>TBA 110kV KCN phía Tây thành phố</t>
        </is>
      </c>
      <c r="D724" s="3" t="inlineStr">
        <is>
          <t>B9</t>
        </is>
      </c>
      <c r="E724" s="9" t="n"/>
      <c r="F724" s="15">
        <f>IF(E724&lt;&gt;"","Đã VH","Quy hoạch điện VIII")</f>
        <v/>
      </c>
      <c r="G724" s="16">
        <f>LEFT(B724,FIND(" ",B724,1)-1)</f>
        <v/>
      </c>
      <c r="H724" s="16">
        <f>TRIM(RIGHT(B724,LEN(B724)-FIND(" ",B724,1)))</f>
        <v/>
      </c>
      <c r="I724" s="16">
        <f>_xlfn.XLOOKUP(Table2[[#This Row],[Type]],Table5[Type],Table5[Type2])</f>
        <v/>
      </c>
      <c r="J724" s="16">
        <f>_xlfn.XLOOKUP(Table2[[#This Row],[Sym]],Zones!$A$2:$A$21,Zones!$B$2:$B$21)</f>
        <v/>
      </c>
      <c r="K724" s="21" t="n"/>
    </row>
    <row r="725">
      <c r="A725" s="24" t="n">
        <v>2156</v>
      </c>
      <c r="B725" s="10" t="inlineStr">
        <is>
          <t>T110 KCN Lưu Bình</t>
        </is>
      </c>
      <c r="C725" s="10" t="inlineStr">
        <is>
          <t>TBA 110kV KCN Lưu Bình</t>
        </is>
      </c>
      <c r="D725" s="3" t="inlineStr">
        <is>
          <t>B9</t>
        </is>
      </c>
      <c r="E725" s="9" t="n"/>
      <c r="F725" s="15">
        <f>IF(E725&lt;&gt;"","Đã VH","Quy hoạch điện VIII")</f>
        <v/>
      </c>
      <c r="G725" s="16">
        <f>LEFT(B725,FIND(" ",B725,1)-1)</f>
        <v/>
      </c>
      <c r="H725" s="16">
        <f>TRIM(RIGHT(B725,LEN(B725)-FIND(" ",B725,1)))</f>
        <v/>
      </c>
      <c r="I725" s="16">
        <f>_xlfn.XLOOKUP(Table2[[#This Row],[Type]],Table5[Type],Table5[Type2])</f>
        <v/>
      </c>
      <c r="J725" s="16">
        <f>_xlfn.XLOOKUP(Table2[[#This Row],[Sym]],Zones!$A$2:$A$21,Zones!$B$2:$B$21)</f>
        <v/>
      </c>
      <c r="K725" s="21" t="n"/>
    </row>
    <row r="726">
      <c r="A726" s="24" t="n">
        <v>2157</v>
      </c>
      <c r="B726" s="10" t="inlineStr">
        <is>
          <t>T110 KCN Lễ Môn</t>
        </is>
      </c>
      <c r="C726" s="10" t="inlineStr">
        <is>
          <t>TBA 110kV KCN Lễ Môn</t>
        </is>
      </c>
      <c r="D726" s="3" t="inlineStr">
        <is>
          <t>B9</t>
        </is>
      </c>
      <c r="E726" s="9" t="n"/>
      <c r="F726" s="15">
        <f>IF(E726&lt;&gt;"","Đã VH","Quy hoạch điện VIII")</f>
        <v/>
      </c>
      <c r="G726" s="16">
        <f>LEFT(B726,FIND(" ",B726,1)-1)</f>
        <v/>
      </c>
      <c r="H726" s="16">
        <f>TRIM(RIGHT(B726,LEN(B726)-FIND(" ",B726,1)))</f>
        <v/>
      </c>
      <c r="I726" s="16">
        <f>_xlfn.XLOOKUP(Table2[[#This Row],[Type]],Table5[Type],Table5[Type2])</f>
        <v/>
      </c>
      <c r="J726" s="16">
        <f>_xlfn.XLOOKUP(Table2[[#This Row],[Sym]],Zones!$A$2:$A$21,Zones!$B$2:$B$21)</f>
        <v/>
      </c>
      <c r="K726" s="21" t="n"/>
    </row>
    <row r="727">
      <c r="A727" s="24" t="n">
        <v>2158</v>
      </c>
      <c r="B727" s="10" t="inlineStr">
        <is>
          <t>T110 KCN Đình Hương</t>
        </is>
      </c>
      <c r="C727" s="10" t="inlineStr">
        <is>
          <t>TBA 110kV KCN Đình Hương</t>
        </is>
      </c>
      <c r="D727" s="3" t="inlineStr">
        <is>
          <t>B9</t>
        </is>
      </c>
      <c r="E727" s="9" t="n"/>
      <c r="F727" s="15">
        <f>IF(E727&lt;&gt;"","Đã VH","Quy hoạch điện VIII")</f>
        <v/>
      </c>
      <c r="G727" s="16">
        <f>LEFT(B727,FIND(" ",B727,1)-1)</f>
        <v/>
      </c>
      <c r="H727" s="16">
        <f>TRIM(RIGHT(B727,LEN(B727)-FIND(" ",B727,1)))</f>
        <v/>
      </c>
      <c r="I727" s="16">
        <f>_xlfn.XLOOKUP(Table2[[#This Row],[Type]],Table5[Type],Table5[Type2])</f>
        <v/>
      </c>
      <c r="J727" s="16">
        <f>_xlfn.XLOOKUP(Table2[[#This Row],[Sym]],Zones!$A$2:$A$21,Zones!$B$2:$B$21)</f>
        <v/>
      </c>
      <c r="K727" s="21" t="n"/>
    </row>
    <row r="728">
      <c r="A728" s="24" t="n">
        <v>2159</v>
      </c>
      <c r="B728" s="10" t="inlineStr">
        <is>
          <t>T110 Bắc Thành Phố</t>
        </is>
      </c>
      <c r="C728" s="10" t="inlineStr">
        <is>
          <t>TBA 110kV Bắc Thành Phố</t>
        </is>
      </c>
      <c r="D728" s="3" t="inlineStr">
        <is>
          <t>B9</t>
        </is>
      </c>
      <c r="E728" s="9" t="inlineStr">
        <is>
          <t>E957</t>
        </is>
      </c>
      <c r="F728" s="15">
        <f>IF(E728&lt;&gt;"","Đã VH","Quy hoạch điện VIII")</f>
        <v/>
      </c>
      <c r="G728" s="16">
        <f>LEFT(B728,FIND(" ",B728,1)-1)</f>
        <v/>
      </c>
      <c r="H728" s="16">
        <f>TRIM(RIGHT(B728,LEN(B728)-FIND(" ",B728,1)))</f>
        <v/>
      </c>
      <c r="I728" s="16">
        <f>_xlfn.XLOOKUP(Table2[[#This Row],[Type]],Table5[Type],Table5[Type2])</f>
        <v/>
      </c>
      <c r="J728" s="16">
        <f>_xlfn.XLOOKUP(Table2[[#This Row],[Sym]],Zones!$A$2:$A$21,Zones!$B$2:$B$21)</f>
        <v/>
      </c>
      <c r="K728" s="21" t="n"/>
    </row>
    <row r="729">
      <c r="A729" s="24" t="n">
        <v>2160</v>
      </c>
      <c r="B729" s="10" t="inlineStr">
        <is>
          <t>T110 Tĩnh Gia 3</t>
        </is>
      </c>
      <c r="C729" s="10" t="inlineStr">
        <is>
          <t>TBA 110kV Tĩnh Gia 3</t>
        </is>
      </c>
      <c r="D729" s="3" t="inlineStr">
        <is>
          <t>B9</t>
        </is>
      </c>
      <c r="E729" s="9" t="n"/>
      <c r="F729" s="15">
        <f>IF(E729&lt;&gt;"","Đã VH","Quy hoạch điện VIII")</f>
        <v/>
      </c>
      <c r="G729" s="16">
        <f>LEFT(B729,FIND(" ",B729,1)-1)</f>
        <v/>
      </c>
      <c r="H729" s="16">
        <f>TRIM(RIGHT(B729,LEN(B729)-FIND(" ",B729,1)))</f>
        <v/>
      </c>
      <c r="I729" s="16">
        <f>_xlfn.XLOOKUP(Table2[[#This Row],[Type]],Table5[Type],Table5[Type2])</f>
        <v/>
      </c>
      <c r="J729" s="16">
        <f>_xlfn.XLOOKUP(Table2[[#This Row],[Sym]],Zones!$A$2:$A$21,Zones!$B$2:$B$21)</f>
        <v/>
      </c>
      <c r="K729" s="21" t="n"/>
    </row>
    <row r="730">
      <c r="A730" s="24" t="n">
        <v>2161</v>
      </c>
      <c r="B730" s="10" t="inlineStr">
        <is>
          <t>T110 KCN Nghi Sơn 2</t>
        </is>
      </c>
      <c r="C730" s="10" t="inlineStr">
        <is>
          <t>TBA 110kV KCN Nghi Sơn 2</t>
        </is>
      </c>
      <c r="D730" s="3" t="inlineStr">
        <is>
          <t>B9</t>
        </is>
      </c>
      <c r="E730" s="9" t="n"/>
      <c r="F730" s="15">
        <f>IF(E730&lt;&gt;"","Đã VH","Quy hoạch điện VIII")</f>
        <v/>
      </c>
      <c r="G730" s="16">
        <f>LEFT(B730,FIND(" ",B730,1)-1)</f>
        <v/>
      </c>
      <c r="H730" s="16">
        <f>TRIM(RIGHT(B730,LEN(B730)-FIND(" ",B730,1)))</f>
        <v/>
      </c>
      <c r="I730" s="16">
        <f>_xlfn.XLOOKUP(Table2[[#This Row],[Type]],Table5[Type],Table5[Type2])</f>
        <v/>
      </c>
      <c r="J730" s="16">
        <f>_xlfn.XLOOKUP(Table2[[#This Row],[Sym]],Zones!$A$2:$A$21,Zones!$B$2:$B$21)</f>
        <v/>
      </c>
      <c r="K730" s="21" t="n"/>
    </row>
    <row r="731">
      <c r="A731" s="24" t="n">
        <v>2162</v>
      </c>
      <c r="B731" s="10" t="inlineStr">
        <is>
          <t>T110 Bến Én</t>
        </is>
      </c>
      <c r="C731" s="10" t="inlineStr">
        <is>
          <t>TBA 110kV Bến Én</t>
        </is>
      </c>
      <c r="D731" s="3" t="inlineStr">
        <is>
          <t>B9</t>
        </is>
      </c>
      <c r="E731" s="9" t="n"/>
      <c r="F731" s="15">
        <f>IF(E731&lt;&gt;"","Đã VH","Quy hoạch điện VIII")</f>
        <v/>
      </c>
      <c r="G731" s="16">
        <f>LEFT(B731,FIND(" ",B731,1)-1)</f>
        <v/>
      </c>
      <c r="H731" s="16">
        <f>TRIM(RIGHT(B731,LEN(B731)-FIND(" ",B731,1)))</f>
        <v/>
      </c>
      <c r="I731" s="16">
        <f>_xlfn.XLOOKUP(Table2[[#This Row],[Type]],Table5[Type],Table5[Type2])</f>
        <v/>
      </c>
      <c r="J731" s="16">
        <f>_xlfn.XLOOKUP(Table2[[#This Row],[Sym]],Zones!$A$2:$A$21,Zones!$B$2:$B$21)</f>
        <v/>
      </c>
      <c r="K731" s="21" t="n"/>
    </row>
    <row r="732">
      <c r="A732" s="24" t="n">
        <v>2163</v>
      </c>
      <c r="B732" s="10" t="inlineStr">
        <is>
          <t>T110 KCN Đồng Vàng 1</t>
        </is>
      </c>
      <c r="C732" s="10" t="inlineStr">
        <is>
          <t>TBA 110kV KCN Đồng Vàng 1</t>
        </is>
      </c>
      <c r="D732" s="3" t="inlineStr">
        <is>
          <t>B9</t>
        </is>
      </c>
      <c r="E732" s="9" t="n"/>
      <c r="F732" s="15">
        <f>IF(E732&lt;&gt;"","Đã VH","Quy hoạch điện VIII")</f>
        <v/>
      </c>
      <c r="G732" s="16">
        <f>LEFT(B732,FIND(" ",B732,1)-1)</f>
        <v/>
      </c>
      <c r="H732" s="16">
        <f>TRIM(RIGHT(B732,LEN(B732)-FIND(" ",B732,1)))</f>
        <v/>
      </c>
      <c r="I732" s="16">
        <f>_xlfn.XLOOKUP(Table2[[#This Row],[Type]],Table5[Type],Table5[Type2])</f>
        <v/>
      </c>
      <c r="J732" s="16">
        <f>_xlfn.XLOOKUP(Table2[[#This Row],[Sym]],Zones!$A$2:$A$21,Zones!$B$2:$B$21)</f>
        <v/>
      </c>
      <c r="K732" s="21" t="n"/>
    </row>
    <row r="733">
      <c r="A733" s="24" t="n">
        <v>2164</v>
      </c>
      <c r="B733" s="10" t="inlineStr">
        <is>
          <t>T110 KCN Luyện Kim 2</t>
        </is>
      </c>
      <c r="C733" s="29" t="inlineStr">
        <is>
          <t>TBA 110kV Luyện Kim 2</t>
        </is>
      </c>
      <c r="D733" s="3" t="inlineStr">
        <is>
          <t>B9</t>
        </is>
      </c>
      <c r="E733" s="9" t="inlineStr">
        <is>
          <t>E9.59</t>
        </is>
      </c>
      <c r="F733" s="15">
        <f>IF(E733&lt;&gt;"","Đã VH","Quy hoạch điện VIII")</f>
        <v/>
      </c>
      <c r="G733" s="16">
        <f>LEFT(B733,FIND(" ",B733,1)-1)</f>
        <v/>
      </c>
      <c r="H733" s="16">
        <f>TRIM(RIGHT(B733,LEN(B733)-FIND(" ",B733,1)))</f>
        <v/>
      </c>
      <c r="I733" s="16">
        <f>_xlfn.XLOOKUP(Table2[[#This Row],[Type]],Table5[Type],Table5[Type2])</f>
        <v/>
      </c>
      <c r="J733" s="16">
        <f>_xlfn.XLOOKUP(Table2[[#This Row],[Sym]],Zones!$A$2:$A$21,Zones!$B$2:$B$21)</f>
        <v/>
      </c>
      <c r="K733" s="21" t="n"/>
      <c r="P733" t="inlineStr">
        <is>
          <t>Đã sửa từ dashboard (TBA 110kV KCN Luyện Kim 2 ➔ TBA 110kV Luyện Kim 2)</t>
        </is>
      </c>
    </row>
    <row r="734">
      <c r="A734" s="24" t="n">
        <v>2165</v>
      </c>
      <c r="B734" s="10" t="inlineStr">
        <is>
          <t>T110 KCN Luyện Kim 3</t>
        </is>
      </c>
      <c r="C734" s="10" t="inlineStr">
        <is>
          <t>TBA 110kV KCN Luyện Kim 3</t>
        </is>
      </c>
      <c r="D734" s="3" t="inlineStr">
        <is>
          <t>B9</t>
        </is>
      </c>
      <c r="E734" s="9" t="n"/>
      <c r="F734" s="15">
        <f>IF(E734&lt;&gt;"","Đã VH","Quy hoạch điện VIII")</f>
        <v/>
      </c>
      <c r="G734" s="16">
        <f>LEFT(B734,FIND(" ",B734,1)-1)</f>
        <v/>
      </c>
      <c r="H734" s="16">
        <f>TRIM(RIGHT(B734,LEN(B734)-FIND(" ",B734,1)))</f>
        <v/>
      </c>
      <c r="I734" s="16">
        <f>_xlfn.XLOOKUP(Table2[[#This Row],[Type]],Table5[Type],Table5[Type2])</f>
        <v/>
      </c>
      <c r="J734" s="16">
        <f>_xlfn.XLOOKUP(Table2[[#This Row],[Sym]],Zones!$A$2:$A$21,Zones!$B$2:$B$21)</f>
        <v/>
      </c>
      <c r="K734" s="21" t="n"/>
    </row>
    <row r="735">
      <c r="A735" s="24" t="n">
        <v>2166</v>
      </c>
      <c r="B735" s="10" t="inlineStr">
        <is>
          <t>T110 KCN Tượng Lĩnh</t>
        </is>
      </c>
      <c r="C735" s="10" t="inlineStr">
        <is>
          <t>TBA 110kV KCN Tượng Lĩnh</t>
        </is>
      </c>
      <c r="D735" s="3" t="inlineStr">
        <is>
          <t>B9</t>
        </is>
      </c>
      <c r="E735" s="9" t="n"/>
      <c r="F735" s="15">
        <f>IF(E735&lt;&gt;"","Đã VH","Quy hoạch điện VIII")</f>
        <v/>
      </c>
      <c r="G735" s="16">
        <f>LEFT(B735,FIND(" ",B735,1)-1)</f>
        <v/>
      </c>
      <c r="H735" s="16">
        <f>TRIM(RIGHT(B735,LEN(B735)-FIND(" ",B735,1)))</f>
        <v/>
      </c>
      <c r="I735" s="16">
        <f>_xlfn.XLOOKUP(Table2[[#This Row],[Type]],Table5[Type],Table5[Type2])</f>
        <v/>
      </c>
      <c r="J735" s="16">
        <f>_xlfn.XLOOKUP(Table2[[#This Row],[Sym]],Zones!$A$2:$A$21,Zones!$B$2:$B$21)</f>
        <v/>
      </c>
      <c r="K735" s="21" t="n"/>
    </row>
    <row r="736">
      <c r="A736" s="24" t="n">
        <v>2167</v>
      </c>
      <c r="B736" s="10" t="inlineStr">
        <is>
          <t>ĐMT Công Chính</t>
        </is>
      </c>
      <c r="C736" s="10" t="inlineStr">
        <is>
          <t xml:space="preserve"> Công Chính</t>
        </is>
      </c>
      <c r="D736" s="3" t="inlineStr">
        <is>
          <t>B9</t>
        </is>
      </c>
      <c r="E736" s="9" t="n"/>
      <c r="F736" s="15">
        <f>IF(E736&lt;&gt;"","Đã VH","Quy hoạch điện VIII")</f>
        <v/>
      </c>
      <c r="G736" s="16">
        <f>LEFT(B736,FIND(" ",B736,1)-1)</f>
        <v/>
      </c>
      <c r="H736" s="16">
        <f>TRIM(RIGHT(B736,LEN(B736)-FIND(" ",B736,1)))</f>
        <v/>
      </c>
      <c r="I736" s="16">
        <f>_xlfn.XLOOKUP(Table2[[#This Row],[Type]],Table5[Type],Table5[Type2])</f>
        <v/>
      </c>
      <c r="J736" s="16">
        <f>_xlfn.XLOOKUP(Table2[[#This Row],[Sym]],Zones!$A$2:$A$21,Zones!$B$2:$B$21)</f>
        <v/>
      </c>
      <c r="K736" s="21" t="n"/>
    </row>
    <row r="737">
      <c r="A737" s="24" t="n">
        <v>2168</v>
      </c>
      <c r="B737" s="10" t="inlineStr">
        <is>
          <t>T110 ĐG Hải Lâm</t>
        </is>
      </c>
      <c r="C737" s="10" t="inlineStr">
        <is>
          <t>TBA 110kV ĐG Hải Lâm</t>
        </is>
      </c>
      <c r="D737" s="3" t="inlineStr">
        <is>
          <t>B9</t>
        </is>
      </c>
      <c r="E737" s="9" t="n"/>
      <c r="F737" s="15">
        <f>IF(E737&lt;&gt;"","Đã VH","Quy hoạch điện VIII")</f>
        <v/>
      </c>
      <c r="G737" s="16">
        <f>LEFT(B737,FIND(" ",B737,1)-1)</f>
        <v/>
      </c>
      <c r="H737" s="16">
        <f>TRIM(RIGHT(B737,LEN(B737)-FIND(" ",B737,1)))</f>
        <v/>
      </c>
      <c r="I737" s="16">
        <f>_xlfn.XLOOKUP(Table2[[#This Row],[Type]],Table5[Type],Table5[Type2])</f>
        <v/>
      </c>
      <c r="J737" s="16">
        <f>_xlfn.XLOOKUP(Table2[[#This Row],[Sym]],Zones!$A$2:$A$21,Zones!$B$2:$B$21)</f>
        <v/>
      </c>
      <c r="K737" s="21" t="n"/>
    </row>
    <row r="738">
      <c r="A738" s="24" t="n">
        <v>2169</v>
      </c>
      <c r="B738" s="10" t="inlineStr">
        <is>
          <t>T110 Nam Thành Phố</t>
        </is>
      </c>
      <c r="C738" s="10" t="inlineStr">
        <is>
          <t>TBA 110kV Nam Thành Phố</t>
        </is>
      </c>
      <c r="D738" s="3" t="inlineStr">
        <is>
          <t>B9</t>
        </is>
      </c>
      <c r="E738" s="9" t="inlineStr">
        <is>
          <t>E9.61</t>
        </is>
      </c>
      <c r="F738" s="15">
        <f>IF(E738&lt;&gt;"","Đã VH","Quy hoạch điện VIII")</f>
        <v/>
      </c>
      <c r="G738" s="16">
        <f>LEFT(B738,FIND(" ",B738,1)-1)</f>
        <v/>
      </c>
      <c r="H738" s="16">
        <f>TRIM(RIGHT(B738,LEN(B738)-FIND(" ",B738,1)))</f>
        <v/>
      </c>
      <c r="I738" s="16">
        <f>_xlfn.XLOOKUP(Table2[[#This Row],[Type]],Table5[Type],Table5[Type2])</f>
        <v/>
      </c>
      <c r="J738" s="16">
        <f>_xlfn.XLOOKUP(Table2[[#This Row],[Sym]],Zones!$A$2:$A$21,Zones!$B$2:$B$21)</f>
        <v/>
      </c>
      <c r="K738" s="21" t="n"/>
    </row>
    <row r="739">
      <c r="A739" s="24" t="n">
        <v>2170</v>
      </c>
      <c r="B739" s="10" t="inlineStr">
        <is>
          <t>T110 KCN Bãi Trành</t>
        </is>
      </c>
      <c r="C739" s="10" t="inlineStr">
        <is>
          <t>TBA 110kV KCN Bãi Trành</t>
        </is>
      </c>
      <c r="D739" s="3" t="inlineStr">
        <is>
          <t>B9</t>
        </is>
      </c>
      <c r="E739" s="9" t="n"/>
      <c r="F739" s="15">
        <f>IF(E739&lt;&gt;"","Đã VH","Quy hoạch điện VIII")</f>
        <v/>
      </c>
      <c r="G739" s="16">
        <f>LEFT(B739,FIND(" ",B739,1)-1)</f>
        <v/>
      </c>
      <c r="H739" s="16">
        <f>TRIM(RIGHT(B739,LEN(B739)-FIND(" ",B739,1)))</f>
        <v/>
      </c>
      <c r="I739" s="16">
        <f>_xlfn.XLOOKUP(Table2[[#This Row],[Type]],Table5[Type],Table5[Type2])</f>
        <v/>
      </c>
      <c r="J739" s="16">
        <f>_xlfn.XLOOKUP(Table2[[#This Row],[Sym]],Zones!$A$2:$A$21,Zones!$B$2:$B$21)</f>
        <v/>
      </c>
      <c r="K739" s="21" t="n"/>
    </row>
    <row r="740">
      <c r="A740" s="24" t="n">
        <v>2171</v>
      </c>
      <c r="B740" s="10" t="inlineStr">
        <is>
          <t>ĐR Nghi Sơn</t>
        </is>
      </c>
      <c r="C740" s="10" t="inlineStr">
        <is>
          <t xml:space="preserve"> Nghi Sơn</t>
        </is>
      </c>
      <c r="D740" s="3" t="inlineStr">
        <is>
          <t>B9</t>
        </is>
      </c>
      <c r="E740" s="9" t="n"/>
      <c r="F740" s="15">
        <f>IF(E740&lt;&gt;"","Đã VH","Quy hoạch điện VIII")</f>
        <v/>
      </c>
      <c r="G740" s="16">
        <f>LEFT(B740,FIND(" ",B740,1)-1)</f>
        <v/>
      </c>
      <c r="H740" s="16">
        <f>TRIM(RIGHT(B740,LEN(B740)-FIND(" ",B740,1)))</f>
        <v/>
      </c>
      <c r="I740" s="16">
        <f>_xlfn.XLOOKUP(Table2[[#This Row],[Type]],Table5[Type],Table5[Type2])</f>
        <v/>
      </c>
      <c r="J740" s="16">
        <f>_xlfn.XLOOKUP(Table2[[#This Row],[Sym]],Zones!$A$2:$A$21,Zones!$B$2:$B$21)</f>
        <v/>
      </c>
      <c r="K740" s="21" t="n"/>
    </row>
    <row r="741">
      <c r="A741" s="24" t="n">
        <v>2172</v>
      </c>
      <c r="B741" s="10" t="inlineStr">
        <is>
          <t>T110 KCN Đồng Vàng 2</t>
        </is>
      </c>
      <c r="C741" s="10" t="inlineStr">
        <is>
          <t>TBA 110kV KCN Đồng Vàng 2</t>
        </is>
      </c>
      <c r="D741" s="3" t="inlineStr">
        <is>
          <t>B9</t>
        </is>
      </c>
      <c r="E741" s="9" t="n"/>
      <c r="F741" s="15">
        <f>IF(E741&lt;&gt;"","Đã VH","Quy hoạch điện VIII")</f>
        <v/>
      </c>
      <c r="G741" s="16">
        <f>LEFT(B741,FIND(" ",B741,1)-1)</f>
        <v/>
      </c>
      <c r="H741" s="16">
        <f>TRIM(RIGHT(B741,LEN(B741)-FIND(" ",B741,1)))</f>
        <v/>
      </c>
      <c r="I741" s="16">
        <f>_xlfn.XLOOKUP(Table2[[#This Row],[Type]],Table5[Type],Table5[Type2])</f>
        <v/>
      </c>
      <c r="J741" s="16">
        <f>_xlfn.XLOOKUP(Table2[[#This Row],[Sym]],Zones!$A$2:$A$21,Zones!$B$2:$B$21)</f>
        <v/>
      </c>
      <c r="K741" s="21" t="n"/>
    </row>
    <row r="742">
      <c r="A742" s="24" t="n">
        <v>2173</v>
      </c>
      <c r="B742" s="10" t="inlineStr">
        <is>
          <t>T110 KCN số 17</t>
        </is>
      </c>
      <c r="C742" s="10" t="inlineStr">
        <is>
          <t>TBA 110kV KCN số 17</t>
        </is>
      </c>
      <c r="D742" s="3" t="inlineStr">
        <is>
          <t>B9</t>
        </is>
      </c>
      <c r="E742" s="9" t="n"/>
      <c r="F742" s="15">
        <f>IF(E742&lt;&gt;"","Đã VH","Quy hoạch điện VIII")</f>
        <v/>
      </c>
      <c r="G742" s="16">
        <f>LEFT(B742,FIND(" ",B742,1)-1)</f>
        <v/>
      </c>
      <c r="H742" s="16">
        <f>TRIM(RIGHT(B742,LEN(B742)-FIND(" ",B742,1)))</f>
        <v/>
      </c>
      <c r="I742" s="16">
        <f>_xlfn.XLOOKUP(Table2[[#This Row],[Type]],Table5[Type],Table5[Type2])</f>
        <v/>
      </c>
      <c r="J742" s="16">
        <f>_xlfn.XLOOKUP(Table2[[#This Row],[Sym]],Zones!$A$2:$A$21,Zones!$B$2:$B$21)</f>
        <v/>
      </c>
      <c r="K742" s="21" t="n"/>
    </row>
    <row r="743">
      <c r="A743" s="24" t="n">
        <v>2174</v>
      </c>
      <c r="B743" s="10" t="inlineStr">
        <is>
          <t>T110 Ferrosilicon</t>
        </is>
      </c>
      <c r="C743" s="10" t="inlineStr">
        <is>
          <t>TBA 110kV Ferrosilicon</t>
        </is>
      </c>
      <c r="D743" s="3" t="inlineStr">
        <is>
          <t>B9</t>
        </is>
      </c>
      <c r="E743" s="9" t="n"/>
      <c r="F743" s="15">
        <f>IF(E743&lt;&gt;"","Đã VH","Quy hoạch điện VIII")</f>
        <v/>
      </c>
      <c r="G743" s="16">
        <f>LEFT(B743,FIND(" ",B743,1)-1)</f>
        <v/>
      </c>
      <c r="H743" s="16">
        <f>TRIM(RIGHT(B743,LEN(B743)-FIND(" ",B743,1)))</f>
        <v/>
      </c>
      <c r="I743" s="16">
        <f>_xlfn.XLOOKUP(Table2[[#This Row],[Type]],Table5[Type],Table5[Type2])</f>
        <v/>
      </c>
      <c r="J743" s="16">
        <f>_xlfn.XLOOKUP(Table2[[#This Row],[Sym]],Zones!$A$2:$A$21,Zones!$B$2:$B$21)</f>
        <v/>
      </c>
      <c r="K743" s="21" t="n"/>
    </row>
    <row r="744">
      <c r="A744" s="24" t="n">
        <v>2175</v>
      </c>
      <c r="B744" s="10" t="inlineStr">
        <is>
          <t>T110 Hậu Lộc 2</t>
        </is>
      </c>
      <c r="C744" s="10" t="inlineStr">
        <is>
          <t>TBA 110kV Hậu Lộc 2</t>
        </is>
      </c>
      <c r="D744" s="3" t="inlineStr">
        <is>
          <t>B9</t>
        </is>
      </c>
      <c r="E744" s="9" t="n"/>
      <c r="F744" s="15">
        <f>IF(E744&lt;&gt;"","Đã VH","Quy hoạch điện VIII")</f>
        <v/>
      </c>
      <c r="G744" s="16">
        <f>LEFT(B744,FIND(" ",B744,1)-1)</f>
        <v/>
      </c>
      <c r="H744" s="16">
        <f>TRIM(RIGHT(B744,LEN(B744)-FIND(" ",B744,1)))</f>
        <v/>
      </c>
      <c r="I744" s="16">
        <f>_xlfn.XLOOKUP(Table2[[#This Row],[Type]],Table5[Type],Table5[Type2])</f>
        <v/>
      </c>
      <c r="J744" s="16">
        <f>_xlfn.XLOOKUP(Table2[[#This Row],[Sym]],Zones!$A$2:$A$21,Zones!$B$2:$B$21)</f>
        <v/>
      </c>
      <c r="K744" s="21" t="n"/>
    </row>
    <row r="745">
      <c r="A745" s="24" t="n">
        <v>2176</v>
      </c>
      <c r="B745" s="10" t="inlineStr">
        <is>
          <t>T110 Hoằng Hóa 2</t>
        </is>
      </c>
      <c r="C745" s="10" t="inlineStr">
        <is>
          <t>TBA 110kV Hoằng Hóa 2</t>
        </is>
      </c>
      <c r="D745" s="3" t="inlineStr">
        <is>
          <t>B9</t>
        </is>
      </c>
      <c r="E745" s="9" t="inlineStr">
        <is>
          <t>E9.56</t>
        </is>
      </c>
      <c r="F745" s="15">
        <f>IF(E745&lt;&gt;"","Đã VH","Quy hoạch điện VIII")</f>
        <v/>
      </c>
      <c r="G745" s="16">
        <f>LEFT(B745,FIND(" ",B745,1)-1)</f>
        <v/>
      </c>
      <c r="H745" s="16">
        <f>TRIM(RIGHT(B745,LEN(B745)-FIND(" ",B745,1)))</f>
        <v/>
      </c>
      <c r="I745" s="16">
        <f>_xlfn.XLOOKUP(Table2[[#This Row],[Type]],Table5[Type],Table5[Type2])</f>
        <v/>
      </c>
      <c r="J745" s="16">
        <f>_xlfn.XLOOKUP(Table2[[#This Row],[Sym]],Zones!$A$2:$A$21,Zones!$B$2:$B$21)</f>
        <v/>
      </c>
      <c r="K745" s="21" t="n"/>
    </row>
    <row r="746">
      <c r="A746" s="24" t="n">
        <v>2177</v>
      </c>
      <c r="B746" s="10" t="inlineStr">
        <is>
          <t>T110 Nga Sơn 2</t>
        </is>
      </c>
      <c r="C746" s="10" t="inlineStr">
        <is>
          <t>TBA 110kV Nga Sơn 2</t>
        </is>
      </c>
      <c r="D746" s="3" t="inlineStr">
        <is>
          <t>B9</t>
        </is>
      </c>
      <c r="E746" s="9" t="n"/>
      <c r="F746" s="15">
        <f>IF(E746&lt;&gt;"","Đã VH","Quy hoạch điện VIII")</f>
        <v/>
      </c>
      <c r="G746" s="16">
        <f>LEFT(B746,FIND(" ",B746,1)-1)</f>
        <v/>
      </c>
      <c r="H746" s="16">
        <f>TRIM(RIGHT(B746,LEN(B746)-FIND(" ",B746,1)))</f>
        <v/>
      </c>
      <c r="I746" s="16">
        <f>_xlfn.XLOOKUP(Table2[[#This Row],[Type]],Table5[Type],Table5[Type2])</f>
        <v/>
      </c>
      <c r="J746" s="16">
        <f>_xlfn.XLOOKUP(Table2[[#This Row],[Sym]],Zones!$A$2:$A$21,Zones!$B$2:$B$21)</f>
        <v/>
      </c>
      <c r="K746" s="21" t="n"/>
    </row>
    <row r="747">
      <c r="A747" s="24" t="n">
        <v>2178</v>
      </c>
      <c r="B747" s="10" t="inlineStr">
        <is>
          <t>T110 KCN Phú Quý</t>
        </is>
      </c>
      <c r="C747" s="10" t="inlineStr">
        <is>
          <t>TBA 110kV KCN Phú Quý</t>
        </is>
      </c>
      <c r="D747" s="3" t="inlineStr">
        <is>
          <t>B9</t>
        </is>
      </c>
      <c r="E747" s="9" t="n"/>
      <c r="F747" s="15">
        <f>IF(E747&lt;&gt;"","Đã VH","Quy hoạch điện VIII")</f>
        <v/>
      </c>
      <c r="G747" s="16">
        <f>LEFT(B747,FIND(" ",B747,1)-1)</f>
        <v/>
      </c>
      <c r="H747" s="16">
        <f>TRIM(RIGHT(B747,LEN(B747)-FIND(" ",B747,1)))</f>
        <v/>
      </c>
      <c r="I747" s="16">
        <f>_xlfn.XLOOKUP(Table2[[#This Row],[Type]],Table5[Type],Table5[Type2])</f>
        <v/>
      </c>
      <c r="J747" s="16">
        <f>_xlfn.XLOOKUP(Table2[[#This Row],[Sym]],Zones!$A$2:$A$21,Zones!$B$2:$B$21)</f>
        <v/>
      </c>
      <c r="K747" s="21" t="n"/>
    </row>
    <row r="748">
      <c r="A748" s="24" t="n">
        <v>2179</v>
      </c>
      <c r="B748" s="10" t="inlineStr">
        <is>
          <t>T110 KCN Bỉm Sơn 1</t>
        </is>
      </c>
      <c r="C748" s="10" t="inlineStr">
        <is>
          <t>TBA 110kV KCN Bỉm Sơn 1</t>
        </is>
      </c>
      <c r="D748" s="3" t="inlineStr">
        <is>
          <t>B9</t>
        </is>
      </c>
      <c r="E748" s="9" t="n"/>
      <c r="F748" s="15">
        <f>IF(E748&lt;&gt;"","Đã VH","Quy hoạch điện VIII")</f>
        <v/>
      </c>
      <c r="G748" s="16">
        <f>LEFT(B748,FIND(" ",B748,1)-1)</f>
        <v/>
      </c>
      <c r="H748" s="16">
        <f>TRIM(RIGHT(B748,LEN(B748)-FIND(" ",B748,1)))</f>
        <v/>
      </c>
      <c r="I748" s="16">
        <f>_xlfn.XLOOKUP(Table2[[#This Row],[Type]],Table5[Type],Table5[Type2])</f>
        <v/>
      </c>
      <c r="J748" s="16">
        <f>_xlfn.XLOOKUP(Table2[[#This Row],[Sym]],Zones!$A$2:$A$21,Zones!$B$2:$B$21)</f>
        <v/>
      </c>
      <c r="K748" s="21" t="n"/>
    </row>
    <row r="749">
      <c r="A749" s="24" t="n">
        <v>2180</v>
      </c>
      <c r="B749" s="10" t="inlineStr">
        <is>
          <t>T110 nhà máy XLRTSH</t>
        </is>
      </c>
      <c r="C749" s="10" t="inlineStr">
        <is>
          <t>TBA 110kV nhà máy XLRTSH</t>
        </is>
      </c>
      <c r="D749" s="3" t="inlineStr">
        <is>
          <t>B9</t>
        </is>
      </c>
      <c r="E749" s="9" t="n"/>
      <c r="F749" s="15">
        <f>IF(E749&lt;&gt;"","Đã VH","Quy hoạch điện VIII")</f>
        <v/>
      </c>
      <c r="G749" s="16">
        <f>LEFT(B749,FIND(" ",B749,1)-1)</f>
        <v/>
      </c>
      <c r="H749" s="16">
        <f>TRIM(RIGHT(B749,LEN(B749)-FIND(" ",B749,1)))</f>
        <v/>
      </c>
      <c r="I749" s="16">
        <f>_xlfn.XLOOKUP(Table2[[#This Row],[Type]],Table5[Type],Table5[Type2])</f>
        <v/>
      </c>
      <c r="J749" s="16">
        <f>_xlfn.XLOOKUP(Table2[[#This Row],[Sym]],Zones!$A$2:$A$21,Zones!$B$2:$B$21)</f>
        <v/>
      </c>
      <c r="K749" s="21" t="n"/>
    </row>
    <row r="750">
      <c r="A750" s="24" t="n">
        <v>2181</v>
      </c>
      <c r="B750" s="10" t="inlineStr">
        <is>
          <t>T110 Bỉm Sơn 2</t>
        </is>
      </c>
      <c r="C750" s="10" t="inlineStr">
        <is>
          <t>TBA 110kV Bỉm Sơn 2</t>
        </is>
      </c>
      <c r="D750" s="3" t="inlineStr">
        <is>
          <t>B9</t>
        </is>
      </c>
      <c r="E750" s="9" t="n"/>
      <c r="F750" s="15">
        <f>IF(E750&lt;&gt;"","Đã VH","Quy hoạch điện VIII")</f>
        <v/>
      </c>
      <c r="G750" s="16">
        <f>LEFT(B750,FIND(" ",B750,1)-1)</f>
        <v/>
      </c>
      <c r="H750" s="16">
        <f>TRIM(RIGHT(B750,LEN(B750)-FIND(" ",B750,1)))</f>
        <v/>
      </c>
      <c r="I750" s="16">
        <f>_xlfn.XLOOKUP(Table2[[#This Row],[Type]],Table5[Type],Table5[Type2])</f>
        <v/>
      </c>
      <c r="J750" s="16">
        <f>_xlfn.XLOOKUP(Table2[[#This Row],[Sym]],Zones!$A$2:$A$21,Zones!$B$2:$B$21)</f>
        <v/>
      </c>
      <c r="K750" s="21" t="n"/>
    </row>
    <row r="751">
      <c r="A751" s="24" t="n">
        <v>2182</v>
      </c>
      <c r="B751" s="10" t="inlineStr">
        <is>
          <t>T110 KCN Thiệu Hóa</t>
        </is>
      </c>
      <c r="C751" s="10" t="inlineStr">
        <is>
          <t>TBA 110kV KCN Thiệu Hóa</t>
        </is>
      </c>
      <c r="D751" s="3" t="inlineStr">
        <is>
          <t>B9</t>
        </is>
      </c>
      <c r="E751" s="9" t="n"/>
      <c r="F751" s="15">
        <f>IF(E751&lt;&gt;"","Đã VH","Quy hoạch điện VIII")</f>
        <v/>
      </c>
      <c r="G751" s="16">
        <f>LEFT(B751,FIND(" ",B751,1)-1)</f>
        <v/>
      </c>
      <c r="H751" s="16">
        <f>TRIM(RIGHT(B751,LEN(B751)-FIND(" ",B751,1)))</f>
        <v/>
      </c>
      <c r="I751" s="16">
        <f>_xlfn.XLOOKUP(Table2[[#This Row],[Type]],Table5[Type],Table5[Type2])</f>
        <v/>
      </c>
      <c r="J751" s="16">
        <f>_xlfn.XLOOKUP(Table2[[#This Row],[Sym]],Zones!$A$2:$A$21,Zones!$B$2:$B$21)</f>
        <v/>
      </c>
      <c r="K751" s="21" t="n"/>
    </row>
    <row r="752">
      <c r="A752" s="24" t="n">
        <v>2183</v>
      </c>
      <c r="B752" s="10" t="inlineStr">
        <is>
          <t>T110 KCN Hà Long</t>
        </is>
      </c>
      <c r="C752" s="10" t="inlineStr">
        <is>
          <t>TBA 110kV KCN Hà Long</t>
        </is>
      </c>
      <c r="D752" s="3" t="inlineStr">
        <is>
          <t>B9</t>
        </is>
      </c>
      <c r="E752" s="9" t="n"/>
      <c r="F752" s="15">
        <f>IF(E752&lt;&gt;"","Đã VH","Quy hoạch điện VIII")</f>
        <v/>
      </c>
      <c r="G752" s="16">
        <f>LEFT(B752,FIND(" ",B752,1)-1)</f>
        <v/>
      </c>
      <c r="H752" s="16">
        <f>TRIM(RIGHT(B752,LEN(B752)-FIND(" ",B752,1)))</f>
        <v/>
      </c>
      <c r="I752" s="16">
        <f>_xlfn.XLOOKUP(Table2[[#This Row],[Type]],Table5[Type],Table5[Type2])</f>
        <v/>
      </c>
      <c r="J752" s="16">
        <f>_xlfn.XLOOKUP(Table2[[#This Row],[Sym]],Zones!$A$2:$A$21,Zones!$B$2:$B$21)</f>
        <v/>
      </c>
      <c r="K752" s="21" t="n"/>
    </row>
    <row r="753">
      <c r="A753" s="24" t="n">
        <v>2184</v>
      </c>
      <c r="B753" s="10" t="inlineStr">
        <is>
          <t>T110 KCN Nga Tân</t>
        </is>
      </c>
      <c r="C753" s="10" t="inlineStr">
        <is>
          <t>TBA 110kV KCN Nga Tân</t>
        </is>
      </c>
      <c r="D753" s="3" t="inlineStr">
        <is>
          <t>B9</t>
        </is>
      </c>
      <c r="E753" s="9" t="n"/>
      <c r="F753" s="15">
        <f>IF(E753&lt;&gt;"","Đã VH","Quy hoạch điện VIII")</f>
        <v/>
      </c>
      <c r="G753" s="16">
        <f>LEFT(B753,FIND(" ",B753,1)-1)</f>
        <v/>
      </c>
      <c r="H753" s="16">
        <f>TRIM(RIGHT(B753,LEN(B753)-FIND(" ",B753,1)))</f>
        <v/>
      </c>
      <c r="I753" s="16">
        <f>_xlfn.XLOOKUP(Table2[[#This Row],[Type]],Table5[Type],Table5[Type2])</f>
        <v/>
      </c>
      <c r="J753" s="16">
        <f>_xlfn.XLOOKUP(Table2[[#This Row],[Sym]],Zones!$A$2:$A$21,Zones!$B$2:$B$21)</f>
        <v/>
      </c>
      <c r="K753" s="21" t="n"/>
    </row>
    <row r="754">
      <c r="A754" s="24" t="n">
        <v>2185</v>
      </c>
      <c r="B754" s="10" t="inlineStr">
        <is>
          <t>T110 KCN Đa Lộc</t>
        </is>
      </c>
      <c r="C754" s="10" t="inlineStr">
        <is>
          <t>TBA 110kV KCN Đa Lộc</t>
        </is>
      </c>
      <c r="D754" s="3" t="inlineStr">
        <is>
          <t>B9</t>
        </is>
      </c>
      <c r="E754" s="9" t="n"/>
      <c r="F754" s="15">
        <f>IF(E754&lt;&gt;"","Đã VH","Quy hoạch điện VIII")</f>
        <v/>
      </c>
      <c r="G754" s="16">
        <f>LEFT(B754,FIND(" ",B754,1)-1)</f>
        <v/>
      </c>
      <c r="H754" s="16">
        <f>TRIM(RIGHT(B754,LEN(B754)-FIND(" ",B754,1)))</f>
        <v/>
      </c>
      <c r="I754" s="16">
        <f>_xlfn.XLOOKUP(Table2[[#This Row],[Type]],Table5[Type],Table5[Type2])</f>
        <v/>
      </c>
      <c r="J754" s="16">
        <f>_xlfn.XLOOKUP(Table2[[#This Row],[Sym]],Zones!$A$2:$A$21,Zones!$B$2:$B$21)</f>
        <v/>
      </c>
      <c r="K754" s="21" t="n"/>
    </row>
    <row r="755">
      <c r="A755" s="24" t="n">
        <v>2186</v>
      </c>
      <c r="B755" s="10" t="inlineStr">
        <is>
          <t>T110 KCN Hà Tĩnh</t>
        </is>
      </c>
      <c r="C755" s="10" t="inlineStr">
        <is>
          <t>TBA 110kV KCN Hà Tĩnh</t>
        </is>
      </c>
      <c r="D755" s="3" t="inlineStr">
        <is>
          <t>B9</t>
        </is>
      </c>
      <c r="E755" s="9" t="n"/>
      <c r="F755" s="15">
        <f>IF(E755&lt;&gt;"","Đã VH","Quy hoạch điện VIII")</f>
        <v/>
      </c>
      <c r="G755" s="16">
        <f>LEFT(B755,FIND(" ",B755,1)-1)</f>
        <v/>
      </c>
      <c r="H755" s="16">
        <f>TRIM(RIGHT(B755,LEN(B755)-FIND(" ",B755,1)))</f>
        <v/>
      </c>
      <c r="I755" s="16">
        <f>_xlfn.XLOOKUP(Table2[[#This Row],[Type]],Table5[Type],Table5[Type2])</f>
        <v/>
      </c>
      <c r="J755" s="16">
        <f>_xlfn.XLOOKUP(Table2[[#This Row],[Sym]],Zones!$A$2:$A$21,Zones!$B$2:$B$21)</f>
        <v/>
      </c>
      <c r="K755" s="21" t="n"/>
    </row>
    <row r="756">
      <c r="A756" s="24" t="n">
        <v>2187</v>
      </c>
      <c r="B756" s="10" t="inlineStr">
        <is>
          <t>T110 KCN Bỉm Sơn 2</t>
        </is>
      </c>
      <c r="C756" s="10" t="inlineStr">
        <is>
          <t>TBA 110kV KCN Bỉm Sơn 2</t>
        </is>
      </c>
      <c r="D756" s="3" t="inlineStr">
        <is>
          <t>B9</t>
        </is>
      </c>
      <c r="E756" s="9" t="n"/>
      <c r="F756" s="15">
        <f>IF(E756&lt;&gt;"","Đã VH","Quy hoạch điện VIII")</f>
        <v/>
      </c>
      <c r="G756" s="16">
        <f>LEFT(B756,FIND(" ",B756,1)-1)</f>
        <v/>
      </c>
      <c r="H756" s="16">
        <f>TRIM(RIGHT(B756,LEN(B756)-FIND(" ",B756,1)))</f>
        <v/>
      </c>
      <c r="I756" s="16">
        <f>_xlfn.XLOOKUP(Table2[[#This Row],[Type]],Table5[Type],Table5[Type2])</f>
        <v/>
      </c>
      <c r="J756" s="16">
        <f>_xlfn.XLOOKUP(Table2[[#This Row],[Sym]],Zones!$A$2:$A$21,Zones!$B$2:$B$21)</f>
        <v/>
      </c>
      <c r="K756" s="21" t="n"/>
    </row>
    <row r="757">
      <c r="A757" s="24" t="n">
        <v>2188</v>
      </c>
      <c r="B757" s="10" t="inlineStr">
        <is>
          <t>T110 KCN Bỉm Sơn 3</t>
        </is>
      </c>
      <c r="C757" s="10" t="inlineStr">
        <is>
          <t>TBA 110kV KCN Bỉm Sơn 3</t>
        </is>
      </c>
      <c r="D757" s="3" t="inlineStr">
        <is>
          <t>B9</t>
        </is>
      </c>
      <c r="E757" s="9" t="n"/>
      <c r="F757" s="15">
        <f>IF(E757&lt;&gt;"","Đã VH","Quy hoạch điện VIII")</f>
        <v/>
      </c>
      <c r="G757" s="16">
        <f>LEFT(B757,FIND(" ",B757,1)-1)</f>
        <v/>
      </c>
      <c r="H757" s="16">
        <f>TRIM(RIGHT(B757,LEN(B757)-FIND(" ",B757,1)))</f>
        <v/>
      </c>
      <c r="I757" s="16">
        <f>_xlfn.XLOOKUP(Table2[[#This Row],[Type]],Table5[Type],Table5[Type2])</f>
        <v/>
      </c>
      <c r="J757" s="16">
        <f>_xlfn.XLOOKUP(Table2[[#This Row],[Sym]],Zones!$A$2:$A$21,Zones!$B$2:$B$21)</f>
        <v/>
      </c>
      <c r="K757" s="21" t="n"/>
    </row>
    <row r="758">
      <c r="A758" s="24" t="n">
        <v>2189</v>
      </c>
      <c r="B758" s="10" t="inlineStr">
        <is>
          <t>T110 Hà Trung 2</t>
        </is>
      </c>
      <c r="C758" s="10" t="inlineStr">
        <is>
          <t>TBA 110kV Hà Trung 2</t>
        </is>
      </c>
      <c r="D758" s="3" t="inlineStr">
        <is>
          <t>B9</t>
        </is>
      </c>
      <c r="E758" s="9" t="n"/>
      <c r="F758" s="15">
        <f>IF(E758&lt;&gt;"","Đã VH","Quy hoạch điện VIII")</f>
        <v/>
      </c>
      <c r="G758" s="16">
        <f>LEFT(B758,FIND(" ",B758,1)-1)</f>
        <v/>
      </c>
      <c r="H758" s="16">
        <f>TRIM(RIGHT(B758,LEN(B758)-FIND(" ",B758,1)))</f>
        <v/>
      </c>
      <c r="I758" s="16">
        <f>_xlfn.XLOOKUP(Table2[[#This Row],[Type]],Table5[Type],Table5[Type2])</f>
        <v/>
      </c>
      <c r="J758" s="16">
        <f>_xlfn.XLOOKUP(Table2[[#This Row],[Sym]],Zones!$A$2:$A$21,Zones!$B$2:$B$21)</f>
        <v/>
      </c>
      <c r="K758" s="21" t="n"/>
    </row>
    <row r="759">
      <c r="A759" s="24" t="n">
        <v>2190</v>
      </c>
      <c r="B759" s="10" t="inlineStr">
        <is>
          <t>T110 KCN Bắc Hoằng Hóa</t>
        </is>
      </c>
      <c r="C759" s="10" t="inlineStr">
        <is>
          <t>TBA 110kV KCN Bắc Hoằng Hóa</t>
        </is>
      </c>
      <c r="D759" s="3" t="inlineStr">
        <is>
          <t>B9</t>
        </is>
      </c>
      <c r="E759" s="9" t="n"/>
      <c r="F759" s="15">
        <f>IF(E759&lt;&gt;"","Đã VH","Quy hoạch điện VIII")</f>
        <v/>
      </c>
      <c r="G759" s="16">
        <f>LEFT(B759,FIND(" ",B759,1)-1)</f>
        <v/>
      </c>
      <c r="H759" s="16">
        <f>TRIM(RIGHT(B759,LEN(B759)-FIND(" ",B759,1)))</f>
        <v/>
      </c>
      <c r="I759" s="16">
        <f>_xlfn.XLOOKUP(Table2[[#This Row],[Type]],Table5[Type],Table5[Type2])</f>
        <v/>
      </c>
      <c r="J759" s="16">
        <f>_xlfn.XLOOKUP(Table2[[#This Row],[Sym]],Zones!$A$2:$A$21,Zones!$B$2:$B$21)</f>
        <v/>
      </c>
      <c r="K759" s="21" t="n"/>
    </row>
    <row r="760">
      <c r="A760" s="24" t="n">
        <v>2191</v>
      </c>
      <c r="B760" s="10" t="inlineStr">
        <is>
          <t>T110 KCN 19</t>
        </is>
      </c>
      <c r="C760" s="10" t="inlineStr">
        <is>
          <t>TBA 110kV KCN 19</t>
        </is>
      </c>
      <c r="D760" s="3" t="inlineStr">
        <is>
          <t>B9</t>
        </is>
      </c>
      <c r="E760" s="9" t="n"/>
      <c r="F760" s="15">
        <f>IF(E760&lt;&gt;"","Đã VH","Quy hoạch điện VIII")</f>
        <v/>
      </c>
      <c r="G760" s="16">
        <f>LEFT(B760,FIND(" ",B760,1)-1)</f>
        <v/>
      </c>
      <c r="H760" s="16">
        <f>TRIM(RIGHT(B760,LEN(B760)-FIND(" ",B760,1)))</f>
        <v/>
      </c>
      <c r="I760" s="16">
        <f>_xlfn.XLOOKUP(Table2[[#This Row],[Type]],Table5[Type],Table5[Type2])</f>
        <v/>
      </c>
      <c r="J760" s="16">
        <f>_xlfn.XLOOKUP(Table2[[#This Row],[Sym]],Zones!$A$2:$A$21,Zones!$B$2:$B$21)</f>
        <v/>
      </c>
      <c r="K760" s="21" t="n"/>
    </row>
    <row r="761">
      <c r="A761" s="24" t="n">
        <v>2192</v>
      </c>
      <c r="B761" s="10" t="inlineStr">
        <is>
          <t>T110 KCN 20, 21, 22</t>
        </is>
      </c>
      <c r="C761" s="10" t="inlineStr">
        <is>
          <t>TBA 110kV KCN 20, 21, 22</t>
        </is>
      </c>
      <c r="D761" s="3" t="inlineStr">
        <is>
          <t>B9</t>
        </is>
      </c>
      <c r="E761" s="9" t="n"/>
      <c r="F761" s="15">
        <f>IF(E761&lt;&gt;"","Đã VH","Quy hoạch điện VIII")</f>
        <v/>
      </c>
      <c r="G761" s="16">
        <f>LEFT(B761,FIND(" ",B761,1)-1)</f>
        <v/>
      </c>
      <c r="H761" s="16">
        <f>TRIM(RIGHT(B761,LEN(B761)-FIND(" ",B761,1)))</f>
        <v/>
      </c>
      <c r="I761" s="16">
        <f>_xlfn.XLOOKUP(Table2[[#This Row],[Type]],Table5[Type],Table5[Type2])</f>
        <v/>
      </c>
      <c r="J761" s="16">
        <f>_xlfn.XLOOKUP(Table2[[#This Row],[Sym]],Zones!$A$2:$A$21,Zones!$B$2:$B$21)</f>
        <v/>
      </c>
      <c r="K761" s="21" t="n"/>
    </row>
    <row r="762">
      <c r="A762" s="24" t="n">
        <v>2193</v>
      </c>
      <c r="B762" s="10" t="inlineStr">
        <is>
          <t>T110 Thiệu Hóa</t>
        </is>
      </c>
      <c r="C762" s="10" t="inlineStr">
        <is>
          <t>TBA 110kV Thiệu Hóa</t>
        </is>
      </c>
      <c r="D762" s="3" t="inlineStr">
        <is>
          <t>B9</t>
        </is>
      </c>
      <c r="E762" s="9" t="inlineStr">
        <is>
          <t>E9.58</t>
        </is>
      </c>
      <c r="F762" s="15">
        <f>IF(E762&lt;&gt;"","Đã VH","Quy hoạch điện VIII")</f>
        <v/>
      </c>
      <c r="G762" s="16">
        <f>LEFT(B762,FIND(" ",B762,1)-1)</f>
        <v/>
      </c>
      <c r="H762" s="16">
        <f>TRIM(RIGHT(B762,LEN(B762)-FIND(" ",B762,1)))</f>
        <v/>
      </c>
      <c r="I762" s="16">
        <f>_xlfn.XLOOKUP(Table2[[#This Row],[Type]],Table5[Type],Table5[Type2])</f>
        <v/>
      </c>
      <c r="J762" s="16">
        <f>_xlfn.XLOOKUP(Table2[[#This Row],[Sym]],Zones!$A$2:$A$21,Zones!$B$2:$B$21)</f>
        <v/>
      </c>
      <c r="K762" s="21" t="n"/>
    </row>
    <row r="763">
      <c r="A763" s="24" t="n">
        <v>2194</v>
      </c>
      <c r="B763" s="10" t="inlineStr">
        <is>
          <t>T110 KCN Lam Sơn 1</t>
        </is>
      </c>
      <c r="C763" s="10" t="inlineStr">
        <is>
          <t>TBA 110kV KCN Lam Sơn 1</t>
        </is>
      </c>
      <c r="D763" s="3" t="inlineStr">
        <is>
          <t>B9</t>
        </is>
      </c>
      <c r="E763" s="9" t="n"/>
      <c r="F763" s="15">
        <f>IF(E763&lt;&gt;"","Đã VH","Quy hoạch điện VIII")</f>
        <v/>
      </c>
      <c r="G763" s="16">
        <f>LEFT(B763,FIND(" ",B763,1)-1)</f>
        <v/>
      </c>
      <c r="H763" s="16">
        <f>TRIM(RIGHT(B763,LEN(B763)-FIND(" ",B763,1)))</f>
        <v/>
      </c>
      <c r="I763" s="16">
        <f>_xlfn.XLOOKUP(Table2[[#This Row],[Type]],Table5[Type],Table5[Type2])</f>
        <v/>
      </c>
      <c r="J763" s="16">
        <f>_xlfn.XLOOKUP(Table2[[#This Row],[Sym]],Zones!$A$2:$A$21,Zones!$B$2:$B$21)</f>
        <v/>
      </c>
      <c r="K763" s="21" t="n"/>
    </row>
    <row r="764">
      <c r="A764" s="24" t="n">
        <v>2195</v>
      </c>
      <c r="B764" s="10" t="inlineStr">
        <is>
          <t>T110 Thường Xuân</t>
        </is>
      </c>
      <c r="C764" s="10" t="inlineStr">
        <is>
          <t>TBA 110kV Thường Xuân</t>
        </is>
      </c>
      <c r="D764" s="3" t="inlineStr">
        <is>
          <t>B9</t>
        </is>
      </c>
      <c r="E764" s="9" t="n"/>
      <c r="F764" s="15">
        <f>IF(E764&lt;&gt;"","Đã VH","Quy hoạch điện VIII")</f>
        <v/>
      </c>
      <c r="G764" s="16">
        <f>LEFT(B764,FIND(" ",B764,1)-1)</f>
        <v/>
      </c>
      <c r="H764" s="16">
        <f>TRIM(RIGHT(B764,LEN(B764)-FIND(" ",B764,1)))</f>
        <v/>
      </c>
      <c r="I764" s="16">
        <f>_xlfn.XLOOKUP(Table2[[#This Row],[Type]],Table5[Type],Table5[Type2])</f>
        <v/>
      </c>
      <c r="J764" s="16">
        <f>_xlfn.XLOOKUP(Table2[[#This Row],[Sym]],Zones!$A$2:$A$21,Zones!$B$2:$B$21)</f>
        <v/>
      </c>
      <c r="K764" s="21" t="n"/>
    </row>
    <row r="765">
      <c r="A765" s="24" t="n">
        <v>2196</v>
      </c>
      <c r="B765" s="10" t="inlineStr">
        <is>
          <t>T110 Thọ Xuân 2</t>
        </is>
      </c>
      <c r="C765" s="10" t="inlineStr">
        <is>
          <t>TBA 110kV Thọ Xuân 2</t>
        </is>
      </c>
      <c r="D765" s="3" t="inlineStr">
        <is>
          <t>B9</t>
        </is>
      </c>
      <c r="E765" s="9" t="n"/>
      <c r="F765" s="15">
        <f>IF(E765&lt;&gt;"","Đã VH","Quy hoạch điện VIII")</f>
        <v/>
      </c>
      <c r="G765" s="16">
        <f>LEFT(B765,FIND(" ",B765,1)-1)</f>
        <v/>
      </c>
      <c r="H765" s="16">
        <f>TRIM(RIGHT(B765,LEN(B765)-FIND(" ",B765,1)))</f>
        <v/>
      </c>
      <c r="I765" s="16">
        <f>_xlfn.XLOOKUP(Table2[[#This Row],[Type]],Table5[Type],Table5[Type2])</f>
        <v/>
      </c>
      <c r="J765" s="16">
        <f>_xlfn.XLOOKUP(Table2[[#This Row],[Sym]],Zones!$A$2:$A$21,Zones!$B$2:$B$21)</f>
        <v/>
      </c>
      <c r="K765" s="21" t="n"/>
    </row>
    <row r="766">
      <c r="A766" s="24" t="n">
        <v>2197</v>
      </c>
      <c r="B766" s="10" t="inlineStr">
        <is>
          <t>T110 KCN Lam Sơn 2</t>
        </is>
      </c>
      <c r="C766" s="10" t="inlineStr">
        <is>
          <t>TBA 110kV KCN Lam Sơn 2</t>
        </is>
      </c>
      <c r="D766" s="3" t="inlineStr">
        <is>
          <t>B9</t>
        </is>
      </c>
      <c r="E766" s="9" t="n"/>
      <c r="F766" s="15">
        <f>IF(E766&lt;&gt;"","Đã VH","Quy hoạch điện VIII")</f>
        <v/>
      </c>
      <c r="G766" s="16">
        <f>LEFT(B766,FIND(" ",B766,1)-1)</f>
        <v/>
      </c>
      <c r="H766" s="16">
        <f>TRIM(RIGHT(B766,LEN(B766)-FIND(" ",B766,1)))</f>
        <v/>
      </c>
      <c r="I766" s="16">
        <f>_xlfn.XLOOKUP(Table2[[#This Row],[Type]],Table5[Type],Table5[Type2])</f>
        <v/>
      </c>
      <c r="J766" s="16">
        <f>_xlfn.XLOOKUP(Table2[[#This Row],[Sym]],Zones!$A$2:$A$21,Zones!$B$2:$B$21)</f>
        <v/>
      </c>
      <c r="K766" s="21" t="n"/>
    </row>
    <row r="767">
      <c r="A767" s="24" t="n">
        <v>2198</v>
      </c>
      <c r="B767" s="10" t="inlineStr">
        <is>
          <t>T110 Yên Định 2</t>
        </is>
      </c>
      <c r="C767" s="10" t="inlineStr">
        <is>
          <t>TBA 110kV Yên Định 2</t>
        </is>
      </c>
      <c r="D767" s="3" t="inlineStr">
        <is>
          <t>B9</t>
        </is>
      </c>
      <c r="E767" s="9" t="n"/>
      <c r="F767" s="15">
        <f>IF(E767&lt;&gt;"","Đã VH","Quy hoạch điện VIII")</f>
        <v/>
      </c>
      <c r="G767" s="16">
        <f>LEFT(B767,FIND(" ",B767,1)-1)</f>
        <v/>
      </c>
      <c r="H767" s="16">
        <f>TRIM(RIGHT(B767,LEN(B767)-FIND(" ",B767,1)))</f>
        <v/>
      </c>
      <c r="I767" s="16">
        <f>_xlfn.XLOOKUP(Table2[[#This Row],[Type]],Table5[Type],Table5[Type2])</f>
        <v/>
      </c>
      <c r="J767" s="16">
        <f>_xlfn.XLOOKUP(Table2[[#This Row],[Sym]],Zones!$A$2:$A$21,Zones!$B$2:$B$21)</f>
        <v/>
      </c>
      <c r="K767" s="21" t="n"/>
    </row>
    <row r="768">
      <c r="A768" s="24" t="n">
        <v>2199</v>
      </c>
      <c r="B768" s="10" t="inlineStr">
        <is>
          <t>T110 Yên Định 3</t>
        </is>
      </c>
      <c r="C768" s="10" t="inlineStr">
        <is>
          <t>TBA 110kV Yên Định 3</t>
        </is>
      </c>
      <c r="D768" s="3" t="inlineStr">
        <is>
          <t>B9</t>
        </is>
      </c>
      <c r="E768" s="9" t="n"/>
      <c r="F768" s="15">
        <f>IF(E768&lt;&gt;"","Đã VH","Quy hoạch điện VIII")</f>
        <v/>
      </c>
      <c r="G768" s="16">
        <f>LEFT(B768,FIND(" ",B768,1)-1)</f>
        <v/>
      </c>
      <c r="H768" s="16">
        <f>TRIM(RIGHT(B768,LEN(B768)-FIND(" ",B768,1)))</f>
        <v/>
      </c>
      <c r="I768" s="16">
        <f>_xlfn.XLOOKUP(Table2[[#This Row],[Type]],Table5[Type],Table5[Type2])</f>
        <v/>
      </c>
      <c r="J768" s="16">
        <f>_xlfn.XLOOKUP(Table2[[#This Row],[Sym]],Zones!$A$2:$A$21,Zones!$B$2:$B$21)</f>
        <v/>
      </c>
      <c r="K768" s="21" t="n"/>
    </row>
    <row r="769">
      <c r="A769" s="24" t="n">
        <v>2200</v>
      </c>
      <c r="B769" s="10" t="inlineStr">
        <is>
          <t>T110 Triệu Sơn 2</t>
        </is>
      </c>
      <c r="C769" s="10" t="inlineStr">
        <is>
          <t>TBA 110kV Triệu Sơn 2</t>
        </is>
      </c>
      <c r="D769" s="3" t="inlineStr">
        <is>
          <t>B9</t>
        </is>
      </c>
      <c r="E769" s="9" t="n"/>
      <c r="F769" s="15">
        <f>IF(E769&lt;&gt;"","Đã VH","Quy hoạch điện VIII")</f>
        <v/>
      </c>
      <c r="G769" s="16">
        <f>LEFT(B769,FIND(" ",B769,1)-1)</f>
        <v/>
      </c>
      <c r="H769" s="16">
        <f>TRIM(RIGHT(B769,LEN(B769)-FIND(" ",B769,1)))</f>
        <v/>
      </c>
      <c r="I769" s="16">
        <f>_xlfn.XLOOKUP(Table2[[#This Row],[Type]],Table5[Type],Table5[Type2])</f>
        <v/>
      </c>
      <c r="J769" s="16">
        <f>_xlfn.XLOOKUP(Table2[[#This Row],[Sym]],Zones!$A$2:$A$21,Zones!$B$2:$B$21)</f>
        <v/>
      </c>
      <c r="K769" s="21" t="n"/>
    </row>
    <row r="770">
      <c r="A770" s="24" t="n">
        <v>2201</v>
      </c>
      <c r="B770" s="10" t="inlineStr">
        <is>
          <t>T110 KCN Yên Định</t>
        </is>
      </c>
      <c r="C770" s="10" t="inlineStr">
        <is>
          <t>TBA 110kV KCN Yên Định</t>
        </is>
      </c>
      <c r="D770" s="3" t="inlineStr">
        <is>
          <t>B9</t>
        </is>
      </c>
      <c r="E770" s="9" t="n"/>
      <c r="F770" s="15">
        <f>IF(E770&lt;&gt;"","Đã VH","Quy hoạch điện VIII")</f>
        <v/>
      </c>
      <c r="G770" s="16">
        <f>LEFT(B770,FIND(" ",B770,1)-1)</f>
        <v/>
      </c>
      <c r="H770" s="16">
        <f>TRIM(RIGHT(B770,LEN(B770)-FIND(" ",B770,1)))</f>
        <v/>
      </c>
      <c r="I770" s="16">
        <f>_xlfn.XLOOKUP(Table2[[#This Row],[Type]],Table5[Type],Table5[Type2])</f>
        <v/>
      </c>
      <c r="J770" s="16">
        <f>_xlfn.XLOOKUP(Table2[[#This Row],[Sym]],Zones!$A$2:$A$21,Zones!$B$2:$B$21)</f>
        <v/>
      </c>
      <c r="K770" s="21" t="n"/>
    </row>
    <row r="771">
      <c r="A771" s="24" t="n">
        <v>2202</v>
      </c>
      <c r="B771" s="10" t="inlineStr">
        <is>
          <t>ĐMT Yên Định mở rộng</t>
        </is>
      </c>
      <c r="C771" s="10" t="inlineStr">
        <is>
          <t xml:space="preserve"> Yên Định mở rộng</t>
        </is>
      </c>
      <c r="D771" s="3" t="inlineStr">
        <is>
          <t>B9</t>
        </is>
      </c>
      <c r="E771" s="9" t="n"/>
      <c r="F771" s="15">
        <f>IF(E771&lt;&gt;"","Đã VH","Quy hoạch điện VIII")</f>
        <v/>
      </c>
      <c r="G771" s="16">
        <f>LEFT(B771,FIND(" ",B771,1)-1)</f>
        <v/>
      </c>
      <c r="H771" s="16">
        <f>TRIM(RIGHT(B771,LEN(B771)-FIND(" ",B771,1)))</f>
        <v/>
      </c>
      <c r="I771" s="16">
        <f>_xlfn.XLOOKUP(Table2[[#This Row],[Type]],Table5[Type],Table5[Type2])</f>
        <v/>
      </c>
      <c r="J771" s="16">
        <f>_xlfn.XLOOKUP(Table2[[#This Row],[Sym]],Zones!$A$2:$A$21,Zones!$B$2:$B$21)</f>
        <v/>
      </c>
      <c r="K771" s="21" t="n"/>
    </row>
    <row r="772">
      <c r="A772" s="24" t="n">
        <v>2203</v>
      </c>
      <c r="B772" s="10" t="inlineStr">
        <is>
          <t>ĐMT Yên Định 1 và 2</t>
        </is>
      </c>
      <c r="C772" s="10" t="inlineStr">
        <is>
          <t xml:space="preserve"> Yên Định 1 và 2</t>
        </is>
      </c>
      <c r="D772" s="3" t="inlineStr">
        <is>
          <t>B9</t>
        </is>
      </c>
      <c r="E772" s="9" t="n"/>
      <c r="F772" s="15">
        <f>IF(E772&lt;&gt;"","Đã VH","Quy hoạch điện VIII")</f>
        <v/>
      </c>
      <c r="G772" s="16">
        <f>LEFT(B772,FIND(" ",B772,1)-1)</f>
        <v/>
      </c>
      <c r="H772" s="16">
        <f>TRIM(RIGHT(B772,LEN(B772)-FIND(" ",B772,1)))</f>
        <v/>
      </c>
      <c r="I772" s="16">
        <f>_xlfn.XLOOKUP(Table2[[#This Row],[Type]],Table5[Type],Table5[Type2])</f>
        <v/>
      </c>
      <c r="J772" s="16">
        <f>_xlfn.XLOOKUP(Table2[[#This Row],[Sym]],Zones!$A$2:$A$21,Zones!$B$2:$B$21)</f>
        <v/>
      </c>
      <c r="K772" s="21" t="n"/>
    </row>
    <row r="773">
      <c r="A773" s="24" t="n">
        <v>2204</v>
      </c>
      <c r="B773" s="10" t="inlineStr">
        <is>
          <t>ĐMT Yên Lạc</t>
        </is>
      </c>
      <c r="C773" s="10" t="inlineStr">
        <is>
          <t xml:space="preserve"> Yên Lạc</t>
        </is>
      </c>
      <c r="D773" s="3" t="inlineStr">
        <is>
          <t>B9</t>
        </is>
      </c>
      <c r="E773" s="9" t="n"/>
      <c r="F773" s="15">
        <f>IF(E773&lt;&gt;"","Đã VH","Quy hoạch điện VIII")</f>
        <v/>
      </c>
      <c r="G773" s="16">
        <f>LEFT(B773,FIND(" ",B773,1)-1)</f>
        <v/>
      </c>
      <c r="H773" s="16">
        <f>TRIM(RIGHT(B773,LEN(B773)-FIND(" ",B773,1)))</f>
        <v/>
      </c>
      <c r="I773" s="16">
        <f>_xlfn.XLOOKUP(Table2[[#This Row],[Type]],Table5[Type],Table5[Type2])</f>
        <v/>
      </c>
      <c r="J773" s="16">
        <f>_xlfn.XLOOKUP(Table2[[#This Row],[Sym]],Zones!$A$2:$A$21,Zones!$B$2:$B$21)</f>
        <v/>
      </c>
      <c r="K773" s="21" t="n"/>
    </row>
    <row r="774">
      <c r="A774" s="24" t="n">
        <v>2205</v>
      </c>
      <c r="B774" s="10" t="inlineStr">
        <is>
          <t>T110 Quan Hóa</t>
        </is>
      </c>
      <c r="C774" s="10" t="inlineStr">
        <is>
          <t>TBA 110kV Quan Hóa</t>
        </is>
      </c>
      <c r="D774" s="3" t="inlineStr">
        <is>
          <t>B9</t>
        </is>
      </c>
      <c r="E774" s="9" t="n"/>
      <c r="F774" s="15">
        <f>IF(E774&lt;&gt;"","Đã VH","Quy hoạch điện VIII")</f>
        <v/>
      </c>
      <c r="G774" s="16">
        <f>LEFT(B774,FIND(" ",B774,1)-1)</f>
        <v/>
      </c>
      <c r="H774" s="16">
        <f>TRIM(RIGHT(B774,LEN(B774)-FIND(" ",B774,1)))</f>
        <v/>
      </c>
      <c r="I774" s="16">
        <f>_xlfn.XLOOKUP(Table2[[#This Row],[Type]],Table5[Type],Table5[Type2])</f>
        <v/>
      </c>
      <c r="J774" s="16">
        <f>_xlfn.XLOOKUP(Table2[[#This Row],[Sym]],Zones!$A$2:$A$21,Zones!$B$2:$B$21)</f>
        <v/>
      </c>
      <c r="K774" s="21" t="n"/>
    </row>
    <row r="775">
      <c r="A775" s="24" t="n">
        <v>2206</v>
      </c>
      <c r="B775" s="10" t="inlineStr">
        <is>
          <t>T110 Ngọc Lặc 2</t>
        </is>
      </c>
      <c r="C775" s="10" t="inlineStr">
        <is>
          <t>TBA 110kV Ngọc Lặc 2</t>
        </is>
      </c>
      <c r="D775" s="3" t="inlineStr">
        <is>
          <t>B9</t>
        </is>
      </c>
      <c r="E775" s="9" t="n"/>
      <c r="F775" s="15">
        <f>IF(E775&lt;&gt;"","Đã VH","Quy hoạch điện VIII")</f>
        <v/>
      </c>
      <c r="G775" s="16">
        <f>LEFT(B775,FIND(" ",B775,1)-1)</f>
        <v/>
      </c>
      <c r="H775" s="16">
        <f>TRIM(RIGHT(B775,LEN(B775)-FIND(" ",B775,1)))</f>
        <v/>
      </c>
      <c r="I775" s="16">
        <f>_xlfn.XLOOKUP(Table2[[#This Row],[Type]],Table5[Type],Table5[Type2])</f>
        <v/>
      </c>
      <c r="J775" s="16">
        <f>_xlfn.XLOOKUP(Table2[[#This Row],[Sym]],Zones!$A$2:$A$21,Zones!$B$2:$B$21)</f>
        <v/>
      </c>
      <c r="K775" s="21" t="n"/>
    </row>
    <row r="776">
      <c r="A776" s="24" t="n">
        <v>2207</v>
      </c>
      <c r="B776" s="10" t="inlineStr">
        <is>
          <t>T110 Quan Sơn</t>
        </is>
      </c>
      <c r="C776" s="10" t="inlineStr">
        <is>
          <t>TBA 110kV Quan Sơn</t>
        </is>
      </c>
      <c r="D776" s="3" t="inlineStr">
        <is>
          <t>B9</t>
        </is>
      </c>
      <c r="E776" s="9" t="n"/>
      <c r="F776" s="15">
        <f>IF(E776&lt;&gt;"","Đã VH","Quy hoạch điện VIII")</f>
        <v/>
      </c>
      <c r="G776" s="16">
        <f>LEFT(B776,FIND(" ",B776,1)-1)</f>
        <v/>
      </c>
      <c r="H776" s="16">
        <f>TRIM(RIGHT(B776,LEN(B776)-FIND(" ",B776,1)))</f>
        <v/>
      </c>
      <c r="I776" s="16">
        <f>_xlfn.XLOOKUP(Table2[[#This Row],[Type]],Table5[Type],Table5[Type2])</f>
        <v/>
      </c>
      <c r="J776" s="16">
        <f>_xlfn.XLOOKUP(Table2[[#This Row],[Sym]],Zones!$A$2:$A$21,Zones!$B$2:$B$21)</f>
        <v/>
      </c>
      <c r="K776" s="21" t="n"/>
    </row>
    <row r="777">
      <c r="A777" s="24" t="n">
        <v>2208</v>
      </c>
      <c r="B777" s="10" t="inlineStr">
        <is>
          <t>T110 Thạch Thành 2</t>
        </is>
      </c>
      <c r="C777" s="10" t="inlineStr">
        <is>
          <t>TBA 110kV Thạch Thành 2</t>
        </is>
      </c>
      <c r="D777" s="3" t="inlineStr">
        <is>
          <t>B9</t>
        </is>
      </c>
      <c r="E777" s="9" t="n"/>
      <c r="F777" s="15">
        <f>IF(E777&lt;&gt;"","Đã VH","Quy hoạch điện VIII")</f>
        <v/>
      </c>
      <c r="G777" s="16">
        <f>LEFT(B777,FIND(" ",B777,1)-1)</f>
        <v/>
      </c>
      <c r="H777" s="16">
        <f>TRIM(RIGHT(B777,LEN(B777)-FIND(" ",B777,1)))</f>
        <v/>
      </c>
      <c r="I777" s="16">
        <f>_xlfn.XLOOKUP(Table2[[#This Row],[Type]],Table5[Type],Table5[Type2])</f>
        <v/>
      </c>
      <c r="J777" s="16">
        <f>_xlfn.XLOOKUP(Table2[[#This Row],[Sym]],Zones!$A$2:$A$21,Zones!$B$2:$B$21)</f>
        <v/>
      </c>
      <c r="K777" s="21" t="n"/>
    </row>
    <row r="778">
      <c r="A778" s="24" t="n">
        <v>2209</v>
      </c>
      <c r="B778" s="10" t="inlineStr">
        <is>
          <t>T110 NC Ngọc Lặc</t>
        </is>
      </c>
      <c r="C778" s="10" t="inlineStr">
        <is>
          <t>TBA 110kV NC Ngọc Lặc</t>
        </is>
      </c>
      <c r="D778" s="3" t="inlineStr">
        <is>
          <t>B9</t>
        </is>
      </c>
      <c r="E778" s="9" t="n"/>
      <c r="F778" s="15">
        <f>IF(E778&lt;&gt;"","Đã VH","Quy hoạch điện VIII")</f>
        <v/>
      </c>
      <c r="G778" s="16">
        <f>LEFT(B778,FIND(" ",B778,1)-1)</f>
        <v/>
      </c>
      <c r="H778" s="16">
        <f>TRIM(RIGHT(B778,LEN(B778)-FIND(" ",B778,1)))</f>
        <v/>
      </c>
      <c r="I778" s="16">
        <f>_xlfn.XLOOKUP(Table2[[#This Row],[Type]],Table5[Type],Table5[Type2])</f>
        <v/>
      </c>
      <c r="J778" s="16">
        <f>_xlfn.XLOOKUP(Table2[[#This Row],[Sym]],Zones!$A$2:$A$21,Zones!$B$2:$B$21)</f>
        <v/>
      </c>
      <c r="K778" s="21" t="n"/>
    </row>
    <row r="779">
      <c r="A779" s="24" t="n">
        <v>2210</v>
      </c>
      <c r="B779" s="10" t="inlineStr">
        <is>
          <t>TĐ Cẩm Thủy 2</t>
        </is>
      </c>
      <c r="C779" s="10" t="inlineStr">
        <is>
          <t>NM TĐN Cẩm Thủy 2</t>
        </is>
      </c>
      <c r="D779" s="3" t="inlineStr">
        <is>
          <t>B9</t>
        </is>
      </c>
      <c r="E779" s="9" t="n"/>
      <c r="F779" s="15">
        <f>IF(E779&lt;&gt;"","Đã VH","Quy hoạch điện VIII")</f>
        <v/>
      </c>
      <c r="G779" s="16">
        <f>LEFT(B779,FIND(" ",B779,1)-1)</f>
        <v/>
      </c>
      <c r="H779" s="16">
        <f>TRIM(RIGHT(B779,LEN(B779)-FIND(" ",B779,1)))</f>
        <v/>
      </c>
      <c r="I779" s="16">
        <f>_xlfn.XLOOKUP(Table2[[#This Row],[Type]],Table5[Type],Table5[Type2])</f>
        <v/>
      </c>
      <c r="J779" s="16">
        <f>_xlfn.XLOOKUP(Table2[[#This Row],[Sym]],Zones!$A$2:$A$21,Zones!$B$2:$B$21)</f>
        <v/>
      </c>
      <c r="K779" s="21" t="n"/>
    </row>
    <row r="780">
      <c r="A780" s="24" t="n">
        <v>2211</v>
      </c>
      <c r="B780" s="10" t="inlineStr">
        <is>
          <t>T110 Lang Chánh</t>
        </is>
      </c>
      <c r="C780" s="10" t="inlineStr">
        <is>
          <t>TBA 110kV Lang Chánh</t>
        </is>
      </c>
      <c r="D780" s="3" t="inlineStr">
        <is>
          <t>B9</t>
        </is>
      </c>
      <c r="E780" s="9" t="n"/>
      <c r="F780" s="15">
        <f>IF(E780&lt;&gt;"","Đã VH","Quy hoạch điện VIII")</f>
        <v/>
      </c>
      <c r="G780" s="16">
        <f>LEFT(B780,FIND(" ",B780,1)-1)</f>
        <v/>
      </c>
      <c r="H780" s="16">
        <f>TRIM(RIGHT(B780,LEN(B780)-FIND(" ",B780,1)))</f>
        <v/>
      </c>
      <c r="I780" s="16">
        <f>_xlfn.XLOOKUP(Table2[[#This Row],[Type]],Table5[Type],Table5[Type2])</f>
        <v/>
      </c>
      <c r="J780" s="16">
        <f>_xlfn.XLOOKUP(Table2[[#This Row],[Sym]],Zones!$A$2:$A$21,Zones!$B$2:$B$21)</f>
        <v/>
      </c>
      <c r="K780" s="21" t="n"/>
    </row>
    <row r="781">
      <c r="A781" s="24" t="n">
        <v>2212</v>
      </c>
      <c r="B781" s="10" t="inlineStr">
        <is>
          <t>ĐMT Ngọc Lặc</t>
        </is>
      </c>
      <c r="C781" s="10" t="inlineStr">
        <is>
          <t xml:space="preserve"> Ngọc Lặc</t>
        </is>
      </c>
      <c r="D781" s="3" t="inlineStr">
        <is>
          <t>B9</t>
        </is>
      </c>
      <c r="E781" s="9" t="n"/>
      <c r="F781" s="15">
        <f>IF(E781&lt;&gt;"","Đã VH","Quy hoạch điện VIII")</f>
        <v/>
      </c>
      <c r="G781" s="16">
        <f>LEFT(B781,FIND(" ",B781,1)-1)</f>
        <v/>
      </c>
      <c r="H781" s="16">
        <f>TRIM(RIGHT(B781,LEN(B781)-FIND(" ",B781,1)))</f>
        <v/>
      </c>
      <c r="I781" s="16">
        <f>_xlfn.XLOOKUP(Table2[[#This Row],[Type]],Table5[Type],Table5[Type2])</f>
        <v/>
      </c>
      <c r="J781" s="16">
        <f>_xlfn.XLOOKUP(Table2[[#This Row],[Sym]],Zones!$A$2:$A$21,Zones!$B$2:$B$21)</f>
        <v/>
      </c>
      <c r="K781" s="21" t="n"/>
    </row>
    <row r="782">
      <c r="A782" s="24" t="n">
        <v>2213</v>
      </c>
      <c r="B782" s="10" t="inlineStr">
        <is>
          <t>ĐMT Đồng Thịnh</t>
        </is>
      </c>
      <c r="C782" s="10" t="inlineStr">
        <is>
          <t xml:space="preserve"> Đồng Thịnh</t>
        </is>
      </c>
      <c r="D782" s="3" t="inlineStr">
        <is>
          <t>B9</t>
        </is>
      </c>
      <c r="E782" s="9" t="n"/>
      <c r="F782" s="15">
        <f>IF(E782&lt;&gt;"","Đã VH","Quy hoạch điện VIII")</f>
        <v/>
      </c>
      <c r="G782" s="16">
        <f>LEFT(B782,FIND(" ",B782,1)-1)</f>
        <v/>
      </c>
      <c r="H782" s="16">
        <f>TRIM(RIGHT(B782,LEN(B782)-FIND(" ",B782,1)))</f>
        <v/>
      </c>
      <c r="I782" s="16">
        <f>_xlfn.XLOOKUP(Table2[[#This Row],[Type]],Table5[Type],Table5[Type2])</f>
        <v/>
      </c>
      <c r="J782" s="16">
        <f>_xlfn.XLOOKUP(Table2[[#This Row],[Sym]],Zones!$A$2:$A$21,Zones!$B$2:$B$21)</f>
        <v/>
      </c>
      <c r="K782" s="21" t="n"/>
    </row>
    <row r="783">
      <c r="A783" s="24" t="n">
        <v>2214</v>
      </c>
      <c r="B783" s="10" t="inlineStr">
        <is>
          <t>ĐMT Cẩm Thủy</t>
        </is>
      </c>
      <c r="C783" s="10" t="inlineStr">
        <is>
          <t xml:space="preserve"> Cẩm Thủy</t>
        </is>
      </c>
      <c r="D783" s="3" t="inlineStr">
        <is>
          <t>B9</t>
        </is>
      </c>
      <c r="E783" s="9" t="n"/>
      <c r="F783" s="15">
        <f>IF(E783&lt;&gt;"","Đã VH","Quy hoạch điện VIII")</f>
        <v/>
      </c>
      <c r="G783" s="16">
        <f>LEFT(B783,FIND(" ",B783,1)-1)</f>
        <v/>
      </c>
      <c r="H783" s="16">
        <f>TRIM(RIGHT(B783,LEN(B783)-FIND(" ",B783,1)))</f>
        <v/>
      </c>
      <c r="I783" s="16">
        <f>_xlfn.XLOOKUP(Table2[[#This Row],[Type]],Table5[Type],Table5[Type2])</f>
        <v/>
      </c>
      <c r="J783" s="16">
        <f>_xlfn.XLOOKUP(Table2[[#This Row],[Sym]],Zones!$A$2:$A$21,Zones!$B$2:$B$21)</f>
        <v/>
      </c>
      <c r="K783" s="21" t="n"/>
    </row>
    <row r="784">
      <c r="A784" s="24" t="n">
        <v>2215</v>
      </c>
      <c r="B784" s="10" t="inlineStr">
        <is>
          <t>ĐMT Cao Ngọc</t>
        </is>
      </c>
      <c r="C784" s="10" t="inlineStr">
        <is>
          <t xml:space="preserve"> Cao Ngọc</t>
        </is>
      </c>
      <c r="D784" s="3" t="inlineStr">
        <is>
          <t>B9</t>
        </is>
      </c>
      <c r="E784" s="9" t="n"/>
      <c r="F784" s="15">
        <f>IF(E784&lt;&gt;"","Đã VH","Quy hoạch điện VIII")</f>
        <v/>
      </c>
      <c r="G784" s="16">
        <f>LEFT(B784,FIND(" ",B784,1)-1)</f>
        <v/>
      </c>
      <c r="H784" s="16">
        <f>TRIM(RIGHT(B784,LEN(B784)-FIND(" ",B784,1)))</f>
        <v/>
      </c>
      <c r="I784" s="16">
        <f>_xlfn.XLOOKUP(Table2[[#This Row],[Type]],Table5[Type],Table5[Type2])</f>
        <v/>
      </c>
      <c r="J784" s="16">
        <f>_xlfn.XLOOKUP(Table2[[#This Row],[Sym]],Zones!$A$2:$A$21,Zones!$B$2:$B$21)</f>
        <v/>
      </c>
      <c r="K784" s="21" t="n"/>
    </row>
    <row r="785">
      <c r="A785" s="24" t="n">
        <v>2216</v>
      </c>
      <c r="B785" s="10" t="inlineStr">
        <is>
          <t>T110 Thiệu Hóa 2</t>
        </is>
      </c>
      <c r="C785" s="10" t="inlineStr">
        <is>
          <t>TBA 110kV Thiệu Hóa 2</t>
        </is>
      </c>
      <c r="D785" s="3" t="inlineStr">
        <is>
          <t>B9</t>
        </is>
      </c>
      <c r="E785" s="9" t="n"/>
      <c r="F785" s="15">
        <f>IF(E785&lt;&gt;"","Đã VH","Quy hoạch điện VIII")</f>
        <v/>
      </c>
      <c r="G785" s="16">
        <f>LEFT(B785,FIND(" ",B785,1)-1)</f>
        <v/>
      </c>
      <c r="H785" s="16">
        <f>TRIM(RIGHT(B785,LEN(B785)-FIND(" ",B785,1)))</f>
        <v/>
      </c>
      <c r="I785" s="16">
        <f>_xlfn.XLOOKUP(Table2[[#This Row],[Type]],Table5[Type],Table5[Type2])</f>
        <v/>
      </c>
      <c r="J785" s="16">
        <f>_xlfn.XLOOKUP(Table2[[#This Row],[Sym]],Zones!$A$2:$A$21,Zones!$B$2:$B$21)</f>
        <v/>
      </c>
      <c r="K785" s="21" t="n"/>
    </row>
    <row r="786">
      <c r="A786" s="24" t="n">
        <v>2217</v>
      </c>
      <c r="B786" s="10" t="inlineStr">
        <is>
          <t>T110 Nông Cống 2</t>
        </is>
      </c>
      <c r="C786" s="10" t="inlineStr">
        <is>
          <t>TBA 110kV Nông Cống 2</t>
        </is>
      </c>
      <c r="D786" s="3" t="inlineStr">
        <is>
          <t>B9</t>
        </is>
      </c>
      <c r="E786" s="9" t="n"/>
      <c r="F786" s="15">
        <f>IF(E786&lt;&gt;"","Đã VH","Quy hoạch điện VIII")</f>
        <v/>
      </c>
      <c r="G786" s="16">
        <f>LEFT(B786,FIND(" ",B786,1)-1)</f>
        <v/>
      </c>
      <c r="H786" s="16">
        <f>TRIM(RIGHT(B786,LEN(B786)-FIND(" ",B786,1)))</f>
        <v/>
      </c>
      <c r="I786" s="16">
        <f>_xlfn.XLOOKUP(Table2[[#This Row],[Type]],Table5[Type],Table5[Type2])</f>
        <v/>
      </c>
      <c r="J786" s="16">
        <f>_xlfn.XLOOKUP(Table2[[#This Row],[Sym]],Zones!$A$2:$A$21,Zones!$B$2:$B$21)</f>
        <v/>
      </c>
      <c r="K786" s="21" t="n"/>
    </row>
    <row r="787">
      <c r="A787" s="24" t="n">
        <v>2218</v>
      </c>
      <c r="B787" s="10" t="inlineStr">
        <is>
          <t>T110 KCN Thạch Quảng</t>
        </is>
      </c>
      <c r="C787" s="10" t="inlineStr">
        <is>
          <t>TBA 110kV KCN Thạch Quảng</t>
        </is>
      </c>
      <c r="D787" s="3" t="inlineStr">
        <is>
          <t>B9</t>
        </is>
      </c>
      <c r="E787" s="9" t="n"/>
      <c r="F787" s="15">
        <f>IF(E787&lt;&gt;"","Đã VH","Quy hoạch điện VIII")</f>
        <v/>
      </c>
      <c r="G787" s="16">
        <f>LEFT(B787,FIND(" ",B787,1)-1)</f>
        <v/>
      </c>
      <c r="H787" s="16">
        <f>TRIM(RIGHT(B787,LEN(B787)-FIND(" ",B787,1)))</f>
        <v/>
      </c>
      <c r="I787" s="16">
        <f>_xlfn.XLOOKUP(Table2[[#This Row],[Type]],Table5[Type],Table5[Type2])</f>
        <v/>
      </c>
      <c r="J787" s="16">
        <f>_xlfn.XLOOKUP(Table2[[#This Row],[Sym]],Zones!$A$2:$A$21,Zones!$B$2:$B$21)</f>
        <v/>
      </c>
      <c r="K787" s="21" t="n"/>
    </row>
    <row r="788">
      <c r="A788" s="24" t="n">
        <v>2219</v>
      </c>
      <c r="B788" s="10" t="inlineStr">
        <is>
          <t>T110 Sun beauty</t>
        </is>
      </c>
      <c r="C788" s="10" t="inlineStr">
        <is>
          <t>TBA 110kV Sun beauty</t>
        </is>
      </c>
      <c r="D788" s="3" t="inlineStr">
        <is>
          <t>B9</t>
        </is>
      </c>
      <c r="E788" s="9" t="n"/>
      <c r="F788" s="15">
        <f>IF(E788&lt;&gt;"","Đã VH","Quy hoạch điện VIII")</f>
        <v/>
      </c>
      <c r="G788" s="16">
        <f>LEFT(B788,FIND(" ",B788,1)-1)</f>
        <v/>
      </c>
      <c r="H788" s="16">
        <f>TRIM(RIGHT(B788,LEN(B788)-FIND(" ",B788,1)))</f>
        <v/>
      </c>
      <c r="I788" s="16">
        <f>_xlfn.XLOOKUP(Table2[[#This Row],[Type]],Table5[Type],Table5[Type2])</f>
        <v/>
      </c>
      <c r="J788" s="16">
        <f>_xlfn.XLOOKUP(Table2[[#This Row],[Sym]],Zones!$A$2:$A$21,Zones!$B$2:$B$21)</f>
        <v/>
      </c>
      <c r="K788" s="21" t="n"/>
    </row>
    <row r="789">
      <c r="A789" s="24" t="n">
        <v>2220</v>
      </c>
      <c r="B789" s="10" t="inlineStr">
        <is>
          <t>T220 Thái Bình</t>
        </is>
      </c>
      <c r="C789" s="10" t="inlineStr">
        <is>
          <t>TBA 220kV Thái Bình</t>
        </is>
      </c>
      <c r="D789" s="3" t="inlineStr">
        <is>
          <t>B28</t>
        </is>
      </c>
      <c r="E789" s="9" t="inlineStr">
        <is>
          <t>E11.1</t>
        </is>
      </c>
      <c r="F789" s="15">
        <f>IF(E789&lt;&gt;"","Đã VH","Quy hoạch điện VIII")</f>
        <v/>
      </c>
      <c r="G789" s="16">
        <f>LEFT(B789,FIND(" ",B789,1)-1)</f>
        <v/>
      </c>
      <c r="H789" s="16">
        <f>TRIM(RIGHT(B789,LEN(B789)-FIND(" ",B789,1)))</f>
        <v/>
      </c>
      <c r="I789" s="16">
        <f>_xlfn.XLOOKUP(Table2[[#This Row],[Type]],Table5[Type],Table5[Type2])</f>
        <v/>
      </c>
      <c r="J789" s="16">
        <f>_xlfn.XLOOKUP(Table2[[#This Row],[Sym]],Zones!$A$2:$A$21,Zones!$B$2:$B$21)</f>
        <v/>
      </c>
      <c r="K789" s="21" t="n"/>
    </row>
    <row r="790">
      <c r="A790" s="24" t="n">
        <v>2221</v>
      </c>
      <c r="B790" s="10" t="inlineStr">
        <is>
          <t>T110 Thái Thụy</t>
        </is>
      </c>
      <c r="C790" s="10" t="inlineStr">
        <is>
          <t>TBA 110kV Thái Thụy</t>
        </is>
      </c>
      <c r="D790" s="3" t="inlineStr">
        <is>
          <t>B28</t>
        </is>
      </c>
      <c r="E790" s="9" t="inlineStr">
        <is>
          <t>E11.2</t>
        </is>
      </c>
      <c r="F790" s="15">
        <f>IF(E790&lt;&gt;"","Đã VH","Quy hoạch điện VIII")</f>
        <v/>
      </c>
      <c r="G790" s="16">
        <f>LEFT(B790,FIND(" ",B790,1)-1)</f>
        <v/>
      </c>
      <c r="H790" s="16">
        <f>TRIM(RIGHT(B790,LEN(B790)-FIND(" ",B790,1)))</f>
        <v/>
      </c>
      <c r="I790" s="16">
        <f>_xlfn.XLOOKUP(Table2[[#This Row],[Type]],Table5[Type],Table5[Type2])</f>
        <v/>
      </c>
      <c r="J790" s="16">
        <f>_xlfn.XLOOKUP(Table2[[#This Row],[Sym]],Zones!$A$2:$A$21,Zones!$B$2:$B$21)</f>
        <v/>
      </c>
      <c r="K790" s="21" t="n"/>
    </row>
    <row r="791">
      <c r="A791" s="24" t="n">
        <v>2222</v>
      </c>
      <c r="B791" s="10" t="inlineStr">
        <is>
          <t>T110 TP Thái Bình</t>
        </is>
      </c>
      <c r="C791" s="10" t="inlineStr">
        <is>
          <t>TBA 110kV TP Thái Bình</t>
        </is>
      </c>
      <c r="D791" s="3" t="inlineStr">
        <is>
          <t>B28</t>
        </is>
      </c>
      <c r="E791" s="9" t="inlineStr">
        <is>
          <t>E.11.3</t>
        </is>
      </c>
      <c r="F791" s="15">
        <f>IF(E791&lt;&gt;"","Đã VH","Quy hoạch điện VIII")</f>
        <v/>
      </c>
      <c r="G791" s="16">
        <f>LEFT(B791,FIND(" ",B791,1)-1)</f>
        <v/>
      </c>
      <c r="H791" s="16">
        <f>TRIM(RIGHT(B791,LEN(B791)-FIND(" ",B791,1)))</f>
        <v/>
      </c>
      <c r="I791" s="16">
        <f>_xlfn.XLOOKUP(Table2[[#This Row],[Type]],Table5[Type],Table5[Type2])</f>
        <v/>
      </c>
      <c r="J791" s="16">
        <f>_xlfn.XLOOKUP(Table2[[#This Row],[Sym]],Zones!$A$2:$A$21,Zones!$B$2:$B$21)</f>
        <v/>
      </c>
      <c r="K791" s="21" t="n"/>
    </row>
    <row r="792">
      <c r="A792" s="24" t="n">
        <v>2223</v>
      </c>
      <c r="B792" s="10" t="inlineStr">
        <is>
          <t>T110 Hưng Hà</t>
        </is>
      </c>
      <c r="C792" s="10" t="inlineStr">
        <is>
          <t>TBA 110kV Hưng Hà</t>
        </is>
      </c>
      <c r="D792" s="3" t="inlineStr">
        <is>
          <t>B28</t>
        </is>
      </c>
      <c r="E792" s="9" t="inlineStr">
        <is>
          <t>E11.4</t>
        </is>
      </c>
      <c r="F792" s="15">
        <f>IF(E792&lt;&gt;"","Đã VH","Quy hoạch điện VIII")</f>
        <v/>
      </c>
      <c r="G792" s="16">
        <f>LEFT(B792,FIND(" ",B792,1)-1)</f>
        <v/>
      </c>
      <c r="H792" s="16">
        <f>TRIM(RIGHT(B792,LEN(B792)-FIND(" ",B792,1)))</f>
        <v/>
      </c>
      <c r="I792" s="16">
        <f>_xlfn.XLOOKUP(Table2[[#This Row],[Type]],Table5[Type],Table5[Type2])</f>
        <v/>
      </c>
      <c r="J792" s="16">
        <f>_xlfn.XLOOKUP(Table2[[#This Row],[Sym]],Zones!$A$2:$A$21,Zones!$B$2:$B$21)</f>
        <v/>
      </c>
      <c r="K792" s="21" t="n"/>
    </row>
    <row r="793">
      <c r="A793" s="24" t="n">
        <v>2224</v>
      </c>
      <c r="B793" s="10" t="inlineStr">
        <is>
          <t>T110 Vũ Thư</t>
        </is>
      </c>
      <c r="C793" s="10" t="inlineStr">
        <is>
          <t>TBA 110kV Vũ Thư</t>
        </is>
      </c>
      <c r="D793" s="3" t="inlineStr">
        <is>
          <t>B28</t>
        </is>
      </c>
      <c r="E793" s="9" t="inlineStr">
        <is>
          <t>E11.5</t>
        </is>
      </c>
      <c r="F793" s="15">
        <f>IF(E793&lt;&gt;"","Đã VH","Quy hoạch điện VIII")</f>
        <v/>
      </c>
      <c r="G793" s="16">
        <f>LEFT(B793,FIND(" ",B793,1)-1)</f>
        <v/>
      </c>
      <c r="H793" s="16">
        <f>TRIM(RIGHT(B793,LEN(B793)-FIND(" ",B793,1)))</f>
        <v/>
      </c>
      <c r="I793" s="16">
        <f>_xlfn.XLOOKUP(Table2[[#This Row],[Type]],Table5[Type],Table5[Type2])</f>
        <v/>
      </c>
      <c r="J793" s="16">
        <f>_xlfn.XLOOKUP(Table2[[#This Row],[Sym]],Zones!$A$2:$A$21,Zones!$B$2:$B$21)</f>
        <v/>
      </c>
      <c r="K793" s="21" t="n"/>
    </row>
    <row r="794">
      <c r="A794" s="24" t="n">
        <v>2225</v>
      </c>
      <c r="B794" s="10" t="inlineStr">
        <is>
          <t>T110 Thép Sengli</t>
        </is>
      </c>
      <c r="C794" s="10" t="inlineStr">
        <is>
          <t>TBA 110kV Thép Sengli</t>
        </is>
      </c>
      <c r="D794" s="3" t="inlineStr">
        <is>
          <t>B28</t>
        </is>
      </c>
      <c r="E794" s="9" t="inlineStr">
        <is>
          <t>E11.6</t>
        </is>
      </c>
      <c r="F794" s="15">
        <f>IF(E794&lt;&gt;"","Đã VH","Quy hoạch điện VIII")</f>
        <v/>
      </c>
      <c r="G794" s="16">
        <f>LEFT(B794,FIND(" ",B794,1)-1)</f>
        <v/>
      </c>
      <c r="H794" s="16">
        <f>TRIM(RIGHT(B794,LEN(B794)-FIND(" ",B794,1)))</f>
        <v/>
      </c>
      <c r="I794" s="16">
        <f>_xlfn.XLOOKUP(Table2[[#This Row],[Type]],Table5[Type],Table5[Type2])</f>
        <v/>
      </c>
      <c r="J794" s="16">
        <f>_xlfn.XLOOKUP(Table2[[#This Row],[Sym]],Zones!$A$2:$A$21,Zones!$B$2:$B$21)</f>
        <v/>
      </c>
      <c r="K794" s="21" t="n"/>
    </row>
    <row r="795">
      <c r="A795" s="24" t="n">
        <v>2226</v>
      </c>
      <c r="B795" s="10" t="inlineStr">
        <is>
          <t>T110 Kiến Xương</t>
        </is>
      </c>
      <c r="C795" s="10" t="inlineStr">
        <is>
          <t>TBA 110kV Kiến Xương</t>
        </is>
      </c>
      <c r="D795" s="3" t="inlineStr">
        <is>
          <t>B28</t>
        </is>
      </c>
      <c r="E795" s="9" t="inlineStr">
        <is>
          <t>E11.7</t>
        </is>
      </c>
      <c r="F795" s="15">
        <f>IF(E795&lt;&gt;"","Đã VH","Quy hoạch điện VIII")</f>
        <v/>
      </c>
      <c r="G795" s="16">
        <f>LEFT(B795,FIND(" ",B795,1)-1)</f>
        <v/>
      </c>
      <c r="H795" s="16">
        <f>TRIM(RIGHT(B795,LEN(B795)-FIND(" ",B795,1)))</f>
        <v/>
      </c>
      <c r="I795" s="16">
        <f>_xlfn.XLOOKUP(Table2[[#This Row],[Type]],Table5[Type],Table5[Type2])</f>
        <v/>
      </c>
      <c r="J795" s="16">
        <f>_xlfn.XLOOKUP(Table2[[#This Row],[Sym]],Zones!$A$2:$A$21,Zones!$B$2:$B$21)</f>
        <v/>
      </c>
      <c r="K795" s="21" t="n"/>
    </row>
    <row r="796">
      <c r="A796" s="24" t="n">
        <v>2227</v>
      </c>
      <c r="B796" s="10" t="inlineStr">
        <is>
          <t>T110 Quỳnh Phụ</t>
        </is>
      </c>
      <c r="C796" s="10" t="inlineStr">
        <is>
          <t>TBA 110kV Quỳnh Phụ</t>
        </is>
      </c>
      <c r="D796" s="3" t="inlineStr">
        <is>
          <t>B28</t>
        </is>
      </c>
      <c r="E796" s="9" t="inlineStr">
        <is>
          <t>E11.8</t>
        </is>
      </c>
      <c r="F796" s="15">
        <f>IF(E796&lt;&gt;"","Đã VH","Quy hoạch điện VIII")</f>
        <v/>
      </c>
      <c r="G796" s="16">
        <f>LEFT(B796,FIND(" ",B796,1)-1)</f>
        <v/>
      </c>
      <c r="H796" s="16">
        <f>TRIM(RIGHT(B796,LEN(B796)-FIND(" ",B796,1)))</f>
        <v/>
      </c>
      <c r="I796" s="16">
        <f>_xlfn.XLOOKUP(Table2[[#This Row],[Type]],Table5[Type],Table5[Type2])</f>
        <v/>
      </c>
      <c r="J796" s="16">
        <f>_xlfn.XLOOKUP(Table2[[#This Row],[Sym]],Zones!$A$2:$A$21,Zones!$B$2:$B$21)</f>
        <v/>
      </c>
      <c r="K796" s="21" t="n"/>
    </row>
    <row r="797">
      <c r="A797" s="24" t="n">
        <v>2228</v>
      </c>
      <c r="B797" s="10" t="inlineStr">
        <is>
          <t>T110 Long Bối</t>
        </is>
      </c>
      <c r="C797" s="10" t="inlineStr">
        <is>
          <t>TBA 110kV Long Bối</t>
        </is>
      </c>
      <c r="D797" s="3" t="inlineStr">
        <is>
          <t>B28</t>
        </is>
      </c>
      <c r="E797" s="9" t="inlineStr">
        <is>
          <t>E3.3</t>
        </is>
      </c>
      <c r="F797" s="15">
        <f>IF(E797&lt;&gt;"","Đã VH","Quy hoạch điện VIII")</f>
        <v/>
      </c>
      <c r="G797" s="16">
        <f>LEFT(B797,FIND(" ",B797,1)-1)</f>
        <v/>
      </c>
      <c r="H797" s="16">
        <f>TRIM(RIGHT(B797,LEN(B797)-FIND(" ",B797,1)))</f>
        <v/>
      </c>
      <c r="I797" s="16">
        <f>_xlfn.XLOOKUP(Table2[[#This Row],[Type]],Table5[Type],Table5[Type2])</f>
        <v/>
      </c>
      <c r="J797" s="16">
        <f>_xlfn.XLOOKUP(Table2[[#This Row],[Sym]],Zones!$A$2:$A$21,Zones!$B$2:$B$21)</f>
        <v/>
      </c>
      <c r="K797" s="21" t="n"/>
    </row>
    <row r="798">
      <c r="A798" s="24" t="n">
        <v>2229</v>
      </c>
      <c r="B798" s="10" t="inlineStr">
        <is>
          <t>T110 Tiền Hải</t>
        </is>
      </c>
      <c r="C798" s="10" t="inlineStr">
        <is>
          <t>TBA 110kV Tiền Hải</t>
        </is>
      </c>
      <c r="D798" s="3" t="inlineStr">
        <is>
          <t>B28</t>
        </is>
      </c>
      <c r="E798" s="9" t="inlineStr">
        <is>
          <t>E11.9</t>
        </is>
      </c>
      <c r="F798" s="15">
        <f>IF(E798&lt;&gt;"","Đã VH","Quy hoạch điện VIII")</f>
        <v/>
      </c>
      <c r="G798" s="16">
        <f>LEFT(B798,FIND(" ",B798,1)-1)</f>
        <v/>
      </c>
      <c r="H798" s="16">
        <f>TRIM(RIGHT(B798,LEN(B798)-FIND(" ",B798,1)))</f>
        <v/>
      </c>
      <c r="I798" s="16">
        <f>_xlfn.XLOOKUP(Table2[[#This Row],[Type]],Table5[Type],Table5[Type2])</f>
        <v/>
      </c>
      <c r="J798" s="16">
        <f>_xlfn.XLOOKUP(Table2[[#This Row],[Sym]],Zones!$A$2:$A$21,Zones!$B$2:$B$21)</f>
        <v/>
      </c>
      <c r="K798" s="21" t="n"/>
    </row>
    <row r="799">
      <c r="A799" s="24" t="n">
        <v>2230</v>
      </c>
      <c r="B799" s="10" t="inlineStr">
        <is>
          <t>T110 Thành Phố 2</t>
        </is>
      </c>
      <c r="C799" s="10" t="inlineStr">
        <is>
          <t>TBA 110kV Thành Phố 2</t>
        </is>
      </c>
      <c r="D799" s="3" t="inlineStr">
        <is>
          <t>B28</t>
        </is>
      </c>
      <c r="E799" s="9" t="inlineStr">
        <is>
          <t>E11.11</t>
        </is>
      </c>
      <c r="F799" s="15">
        <f>IF(E799&lt;&gt;"","Đã VH","Quy hoạch điện VIII")</f>
        <v/>
      </c>
      <c r="G799" s="16">
        <f>LEFT(B799,FIND(" ",B799,1)-1)</f>
        <v/>
      </c>
      <c r="H799" s="16">
        <f>TRIM(RIGHT(B799,LEN(B799)-FIND(" ",B799,1)))</f>
        <v/>
      </c>
      <c r="I799" s="16">
        <f>_xlfn.XLOOKUP(Table2[[#This Row],[Type]],Table5[Type],Table5[Type2])</f>
        <v/>
      </c>
      <c r="J799" s="16">
        <f>_xlfn.XLOOKUP(Table2[[#This Row],[Sym]],Zones!$A$2:$A$21,Zones!$B$2:$B$21)</f>
        <v/>
      </c>
      <c r="K799" s="21" t="n"/>
    </row>
    <row r="800">
      <c r="A800" s="24" t="n">
        <v>2231</v>
      </c>
      <c r="B800" s="10" t="inlineStr">
        <is>
          <t>T110 Amon nitrat</t>
        </is>
      </c>
      <c r="C800" s="10" t="inlineStr">
        <is>
          <t>TBA 110kV Amon nitrat</t>
        </is>
      </c>
      <c r="D800" s="3" t="inlineStr">
        <is>
          <t>B28</t>
        </is>
      </c>
      <c r="E800" s="9" t="inlineStr">
        <is>
          <t>E11.12</t>
        </is>
      </c>
      <c r="F800" s="15">
        <f>IF(E800&lt;&gt;"","Đã VH","Quy hoạch điện VIII")</f>
        <v/>
      </c>
      <c r="G800" s="16">
        <f>LEFT(B800,FIND(" ",B800,1)-1)</f>
        <v/>
      </c>
      <c r="H800" s="16">
        <f>TRIM(RIGHT(B800,LEN(B800)-FIND(" ",B800,1)))</f>
        <v/>
      </c>
      <c r="I800" s="16">
        <f>_xlfn.XLOOKUP(Table2[[#This Row],[Type]],Table5[Type],Table5[Type2])</f>
        <v/>
      </c>
      <c r="J800" s="16">
        <f>_xlfn.XLOOKUP(Table2[[#This Row],[Sym]],Zones!$A$2:$A$21,Zones!$B$2:$B$21)</f>
        <v/>
      </c>
      <c r="K800" s="21" t="n"/>
    </row>
    <row r="801">
      <c r="A801" s="24" t="n">
        <v>2232</v>
      </c>
      <c r="B801" s="10" t="inlineStr">
        <is>
          <t>T110 Thái Hưng</t>
        </is>
      </c>
      <c r="C801" s="10" t="inlineStr">
        <is>
          <t>TBA 110kV Thái Hưng</t>
        </is>
      </c>
      <c r="D801" s="3" t="inlineStr">
        <is>
          <t>B28</t>
        </is>
      </c>
      <c r="E801" s="9" t="inlineStr">
        <is>
          <t>E11.14</t>
        </is>
      </c>
      <c r="F801" s="15">
        <f>IF(E801&lt;&gt;"","Đã VH","Quy hoạch điện VIII")</f>
        <v/>
      </c>
      <c r="G801" s="16">
        <f>LEFT(B801,FIND(" ",B801,1)-1)</f>
        <v/>
      </c>
      <c r="H801" s="16">
        <f>TRIM(RIGHT(B801,LEN(B801)-FIND(" ",B801,1)))</f>
        <v/>
      </c>
      <c r="I801" s="16">
        <f>_xlfn.XLOOKUP(Table2[[#This Row],[Type]],Table5[Type],Table5[Type2])</f>
        <v/>
      </c>
      <c r="J801" s="16">
        <f>_xlfn.XLOOKUP(Table2[[#This Row],[Sym]],Zones!$A$2:$A$21,Zones!$B$2:$B$21)</f>
        <v/>
      </c>
      <c r="K801" s="21" t="n"/>
    </row>
    <row r="802">
      <c r="A802" s="24" t="n">
        <v>2233</v>
      </c>
      <c r="B802" s="10" t="inlineStr">
        <is>
          <t>T110 Châu Giang</t>
        </is>
      </c>
      <c r="C802" s="10" t="inlineStr">
        <is>
          <t>TBA 110kV Châu Giang</t>
        </is>
      </c>
      <c r="D802" s="3" t="inlineStr">
        <is>
          <t>B28</t>
        </is>
      </c>
      <c r="E802" s="9" t="inlineStr">
        <is>
          <t>E11.16</t>
        </is>
      </c>
      <c r="F802" s="15">
        <f>IF(E802&lt;&gt;"","Đã VH","Quy hoạch điện VIII")</f>
        <v/>
      </c>
      <c r="G802" s="16">
        <f>LEFT(B802,FIND(" ",B802,1)-1)</f>
        <v/>
      </c>
      <c r="H802" s="16">
        <f>TRIM(RIGHT(B802,LEN(B802)-FIND(" ",B802,1)))</f>
        <v/>
      </c>
      <c r="I802" s="16">
        <f>_xlfn.XLOOKUP(Table2[[#This Row],[Type]],Table5[Type],Table5[Type2])</f>
        <v/>
      </c>
      <c r="J802" s="16">
        <f>_xlfn.XLOOKUP(Table2[[#This Row],[Sym]],Zones!$A$2:$A$21,Zones!$B$2:$B$21)</f>
        <v/>
      </c>
      <c r="K802" s="21" t="n"/>
    </row>
    <row r="803">
      <c r="A803" s="24" t="n">
        <v>2234</v>
      </c>
      <c r="B803" s="10" t="inlineStr">
        <is>
          <t>T110 Trà Linh</t>
        </is>
      </c>
      <c r="C803" s="10" t="inlineStr">
        <is>
          <t>TBA 110kV Trà Linh</t>
        </is>
      </c>
      <c r="D803" s="3" t="inlineStr">
        <is>
          <t>B28</t>
        </is>
      </c>
      <c r="E803" s="9" t="inlineStr">
        <is>
          <t>E11.17</t>
        </is>
      </c>
      <c r="F803" s="15">
        <f>IF(E803&lt;&gt;"","Đã VH","Quy hoạch điện VIII")</f>
        <v/>
      </c>
      <c r="G803" s="16">
        <f>LEFT(B803,FIND(" ",B803,1)-1)</f>
        <v/>
      </c>
      <c r="H803" s="16">
        <f>TRIM(RIGHT(B803,LEN(B803)-FIND(" ",B803,1)))</f>
        <v/>
      </c>
      <c r="I803" s="16">
        <f>_xlfn.XLOOKUP(Table2[[#This Row],[Type]],Table5[Type],Table5[Type2])</f>
        <v/>
      </c>
      <c r="J803" s="16">
        <f>_xlfn.XLOOKUP(Table2[[#This Row],[Sym]],Zones!$A$2:$A$21,Zones!$B$2:$B$21)</f>
        <v/>
      </c>
      <c r="K803" s="21" t="n"/>
    </row>
    <row r="804">
      <c r="A804" s="24" t="n">
        <v>2235</v>
      </c>
      <c r="B804" s="10" t="inlineStr">
        <is>
          <t>T110 Hưng Hà 2</t>
        </is>
      </c>
      <c r="C804" s="10" t="inlineStr">
        <is>
          <t>TBA 110kV Hưng Hà 2</t>
        </is>
      </c>
      <c r="D804" s="3" t="inlineStr">
        <is>
          <t>B28</t>
        </is>
      </c>
      <c r="E804" s="9" t="inlineStr">
        <is>
          <t>E11.18</t>
        </is>
      </c>
      <c r="F804" s="15">
        <f>IF(E804&lt;&gt;"","Đã VH","Quy hoạch điện VIII")</f>
        <v/>
      </c>
      <c r="G804" s="16">
        <f>LEFT(B804,FIND(" ",B804,1)-1)</f>
        <v/>
      </c>
      <c r="H804" s="16">
        <f>TRIM(RIGHT(B804,LEN(B804)-FIND(" ",B804,1)))</f>
        <v/>
      </c>
      <c r="I804" s="16">
        <f>_xlfn.XLOOKUP(Table2[[#This Row],[Type]],Table5[Type],Table5[Type2])</f>
        <v/>
      </c>
      <c r="J804" s="16">
        <f>_xlfn.XLOOKUP(Table2[[#This Row],[Sym]],Zones!$A$2:$A$21,Zones!$B$2:$B$21)</f>
        <v/>
      </c>
      <c r="K804" s="21" t="n"/>
    </row>
    <row r="805">
      <c r="A805" s="24" t="n">
        <v>2236</v>
      </c>
      <c r="B805" s="10" t="inlineStr">
        <is>
          <t>T110 Quỳnh Phụ 2</t>
        </is>
      </c>
      <c r="C805" s="10" t="inlineStr">
        <is>
          <t>TBA 110kV Quỳnh Phụ 2</t>
        </is>
      </c>
      <c r="D805" s="3" t="inlineStr">
        <is>
          <t>B28</t>
        </is>
      </c>
      <c r="E805" s="9" t="n"/>
      <c r="F805" s="15">
        <f>IF(E805&lt;&gt;"","Đã VH","Quy hoạch điện VIII")</f>
        <v/>
      </c>
      <c r="G805" s="16">
        <f>LEFT(B805,FIND(" ",B805,1)-1)</f>
        <v/>
      </c>
      <c r="H805" s="16">
        <f>TRIM(RIGHT(B805,LEN(B805)-FIND(" ",B805,1)))</f>
        <v/>
      </c>
      <c r="I805" s="16">
        <f>_xlfn.XLOOKUP(Table2[[#This Row],[Type]],Table5[Type],Table5[Type2])</f>
        <v/>
      </c>
      <c r="J805" s="16">
        <f>_xlfn.XLOOKUP(Table2[[#This Row],[Sym]],Zones!$A$2:$A$21,Zones!$B$2:$B$21)</f>
        <v/>
      </c>
      <c r="K805" s="21" t="n"/>
    </row>
    <row r="806">
      <c r="A806" s="24" t="n">
        <v>2237</v>
      </c>
      <c r="B806" s="10" t="inlineStr">
        <is>
          <t>T110 Quỳnh Côi</t>
        </is>
      </c>
      <c r="C806" s="10" t="inlineStr">
        <is>
          <t>TBA 110kV Quỳnh Côi</t>
        </is>
      </c>
      <c r="D806" s="3" t="inlineStr">
        <is>
          <t>B28</t>
        </is>
      </c>
      <c r="E806" s="9" t="inlineStr">
        <is>
          <t>E11.19</t>
        </is>
      </c>
      <c r="F806" s="15">
        <f>IF(E806&lt;&gt;"","Đã VH","Quy hoạch điện VIII")</f>
        <v/>
      </c>
      <c r="G806" s="16">
        <f>LEFT(B806,FIND(" ",B806,1)-1)</f>
        <v/>
      </c>
      <c r="H806" s="16">
        <f>TRIM(RIGHT(B806,LEN(B806)-FIND(" ",B806,1)))</f>
        <v/>
      </c>
      <c r="I806" s="16">
        <f>_xlfn.XLOOKUP(Table2[[#This Row],[Type]],Table5[Type],Table5[Type2])</f>
        <v/>
      </c>
      <c r="J806" s="16">
        <f>_xlfn.XLOOKUP(Table2[[#This Row],[Sym]],Zones!$A$2:$A$21,Zones!$B$2:$B$21)</f>
        <v/>
      </c>
      <c r="K806" s="21" t="n"/>
    </row>
    <row r="807">
      <c r="A807" s="24" t="n">
        <v>2238</v>
      </c>
      <c r="B807" s="10" t="inlineStr">
        <is>
          <t>T110 Sông Trà</t>
        </is>
      </c>
      <c r="C807" s="10" t="inlineStr">
        <is>
          <t>TBA 110kV Sông Trà</t>
        </is>
      </c>
      <c r="D807" s="3" t="inlineStr">
        <is>
          <t>B28</t>
        </is>
      </c>
      <c r="E807" s="9" t="inlineStr">
        <is>
          <t>E11.21</t>
        </is>
      </c>
      <c r="F807" s="15">
        <f>IF(E807&lt;&gt;"","Đã VH","Quy hoạch điện VIII")</f>
        <v/>
      </c>
      <c r="G807" s="16">
        <f>LEFT(B807,FIND(" ",B807,1)-1)</f>
        <v/>
      </c>
      <c r="H807" s="16">
        <f>TRIM(RIGHT(B807,LEN(B807)-FIND(" ",B807,1)))</f>
        <v/>
      </c>
      <c r="I807" s="16">
        <f>_xlfn.XLOOKUP(Table2[[#This Row],[Type]],Table5[Type],Table5[Type2])</f>
        <v/>
      </c>
      <c r="J807" s="16">
        <f>_xlfn.XLOOKUP(Table2[[#This Row],[Sym]],Zones!$A$2:$A$21,Zones!$B$2:$B$21)</f>
        <v/>
      </c>
      <c r="K807" s="21" t="n"/>
    </row>
    <row r="808">
      <c r="A808" s="24" t="n">
        <v>2239</v>
      </c>
      <c r="B808" s="10" t="inlineStr">
        <is>
          <t>T110 Đông Hưng</t>
        </is>
      </c>
      <c r="C808" s="10" t="inlineStr">
        <is>
          <t>TBA 110kV Đông Hưng</t>
        </is>
      </c>
      <c r="D808" s="3" t="inlineStr">
        <is>
          <t>B28</t>
        </is>
      </c>
      <c r="E808" s="9" t="n"/>
      <c r="F808" s="15">
        <f>IF(E808&lt;&gt;"","Đã VH","Quy hoạch điện VIII")</f>
        <v/>
      </c>
      <c r="G808" s="16">
        <f>LEFT(B808,FIND(" ",B808,1)-1)</f>
        <v/>
      </c>
      <c r="H808" s="16">
        <f>TRIM(RIGHT(B808,LEN(B808)-FIND(" ",B808,1)))</f>
        <v/>
      </c>
      <c r="I808" s="16">
        <f>_xlfn.XLOOKUP(Table2[[#This Row],[Type]],Table5[Type],Table5[Type2])</f>
        <v/>
      </c>
      <c r="J808" s="16">
        <f>_xlfn.XLOOKUP(Table2[[#This Row],[Sym]],Zones!$A$2:$A$21,Zones!$B$2:$B$21)</f>
        <v/>
      </c>
      <c r="K808" s="21" t="n"/>
    </row>
    <row r="809">
      <c r="A809" s="24" t="n">
        <v>2240</v>
      </c>
      <c r="B809" s="10" t="inlineStr">
        <is>
          <t>T110 Tân Trường</t>
        </is>
      </c>
      <c r="C809" s="10" t="inlineStr">
        <is>
          <t>TBA 110kV Tân Trường</t>
        </is>
      </c>
      <c r="D809" s="3" t="inlineStr">
        <is>
          <t>B28</t>
        </is>
      </c>
      <c r="E809" s="9" t="n"/>
      <c r="F809" s="15">
        <f>IF(E809&lt;&gt;"","Đã VH","Quy hoạch điện VIII")</f>
        <v/>
      </c>
      <c r="G809" s="16">
        <f>LEFT(B809,FIND(" ",B809,1)-1)</f>
        <v/>
      </c>
      <c r="H809" s="16">
        <f>TRIM(RIGHT(B809,LEN(B809)-FIND(" ",B809,1)))</f>
        <v/>
      </c>
      <c r="I809" s="16">
        <f>_xlfn.XLOOKUP(Table2[[#This Row],[Type]],Table5[Type],Table5[Type2])</f>
        <v/>
      </c>
      <c r="J809" s="16">
        <f>_xlfn.XLOOKUP(Table2[[#This Row],[Sym]],Zones!$A$2:$A$21,Zones!$B$2:$B$21)</f>
        <v/>
      </c>
      <c r="K809" s="21" t="n"/>
    </row>
    <row r="810">
      <c r="A810" s="24" t="n">
        <v>2241</v>
      </c>
      <c r="B810" s="10" t="inlineStr">
        <is>
          <t>NĐ Thái Bình</t>
        </is>
      </c>
      <c r="C810" s="10" t="inlineStr">
        <is>
          <t xml:space="preserve"> Thái Bình</t>
        </is>
      </c>
      <c r="D810" s="3" t="inlineStr">
        <is>
          <t>B28</t>
        </is>
      </c>
      <c r="E810" s="9" t="inlineStr">
        <is>
          <t>A11.0</t>
        </is>
      </c>
      <c r="F810" s="15">
        <f>IF(E810&lt;&gt;"","Đã VH","Quy hoạch điện VIII")</f>
        <v/>
      </c>
      <c r="G810" s="16">
        <f>LEFT(B810,FIND(" ",B810,1)-1)</f>
        <v/>
      </c>
      <c r="H810" s="16">
        <f>TRIM(RIGHT(B810,LEN(B810)-FIND(" ",B810,1)))</f>
        <v/>
      </c>
      <c r="I810" s="16">
        <f>_xlfn.XLOOKUP(Table2[[#This Row],[Type]],Table5[Type],Table5[Type2])</f>
        <v/>
      </c>
      <c r="J810" s="16">
        <f>_xlfn.XLOOKUP(Table2[[#This Row],[Sym]],Zones!$A$2:$A$21,Zones!$B$2:$B$21)</f>
        <v/>
      </c>
      <c r="K810" s="21" t="n"/>
    </row>
    <row r="811">
      <c r="A811" s="24" t="n">
        <v>2242</v>
      </c>
      <c r="B811" s="10" t="inlineStr">
        <is>
          <t>NĐ Thái Bình 2</t>
        </is>
      </c>
      <c r="C811" s="10" t="inlineStr">
        <is>
          <t xml:space="preserve"> Thái Bình 2</t>
        </is>
      </c>
      <c r="D811" s="3" t="inlineStr">
        <is>
          <t>B28</t>
        </is>
      </c>
      <c r="E811" s="9" t="inlineStr">
        <is>
          <t>A11.10</t>
        </is>
      </c>
      <c r="F811" s="15">
        <f>IF(E811&lt;&gt;"","Đã VH","Quy hoạch điện VIII")</f>
        <v/>
      </c>
      <c r="G811" s="16">
        <f>LEFT(B811,FIND(" ",B811,1)-1)</f>
        <v/>
      </c>
      <c r="H811" s="16">
        <f>TRIM(RIGHT(B811,LEN(B811)-FIND(" ",B811,1)))</f>
        <v/>
      </c>
      <c r="I811" s="16">
        <f>_xlfn.XLOOKUP(Table2[[#This Row],[Type]],Table5[Type],Table5[Type2])</f>
        <v/>
      </c>
      <c r="J811" s="16">
        <f>_xlfn.XLOOKUP(Table2[[#This Row],[Sym]],Zones!$A$2:$A$21,Zones!$B$2:$B$21)</f>
        <v/>
      </c>
      <c r="K811" s="21" t="n"/>
    </row>
    <row r="812">
      <c r="A812" s="24" t="n">
        <v>2243</v>
      </c>
      <c r="B812" s="10" t="inlineStr">
        <is>
          <t>T110 Hưng Phú</t>
        </is>
      </c>
      <c r="C812" s="10" t="inlineStr">
        <is>
          <t>TBA 110kV Hưng Phú</t>
        </is>
      </c>
      <c r="D812" s="3" t="inlineStr">
        <is>
          <t>B28</t>
        </is>
      </c>
      <c r="E812" s="9" t="n"/>
      <c r="F812" s="15">
        <f>IF(E812&lt;&gt;"","Đã VH","Quy hoạch điện VIII")</f>
        <v/>
      </c>
      <c r="G812" s="16">
        <f>LEFT(B812,FIND(" ",B812,1)-1)</f>
        <v/>
      </c>
      <c r="H812" s="16">
        <f>TRIM(RIGHT(B812,LEN(B812)-FIND(" ",B812,1)))</f>
        <v/>
      </c>
      <c r="I812" s="16">
        <f>_xlfn.XLOOKUP(Table2[[#This Row],[Type]],Table5[Type],Table5[Type2])</f>
        <v/>
      </c>
      <c r="J812" s="16">
        <f>_xlfn.XLOOKUP(Table2[[#This Row],[Sym]],Zones!$A$2:$A$21,Zones!$B$2:$B$21)</f>
        <v/>
      </c>
      <c r="K812" s="21" t="n"/>
    </row>
    <row r="813">
      <c r="A813" s="24" t="n">
        <v>2244</v>
      </c>
      <c r="B813" s="10" t="inlineStr">
        <is>
          <t>T110 Tiền Hải 2</t>
        </is>
      </c>
      <c r="C813" s="10" t="inlineStr">
        <is>
          <t>TBA 110kV Tiền Hải 2</t>
        </is>
      </c>
      <c r="D813" s="3" t="inlineStr">
        <is>
          <t>B28</t>
        </is>
      </c>
      <c r="E813" s="9" t="n"/>
      <c r="F813" s="15">
        <f>IF(E813&lt;&gt;"","Đã VH","Quy hoạch điện VIII")</f>
        <v/>
      </c>
      <c r="G813" s="16">
        <f>LEFT(B813,FIND(" ",B813,1)-1)</f>
        <v/>
      </c>
      <c r="H813" s="16">
        <f>TRIM(RIGHT(B813,LEN(B813)-FIND(" ",B813,1)))</f>
        <v/>
      </c>
      <c r="I813" s="16">
        <f>_xlfn.XLOOKUP(Table2[[#This Row],[Type]],Table5[Type],Table5[Type2])</f>
        <v/>
      </c>
      <c r="J813" s="16">
        <f>_xlfn.XLOOKUP(Table2[[#This Row],[Sym]],Zones!$A$2:$A$21,Zones!$B$2:$B$21)</f>
        <v/>
      </c>
      <c r="K813" s="21" t="n"/>
    </row>
    <row r="814">
      <c r="A814" s="24" t="n">
        <v>2245</v>
      </c>
      <c r="B814" s="10" t="inlineStr">
        <is>
          <t>T110 Đồng Châu</t>
        </is>
      </c>
      <c r="C814" s="10" t="inlineStr">
        <is>
          <t>TBA 110kV Đồng Châu</t>
        </is>
      </c>
      <c r="D814" s="3" t="inlineStr">
        <is>
          <t>B28</t>
        </is>
      </c>
      <c r="E814" s="9" t="n"/>
      <c r="F814" s="15">
        <f>IF(E814&lt;&gt;"","Đã VH","Quy hoạch điện VIII")</f>
        <v/>
      </c>
      <c r="G814" s="16">
        <f>LEFT(B814,FIND(" ",B814,1)-1)</f>
        <v/>
      </c>
      <c r="H814" s="16">
        <f>TRIM(RIGHT(B814,LEN(B814)-FIND(" ",B814,1)))</f>
        <v/>
      </c>
      <c r="I814" s="16">
        <f>_xlfn.XLOOKUP(Table2[[#This Row],[Type]],Table5[Type],Table5[Type2])</f>
        <v/>
      </c>
      <c r="J814" s="16">
        <f>_xlfn.XLOOKUP(Table2[[#This Row],[Sym]],Zones!$A$2:$A$21,Zones!$B$2:$B$21)</f>
        <v/>
      </c>
      <c r="K814" s="21" t="n"/>
    </row>
    <row r="815">
      <c r="A815" s="24" t="n">
        <v>2246</v>
      </c>
      <c r="B815" s="10" t="inlineStr">
        <is>
          <t>T110 Hoàng Long</t>
        </is>
      </c>
      <c r="C815" s="10" t="inlineStr">
        <is>
          <t>TBA 110kV Hoàng Long</t>
        </is>
      </c>
      <c r="D815" s="3" t="inlineStr">
        <is>
          <t>B28</t>
        </is>
      </c>
      <c r="E815" s="9" t="n"/>
      <c r="F815" s="15">
        <f>IF(E815&lt;&gt;"","Đã VH","Quy hoạch điện VIII")</f>
        <v/>
      </c>
      <c r="G815" s="16">
        <f>LEFT(B815,FIND(" ",B815,1)-1)</f>
        <v/>
      </c>
      <c r="H815" s="16">
        <f>TRIM(RIGHT(B815,LEN(B815)-FIND(" ",B815,1)))</f>
        <v/>
      </c>
      <c r="I815" s="16">
        <f>_xlfn.XLOOKUP(Table2[[#This Row],[Type]],Table5[Type],Table5[Type2])</f>
        <v/>
      </c>
      <c r="J815" s="16">
        <f>_xlfn.XLOOKUP(Table2[[#This Row],[Sym]],Zones!$A$2:$A$21,Zones!$B$2:$B$21)</f>
        <v/>
      </c>
      <c r="K815" s="21" t="n"/>
    </row>
    <row r="816">
      <c r="A816" s="24" t="n">
        <v>2247</v>
      </c>
      <c r="B816" s="10" t="inlineStr">
        <is>
          <t>T110 Hưng Hà 3</t>
        </is>
      </c>
      <c r="C816" s="10" t="inlineStr">
        <is>
          <t>TBA 110kV Hưng Hà 3</t>
        </is>
      </c>
      <c r="D816" s="3" t="inlineStr">
        <is>
          <t>B28</t>
        </is>
      </c>
      <c r="E816" s="9" t="n"/>
      <c r="F816" s="15">
        <f>IF(E816&lt;&gt;"","Đã VH","Quy hoạch điện VIII")</f>
        <v/>
      </c>
      <c r="G816" s="16">
        <f>LEFT(B816,FIND(" ",B816,1)-1)</f>
        <v/>
      </c>
      <c r="H816" s="16">
        <f>TRIM(RIGHT(B816,LEN(B816)-FIND(" ",B816,1)))</f>
        <v/>
      </c>
      <c r="I816" s="16">
        <f>_xlfn.XLOOKUP(Table2[[#This Row],[Type]],Table5[Type],Table5[Type2])</f>
        <v/>
      </c>
      <c r="J816" s="16">
        <f>_xlfn.XLOOKUP(Table2[[#This Row],[Sym]],Zones!$A$2:$A$21,Zones!$B$2:$B$21)</f>
        <v/>
      </c>
      <c r="K816" s="21" t="n"/>
    </row>
    <row r="817">
      <c r="A817" s="24" t="n">
        <v>2248</v>
      </c>
      <c r="B817" s="10" t="inlineStr">
        <is>
          <t>T110 Trà Linh 2</t>
        </is>
      </c>
      <c r="C817" s="10" t="inlineStr">
        <is>
          <t>TBA 110kV Trà Linh 2</t>
        </is>
      </c>
      <c r="D817" s="3" t="inlineStr">
        <is>
          <t>B28</t>
        </is>
      </c>
      <c r="E817" s="9" t="n"/>
      <c r="F817" s="15">
        <f>IF(E817&lt;&gt;"","Đã VH","Quy hoạch điện VIII")</f>
        <v/>
      </c>
      <c r="G817" s="16">
        <f>LEFT(B817,FIND(" ",B817,1)-1)</f>
        <v/>
      </c>
      <c r="H817" s="16">
        <f>TRIM(RIGHT(B817,LEN(B817)-FIND(" ",B817,1)))</f>
        <v/>
      </c>
      <c r="I817" s="16">
        <f>_xlfn.XLOOKUP(Table2[[#This Row],[Type]],Table5[Type],Table5[Type2])</f>
        <v/>
      </c>
      <c r="J817" s="16">
        <f>_xlfn.XLOOKUP(Table2[[#This Row],[Sym]],Zones!$A$2:$A$21,Zones!$B$2:$B$21)</f>
        <v/>
      </c>
      <c r="K817" s="21" t="n"/>
    </row>
    <row r="818">
      <c r="A818" s="24" t="n">
        <v>2249</v>
      </c>
      <c r="B818" s="10" t="inlineStr">
        <is>
          <t>T110 Thái Nguyên</t>
        </is>
      </c>
      <c r="C818" s="10" t="inlineStr">
        <is>
          <t>TBA 110kV Thái Nguyên</t>
        </is>
      </c>
      <c r="D818" s="3" t="inlineStr">
        <is>
          <t>B28</t>
        </is>
      </c>
      <c r="E818" s="9" t="n"/>
      <c r="F818" s="15">
        <f>IF(E818&lt;&gt;"","Đã VH","Quy hoạch điện VIII")</f>
        <v/>
      </c>
      <c r="G818" s="16">
        <f>LEFT(B818,FIND(" ",B818,1)-1)</f>
        <v/>
      </c>
      <c r="H818" s="16">
        <f>TRIM(RIGHT(B818,LEN(B818)-FIND(" ",B818,1)))</f>
        <v/>
      </c>
      <c r="I818" s="16">
        <f>_xlfn.XLOOKUP(Table2[[#This Row],[Type]],Table5[Type],Table5[Type2])</f>
        <v/>
      </c>
      <c r="J818" s="16">
        <f>_xlfn.XLOOKUP(Table2[[#This Row],[Sym]],Zones!$A$2:$A$21,Zones!$B$2:$B$21)</f>
        <v/>
      </c>
      <c r="K818" s="21" t="n"/>
    </row>
    <row r="819">
      <c r="A819" s="24" t="n">
        <v>2250</v>
      </c>
      <c r="B819" s="10" t="inlineStr">
        <is>
          <t>T500 Thái Bình</t>
        </is>
      </c>
      <c r="C819" s="10" t="inlineStr">
        <is>
          <t>TBA 500kV Thái Bình</t>
        </is>
      </c>
      <c r="D819" s="3" t="inlineStr">
        <is>
          <t>B28</t>
        </is>
      </c>
      <c r="E819" s="9" t="n"/>
      <c r="F819" s="15">
        <f>IF(E819&lt;&gt;"","Đã VH","Quy hoạch điện VIII")</f>
        <v/>
      </c>
      <c r="G819" s="16">
        <f>LEFT(B819,FIND(" ",B819,1)-1)</f>
        <v/>
      </c>
      <c r="H819" s="16">
        <f>TRIM(RIGHT(B819,LEN(B819)-FIND(" ",B819,1)))</f>
        <v/>
      </c>
      <c r="I819" s="16">
        <f>_xlfn.XLOOKUP(Table2[[#This Row],[Type]],Table5[Type],Table5[Type2])</f>
        <v/>
      </c>
      <c r="J819" s="16">
        <f>_xlfn.XLOOKUP(Table2[[#This Row],[Sym]],Zones!$A$2:$A$21,Zones!$B$2:$B$21)</f>
        <v/>
      </c>
      <c r="K819" s="21" t="n"/>
    </row>
    <row r="820">
      <c r="A820" s="24" t="n">
        <v>2251</v>
      </c>
      <c r="B820" s="10" t="inlineStr">
        <is>
          <t>T220 Thái Thụy</t>
        </is>
      </c>
      <c r="C820" s="10" t="inlineStr">
        <is>
          <t>TBA 220kV Thái Thụy</t>
        </is>
      </c>
      <c r="D820" s="3" t="inlineStr">
        <is>
          <t>B28</t>
        </is>
      </c>
      <c r="E820" s="9" t="inlineStr">
        <is>
          <t>E11.15</t>
        </is>
      </c>
      <c r="F820" s="15">
        <f>IF(E820&lt;&gt;"","Đã VH","Quy hoạch điện VIII")</f>
        <v/>
      </c>
      <c r="G820" s="16">
        <f>LEFT(B820,FIND(" ",B820,1)-1)</f>
        <v/>
      </c>
      <c r="H820" s="16">
        <f>TRIM(RIGHT(B820,LEN(B820)-FIND(" ",B820,1)))</f>
        <v/>
      </c>
      <c r="I820" s="16">
        <f>_xlfn.XLOOKUP(Table2[[#This Row],[Type]],Table5[Type],Table5[Type2])</f>
        <v/>
      </c>
      <c r="J820" s="16">
        <f>_xlfn.XLOOKUP(Table2[[#This Row],[Sym]],Zones!$A$2:$A$21,Zones!$B$2:$B$21)</f>
        <v/>
      </c>
      <c r="K820" s="21" t="n"/>
    </row>
    <row r="821">
      <c r="A821" s="24" t="n">
        <v>2252</v>
      </c>
      <c r="B821" s="10" t="inlineStr">
        <is>
          <t>T220 Vũ Thư</t>
        </is>
      </c>
      <c r="C821" s="10" t="inlineStr">
        <is>
          <t>TBA 220kV Vũ Thư</t>
        </is>
      </c>
      <c r="D821" s="3" t="inlineStr">
        <is>
          <t>B28</t>
        </is>
      </c>
      <c r="E821" s="9" t="inlineStr">
        <is>
          <t>E11.20</t>
        </is>
      </c>
      <c r="F821" s="15">
        <f>IF(E821&lt;&gt;"","Đã VH","Quy hoạch điện VIII")</f>
        <v/>
      </c>
      <c r="G821" s="16">
        <f>LEFT(B821,FIND(" ",B821,1)-1)</f>
        <v/>
      </c>
      <c r="H821" s="16">
        <f>TRIM(RIGHT(B821,LEN(B821)-FIND(" ",B821,1)))</f>
        <v/>
      </c>
      <c r="I821" s="16">
        <f>_xlfn.XLOOKUP(Table2[[#This Row],[Type]],Table5[Type],Table5[Type2])</f>
        <v/>
      </c>
      <c r="J821" s="16">
        <f>_xlfn.XLOOKUP(Table2[[#This Row],[Sym]],Zones!$A$2:$A$21,Zones!$B$2:$B$21)</f>
        <v/>
      </c>
      <c r="K821" s="21" t="n"/>
    </row>
    <row r="822">
      <c r="A822" s="24" t="n">
        <v>2253</v>
      </c>
      <c r="B822" s="10" t="inlineStr">
        <is>
          <t>T220 Quỳnh Phụ</t>
        </is>
      </c>
      <c r="C822" s="10" t="inlineStr">
        <is>
          <t>TBA 220kV Quỳnh Phụ</t>
        </is>
      </c>
      <c r="D822" s="3" t="inlineStr">
        <is>
          <t>B28</t>
        </is>
      </c>
      <c r="E822" s="9" t="n"/>
      <c r="F822" s="15">
        <f>IF(E822&lt;&gt;"","Đã VH","Quy hoạch điện VIII")</f>
        <v/>
      </c>
      <c r="G822" s="16">
        <f>LEFT(B822,FIND(" ",B822,1)-1)</f>
        <v/>
      </c>
      <c r="H822" s="16">
        <f>TRIM(RIGHT(B822,LEN(B822)-FIND(" ",B822,1)))</f>
        <v/>
      </c>
      <c r="I822" s="16">
        <f>_xlfn.XLOOKUP(Table2[[#This Row],[Type]],Table5[Type],Table5[Type2])</f>
        <v/>
      </c>
      <c r="J822" s="16">
        <f>_xlfn.XLOOKUP(Table2[[#This Row],[Sym]],Zones!$A$2:$A$21,Zones!$B$2:$B$21)</f>
        <v/>
      </c>
      <c r="K822" s="21" t="n"/>
    </row>
    <row r="823">
      <c r="A823" s="24" t="n">
        <v>2254</v>
      </c>
      <c r="B823" s="10" t="inlineStr">
        <is>
          <t>T110 Thụy Trường</t>
        </is>
      </c>
      <c r="C823" s="10" t="inlineStr">
        <is>
          <t>TBA 110kV Thụy Trường</t>
        </is>
      </c>
      <c r="D823" s="3" t="inlineStr">
        <is>
          <t>B28</t>
        </is>
      </c>
      <c r="E823" s="9" t="n"/>
      <c r="F823" s="15">
        <f>IF(E823&lt;&gt;"","Đã VH","Quy hoạch điện VIII")</f>
        <v/>
      </c>
      <c r="G823" s="16">
        <f>LEFT(B823,FIND(" ",B823,1)-1)</f>
        <v/>
      </c>
      <c r="H823" s="16">
        <f>TRIM(RIGHT(B823,LEN(B823)-FIND(" ",B823,1)))</f>
        <v/>
      </c>
      <c r="I823" s="16">
        <f>_xlfn.XLOOKUP(Table2[[#This Row],[Type]],Table5[Type],Table5[Type2])</f>
        <v/>
      </c>
      <c r="J823" s="16">
        <f>_xlfn.XLOOKUP(Table2[[#This Row],[Sym]],Zones!$A$2:$A$21,Zones!$B$2:$B$21)</f>
        <v/>
      </c>
      <c r="K823" s="21" t="n"/>
    </row>
    <row r="824">
      <c r="A824" s="24" t="n">
        <v>2255</v>
      </c>
      <c r="B824" s="10" t="inlineStr">
        <is>
          <t>LNG Thái Bình</t>
        </is>
      </c>
      <c r="C824" s="10" t="inlineStr">
        <is>
          <t xml:space="preserve"> Thái Bình</t>
        </is>
      </c>
      <c r="D824" s="3" t="inlineStr">
        <is>
          <t>B28</t>
        </is>
      </c>
      <c r="E824" s="9" t="n"/>
      <c r="F824" s="15">
        <f>IF(E824&lt;&gt;"","Đã VH","Quy hoạch điện VIII")</f>
        <v/>
      </c>
      <c r="G824" s="16">
        <f>LEFT(B824,FIND(" ",B824,1)-1)</f>
        <v/>
      </c>
      <c r="H824" s="16">
        <f>TRIM(RIGHT(B824,LEN(B824)-FIND(" ",B824,1)))</f>
        <v/>
      </c>
      <c r="I824" s="16">
        <f>_xlfn.XLOOKUP(Table2[[#This Row],[Type]],Table5[Type],Table5[Type2])</f>
        <v/>
      </c>
      <c r="J824" s="16">
        <f>_xlfn.XLOOKUP(Table2[[#This Row],[Sym]],Zones!$A$2:$A$21,Zones!$B$2:$B$21)</f>
        <v/>
      </c>
      <c r="K824" s="21" t="n"/>
    </row>
    <row r="825">
      <c r="A825" s="24" t="n">
        <v>2256</v>
      </c>
      <c r="B825" s="10" t="inlineStr">
        <is>
          <t>T110 Thái Thượng</t>
        </is>
      </c>
      <c r="C825" s="10" t="inlineStr">
        <is>
          <t>TBA 110kV Thái Thượng</t>
        </is>
      </c>
      <c r="D825" s="3" t="inlineStr">
        <is>
          <t>B28</t>
        </is>
      </c>
      <c r="E825" s="9" t="n"/>
      <c r="F825" s="15">
        <f>IF(E825&lt;&gt;"","Đã VH","Quy hoạch điện VIII")</f>
        <v/>
      </c>
      <c r="G825" s="16">
        <f>LEFT(B825,FIND(" ",B825,1)-1)</f>
        <v/>
      </c>
      <c r="H825" s="16">
        <f>TRIM(RIGHT(B825,LEN(B825)-FIND(" ",B825,1)))</f>
        <v/>
      </c>
      <c r="I825" s="16">
        <f>_xlfn.XLOOKUP(Table2[[#This Row],[Type]],Table5[Type],Table5[Type2])</f>
        <v/>
      </c>
      <c r="J825" s="16">
        <f>_xlfn.XLOOKUP(Table2[[#This Row],[Sym]],Zones!$A$2:$A$21,Zones!$B$2:$B$21)</f>
        <v/>
      </c>
      <c r="K825" s="21" t="n"/>
    </row>
    <row r="826">
      <c r="A826" s="24" t="n">
        <v>2257</v>
      </c>
      <c r="B826" s="10" t="inlineStr">
        <is>
          <t>T110 Vũ Thư 2</t>
        </is>
      </c>
      <c r="C826" s="10" t="inlineStr">
        <is>
          <t>TBA 110kV Vũ Thư 2</t>
        </is>
      </c>
      <c r="D826" s="3" t="inlineStr">
        <is>
          <t>B28</t>
        </is>
      </c>
      <c r="E826" s="9" t="n"/>
      <c r="F826" s="15">
        <f>IF(E826&lt;&gt;"","Đã VH","Quy hoạch điện VIII")</f>
        <v/>
      </c>
      <c r="G826" s="16">
        <f>LEFT(B826,FIND(" ",B826,1)-1)</f>
        <v/>
      </c>
      <c r="H826" s="16">
        <f>TRIM(RIGHT(B826,LEN(B826)-FIND(" ",B826,1)))</f>
        <v/>
      </c>
      <c r="I826" s="16">
        <f>_xlfn.XLOOKUP(Table2[[#This Row],[Type]],Table5[Type],Table5[Type2])</f>
        <v/>
      </c>
      <c r="J826" s="16">
        <f>_xlfn.XLOOKUP(Table2[[#This Row],[Sym]],Zones!$A$2:$A$21,Zones!$B$2:$B$21)</f>
        <v/>
      </c>
      <c r="K826" s="21" t="n"/>
    </row>
    <row r="827">
      <c r="A827" s="24" t="n">
        <v>2258</v>
      </c>
      <c r="B827" s="10" t="inlineStr">
        <is>
          <t>T110 Thái Thụy 2</t>
        </is>
      </c>
      <c r="C827" s="10" t="inlineStr">
        <is>
          <t>TBA 110kV Thái Thụy 2</t>
        </is>
      </c>
      <c r="D827" s="3" t="inlineStr">
        <is>
          <t>B28</t>
        </is>
      </c>
      <c r="E827" s="9" t="n"/>
      <c r="F827" s="15">
        <f>IF(E827&lt;&gt;"","Đã VH","Quy hoạch điện VIII")</f>
        <v/>
      </c>
      <c r="G827" s="16">
        <f>LEFT(B827,FIND(" ",B827,1)-1)</f>
        <v/>
      </c>
      <c r="H827" s="16">
        <f>TRIM(RIGHT(B827,LEN(B827)-FIND(" ",B827,1)))</f>
        <v/>
      </c>
      <c r="I827" s="16">
        <f>_xlfn.XLOOKUP(Table2[[#This Row],[Type]],Table5[Type],Table5[Type2])</f>
        <v/>
      </c>
      <c r="J827" s="16">
        <f>_xlfn.XLOOKUP(Table2[[#This Row],[Sym]],Zones!$A$2:$A$21,Zones!$B$2:$B$21)</f>
        <v/>
      </c>
      <c r="K827" s="21" t="n"/>
    </row>
    <row r="828">
      <c r="A828" s="24" t="n">
        <v>2260</v>
      </c>
      <c r="B828" s="10" t="inlineStr">
        <is>
          <t>T110 XM Thanh Sơn</t>
        </is>
      </c>
      <c r="C828" s="10" t="inlineStr">
        <is>
          <t>TBA 110kV XM Thanh Sơn</t>
        </is>
      </c>
      <c r="D828" s="3" t="inlineStr">
        <is>
          <t>B9</t>
        </is>
      </c>
      <c r="E828" s="9" t="n"/>
      <c r="F828" s="15">
        <f>IF(E828&lt;&gt;"","Đã VH","Quy hoạch điện VIII")</f>
        <v/>
      </c>
      <c r="G828" s="16">
        <f>LEFT(B828,FIND(" ",B828,1)-1)</f>
        <v/>
      </c>
      <c r="H828" s="16">
        <f>TRIM(RIGHT(B828,LEN(B828)-FIND(" ",B828,1)))</f>
        <v/>
      </c>
      <c r="I828" s="16">
        <f>_xlfn.XLOOKUP(Table2[[#This Row],[Type]],Table5[Type],Table5[Type2])</f>
        <v/>
      </c>
      <c r="J828" s="16">
        <f>_xlfn.XLOOKUP(Table2[[#This Row],[Sym]],Zones!$A$2:$A$21,Zones!$B$2:$B$21)</f>
        <v/>
      </c>
      <c r="K828" s="21" t="n"/>
    </row>
    <row r="829">
      <c r="A829" s="24" t="n">
        <v>2262</v>
      </c>
      <c r="B829" s="10" t="inlineStr">
        <is>
          <t>T110 Kiến Xương 2</t>
        </is>
      </c>
      <c r="C829" s="10" t="inlineStr">
        <is>
          <t>TBA 110kV Kiến Xương 2</t>
        </is>
      </c>
      <c r="D829" s="3" t="inlineStr">
        <is>
          <t>B28</t>
        </is>
      </c>
      <c r="E829" s="9" t="inlineStr">
        <is>
          <t>E11.13</t>
        </is>
      </c>
      <c r="F829" s="15">
        <f>IF(E829&lt;&gt;"","Đã VH","Quy hoạch điện VIII")</f>
        <v/>
      </c>
      <c r="G829" s="16">
        <f>LEFT(B829,FIND(" ",B829,1)-1)</f>
        <v/>
      </c>
      <c r="H829" s="16">
        <f>TRIM(RIGHT(B829,LEN(B829)-FIND(" ",B829,1)))</f>
        <v/>
      </c>
      <c r="I829" s="16">
        <f>_xlfn.XLOOKUP(Table2[[#This Row],[Type]],Table5[Type],Table5[Type2])</f>
        <v/>
      </c>
      <c r="J829" s="16">
        <f>_xlfn.XLOOKUP(Table2[[#This Row],[Sym]],Zones!$A$2:$A$21,Zones!$B$2:$B$21)</f>
        <v/>
      </c>
      <c r="K829" s="21" t="n"/>
    </row>
    <row r="830">
      <c r="A830" s="24" t="n">
        <v>2340</v>
      </c>
      <c r="B830" s="10" t="inlineStr">
        <is>
          <t xml:space="preserve">T110 Yên Bái </t>
        </is>
      </c>
      <c r="C830" s="10" t="inlineStr">
        <is>
          <t>TBA 110kV Yên Bái</t>
        </is>
      </c>
      <c r="D830" s="3" t="inlineStr">
        <is>
          <t>B20</t>
        </is>
      </c>
      <c r="E830" s="9" t="inlineStr">
        <is>
          <t>E12.1</t>
        </is>
      </c>
      <c r="F830" s="15">
        <f>IF(E830&lt;&gt;"","Đã VH","Quy hoạch điện VIII")</f>
        <v/>
      </c>
      <c r="G830" s="16">
        <f>LEFT(B830,FIND(" ",B830,1)-1)</f>
        <v/>
      </c>
      <c r="H830" s="16">
        <f>TRIM(RIGHT(B830,LEN(B830)-FIND(" ",B830,1)))</f>
        <v/>
      </c>
      <c r="I830" s="16">
        <f>_xlfn.XLOOKUP(Table2[[#This Row],[Type]],Table5[Type],Table5[Type2])</f>
        <v/>
      </c>
      <c r="J830" s="16">
        <f>_xlfn.XLOOKUP(Table2[[#This Row],[Sym]],Zones!$A$2:$A$21,Zones!$B$2:$B$21)</f>
        <v/>
      </c>
      <c r="K830" s="21" t="n"/>
    </row>
    <row r="831">
      <c r="A831" s="24" t="n">
        <v>2341</v>
      </c>
      <c r="B831" s="10" t="inlineStr">
        <is>
          <t>T110 Nghĩa Lộ</t>
        </is>
      </c>
      <c r="C831" s="10" t="inlineStr">
        <is>
          <t>TBA 110kV Nghĩa Lộ</t>
        </is>
      </c>
      <c r="D831" s="3" t="inlineStr">
        <is>
          <t>B20</t>
        </is>
      </c>
      <c r="E831" s="9" t="inlineStr">
        <is>
          <t>E12.2</t>
        </is>
      </c>
      <c r="F831" s="15">
        <f>IF(E831&lt;&gt;"","Đã VH","Quy hoạch điện VIII")</f>
        <v/>
      </c>
      <c r="G831" s="16">
        <f>LEFT(B831,FIND(" ",B831,1)-1)</f>
        <v/>
      </c>
      <c r="H831" s="16">
        <f>TRIM(RIGHT(B831,LEN(B831)-FIND(" ",B831,1)))</f>
        <v/>
      </c>
      <c r="I831" s="16">
        <f>_xlfn.XLOOKUP(Table2[[#This Row],[Type]],Table5[Type],Table5[Type2])</f>
        <v/>
      </c>
      <c r="J831" s="16">
        <f>_xlfn.XLOOKUP(Table2[[#This Row],[Sym]],Zones!$A$2:$A$21,Zones!$B$2:$B$21)</f>
        <v/>
      </c>
      <c r="K831" s="21" t="n"/>
    </row>
    <row r="832">
      <c r="A832" s="24" t="n">
        <v>2342</v>
      </c>
      <c r="B832" s="10" t="inlineStr">
        <is>
          <t>T220 Yên Bái</t>
        </is>
      </c>
      <c r="C832" s="10" t="inlineStr">
        <is>
          <t>TBA 220kV Yên Bái</t>
        </is>
      </c>
      <c r="D832" s="3" t="inlineStr">
        <is>
          <t>B20</t>
        </is>
      </c>
      <c r="E832" s="9" t="inlineStr">
        <is>
          <t>E12.3</t>
        </is>
      </c>
      <c r="F832" s="15">
        <f>IF(E832&lt;&gt;"","Đã VH","Quy hoạch điện VIII")</f>
        <v/>
      </c>
      <c r="G832" s="16">
        <f>LEFT(B832,FIND(" ",B832,1)-1)</f>
        <v/>
      </c>
      <c r="H832" s="16">
        <f>TRIM(RIGHT(B832,LEN(B832)-FIND(" ",B832,1)))</f>
        <v/>
      </c>
      <c r="I832" s="16">
        <f>_xlfn.XLOOKUP(Table2[[#This Row],[Type]],Table5[Type],Table5[Type2])</f>
        <v/>
      </c>
      <c r="J832" s="16">
        <f>_xlfn.XLOOKUP(Table2[[#This Row],[Sym]],Zones!$A$2:$A$21,Zones!$B$2:$B$21)</f>
        <v/>
      </c>
      <c r="K832" s="21" t="n"/>
    </row>
    <row r="833">
      <c r="A833" s="24" t="n">
        <v>2343</v>
      </c>
      <c r="B833" s="10" t="inlineStr">
        <is>
          <t>T110 Lục Yên</t>
        </is>
      </c>
      <c r="C833" s="10" t="inlineStr">
        <is>
          <t>TBA 110kV Lục Yên</t>
        </is>
      </c>
      <c r="D833" s="3" t="inlineStr">
        <is>
          <t>B20</t>
        </is>
      </c>
      <c r="E833" s="9" t="inlineStr">
        <is>
          <t>E12.4</t>
        </is>
      </c>
      <c r="F833" s="15">
        <f>IF(E833&lt;&gt;"","Đã VH","Quy hoạch điện VIII")</f>
        <v/>
      </c>
      <c r="G833" s="16">
        <f>LEFT(B833,FIND(" ",B833,1)-1)</f>
        <v/>
      </c>
      <c r="H833" s="16">
        <f>TRIM(RIGHT(B833,LEN(B833)-FIND(" ",B833,1)))</f>
        <v/>
      </c>
      <c r="I833" s="16">
        <f>_xlfn.XLOOKUP(Table2[[#This Row],[Type]],Table5[Type],Table5[Type2])</f>
        <v/>
      </c>
      <c r="J833" s="16">
        <f>_xlfn.XLOOKUP(Table2[[#This Row],[Sym]],Zones!$A$2:$A$21,Zones!$B$2:$B$21)</f>
        <v/>
      </c>
      <c r="K833" s="21" t="n"/>
    </row>
    <row r="834">
      <c r="A834" s="24" t="n">
        <v>2344</v>
      </c>
      <c r="B834" s="10" t="inlineStr">
        <is>
          <t>TĐ Mường Kim</t>
        </is>
      </c>
      <c r="C834" s="10" t="inlineStr">
        <is>
          <t>NM TĐN Mường Kim</t>
        </is>
      </c>
      <c r="D834" s="3" t="inlineStr">
        <is>
          <t>B20</t>
        </is>
      </c>
      <c r="E834" s="9" t="inlineStr">
        <is>
          <t>A12.5</t>
        </is>
      </c>
      <c r="F834" s="15">
        <f>IF(E834&lt;&gt;"","Đã VH","Quy hoạch điện VIII")</f>
        <v/>
      </c>
      <c r="G834" s="16">
        <f>LEFT(B834,FIND(" ",B834,1)-1)</f>
        <v/>
      </c>
      <c r="H834" s="16">
        <f>TRIM(RIGHT(B834,LEN(B834)-FIND(" ",B834,1)))</f>
        <v/>
      </c>
      <c r="I834" s="16">
        <f>_xlfn.XLOOKUP(Table2[[#This Row],[Type]],Table5[Type],Table5[Type2])</f>
        <v/>
      </c>
      <c r="J834" s="16">
        <f>_xlfn.XLOOKUP(Table2[[#This Row],[Sym]],Zones!$A$2:$A$21,Zones!$B$2:$B$21)</f>
        <v/>
      </c>
      <c r="K834" s="21" t="n"/>
    </row>
    <row r="835">
      <c r="A835" s="24" t="n">
        <v>2345</v>
      </c>
      <c r="B835" s="10" t="inlineStr">
        <is>
          <t>TĐ Văn Chấn</t>
        </is>
      </c>
      <c r="C835" s="10" t="inlineStr">
        <is>
          <t>NM TĐN Văn Chấn</t>
        </is>
      </c>
      <c r="D835" s="3" t="inlineStr">
        <is>
          <t>B20</t>
        </is>
      </c>
      <c r="E835" s="9" t="inlineStr">
        <is>
          <t>A12.15</t>
        </is>
      </c>
      <c r="F835" s="15">
        <f>IF(E835&lt;&gt;"","Đã VH","Quy hoạch điện VIII")</f>
        <v/>
      </c>
      <c r="G835" s="16">
        <f>LEFT(B835,FIND(" ",B835,1)-1)</f>
        <v/>
      </c>
      <c r="H835" s="16">
        <f>TRIM(RIGHT(B835,LEN(B835)-FIND(" ",B835,1)))</f>
        <v/>
      </c>
      <c r="I835" s="16">
        <f>_xlfn.XLOOKUP(Table2[[#This Row],[Type]],Table5[Type],Table5[Type2])</f>
        <v/>
      </c>
      <c r="J835" s="16">
        <f>_xlfn.XLOOKUP(Table2[[#This Row],[Sym]],Zones!$A$2:$A$21,Zones!$B$2:$B$21)</f>
        <v/>
      </c>
      <c r="K835" s="21" t="n"/>
    </row>
    <row r="836">
      <c r="A836" s="24" t="n">
        <v>2346</v>
      </c>
      <c r="B836" s="10" t="inlineStr">
        <is>
          <t>TĐ Thác Bà</t>
        </is>
      </c>
      <c r="C836" s="10" t="inlineStr">
        <is>
          <t>NM TĐN Thác Bà</t>
        </is>
      </c>
      <c r="D836" s="3" t="inlineStr">
        <is>
          <t>B20</t>
        </is>
      </c>
      <c r="E836" s="9" t="inlineStr">
        <is>
          <t>A40</t>
        </is>
      </c>
      <c r="F836" s="15">
        <f>IF(E836&lt;&gt;"","Đã VH","Quy hoạch điện VIII")</f>
        <v/>
      </c>
      <c r="G836" s="16">
        <f>LEFT(B836,FIND(" ",B836,1)-1)</f>
        <v/>
      </c>
      <c r="H836" s="16">
        <f>TRIM(RIGHT(B836,LEN(B836)-FIND(" ",B836,1)))</f>
        <v/>
      </c>
      <c r="I836" s="16">
        <f>_xlfn.XLOOKUP(Table2[[#This Row],[Type]],Table5[Type],Table5[Type2])</f>
        <v/>
      </c>
      <c r="J836" s="16">
        <f>_xlfn.XLOOKUP(Table2[[#This Row],[Sym]],Zones!$A$2:$A$21,Zones!$B$2:$B$21)</f>
        <v/>
      </c>
      <c r="K836" s="21" t="n"/>
    </row>
    <row r="837">
      <c r="A837" s="24" t="n">
        <v>2347</v>
      </c>
      <c r="B837" s="10" t="inlineStr">
        <is>
          <t>TĐ Hồ Bốn</t>
        </is>
      </c>
      <c r="C837" s="10" t="inlineStr">
        <is>
          <t>NM TĐN Hồ Bốn</t>
        </is>
      </c>
      <c r="D837" s="3" t="inlineStr">
        <is>
          <t>B20</t>
        </is>
      </c>
      <c r="E837" s="9" t="inlineStr">
        <is>
          <t>A12.10</t>
        </is>
      </c>
      <c r="F837" s="15">
        <f>IF(E837&lt;&gt;"","Đã VH","Quy hoạch điện VIII")</f>
        <v/>
      </c>
      <c r="G837" s="16">
        <f>LEFT(B837,FIND(" ",B837,1)-1)</f>
        <v/>
      </c>
      <c r="H837" s="16">
        <f>TRIM(RIGHT(B837,LEN(B837)-FIND(" ",B837,1)))</f>
        <v/>
      </c>
      <c r="I837" s="16">
        <f>_xlfn.XLOOKUP(Table2[[#This Row],[Type]],Table5[Type],Table5[Type2])</f>
        <v/>
      </c>
      <c r="J837" s="16">
        <f>_xlfn.XLOOKUP(Table2[[#This Row],[Sym]],Zones!$A$2:$A$21,Zones!$B$2:$B$21)</f>
        <v/>
      </c>
      <c r="K837" s="21" t="n"/>
    </row>
    <row r="838">
      <c r="A838" s="24" t="n">
        <v>2348</v>
      </c>
      <c r="B838" s="10" t="inlineStr">
        <is>
          <t>TĐ Khao Mang Thượng</t>
        </is>
      </c>
      <c r="C838" s="10" t="inlineStr">
        <is>
          <t>NM TĐN Khao Mang Thượng</t>
        </is>
      </c>
      <c r="D838" s="3" t="inlineStr">
        <is>
          <t>B20</t>
        </is>
      </c>
      <c r="E838" s="9" t="inlineStr">
        <is>
          <t>A12.14</t>
        </is>
      </c>
      <c r="F838" s="15">
        <f>IF(E838&lt;&gt;"","Đã VH","Quy hoạch điện VIII")</f>
        <v/>
      </c>
      <c r="G838" s="16">
        <f>LEFT(B838,FIND(" ",B838,1)-1)</f>
        <v/>
      </c>
      <c r="H838" s="16">
        <f>TRIM(RIGHT(B838,LEN(B838)-FIND(" ",B838,1)))</f>
        <v/>
      </c>
      <c r="I838" s="16">
        <f>_xlfn.XLOOKUP(Table2[[#This Row],[Type]],Table5[Type],Table5[Type2])</f>
        <v/>
      </c>
      <c r="J838" s="16">
        <f>_xlfn.XLOOKUP(Table2[[#This Row],[Sym]],Zones!$A$2:$A$21,Zones!$B$2:$B$21)</f>
        <v/>
      </c>
      <c r="K838" s="21" t="n"/>
    </row>
    <row r="839">
      <c r="A839" s="24" t="n">
        <v>2349</v>
      </c>
      <c r="B839" s="10" t="inlineStr">
        <is>
          <t>TĐ Ngòi Hút 2</t>
        </is>
      </c>
      <c r="C839" s="10" t="inlineStr">
        <is>
          <t>NM TĐN Ngòi Hút 2</t>
        </is>
      </c>
      <c r="D839" s="3" t="inlineStr">
        <is>
          <t>B20</t>
        </is>
      </c>
      <c r="E839" s="9" t="inlineStr">
        <is>
          <t>A12.20</t>
        </is>
      </c>
      <c r="F839" s="15">
        <f>IF(E839&lt;&gt;"","Đã VH","Quy hoạch điện VIII")</f>
        <v/>
      </c>
      <c r="G839" s="16">
        <f>LEFT(B839,FIND(" ",B839,1)-1)</f>
        <v/>
      </c>
      <c r="H839" s="16">
        <f>TRIM(RIGHT(B839,LEN(B839)-FIND(" ",B839,1)))</f>
        <v/>
      </c>
      <c r="I839" s="16">
        <f>_xlfn.XLOOKUP(Table2[[#This Row],[Type]],Table5[Type],Table5[Type2])</f>
        <v/>
      </c>
      <c r="J839" s="16">
        <f>_xlfn.XLOOKUP(Table2[[#This Row],[Sym]],Zones!$A$2:$A$21,Zones!$B$2:$B$21)</f>
        <v/>
      </c>
      <c r="K839" s="21" t="n"/>
    </row>
    <row r="840">
      <c r="A840" s="24" t="n">
        <v>2350</v>
      </c>
      <c r="B840" s="10" t="inlineStr">
        <is>
          <t>TĐ Noong Phai</t>
        </is>
      </c>
      <c r="C840" s="10" t="inlineStr">
        <is>
          <t>NM TĐN Noong Phai</t>
        </is>
      </c>
      <c r="D840" s="3" t="inlineStr">
        <is>
          <t>B20</t>
        </is>
      </c>
      <c r="E840" s="9" t="inlineStr">
        <is>
          <t>A12.25</t>
        </is>
      </c>
      <c r="F840" s="15">
        <f>IF(E840&lt;&gt;"","Đã VH","Quy hoạch điện VIII")</f>
        <v/>
      </c>
      <c r="G840" s="16">
        <f>LEFT(B840,FIND(" ",B840,1)-1)</f>
        <v/>
      </c>
      <c r="H840" s="16">
        <f>TRIM(RIGHT(B840,LEN(B840)-FIND(" ",B840,1)))</f>
        <v/>
      </c>
      <c r="I840" s="16">
        <f>_xlfn.XLOOKUP(Table2[[#This Row],[Type]],Table5[Type],Table5[Type2])</f>
        <v/>
      </c>
      <c r="J840" s="16">
        <f>_xlfn.XLOOKUP(Table2[[#This Row],[Sym]],Zones!$A$2:$A$21,Zones!$B$2:$B$21)</f>
        <v/>
      </c>
      <c r="K840" s="21" t="n"/>
    </row>
    <row r="841">
      <c r="A841" s="24" t="n">
        <v>2351</v>
      </c>
      <c r="B841" s="10" t="inlineStr">
        <is>
          <t>TĐ Trạm Tấu</t>
        </is>
      </c>
      <c r="C841" s="10" t="inlineStr">
        <is>
          <t>NM TĐN Trạm Tấu</t>
        </is>
      </c>
      <c r="D841" s="3" t="inlineStr">
        <is>
          <t>B20</t>
        </is>
      </c>
      <c r="E841" s="9" t="inlineStr">
        <is>
          <t>A12.26</t>
        </is>
      </c>
      <c r="F841" s="15">
        <f>IF(E841&lt;&gt;"","Đã VH","Quy hoạch điện VIII")</f>
        <v/>
      </c>
      <c r="G841" s="16">
        <f>LEFT(B841,FIND(" ",B841,1)-1)</f>
        <v/>
      </c>
      <c r="H841" s="16">
        <f>TRIM(RIGHT(B841,LEN(B841)-FIND(" ",B841,1)))</f>
        <v/>
      </c>
      <c r="I841" s="16">
        <f>_xlfn.XLOOKUP(Table2[[#This Row],[Type]],Table5[Type],Table5[Type2])</f>
        <v/>
      </c>
      <c r="J841" s="16">
        <f>_xlfn.XLOOKUP(Table2[[#This Row],[Sym]],Zones!$A$2:$A$21,Zones!$B$2:$B$21)</f>
        <v/>
      </c>
      <c r="K841" s="21" t="n"/>
    </row>
    <row r="842">
      <c r="A842" s="24" t="n">
        <v>2352</v>
      </c>
      <c r="B842" s="10" t="inlineStr">
        <is>
          <t>TĐ Khao Mang</t>
        </is>
      </c>
      <c r="C842" s="10" t="inlineStr">
        <is>
          <t>NM TĐN Khao Mang</t>
        </is>
      </c>
      <c r="D842" s="3" t="inlineStr">
        <is>
          <t>B20</t>
        </is>
      </c>
      <c r="E842" s="9" t="inlineStr">
        <is>
          <t>A12.13</t>
        </is>
      </c>
      <c r="F842" s="15">
        <f>IF(E842&lt;&gt;"","Đã VH","Quy hoạch điện VIII")</f>
        <v/>
      </c>
      <c r="G842" s="16">
        <f>LEFT(B842,FIND(" ",B842,1)-1)</f>
        <v/>
      </c>
      <c r="H842" s="16">
        <f>TRIM(RIGHT(B842,LEN(B842)-FIND(" ",B842,1)))</f>
        <v/>
      </c>
      <c r="I842" s="16">
        <f>_xlfn.XLOOKUP(Table2[[#This Row],[Type]],Table5[Type],Table5[Type2])</f>
        <v/>
      </c>
      <c r="J842" s="16">
        <f>_xlfn.XLOOKUP(Table2[[#This Row],[Sym]],Zones!$A$2:$A$21,Zones!$B$2:$B$21)</f>
        <v/>
      </c>
      <c r="K842" s="21" t="n"/>
    </row>
    <row r="843">
      <c r="A843" s="24" t="n">
        <v>2353</v>
      </c>
      <c r="B843" s="10" t="inlineStr">
        <is>
          <t>TĐ Ngòi Hút 2A</t>
        </is>
      </c>
      <c r="C843" s="10" t="inlineStr">
        <is>
          <t>NM TĐN Ngòi Hút 2A</t>
        </is>
      </c>
      <c r="D843" s="3" t="inlineStr">
        <is>
          <t>B20</t>
        </is>
      </c>
      <c r="E843" s="9" t="inlineStr">
        <is>
          <t>A12.20A</t>
        </is>
      </c>
      <c r="F843" s="15">
        <f>IF(E843&lt;&gt;"","Đã VH","Quy hoạch điện VIII")</f>
        <v/>
      </c>
      <c r="G843" s="16">
        <f>LEFT(B843,FIND(" ",B843,1)-1)</f>
        <v/>
      </c>
      <c r="H843" s="16">
        <f>TRIM(RIGHT(B843,LEN(B843)-FIND(" ",B843,1)))</f>
        <v/>
      </c>
      <c r="I843" s="16">
        <f>_xlfn.XLOOKUP(Table2[[#This Row],[Type]],Table5[Type],Table5[Type2])</f>
        <v/>
      </c>
      <c r="J843" s="16">
        <f>_xlfn.XLOOKUP(Table2[[#This Row],[Sym]],Zones!$A$2:$A$21,Zones!$B$2:$B$21)</f>
        <v/>
      </c>
      <c r="K843" s="21" t="n"/>
    </row>
    <row r="844">
      <c r="A844" s="24" t="n">
        <v>2354</v>
      </c>
      <c r="B844" s="10" t="inlineStr">
        <is>
          <t>T110 Ba Khe</t>
        </is>
      </c>
      <c r="C844" s="10" t="inlineStr">
        <is>
          <t>TBA 110kV Ba Khe</t>
        </is>
      </c>
      <c r="D844" s="3" t="inlineStr">
        <is>
          <t>B20</t>
        </is>
      </c>
      <c r="E844" s="9" t="inlineStr">
        <is>
          <t>E12.8</t>
        </is>
      </c>
      <c r="F844" s="15">
        <f>IF(E844&lt;&gt;"","Đã VH","Quy hoạch điện VIII")</f>
        <v/>
      </c>
      <c r="G844" s="16">
        <f>LEFT(B844,FIND(" ",B844,1)-1)</f>
        <v/>
      </c>
      <c r="H844" s="16">
        <f>TRIM(RIGHT(B844,LEN(B844)-FIND(" ",B844,1)))</f>
        <v/>
      </c>
      <c r="I844" s="16">
        <f>_xlfn.XLOOKUP(Table2[[#This Row],[Type]],Table5[Type],Table5[Type2])</f>
        <v/>
      </c>
      <c r="J844" s="16">
        <f>_xlfn.XLOOKUP(Table2[[#This Row],[Sym]],Zones!$A$2:$A$21,Zones!$B$2:$B$21)</f>
        <v/>
      </c>
      <c r="K844" s="21" t="n"/>
    </row>
    <row r="845">
      <c r="A845" s="24" t="n">
        <v>2355</v>
      </c>
      <c r="B845" s="10" t="inlineStr">
        <is>
          <t>T110 Yên Bái 2</t>
        </is>
      </c>
      <c r="C845" s="10" t="inlineStr">
        <is>
          <t>TBA 110kV Yên Bái 2</t>
        </is>
      </c>
      <c r="D845" s="3" t="inlineStr">
        <is>
          <t>B20</t>
        </is>
      </c>
      <c r="E845" s="9" t="inlineStr">
        <is>
          <t>E12.9</t>
        </is>
      </c>
      <c r="F845" s="15">
        <f>IF(E845&lt;&gt;"","Đã VH","Quy hoạch điện VIII")</f>
        <v/>
      </c>
      <c r="G845" s="16">
        <f>LEFT(B845,FIND(" ",B845,1)-1)</f>
        <v/>
      </c>
      <c r="H845" s="16">
        <f>TRIM(RIGHT(B845,LEN(B845)-FIND(" ",B845,1)))</f>
        <v/>
      </c>
      <c r="I845" s="16">
        <f>_xlfn.XLOOKUP(Table2[[#This Row],[Type]],Table5[Type],Table5[Type2])</f>
        <v/>
      </c>
      <c r="J845" s="16">
        <f>_xlfn.XLOOKUP(Table2[[#This Row],[Sym]],Zones!$A$2:$A$21,Zones!$B$2:$B$21)</f>
        <v/>
      </c>
      <c r="K845" s="21" t="n"/>
    </row>
    <row r="846">
      <c r="A846" s="24" t="n">
        <v>2356</v>
      </c>
      <c r="B846" s="10" t="inlineStr">
        <is>
          <t>T110 Pá Hu</t>
        </is>
      </c>
      <c r="C846" s="10" t="inlineStr">
        <is>
          <t>TBA 110kV Pá Hu</t>
        </is>
      </c>
      <c r="D846" s="3" t="inlineStr">
        <is>
          <t>B20</t>
        </is>
      </c>
      <c r="E846" s="9" t="inlineStr">
        <is>
          <t>A12.27</t>
        </is>
      </c>
      <c r="F846" s="15">
        <f>IF(E846&lt;&gt;"","Đã VH","Quy hoạch điện VIII")</f>
        <v/>
      </c>
      <c r="G846" s="16">
        <f>LEFT(B846,FIND(" ",B846,1)-1)</f>
        <v/>
      </c>
      <c r="H846" s="16">
        <f>TRIM(RIGHT(B846,LEN(B846)-FIND(" ",B846,1)))</f>
        <v/>
      </c>
      <c r="I846" s="16">
        <f>_xlfn.XLOOKUP(Table2[[#This Row],[Type]],Table5[Type],Table5[Type2])</f>
        <v/>
      </c>
      <c r="J846" s="16">
        <f>_xlfn.XLOOKUP(Table2[[#This Row],[Sym]],Zones!$A$2:$A$21,Zones!$B$2:$B$21)</f>
        <v/>
      </c>
      <c r="K846" s="21" t="n"/>
    </row>
    <row r="847">
      <c r="A847" s="24" t="n">
        <v>2357</v>
      </c>
      <c r="B847" s="10" t="inlineStr">
        <is>
          <t>T110 Văn Yên</t>
        </is>
      </c>
      <c r="C847" s="10" t="inlineStr">
        <is>
          <t>TBA 110kV Văn Yên</t>
        </is>
      </c>
      <c r="D847" s="3" t="inlineStr">
        <is>
          <t>B20</t>
        </is>
      </c>
      <c r="E847" s="9" t="inlineStr">
        <is>
          <t>E12.21</t>
        </is>
      </c>
      <c r="F847" s="15">
        <f>IF(E847&lt;&gt;"","Đã VH","Quy hoạch điện VIII")</f>
        <v/>
      </c>
      <c r="G847" s="16">
        <f>LEFT(B847,FIND(" ",B847,1)-1)</f>
        <v/>
      </c>
      <c r="H847" s="16">
        <f>TRIM(RIGHT(B847,LEN(B847)-FIND(" ",B847,1)))</f>
        <v/>
      </c>
      <c r="I847" s="16">
        <f>_xlfn.XLOOKUP(Table2[[#This Row],[Type]],Table5[Type],Table5[Type2])</f>
        <v/>
      </c>
      <c r="J847" s="16">
        <f>_xlfn.XLOOKUP(Table2[[#This Row],[Sym]],Zones!$A$2:$A$21,Zones!$B$2:$B$21)</f>
        <v/>
      </c>
      <c r="K847" s="21" t="n"/>
    </row>
    <row r="848">
      <c r="A848" s="24" t="n">
        <v>2358</v>
      </c>
      <c r="B848" s="10" t="inlineStr">
        <is>
          <t>TĐ Đồng Sung</t>
        </is>
      </c>
      <c r="C848" s="10" t="inlineStr">
        <is>
          <t>NM TĐN Đồng Sung</t>
        </is>
      </c>
      <c r="D848" s="3" t="inlineStr">
        <is>
          <t>B20</t>
        </is>
      </c>
      <c r="E848" s="9" t="inlineStr">
        <is>
          <t>A12.19</t>
        </is>
      </c>
      <c r="F848" s="15">
        <f>IF(E848&lt;&gt;"","Đã VH","Quy hoạch điện VIII")</f>
        <v/>
      </c>
      <c r="G848" s="16">
        <f>LEFT(B848,FIND(" ",B848,1)-1)</f>
        <v/>
      </c>
      <c r="H848" s="16">
        <f>TRIM(RIGHT(B848,LEN(B848)-FIND(" ",B848,1)))</f>
        <v/>
      </c>
      <c r="I848" s="16">
        <f>_xlfn.XLOOKUP(Table2[[#This Row],[Type]],Table5[Type],Table5[Type2])</f>
        <v/>
      </c>
      <c r="J848" s="16">
        <f>_xlfn.XLOOKUP(Table2[[#This Row],[Sym]],Zones!$A$2:$A$21,Zones!$B$2:$B$21)</f>
        <v/>
      </c>
      <c r="K848" s="21" t="n"/>
    </row>
    <row r="849">
      <c r="A849" s="24" t="n">
        <v>2359</v>
      </c>
      <c r="B849" s="10" t="inlineStr">
        <is>
          <t>TĐ Thác Cá 1</t>
        </is>
      </c>
      <c r="C849" s="10" t="inlineStr">
        <is>
          <t>NM TĐN Thác Cá 1</t>
        </is>
      </c>
      <c r="D849" s="3" t="inlineStr">
        <is>
          <t>B20</t>
        </is>
      </c>
      <c r="E849" s="9" t="inlineStr">
        <is>
          <t>A12.28</t>
        </is>
      </c>
      <c r="F849" s="15">
        <f>IF(E849&lt;&gt;"","Đã VH","Quy hoạch điện VIII")</f>
        <v/>
      </c>
      <c r="G849" s="16">
        <f>LEFT(B849,FIND(" ",B849,1)-1)</f>
        <v/>
      </c>
      <c r="H849" s="16">
        <f>TRIM(RIGHT(B849,LEN(B849)-FIND(" ",B849,1)))</f>
        <v/>
      </c>
      <c r="I849" s="16">
        <f>_xlfn.XLOOKUP(Table2[[#This Row],[Type]],Table5[Type],Table5[Type2])</f>
        <v/>
      </c>
      <c r="J849" s="16">
        <f>_xlfn.XLOOKUP(Table2[[#This Row],[Sym]],Zones!$A$2:$A$21,Zones!$B$2:$B$21)</f>
        <v/>
      </c>
      <c r="K849" s="21" t="n"/>
    </row>
    <row r="850">
      <c r="A850" s="24" t="n">
        <v>2360</v>
      </c>
      <c r="B850" s="10" t="inlineStr">
        <is>
          <t>TĐ Thác Cá 2</t>
        </is>
      </c>
      <c r="C850" s="10" t="inlineStr">
        <is>
          <t>NM TĐN Thác Cá 2</t>
        </is>
      </c>
      <c r="D850" s="3" t="inlineStr">
        <is>
          <t>B20</t>
        </is>
      </c>
      <c r="E850" s="9" t="inlineStr">
        <is>
          <t>A12.18</t>
        </is>
      </c>
      <c r="F850" s="15">
        <f>IF(E850&lt;&gt;"","Đã VH","Quy hoạch điện VIII")</f>
        <v/>
      </c>
      <c r="G850" s="16">
        <f>LEFT(B850,FIND(" ",B850,1)-1)</f>
        <v/>
      </c>
      <c r="H850" s="16">
        <f>TRIM(RIGHT(B850,LEN(B850)-FIND(" ",B850,1)))</f>
        <v/>
      </c>
      <c r="I850" s="16">
        <f>_xlfn.XLOOKUP(Table2[[#This Row],[Type]],Table5[Type],Table5[Type2])</f>
        <v/>
      </c>
      <c r="J850" s="16">
        <f>_xlfn.XLOOKUP(Table2[[#This Row],[Sym]],Zones!$A$2:$A$21,Zones!$B$2:$B$21)</f>
        <v/>
      </c>
      <c r="K850" s="21" t="n"/>
    </row>
    <row r="851">
      <c r="A851" s="24" t="n">
        <v>2361</v>
      </c>
      <c r="B851" s="10" t="inlineStr">
        <is>
          <t>T110 Bảo Hưng</t>
        </is>
      </c>
      <c r="C851" s="10" t="inlineStr">
        <is>
          <t>TBA 110kV Bảo Hưng</t>
        </is>
      </c>
      <c r="D851" s="3" t="inlineStr">
        <is>
          <t>B20</t>
        </is>
      </c>
      <c r="E851" s="9" t="n"/>
      <c r="F851" s="15">
        <f>IF(E851&lt;&gt;"","Đã VH","Quy hoạch điện VIII")</f>
        <v/>
      </c>
      <c r="G851" s="16">
        <f>LEFT(B851,FIND(" ",B851,1)-1)</f>
        <v/>
      </c>
      <c r="H851" s="16">
        <f>TRIM(RIGHT(B851,LEN(B851)-FIND(" ",B851,1)))</f>
        <v/>
      </c>
      <c r="I851" s="16">
        <f>_xlfn.XLOOKUP(Table2[[#This Row],[Type]],Table5[Type],Table5[Type2])</f>
        <v/>
      </c>
      <c r="J851" s="16">
        <f>_xlfn.XLOOKUP(Table2[[#This Row],[Sym]],Zones!$A$2:$A$21,Zones!$B$2:$B$21)</f>
        <v/>
      </c>
      <c r="K851" s="21" t="n"/>
    </row>
    <row r="852">
      <c r="A852" s="24" t="n">
        <v>2362</v>
      </c>
      <c r="B852" s="10" t="inlineStr">
        <is>
          <t>TĐ Chí Lư</t>
        </is>
      </c>
      <c r="C852" s="10" t="inlineStr">
        <is>
          <t>NM TĐN Chí Lư</t>
        </is>
      </c>
      <c r="D852" s="3" t="inlineStr">
        <is>
          <t>B20</t>
        </is>
      </c>
      <c r="E852" s="9" t="inlineStr">
        <is>
          <t>A12.41</t>
        </is>
      </c>
      <c r="F852" s="15">
        <f>IF(E852&lt;&gt;"","Đã VH","Quy hoạch điện VIII")</f>
        <v/>
      </c>
      <c r="G852" s="16">
        <f>LEFT(B852,FIND(" ",B852,1)-1)</f>
        <v/>
      </c>
      <c r="H852" s="16">
        <f>TRIM(RIGHT(B852,LEN(B852)-FIND(" ",B852,1)))</f>
        <v/>
      </c>
      <c r="I852" s="16">
        <f>_xlfn.XLOOKUP(Table2[[#This Row],[Type]],Table5[Type],Table5[Type2])</f>
        <v/>
      </c>
      <c r="J852" s="16">
        <f>_xlfn.XLOOKUP(Table2[[#This Row],[Sym]],Zones!$A$2:$A$21,Zones!$B$2:$B$21)</f>
        <v/>
      </c>
      <c r="K852" s="21" t="n"/>
    </row>
    <row r="853">
      <c r="A853" s="24" t="n">
        <v>2363</v>
      </c>
      <c r="B853" s="10" t="inlineStr">
        <is>
          <t>T110 Yên Thế</t>
        </is>
      </c>
      <c r="C853" s="10" t="inlineStr">
        <is>
          <t>TBA 110kV Yên Thế</t>
        </is>
      </c>
      <c r="D853" s="3" t="inlineStr">
        <is>
          <t>B20</t>
        </is>
      </c>
      <c r="E853" s="9" t="inlineStr">
        <is>
          <t>E12.22</t>
        </is>
      </c>
      <c r="F853" s="15">
        <f>IF(E853&lt;&gt;"","Đã VH","Quy hoạch điện VIII")</f>
        <v/>
      </c>
      <c r="G853" s="16">
        <f>LEFT(B853,FIND(" ",B853,1)-1)</f>
        <v/>
      </c>
      <c r="H853" s="16">
        <f>TRIM(RIGHT(B853,LEN(B853)-FIND(" ",B853,1)))</f>
        <v/>
      </c>
      <c r="I853" s="16">
        <f>_xlfn.XLOOKUP(Table2[[#This Row],[Type]],Table5[Type],Table5[Type2])</f>
        <v/>
      </c>
      <c r="J853" s="16">
        <f>_xlfn.XLOOKUP(Table2[[#This Row],[Sym]],Zones!$A$2:$A$21,Zones!$B$2:$B$21)</f>
        <v/>
      </c>
      <c r="K853" s="21" t="n"/>
    </row>
    <row r="854">
      <c r="A854" s="24" t="n">
        <v>2364</v>
      </c>
      <c r="B854" s="10" t="inlineStr">
        <is>
          <t>TĐ Nậm Tăng 3</t>
        </is>
      </c>
      <c r="C854" s="10" t="inlineStr">
        <is>
          <t>NM TĐN Nậm Tăng 3</t>
        </is>
      </c>
      <c r="D854" s="3" t="inlineStr">
        <is>
          <t>B20</t>
        </is>
      </c>
      <c r="E854" s="9" t="inlineStr">
        <is>
          <t>A12.42</t>
        </is>
      </c>
      <c r="F854" s="15">
        <f>IF(E854&lt;&gt;"","Đã VH","Quy hoạch điện VIII")</f>
        <v/>
      </c>
      <c r="G854" s="16">
        <f>LEFT(B854,FIND(" ",B854,1)-1)</f>
        <v/>
      </c>
      <c r="H854" s="16">
        <f>TRIM(RIGHT(B854,LEN(B854)-FIND(" ",B854,1)))</f>
        <v/>
      </c>
      <c r="I854" s="16">
        <f>_xlfn.XLOOKUP(Table2[[#This Row],[Type]],Table5[Type],Table5[Type2])</f>
        <v/>
      </c>
      <c r="J854" s="16">
        <f>_xlfn.XLOOKUP(Table2[[#This Row],[Sym]],Zones!$A$2:$A$21,Zones!$B$2:$B$21)</f>
        <v/>
      </c>
      <c r="K854" s="21" t="n"/>
    </row>
    <row r="855">
      <c r="A855" s="24" t="n">
        <v>2365</v>
      </c>
      <c r="B855" s="10" t="inlineStr">
        <is>
          <t>T110 Trấn Yên</t>
        </is>
      </c>
      <c r="C855" s="10" t="inlineStr">
        <is>
          <t>TBA 110kV Trấn Yên</t>
        </is>
      </c>
      <c r="D855" s="3" t="inlineStr">
        <is>
          <t>B20</t>
        </is>
      </c>
      <c r="E855" s="9" t="n"/>
      <c r="F855" s="15">
        <f>IF(E855&lt;&gt;"","Đã VH","Quy hoạch điện VIII")</f>
        <v/>
      </c>
      <c r="G855" s="16">
        <f>LEFT(B855,FIND(" ",B855,1)-1)</f>
        <v/>
      </c>
      <c r="H855" s="16">
        <f>TRIM(RIGHT(B855,LEN(B855)-FIND(" ",B855,1)))</f>
        <v/>
      </c>
      <c r="I855" s="16">
        <f>_xlfn.XLOOKUP(Table2[[#This Row],[Type]],Table5[Type],Table5[Type2])</f>
        <v/>
      </c>
      <c r="J855" s="16">
        <f>_xlfn.XLOOKUP(Table2[[#This Row],[Sym]],Zones!$A$2:$A$21,Zones!$B$2:$B$21)</f>
        <v/>
      </c>
      <c r="K855" s="21" t="n"/>
    </row>
    <row r="856">
      <c r="A856" s="24" t="n">
        <v>2366</v>
      </c>
      <c r="B856" s="10" t="inlineStr">
        <is>
          <t>T110 Âu Lâu</t>
        </is>
      </c>
      <c r="C856" s="10" t="inlineStr">
        <is>
          <t>TBA 110kV Âu Lâu</t>
        </is>
      </c>
      <c r="D856" s="3" t="inlineStr">
        <is>
          <t>B20</t>
        </is>
      </c>
      <c r="E856" s="9" t="n"/>
      <c r="F856" s="15">
        <f>IF(E856&lt;&gt;"","Đã VH","Quy hoạch điện VIII")</f>
        <v/>
      </c>
      <c r="G856" s="16">
        <f>LEFT(B856,FIND(" ",B856,1)-1)</f>
        <v/>
      </c>
      <c r="H856" s="16">
        <f>TRIM(RIGHT(B856,LEN(B856)-FIND(" ",B856,1)))</f>
        <v/>
      </c>
      <c r="I856" s="16">
        <f>_xlfn.XLOOKUP(Table2[[#This Row],[Type]],Table5[Type],Table5[Type2])</f>
        <v/>
      </c>
      <c r="J856" s="16">
        <f>_xlfn.XLOOKUP(Table2[[#This Row],[Sym]],Zones!$A$2:$A$21,Zones!$B$2:$B$21)</f>
        <v/>
      </c>
      <c r="K856" s="21" t="n"/>
    </row>
    <row r="857">
      <c r="A857" s="24" t="n">
        <v>2367</v>
      </c>
      <c r="B857" s="10" t="inlineStr">
        <is>
          <t>T110 Thịnh Hưng</t>
        </is>
      </c>
      <c r="C857" s="10" t="inlineStr">
        <is>
          <t>TBA 110kV Thịnh Hưng</t>
        </is>
      </c>
      <c r="D857" s="3" t="inlineStr">
        <is>
          <t>B20</t>
        </is>
      </c>
      <c r="E857" s="9" t="n"/>
      <c r="F857" s="15">
        <f>IF(E857&lt;&gt;"","Đã VH","Quy hoạch điện VIII")</f>
        <v/>
      </c>
      <c r="G857" s="16">
        <f>LEFT(B857,FIND(" ",B857,1)-1)</f>
        <v/>
      </c>
      <c r="H857" s="16">
        <f>TRIM(RIGHT(B857,LEN(B857)-FIND(" ",B857,1)))</f>
        <v/>
      </c>
      <c r="I857" s="16">
        <f>_xlfn.XLOOKUP(Table2[[#This Row],[Type]],Table5[Type],Table5[Type2])</f>
        <v/>
      </c>
      <c r="J857" s="16">
        <f>_xlfn.XLOOKUP(Table2[[#This Row],[Sym]],Zones!$A$2:$A$21,Zones!$B$2:$B$21)</f>
        <v/>
      </c>
      <c r="K857" s="21" t="n"/>
    </row>
    <row r="858">
      <c r="A858" s="24" t="n">
        <v>2368</v>
      </c>
      <c r="B858" s="10" t="inlineStr">
        <is>
          <t>T110 Yên Bình</t>
        </is>
      </c>
      <c r="C858" s="10" t="inlineStr">
        <is>
          <t>TBA 110kV Yên Bình</t>
        </is>
      </c>
      <c r="D858" s="3" t="inlineStr">
        <is>
          <t>B20</t>
        </is>
      </c>
      <c r="E858" s="9" t="n"/>
      <c r="F858" s="15">
        <f>IF(E858&lt;&gt;"","Đã VH","Quy hoạch điện VIII")</f>
        <v/>
      </c>
      <c r="G858" s="16">
        <f>LEFT(B858,FIND(" ",B858,1)-1)</f>
        <v/>
      </c>
      <c r="H858" s="16">
        <f>TRIM(RIGHT(B858,LEN(B858)-FIND(" ",B858,1)))</f>
        <v/>
      </c>
      <c r="I858" s="16">
        <f>_xlfn.XLOOKUP(Table2[[#This Row],[Type]],Table5[Type],Table5[Type2])</f>
        <v/>
      </c>
      <c r="J858" s="16">
        <f>_xlfn.XLOOKUP(Table2[[#This Row],[Sym]],Zones!$A$2:$A$21,Zones!$B$2:$B$21)</f>
        <v/>
      </c>
      <c r="K858" s="21" t="n"/>
    </row>
    <row r="859">
      <c r="A859" s="24" t="n">
        <v>2369</v>
      </c>
      <c r="B859" s="10" t="inlineStr">
        <is>
          <t>T110 KCN Đông An</t>
        </is>
      </c>
      <c r="C859" s="10" t="inlineStr">
        <is>
          <t>TBA 110kV KCN Đông An</t>
        </is>
      </c>
      <c r="D859" s="3" t="inlineStr">
        <is>
          <t>B20</t>
        </is>
      </c>
      <c r="E859" s="9" t="n"/>
      <c r="F859" s="15">
        <f>IF(E859&lt;&gt;"","Đã VH","Quy hoạch điện VIII")</f>
        <v/>
      </c>
      <c r="G859" s="16">
        <f>LEFT(B859,FIND(" ",B859,1)-1)</f>
        <v/>
      </c>
      <c r="H859" s="16">
        <f>TRIM(RIGHT(B859,LEN(B859)-FIND(" ",B859,1)))</f>
        <v/>
      </c>
      <c r="I859" s="16">
        <f>_xlfn.XLOOKUP(Table2[[#This Row],[Type]],Table5[Type],Table5[Type2])</f>
        <v/>
      </c>
      <c r="J859" s="16">
        <f>_xlfn.XLOOKUP(Table2[[#This Row],[Sym]],Zones!$A$2:$A$21,Zones!$B$2:$B$21)</f>
        <v/>
      </c>
      <c r="K859" s="21" t="n"/>
    </row>
    <row r="860">
      <c r="A860" s="24" t="n">
        <v>2370</v>
      </c>
      <c r="B860" s="10" t="inlineStr">
        <is>
          <t>T110 KCN Minh Quân</t>
        </is>
      </c>
      <c r="C860" s="10" t="inlineStr">
        <is>
          <t>TBA 110kV KCN Minh Quân</t>
        </is>
      </c>
      <c r="D860" s="3" t="inlineStr">
        <is>
          <t>B20</t>
        </is>
      </c>
      <c r="E860" s="9" t="n"/>
      <c r="F860" s="15">
        <f>IF(E860&lt;&gt;"","Đã VH","Quy hoạch điện VIII")</f>
        <v/>
      </c>
      <c r="G860" s="16">
        <f>LEFT(B860,FIND(" ",B860,1)-1)</f>
        <v/>
      </c>
      <c r="H860" s="16">
        <f>TRIM(RIGHT(B860,LEN(B860)-FIND(" ",B860,1)))</f>
        <v/>
      </c>
      <c r="I860" s="16">
        <f>_xlfn.XLOOKUP(Table2[[#This Row],[Type]],Table5[Type],Table5[Type2])</f>
        <v/>
      </c>
      <c r="J860" s="16">
        <f>_xlfn.XLOOKUP(Table2[[#This Row],[Sym]],Zones!$A$2:$A$21,Zones!$B$2:$B$21)</f>
        <v/>
      </c>
      <c r="K860" s="21" t="n"/>
    </row>
    <row r="861">
      <c r="A861" s="24" t="n">
        <v>2371</v>
      </c>
      <c r="B861" s="10" t="inlineStr">
        <is>
          <t>T220 Nghĩa Lộ</t>
        </is>
      </c>
      <c r="C861" s="10" t="inlineStr">
        <is>
          <t>TBA 220kV Nghĩa Lộ</t>
        </is>
      </c>
      <c r="D861" s="3" t="inlineStr">
        <is>
          <t>B20</t>
        </is>
      </c>
      <c r="E861" s="9" t="inlineStr">
        <is>
          <t>E12.30</t>
        </is>
      </c>
      <c r="F861" s="15">
        <f>IF(E861&lt;&gt;"","Đã VH","Quy hoạch điện VIII")</f>
        <v/>
      </c>
      <c r="G861" s="16">
        <f>LEFT(B861,FIND(" ",B861,1)-1)</f>
        <v/>
      </c>
      <c r="H861" s="16">
        <f>TRIM(RIGHT(B861,LEN(B861)-FIND(" ",B861,1)))</f>
        <v/>
      </c>
      <c r="I861" s="16">
        <f>_xlfn.XLOOKUP(Table2[[#This Row],[Type]],Table5[Type],Table5[Type2])</f>
        <v/>
      </c>
      <c r="J861" s="16">
        <f>_xlfn.XLOOKUP(Table2[[#This Row],[Sym]],Zones!$A$2:$A$21,Zones!$B$2:$B$21)</f>
        <v/>
      </c>
      <c r="K861" s="21" t="n"/>
    </row>
    <row r="862">
      <c r="A862" s="24" t="n">
        <v>2372</v>
      </c>
      <c r="B862" s="10" t="inlineStr">
        <is>
          <t>T220 Lục Yên</t>
        </is>
      </c>
      <c r="C862" s="10" t="inlineStr">
        <is>
          <t>TBA 220kV Lục Yên</t>
        </is>
      </c>
      <c r="D862" s="3" t="inlineStr">
        <is>
          <t>B20</t>
        </is>
      </c>
      <c r="E862" s="9" t="n"/>
      <c r="F862" s="15">
        <f>IF(E862&lt;&gt;"","Đã VH","Quy hoạch điện VIII")</f>
        <v/>
      </c>
      <c r="G862" s="16">
        <f>LEFT(B862,FIND(" ",B862,1)-1)</f>
        <v/>
      </c>
      <c r="H862" s="16">
        <f>TRIM(RIGHT(B862,LEN(B862)-FIND(" ",B862,1)))</f>
        <v/>
      </c>
      <c r="I862" s="16">
        <f>_xlfn.XLOOKUP(Table2[[#This Row],[Type]],Table5[Type],Table5[Type2])</f>
        <v/>
      </c>
      <c r="J862" s="16">
        <f>_xlfn.XLOOKUP(Table2[[#This Row],[Sym]],Zones!$A$2:$A$21,Zones!$B$2:$B$21)</f>
        <v/>
      </c>
      <c r="K862" s="21" t="n"/>
    </row>
    <row r="863">
      <c r="A863" s="24" t="n">
        <v>2373</v>
      </c>
      <c r="B863" s="10" t="inlineStr">
        <is>
          <t>T110 NM Thép</t>
        </is>
      </c>
      <c r="C863" s="10" t="inlineStr">
        <is>
          <t>TBA 110kV NM Thép</t>
        </is>
      </c>
      <c r="D863" s="3" t="inlineStr">
        <is>
          <t>B20</t>
        </is>
      </c>
      <c r="E863" s="9" t="n"/>
      <c r="F863" s="15">
        <f>IF(E863&lt;&gt;"","Đã VH","Quy hoạch điện VIII")</f>
        <v/>
      </c>
      <c r="G863" s="16">
        <f>LEFT(B863,FIND(" ",B863,1)-1)</f>
        <v/>
      </c>
      <c r="H863" s="16">
        <f>TRIM(RIGHT(B863,LEN(B863)-FIND(" ",B863,1)))</f>
        <v/>
      </c>
      <c r="I863" s="16">
        <f>_xlfn.XLOOKUP(Table2[[#This Row],[Type]],Table5[Type],Table5[Type2])</f>
        <v/>
      </c>
      <c r="J863" s="16">
        <f>_xlfn.XLOOKUP(Table2[[#This Row],[Sym]],Zones!$A$2:$A$21,Zones!$B$2:$B$21)</f>
        <v/>
      </c>
      <c r="K863" s="21" t="n"/>
    </row>
    <row r="864">
      <c r="A864" s="24" t="n">
        <v>2374</v>
      </c>
      <c r="B864" s="10" t="inlineStr">
        <is>
          <t>T110 Mù Cang Chải</t>
        </is>
      </c>
      <c r="C864" s="10" t="inlineStr">
        <is>
          <t>TBA 110kV Mù Cang Chải</t>
        </is>
      </c>
      <c r="D864" s="3" t="inlineStr">
        <is>
          <t>B20</t>
        </is>
      </c>
      <c r="E864" s="9" t="n"/>
      <c r="F864" s="15">
        <f>IF(E864&lt;&gt;"","Đã VH","Quy hoạch điện VIII")</f>
        <v/>
      </c>
      <c r="G864" s="16">
        <f>LEFT(B864,FIND(" ",B864,1)-1)</f>
        <v/>
      </c>
      <c r="H864" s="16">
        <f>TRIM(RIGHT(B864,LEN(B864)-FIND(" ",B864,1)))</f>
        <v/>
      </c>
      <c r="I864" s="16">
        <f>_xlfn.XLOOKUP(Table2[[#This Row],[Type]],Table5[Type],Table5[Type2])</f>
        <v/>
      </c>
      <c r="J864" s="16">
        <f>_xlfn.XLOOKUP(Table2[[#This Row],[Sym]],Zones!$A$2:$A$21,Zones!$B$2:$B$21)</f>
        <v/>
      </c>
      <c r="K864" s="21" t="n"/>
    </row>
    <row r="865">
      <c r="A865" s="24" t="n">
        <v>2375</v>
      </c>
      <c r="B865" s="10" t="inlineStr">
        <is>
          <t>TĐ Mí Háng Tầu</t>
        </is>
      </c>
      <c r="C865" s="10" t="inlineStr">
        <is>
          <t>NM TĐN Mí Háng Tầu</t>
        </is>
      </c>
      <c r="D865" s="3" t="inlineStr">
        <is>
          <t>B20</t>
        </is>
      </c>
      <c r="E865" s="9" t="n"/>
      <c r="F865" s="15">
        <f>IF(E865&lt;&gt;"","Đã VH","Quy hoạch điện VIII")</f>
        <v/>
      </c>
      <c r="G865" s="16">
        <f>LEFT(B865,FIND(" ",B865,1)-1)</f>
        <v/>
      </c>
      <c r="H865" s="16">
        <f>TRIM(RIGHT(B865,LEN(B865)-FIND(" ",B865,1)))</f>
        <v/>
      </c>
      <c r="I865" s="16">
        <f>_xlfn.XLOOKUP(Table2[[#This Row],[Type]],Table5[Type],Table5[Type2])</f>
        <v/>
      </c>
      <c r="J865" s="16">
        <f>_xlfn.XLOOKUP(Table2[[#This Row],[Sym]],Zones!$A$2:$A$21,Zones!$B$2:$B$21)</f>
        <v/>
      </c>
      <c r="K865" s="21" t="n"/>
    </row>
    <row r="866">
      <c r="A866" s="24" t="n">
        <v>2376</v>
      </c>
      <c r="B866" s="10" t="inlineStr">
        <is>
          <t>TĐ Thác Bà 2</t>
        </is>
      </c>
      <c r="C866" s="10" t="inlineStr">
        <is>
          <t>NM TĐN Thác Bà 2</t>
        </is>
      </c>
      <c r="D866" s="3" t="inlineStr">
        <is>
          <t>B20</t>
        </is>
      </c>
      <c r="E866" s="9" t="inlineStr">
        <is>
          <t>A12.44</t>
        </is>
      </c>
      <c r="F866" s="15">
        <f>IF(E866&lt;&gt;"","Đã VH","Quy hoạch điện VIII")</f>
        <v/>
      </c>
      <c r="G866" s="16">
        <f>LEFT(B866,FIND(" ",B866,1)-1)</f>
        <v/>
      </c>
      <c r="H866" s="16">
        <f>TRIM(RIGHT(B866,LEN(B866)-FIND(" ",B866,1)))</f>
        <v/>
      </c>
      <c r="I866" s="16">
        <f>_xlfn.XLOOKUP(Table2[[#This Row],[Type]],Table5[Type],Table5[Type2])</f>
        <v/>
      </c>
      <c r="J866" s="16">
        <f>_xlfn.XLOOKUP(Table2[[#This Row],[Sym]],Zones!$A$2:$A$21,Zones!$B$2:$B$21)</f>
        <v/>
      </c>
      <c r="K866" s="21" t="n"/>
    </row>
    <row r="867">
      <c r="A867" s="24" t="n">
        <v>2377</v>
      </c>
      <c r="B867" s="10" t="inlineStr">
        <is>
          <t>TĐ Ngòi Hút 8</t>
        </is>
      </c>
      <c r="C867" s="10" t="inlineStr">
        <is>
          <t>NM TĐN Ngòi Hút 8</t>
        </is>
      </c>
      <c r="D867" s="3" t="inlineStr">
        <is>
          <t>B20</t>
        </is>
      </c>
      <c r="E867" s="9" t="n"/>
      <c r="F867" s="15">
        <f>IF(E867&lt;&gt;"","Đã VH","Quy hoạch điện VIII")</f>
        <v/>
      </c>
      <c r="G867" s="16">
        <f>LEFT(B867,FIND(" ",B867,1)-1)</f>
        <v/>
      </c>
      <c r="H867" s="16">
        <f>TRIM(RIGHT(B867,LEN(B867)-FIND(" ",B867,1)))</f>
        <v/>
      </c>
      <c r="I867" s="16">
        <f>_xlfn.XLOOKUP(Table2[[#This Row],[Type]],Table5[Type],Table5[Type2])</f>
        <v/>
      </c>
      <c r="J867" s="16">
        <f>_xlfn.XLOOKUP(Table2[[#This Row],[Sym]],Zones!$A$2:$A$21,Zones!$B$2:$B$21)</f>
        <v/>
      </c>
      <c r="K867" s="21" t="n"/>
    </row>
    <row r="868">
      <c r="A868" s="24" t="n">
        <v>2378</v>
      </c>
      <c r="B868" s="10" t="inlineStr">
        <is>
          <t>TĐ Đế Dính Máo</t>
        </is>
      </c>
      <c r="C868" s="10" t="inlineStr">
        <is>
          <t>NM TĐN Đế Dính Máo</t>
        </is>
      </c>
      <c r="D868" s="3" t="inlineStr">
        <is>
          <t>B20</t>
        </is>
      </c>
      <c r="E868" s="9" t="n"/>
      <c r="F868" s="15">
        <f>IF(E868&lt;&gt;"","Đã VH","Quy hoạch điện VIII")</f>
        <v/>
      </c>
      <c r="G868" s="16">
        <f>LEFT(B868,FIND(" ",B868,1)-1)</f>
        <v/>
      </c>
      <c r="H868" s="16">
        <f>TRIM(RIGHT(B868,LEN(B868)-FIND(" ",B868,1)))</f>
        <v/>
      </c>
      <c r="I868" s="16">
        <f>_xlfn.XLOOKUP(Table2[[#This Row],[Type]],Table5[Type],Table5[Type2])</f>
        <v/>
      </c>
      <c r="J868" s="16">
        <f>_xlfn.XLOOKUP(Table2[[#This Row],[Sym]],Zones!$A$2:$A$21,Zones!$B$2:$B$21)</f>
        <v/>
      </c>
      <c r="K868" s="21" t="n"/>
    </row>
    <row r="869">
      <c r="A869" s="24" t="n">
        <v>2379</v>
      </c>
      <c r="B869" s="10" t="inlineStr">
        <is>
          <t>TĐ Chấn Thịnh</t>
        </is>
      </c>
      <c r="C869" s="10" t="inlineStr">
        <is>
          <t>NM TĐN Chấn Thịnh</t>
        </is>
      </c>
      <c r="D869" s="3" t="inlineStr">
        <is>
          <t>B20</t>
        </is>
      </c>
      <c r="E869" s="9" t="n"/>
      <c r="F869" s="15">
        <f>IF(E869&lt;&gt;"","Đã VH","Quy hoạch điện VIII")</f>
        <v/>
      </c>
      <c r="G869" s="16">
        <f>LEFT(B869,FIND(" ",B869,1)-1)</f>
        <v/>
      </c>
      <c r="H869" s="16">
        <f>TRIM(RIGHT(B869,LEN(B869)-FIND(" ",B869,1)))</f>
        <v/>
      </c>
      <c r="I869" s="16">
        <f>_xlfn.XLOOKUP(Table2[[#This Row],[Type]],Table5[Type],Table5[Type2])</f>
        <v/>
      </c>
      <c r="J869" s="16">
        <f>_xlfn.XLOOKUP(Table2[[#This Row],[Sym]],Zones!$A$2:$A$21,Zones!$B$2:$B$21)</f>
        <v/>
      </c>
      <c r="K869" s="21" t="n"/>
    </row>
    <row r="870">
      <c r="A870" s="24" t="n">
        <v>2385</v>
      </c>
      <c r="B870" s="10" t="inlineStr">
        <is>
          <t>TĐ Phìn Hồ</t>
        </is>
      </c>
      <c r="C870" s="10" t="inlineStr">
        <is>
          <t>NM TĐN Phìn Hồ</t>
        </is>
      </c>
      <c r="D870" s="3" t="inlineStr">
        <is>
          <t>B20</t>
        </is>
      </c>
      <c r="E870" s="9" t="inlineStr">
        <is>
          <t>A12.29</t>
        </is>
      </c>
      <c r="F870" s="15">
        <f>IF(E870&lt;&gt;"","Đã VH","Quy hoạch điện VIII")</f>
        <v/>
      </c>
      <c r="G870" s="16">
        <f>LEFT(B870,FIND(" ",B870,1)-1)</f>
        <v/>
      </c>
      <c r="H870" s="16">
        <f>TRIM(RIGHT(B870,LEN(B870)-FIND(" ",B870,1)))</f>
        <v/>
      </c>
      <c r="I870" s="16">
        <f>_xlfn.XLOOKUP(Table2[[#This Row],[Type]],Table5[Type],Table5[Type2])</f>
        <v/>
      </c>
      <c r="J870" s="16">
        <f>_xlfn.XLOOKUP(Table2[[#This Row],[Sym]],Zones!$A$2:$A$21,Zones!$B$2:$B$21)</f>
        <v/>
      </c>
      <c r="K870" s="21" t="n"/>
    </row>
    <row r="871">
      <c r="A871" s="24" t="n">
        <v>2440</v>
      </c>
      <c r="B871" s="10" t="inlineStr">
        <is>
          <t>T110 Đồng Mỏ</t>
        </is>
      </c>
      <c r="C871" s="10" t="inlineStr">
        <is>
          <t>TBA 110kV Đồng Mỏ</t>
        </is>
      </c>
      <c r="D871" s="3" t="inlineStr">
        <is>
          <t>B13</t>
        </is>
      </c>
      <c r="E871" s="9" t="inlineStr">
        <is>
          <t>E13.1</t>
        </is>
      </c>
      <c r="F871" s="15">
        <f>IF(E871&lt;&gt;"","Đã VH","Quy hoạch điện VIII")</f>
        <v/>
      </c>
      <c r="G871" s="16">
        <f>LEFT(B871,FIND(" ",B871,1)-1)</f>
        <v/>
      </c>
      <c r="H871" s="16">
        <f>TRIM(RIGHT(B871,LEN(B871)-FIND(" ",B871,1)))</f>
        <v/>
      </c>
      <c r="I871" s="16">
        <f>_xlfn.XLOOKUP(Table2[[#This Row],[Type]],Table5[Type],Table5[Type2])</f>
        <v/>
      </c>
      <c r="J871" s="16">
        <f>_xlfn.XLOOKUP(Table2[[#This Row],[Sym]],Zones!$A$2:$A$21,Zones!$B$2:$B$21)</f>
        <v/>
      </c>
      <c r="K871" s="21" t="n"/>
    </row>
    <row r="872">
      <c r="A872" s="24" t="n">
        <v>2441</v>
      </c>
      <c r="B872" s="10" t="inlineStr">
        <is>
          <t>T110 Lạng Sơn</t>
        </is>
      </c>
      <c r="C872" s="10" t="inlineStr">
        <is>
          <t>TBA 110kV Lạng Sơn</t>
        </is>
      </c>
      <c r="D872" s="3" t="inlineStr">
        <is>
          <t>B13</t>
        </is>
      </c>
      <c r="E872" s="9" t="inlineStr">
        <is>
          <t>E13.2</t>
        </is>
      </c>
      <c r="F872" s="15">
        <f>IF(E872&lt;&gt;"","Đã VH","Quy hoạch điện VIII")</f>
        <v/>
      </c>
      <c r="G872" s="16">
        <f>LEFT(B872,FIND(" ",B872,1)-1)</f>
        <v/>
      </c>
      <c r="H872" s="16">
        <f>TRIM(RIGHT(B872,LEN(B872)-FIND(" ",B872,1)))</f>
        <v/>
      </c>
      <c r="I872" s="16">
        <f>_xlfn.XLOOKUP(Table2[[#This Row],[Type]],Table5[Type],Table5[Type2])</f>
        <v/>
      </c>
      <c r="J872" s="16">
        <f>_xlfn.XLOOKUP(Table2[[#This Row],[Sym]],Zones!$A$2:$A$21,Zones!$B$2:$B$21)</f>
        <v/>
      </c>
      <c r="K872" s="21" t="n"/>
    </row>
    <row r="873">
      <c r="A873" s="24" t="n">
        <v>2442</v>
      </c>
      <c r="B873" s="10" t="inlineStr">
        <is>
          <t>NĐ Na Dương</t>
        </is>
      </c>
      <c r="C873" s="10" t="inlineStr">
        <is>
          <t xml:space="preserve"> Na Dương</t>
        </is>
      </c>
      <c r="D873" s="3" t="inlineStr">
        <is>
          <t>B13</t>
        </is>
      </c>
      <c r="E873" s="9" t="inlineStr">
        <is>
          <t>A13.0</t>
        </is>
      </c>
      <c r="F873" s="15">
        <f>IF(E873&lt;&gt;"","Đã VH","Quy hoạch điện VIII")</f>
        <v/>
      </c>
      <c r="G873" s="16">
        <f>LEFT(B873,FIND(" ",B873,1)-1)</f>
        <v/>
      </c>
      <c r="H873" s="16">
        <f>TRIM(RIGHT(B873,LEN(B873)-FIND(" ",B873,1)))</f>
        <v/>
      </c>
      <c r="I873" s="16">
        <f>_xlfn.XLOOKUP(Table2[[#This Row],[Type]],Table5[Type],Table5[Type2])</f>
        <v/>
      </c>
      <c r="J873" s="16">
        <f>_xlfn.XLOOKUP(Table2[[#This Row],[Sym]],Zones!$A$2:$A$21,Zones!$B$2:$B$21)</f>
        <v/>
      </c>
      <c r="K873" s="21" t="n"/>
    </row>
    <row r="874">
      <c r="A874" s="24" t="n">
        <v>2443</v>
      </c>
      <c r="B874" s="10" t="inlineStr">
        <is>
          <t>T110 XM Đồng Bành</t>
        </is>
      </c>
      <c r="C874" s="10" t="inlineStr">
        <is>
          <t>TBA 110kV XM Đồng Bành</t>
        </is>
      </c>
      <c r="D874" s="3" t="inlineStr">
        <is>
          <t>B13</t>
        </is>
      </c>
      <c r="E874" s="9" t="inlineStr">
        <is>
          <t>E13.4</t>
        </is>
      </c>
      <c r="F874" s="15">
        <f>IF(E874&lt;&gt;"","Đã VH","Quy hoạch điện VIII")</f>
        <v/>
      </c>
      <c r="G874" s="16">
        <f>LEFT(B874,FIND(" ",B874,1)-1)</f>
        <v/>
      </c>
      <c r="H874" s="16">
        <f>TRIM(RIGHT(B874,LEN(B874)-FIND(" ",B874,1)))</f>
        <v/>
      </c>
      <c r="I874" s="16">
        <f>_xlfn.XLOOKUP(Table2[[#This Row],[Type]],Table5[Type],Table5[Type2])</f>
        <v/>
      </c>
      <c r="J874" s="16">
        <f>_xlfn.XLOOKUP(Table2[[#This Row],[Sym]],Zones!$A$2:$A$21,Zones!$B$2:$B$21)</f>
        <v/>
      </c>
      <c r="K874" s="21" t="n"/>
    </row>
    <row r="875">
      <c r="A875" s="24" t="n">
        <v>2444</v>
      </c>
      <c r="B875" s="10" t="inlineStr">
        <is>
          <t>T110 Hữu Lũng</t>
        </is>
      </c>
      <c r="C875" s="10" t="inlineStr">
        <is>
          <t>TBA 110kV Hữu Lũng</t>
        </is>
      </c>
      <c r="D875" s="3" t="inlineStr">
        <is>
          <t>B13</t>
        </is>
      </c>
      <c r="E875" s="9" t="inlineStr">
        <is>
          <t>E13.7</t>
        </is>
      </c>
      <c r="F875" s="15">
        <f>IF(E875&lt;&gt;"","Đã VH","Quy hoạch điện VIII")</f>
        <v/>
      </c>
      <c r="G875" s="16">
        <f>LEFT(B875,FIND(" ",B875,1)-1)</f>
        <v/>
      </c>
      <c r="H875" s="16">
        <f>TRIM(RIGHT(B875,LEN(B875)-FIND(" ",B875,1)))</f>
        <v/>
      </c>
      <c r="I875" s="16">
        <f>_xlfn.XLOOKUP(Table2[[#This Row],[Type]],Table5[Type],Table5[Type2])</f>
        <v/>
      </c>
      <c r="J875" s="16">
        <f>_xlfn.XLOOKUP(Table2[[#This Row],[Sym]],Zones!$A$2:$A$21,Zones!$B$2:$B$21)</f>
        <v/>
      </c>
      <c r="K875" s="21" t="n"/>
    </row>
    <row r="876">
      <c r="A876" s="24" t="n">
        <v>2445</v>
      </c>
      <c r="B876" s="10" t="inlineStr">
        <is>
          <t>TĐ Thác Xăng</t>
        </is>
      </c>
      <c r="C876" s="10" t="inlineStr">
        <is>
          <t>NM TĐN Thác Xăng</t>
        </is>
      </c>
      <c r="D876" s="3" t="inlineStr">
        <is>
          <t>B13</t>
        </is>
      </c>
      <c r="E876" s="9" t="inlineStr">
        <is>
          <t>A13.5</t>
        </is>
      </c>
      <c r="F876" s="15">
        <f>IF(E876&lt;&gt;"","Đã VH","Quy hoạch điện VIII")</f>
        <v/>
      </c>
      <c r="G876" s="16">
        <f>LEFT(B876,FIND(" ",B876,1)-1)</f>
        <v/>
      </c>
      <c r="H876" s="16">
        <f>TRIM(RIGHT(B876,LEN(B876)-FIND(" ",B876,1)))</f>
        <v/>
      </c>
      <c r="I876" s="16">
        <f>_xlfn.XLOOKUP(Table2[[#This Row],[Type]],Table5[Type],Table5[Type2])</f>
        <v/>
      </c>
      <c r="J876" s="16">
        <f>_xlfn.XLOOKUP(Table2[[#This Row],[Sym]],Zones!$A$2:$A$21,Zones!$B$2:$B$21)</f>
        <v/>
      </c>
      <c r="K876" s="21" t="n"/>
    </row>
    <row r="877">
      <c r="A877" s="24" t="n">
        <v>2446</v>
      </c>
      <c r="B877" s="10" t="inlineStr">
        <is>
          <t>T110 Đồng Đăng</t>
        </is>
      </c>
      <c r="C877" s="32" t="inlineStr">
        <is>
          <t>TBA 110kV Đồng Đăng</t>
        </is>
      </c>
      <c r="D877" s="3" t="inlineStr">
        <is>
          <t>B13</t>
        </is>
      </c>
      <c r="E877" s="9" t="inlineStr">
        <is>
          <t>E13.6</t>
        </is>
      </c>
      <c r="F877" s="15">
        <f>IF(E877&lt;&gt;"","Đã VH","Quy hoạch điện VIII")</f>
        <v/>
      </c>
      <c r="G877" s="16">
        <f>LEFT(B877,FIND(" ",B877,1)-1)</f>
        <v/>
      </c>
      <c r="H877" s="16">
        <f>TRIM(RIGHT(B877,LEN(B877)-FIND(" ",B877,1)))</f>
        <v/>
      </c>
      <c r="I877" s="16">
        <f>_xlfn.XLOOKUP(Table2[[#This Row],[Type]],Table5[Type],Table5[Type2])</f>
        <v/>
      </c>
      <c r="J877" s="16">
        <f>_xlfn.XLOOKUP(Table2[[#This Row],[Sym]],Zones!$A$2:$A$21,Zones!$B$2:$B$21)</f>
        <v/>
      </c>
      <c r="K877" s="21" t="n"/>
    </row>
    <row r="878">
      <c r="A878" s="24" t="n">
        <v>2447</v>
      </c>
      <c r="B878" s="10" t="inlineStr">
        <is>
          <t>T110 Cao Lộc</t>
        </is>
      </c>
      <c r="C878" s="10" t="inlineStr">
        <is>
          <t>TBA 110kV Cao Lộc</t>
        </is>
      </c>
      <c r="D878" s="3" t="inlineStr">
        <is>
          <t>B13</t>
        </is>
      </c>
      <c r="E878" s="9" t="inlineStr">
        <is>
          <t>E13.8</t>
        </is>
      </c>
      <c r="F878" s="15">
        <f>IF(E878&lt;&gt;"","Đã VH","Quy hoạch điện VIII")</f>
        <v/>
      </c>
      <c r="G878" s="16">
        <f>LEFT(B878,FIND(" ",B878,1)-1)</f>
        <v/>
      </c>
      <c r="H878" s="16">
        <f>TRIM(RIGHT(B878,LEN(B878)-FIND(" ",B878,1)))</f>
        <v/>
      </c>
      <c r="I878" s="16">
        <f>_xlfn.XLOOKUP(Table2[[#This Row],[Type]],Table5[Type],Table5[Type2])</f>
        <v/>
      </c>
      <c r="J878" s="16">
        <f>_xlfn.XLOOKUP(Table2[[#This Row],[Sym]],Zones!$A$2:$A$21,Zones!$B$2:$B$21)</f>
        <v/>
      </c>
      <c r="K878" s="21" t="n"/>
    </row>
    <row r="879">
      <c r="A879" s="24" t="n">
        <v>2448</v>
      </c>
      <c r="B879" s="10" t="inlineStr">
        <is>
          <t>T110 Tràng Định</t>
        </is>
      </c>
      <c r="C879" s="10" t="inlineStr">
        <is>
          <t>TBA 110kV Tràng Định</t>
        </is>
      </c>
      <c r="D879" s="3" t="inlineStr">
        <is>
          <t>B13</t>
        </is>
      </c>
      <c r="E879" s="9" t="inlineStr">
        <is>
          <t>E13.9</t>
        </is>
      </c>
      <c r="F879" s="15">
        <f>IF(E879&lt;&gt;"","Đã VH","Quy hoạch điện VIII")</f>
        <v/>
      </c>
      <c r="G879" s="16">
        <f>LEFT(B879,FIND(" ",B879,1)-1)</f>
        <v/>
      </c>
      <c r="H879" s="16">
        <f>TRIM(RIGHT(B879,LEN(B879)-FIND(" ",B879,1)))</f>
        <v/>
      </c>
      <c r="I879" s="16">
        <f>_xlfn.XLOOKUP(Table2[[#This Row],[Type]],Table5[Type],Table5[Type2])</f>
        <v/>
      </c>
      <c r="J879" s="16">
        <f>_xlfn.XLOOKUP(Table2[[#This Row],[Sym]],Zones!$A$2:$A$21,Zones!$B$2:$B$21)</f>
        <v/>
      </c>
      <c r="K879" s="21" t="n"/>
    </row>
    <row r="880">
      <c r="A880" s="24" t="n">
        <v>2449</v>
      </c>
      <c r="B880" s="10" t="inlineStr">
        <is>
          <t>T110 Bình Gia</t>
        </is>
      </c>
      <c r="C880" s="10" t="inlineStr">
        <is>
          <t>TBA 110kV Bình Gia</t>
        </is>
      </c>
      <c r="D880" s="3" t="inlineStr">
        <is>
          <t>B13</t>
        </is>
      </c>
      <c r="E880" s="9" t="inlineStr">
        <is>
          <t>E13.11</t>
        </is>
      </c>
      <c r="F880" s="15">
        <f>IF(E880&lt;&gt;"","Đã VH","Quy hoạch điện VIII")</f>
        <v/>
      </c>
      <c r="G880" s="16">
        <f>LEFT(B880,FIND(" ",B880,1)-1)</f>
        <v/>
      </c>
      <c r="H880" s="16">
        <f>TRIM(RIGHT(B880,LEN(B880)-FIND(" ",B880,1)))</f>
        <v/>
      </c>
      <c r="I880" s="16">
        <f>_xlfn.XLOOKUP(Table2[[#This Row],[Type]],Table5[Type],Table5[Type2])</f>
        <v/>
      </c>
      <c r="J880" s="16">
        <f>_xlfn.XLOOKUP(Table2[[#This Row],[Sym]],Zones!$A$2:$A$21,Zones!$B$2:$B$21)</f>
        <v/>
      </c>
      <c r="K880" s="21" t="n"/>
    </row>
    <row r="881">
      <c r="A881" s="24" t="n">
        <v>2450</v>
      </c>
      <c r="B881" s="10" t="inlineStr">
        <is>
          <t>T220 Lạng Sơn 1</t>
        </is>
      </c>
      <c r="C881" s="10" t="inlineStr">
        <is>
          <t>TBA 220kV Lạng Sơn 1</t>
        </is>
      </c>
      <c r="D881" s="3" t="inlineStr">
        <is>
          <t>B13</t>
        </is>
      </c>
      <c r="E881" s="9" t="n"/>
      <c r="F881" s="15">
        <f>IF(E881&lt;&gt;"","Đã VH","Quy hoạch điện VIII")</f>
        <v/>
      </c>
      <c r="G881" s="16">
        <f>LEFT(B881,FIND(" ",B881,1)-1)</f>
        <v/>
      </c>
      <c r="H881" s="16">
        <f>TRIM(RIGHT(B881,LEN(B881)-FIND(" ",B881,1)))</f>
        <v/>
      </c>
      <c r="I881" s="16">
        <f>_xlfn.XLOOKUP(Table2[[#This Row],[Type]],Table5[Type],Table5[Type2])</f>
        <v/>
      </c>
      <c r="J881" s="16">
        <f>_xlfn.XLOOKUP(Table2[[#This Row],[Sym]],Zones!$A$2:$A$21,Zones!$B$2:$B$21)</f>
        <v/>
      </c>
      <c r="K881" s="21" t="n"/>
    </row>
    <row r="882">
      <c r="A882" s="24" t="n">
        <v>2451</v>
      </c>
      <c r="B882" s="10" t="inlineStr">
        <is>
          <t>NĐ Na Dương 2</t>
        </is>
      </c>
      <c r="C882" s="10" t="inlineStr">
        <is>
          <t xml:space="preserve"> Na Dương 2</t>
        </is>
      </c>
      <c r="D882" s="3" t="inlineStr">
        <is>
          <t>B13</t>
        </is>
      </c>
      <c r="E882" s="9" t="n"/>
      <c r="F882" s="15">
        <f>IF(E882&lt;&gt;"","Đã VH","Quy hoạch điện VIII")</f>
        <v/>
      </c>
      <c r="G882" s="16">
        <f>LEFT(B882,FIND(" ",B882,1)-1)</f>
        <v/>
      </c>
      <c r="H882" s="16">
        <f>TRIM(RIGHT(B882,LEN(B882)-FIND(" ",B882,1)))</f>
        <v/>
      </c>
      <c r="I882" s="16">
        <f>_xlfn.XLOOKUP(Table2[[#This Row],[Type]],Table5[Type],Table5[Type2])</f>
        <v/>
      </c>
      <c r="J882" s="16">
        <f>_xlfn.XLOOKUP(Table2[[#This Row],[Sym]],Zones!$A$2:$A$21,Zones!$B$2:$B$21)</f>
        <v/>
      </c>
      <c r="K882" s="21" t="n"/>
    </row>
    <row r="883">
      <c r="A883" s="24" t="n">
        <v>2452</v>
      </c>
      <c r="B883" s="10" t="inlineStr">
        <is>
          <t>T220 Lạng Sơn 2</t>
        </is>
      </c>
      <c r="C883" s="10" t="inlineStr">
        <is>
          <t>TBA 220kV Lạng Sơn 2</t>
        </is>
      </c>
      <c r="D883" s="3" t="inlineStr">
        <is>
          <t>B13</t>
        </is>
      </c>
      <c r="E883" s="9" t="n"/>
      <c r="F883" s="15">
        <f>IF(E883&lt;&gt;"","Đã VH","Quy hoạch điện VIII")</f>
        <v/>
      </c>
      <c r="G883" s="16">
        <f>LEFT(B883,FIND(" ",B883,1)-1)</f>
        <v/>
      </c>
      <c r="H883" s="16">
        <f>TRIM(RIGHT(B883,LEN(B883)-FIND(" ",B883,1)))</f>
        <v/>
      </c>
      <c r="I883" s="16">
        <f>_xlfn.XLOOKUP(Table2[[#This Row],[Type]],Table5[Type],Table5[Type2])</f>
        <v/>
      </c>
      <c r="J883" s="16">
        <f>_xlfn.XLOOKUP(Table2[[#This Row],[Sym]],Zones!$A$2:$A$21,Zones!$B$2:$B$21)</f>
        <v/>
      </c>
      <c r="K883" s="21" t="n"/>
    </row>
    <row r="884">
      <c r="A884" s="24" t="n">
        <v>2453</v>
      </c>
      <c r="B884" s="10" t="inlineStr">
        <is>
          <t>T110 Lộc Bình</t>
        </is>
      </c>
      <c r="C884" s="10" t="inlineStr">
        <is>
          <t>TBA 110kV Lộc Bình</t>
        </is>
      </c>
      <c r="D884" s="3" t="inlineStr">
        <is>
          <t>B13</t>
        </is>
      </c>
      <c r="E884" s="9" t="inlineStr">
        <is>
          <t>E13.12</t>
        </is>
      </c>
      <c r="F884" s="15">
        <f>IF(E884&lt;&gt;"","Đã VH","Quy hoạch điện VIII")</f>
        <v/>
      </c>
      <c r="G884" s="16">
        <f>LEFT(B884,FIND(" ",B884,1)-1)</f>
        <v/>
      </c>
      <c r="H884" s="16">
        <f>TRIM(RIGHT(B884,LEN(B884)-FIND(" ",B884,1)))</f>
        <v/>
      </c>
      <c r="I884" s="16">
        <f>_xlfn.XLOOKUP(Table2[[#This Row],[Type]],Table5[Type],Table5[Type2])</f>
        <v/>
      </c>
      <c r="J884" s="16">
        <f>_xlfn.XLOOKUP(Table2[[#This Row],[Sym]],Zones!$A$2:$A$21,Zones!$B$2:$B$21)</f>
        <v/>
      </c>
      <c r="K884" s="21" t="n"/>
    </row>
    <row r="885">
      <c r="A885" s="24" t="n">
        <v>2454</v>
      </c>
      <c r="B885" s="10" t="inlineStr">
        <is>
          <t>T110 Đình Lập</t>
        </is>
      </c>
      <c r="C885" s="10" t="inlineStr">
        <is>
          <t>TBA 110kV Đình Lập</t>
        </is>
      </c>
      <c r="D885" s="3" t="inlineStr">
        <is>
          <t>B13</t>
        </is>
      </c>
      <c r="E885" s="9" t="n"/>
      <c r="F885" s="15">
        <f>IF(E885&lt;&gt;"","Đã VH","Quy hoạch điện VIII")</f>
        <v/>
      </c>
      <c r="G885" s="16">
        <f>LEFT(B885,FIND(" ",B885,1)-1)</f>
        <v/>
      </c>
      <c r="H885" s="16">
        <f>TRIM(RIGHT(B885,LEN(B885)-FIND(" ",B885,1)))</f>
        <v/>
      </c>
      <c r="I885" s="16">
        <f>_xlfn.XLOOKUP(Table2[[#This Row],[Type]],Table5[Type],Table5[Type2])</f>
        <v/>
      </c>
      <c r="J885" s="16">
        <f>_xlfn.XLOOKUP(Table2[[#This Row],[Sym]],Zones!$A$2:$A$21,Zones!$B$2:$B$21)</f>
        <v/>
      </c>
      <c r="K885" s="21" t="n"/>
    </row>
    <row r="886">
      <c r="A886" s="24" t="n">
        <v>2455</v>
      </c>
      <c r="B886" s="10" t="inlineStr">
        <is>
          <t>T110 Hữu Lũng 2</t>
        </is>
      </c>
      <c r="C886" s="10" t="inlineStr">
        <is>
          <t>TBA 110kV Hữu Lũng 2</t>
        </is>
      </c>
      <c r="D886" s="3" t="inlineStr">
        <is>
          <t>B13</t>
        </is>
      </c>
      <c r="E886" s="9" t="n"/>
      <c r="F886" s="15">
        <f>IF(E886&lt;&gt;"","Đã VH","Quy hoạch điện VIII")</f>
        <v/>
      </c>
      <c r="G886" s="16">
        <f>LEFT(B886,FIND(" ",B886,1)-1)</f>
        <v/>
      </c>
      <c r="H886" s="16">
        <f>TRIM(RIGHT(B886,LEN(B886)-FIND(" ",B886,1)))</f>
        <v/>
      </c>
      <c r="I886" s="16">
        <f>_xlfn.XLOOKUP(Table2[[#This Row],[Type]],Table5[Type],Table5[Type2])</f>
        <v/>
      </c>
      <c r="J886" s="16">
        <f>_xlfn.XLOOKUP(Table2[[#This Row],[Sym]],Zones!$A$2:$A$21,Zones!$B$2:$B$21)</f>
        <v/>
      </c>
      <c r="K886" s="21" t="n"/>
    </row>
    <row r="887">
      <c r="A887" s="24" t="n">
        <v>2456</v>
      </c>
      <c r="B887" s="10" t="inlineStr">
        <is>
          <t>T110 Bắc Sơn</t>
        </is>
      </c>
      <c r="C887" s="10" t="inlineStr">
        <is>
          <t>TBA 110kV Bắc Sơn</t>
        </is>
      </c>
      <c r="D887" s="3" t="inlineStr">
        <is>
          <t>B13</t>
        </is>
      </c>
      <c r="E887" s="9" t="n"/>
      <c r="F887" s="15">
        <f>IF(E887&lt;&gt;"","Đã VH","Quy hoạch điện VIII")</f>
        <v/>
      </c>
      <c r="G887" s="16">
        <f>LEFT(B887,FIND(" ",B887,1)-1)</f>
        <v/>
      </c>
      <c r="H887" s="16">
        <f>TRIM(RIGHT(B887,LEN(B887)-FIND(" ",B887,1)))</f>
        <v/>
      </c>
      <c r="I887" s="16">
        <f>_xlfn.XLOOKUP(Table2[[#This Row],[Type]],Table5[Type],Table5[Type2])</f>
        <v/>
      </c>
      <c r="J887" s="16">
        <f>_xlfn.XLOOKUP(Table2[[#This Row],[Sym]],Zones!$A$2:$A$21,Zones!$B$2:$B$21)</f>
        <v/>
      </c>
      <c r="K887" s="21" t="n"/>
    </row>
    <row r="888">
      <c r="A888" s="24" t="n">
        <v>2457</v>
      </c>
      <c r="B888" s="10" t="inlineStr">
        <is>
          <t>T110 Văn Quan</t>
        </is>
      </c>
      <c r="C888" s="10" t="inlineStr">
        <is>
          <t>TBA 110kV Văn Quan</t>
        </is>
      </c>
      <c r="D888" s="3" t="inlineStr">
        <is>
          <t>B13</t>
        </is>
      </c>
      <c r="E888" s="9" t="n"/>
      <c r="F888" s="15">
        <f>IF(E888&lt;&gt;"","Đã VH","Quy hoạch điện VIII")</f>
        <v/>
      </c>
      <c r="G888" s="16">
        <f>LEFT(B888,FIND(" ",B888,1)-1)</f>
        <v/>
      </c>
      <c r="H888" s="16">
        <f>TRIM(RIGHT(B888,LEN(B888)-FIND(" ",B888,1)))</f>
        <v/>
      </c>
      <c r="I888" s="16">
        <f>_xlfn.XLOOKUP(Table2[[#This Row],[Type]],Table5[Type],Table5[Type2])</f>
        <v/>
      </c>
      <c r="J888" s="16">
        <f>_xlfn.XLOOKUP(Table2[[#This Row],[Sym]],Zones!$A$2:$A$21,Zones!$B$2:$B$21)</f>
        <v/>
      </c>
      <c r="K888" s="21" t="n"/>
    </row>
    <row r="889">
      <c r="A889" s="24" t="n">
        <v>2458</v>
      </c>
      <c r="B889" s="10" t="inlineStr">
        <is>
          <t>T110 Lạng Sơn 2</t>
        </is>
      </c>
      <c r="C889" s="10" t="inlineStr">
        <is>
          <t>TBA 110kV Lạng Sơn 2</t>
        </is>
      </c>
      <c r="D889" s="3" t="inlineStr">
        <is>
          <t>B13</t>
        </is>
      </c>
      <c r="E889" s="9" t="n"/>
      <c r="F889" s="15">
        <f>IF(E889&lt;&gt;"","Đã VH","Quy hoạch điện VIII")</f>
        <v/>
      </c>
      <c r="G889" s="16">
        <f>LEFT(B889,FIND(" ",B889,1)-1)</f>
        <v/>
      </c>
      <c r="H889" s="16">
        <f>TRIM(RIGHT(B889,LEN(B889)-FIND(" ",B889,1)))</f>
        <v/>
      </c>
      <c r="I889" s="16">
        <f>_xlfn.XLOOKUP(Table2[[#This Row],[Type]],Table5[Type],Table5[Type2])</f>
        <v/>
      </c>
      <c r="J889" s="16">
        <f>_xlfn.XLOOKUP(Table2[[#This Row],[Sym]],Zones!$A$2:$A$21,Zones!$B$2:$B$21)</f>
        <v/>
      </c>
      <c r="K889" s="21" t="n"/>
    </row>
    <row r="890">
      <c r="A890" s="24" t="n">
        <v>2459</v>
      </c>
      <c r="B890" s="10" t="inlineStr">
        <is>
          <t>T110 Văn Lang</t>
        </is>
      </c>
      <c r="C890" s="10" t="inlineStr">
        <is>
          <t>TBA 110kV Văn Lang</t>
        </is>
      </c>
      <c r="D890" s="3" t="inlineStr">
        <is>
          <t>B13</t>
        </is>
      </c>
      <c r="E890" s="9" t="n"/>
      <c r="F890" s="15">
        <f>IF(E890&lt;&gt;"","Đã VH","Quy hoạch điện VIII")</f>
        <v/>
      </c>
      <c r="G890" s="16">
        <f>LEFT(B890,FIND(" ",B890,1)-1)</f>
        <v/>
      </c>
      <c r="H890" s="16">
        <f>TRIM(RIGHT(B890,LEN(B890)-FIND(" ",B890,1)))</f>
        <v/>
      </c>
      <c r="I890" s="16">
        <f>_xlfn.XLOOKUP(Table2[[#This Row],[Type]],Table5[Type],Table5[Type2])</f>
        <v/>
      </c>
      <c r="J890" s="16">
        <f>_xlfn.XLOOKUP(Table2[[#This Row],[Sym]],Zones!$A$2:$A$21,Zones!$B$2:$B$21)</f>
        <v/>
      </c>
      <c r="K890" s="21" t="n"/>
    </row>
    <row r="891">
      <c r="A891" s="24" t="n">
        <v>2461</v>
      </c>
      <c r="B891" s="10" t="inlineStr">
        <is>
          <t>T220 Lạng Sơn</t>
        </is>
      </c>
      <c r="C891" s="10" t="inlineStr">
        <is>
          <t>TBA 220kV Lạng Sơn</t>
        </is>
      </c>
      <c r="D891" s="3" t="inlineStr">
        <is>
          <t>B13</t>
        </is>
      </c>
      <c r="E891" s="9" t="inlineStr">
        <is>
          <t>E13.10</t>
        </is>
      </c>
      <c r="F891" s="15">
        <f>IF(E891&lt;&gt;"","Đã VH","Quy hoạch điện VIII")</f>
        <v/>
      </c>
      <c r="G891" s="16">
        <f>LEFT(B891,FIND(" ",B891,1)-1)</f>
        <v/>
      </c>
      <c r="H891" s="16">
        <f>TRIM(RIGHT(B891,LEN(B891)-FIND(" ",B891,1)))</f>
        <v/>
      </c>
      <c r="I891" s="16">
        <f>_xlfn.XLOOKUP(Table2[[#This Row],[Type]],Table5[Type],Table5[Type2])</f>
        <v/>
      </c>
      <c r="J891" s="16">
        <f>_xlfn.XLOOKUP(Table2[[#This Row],[Sym]],Zones!$A$2:$A$21,Zones!$B$2:$B$21)</f>
        <v/>
      </c>
      <c r="K891" s="21" t="n"/>
    </row>
    <row r="892">
      <c r="A892" s="24" t="n">
        <v>2462</v>
      </c>
      <c r="B892" s="10" t="inlineStr">
        <is>
          <t>T220 Đồng Mỏ</t>
        </is>
      </c>
      <c r="C892" s="10" t="inlineStr">
        <is>
          <t>TBA 220kV Đồng Mỏ</t>
        </is>
      </c>
      <c r="D892" s="3" t="inlineStr">
        <is>
          <t>B13</t>
        </is>
      </c>
      <c r="E892" s="9" t="n"/>
      <c r="F892" s="15">
        <f>IF(E892&lt;&gt;"","Đã VH","Quy hoạch điện VIII")</f>
        <v/>
      </c>
      <c r="G892" s="16">
        <f>LEFT(B892,FIND(" ",B892,1)-1)</f>
        <v/>
      </c>
      <c r="H892" s="16">
        <f>TRIM(RIGHT(B892,LEN(B892)-FIND(" ",B892,1)))</f>
        <v/>
      </c>
      <c r="I892" s="16">
        <f>_xlfn.XLOOKUP(Table2[[#This Row],[Type]],Table5[Type],Table5[Type2])</f>
        <v/>
      </c>
      <c r="J892" s="16">
        <f>_xlfn.XLOOKUP(Table2[[#This Row],[Sym]],Zones!$A$2:$A$21,Zones!$B$2:$B$21)</f>
        <v/>
      </c>
      <c r="K892" s="21" t="n"/>
    </row>
    <row r="893">
      <c r="A893" s="24" t="n">
        <v>2500</v>
      </c>
      <c r="B893" s="10" t="inlineStr">
        <is>
          <t>T110 Tuyên Quang</t>
        </is>
      </c>
      <c r="C893" s="10" t="inlineStr">
        <is>
          <t>TBA 110kV Tuyên Quang</t>
        </is>
      </c>
      <c r="D893" s="3" t="inlineStr">
        <is>
          <t>B14</t>
        </is>
      </c>
      <c r="E893" s="9" t="inlineStr">
        <is>
          <t>E14.1</t>
        </is>
      </c>
      <c r="F893" s="15">
        <f>IF(E893&lt;&gt;"","Đã VH","Quy hoạch điện VIII")</f>
        <v/>
      </c>
      <c r="G893" s="16">
        <f>LEFT(B893,FIND(" ",B893,1)-1)</f>
        <v/>
      </c>
      <c r="H893" s="16">
        <f>TRIM(RIGHT(B893,LEN(B893)-FIND(" ",B893,1)))</f>
        <v/>
      </c>
      <c r="I893" s="16">
        <f>_xlfn.XLOOKUP(Table2[[#This Row],[Type]],Table5[Type],Table5[Type2])</f>
        <v/>
      </c>
      <c r="J893" s="16">
        <f>_xlfn.XLOOKUP(Table2[[#This Row],[Sym]],Zones!$A$2:$A$21,Zones!$B$2:$B$21)</f>
        <v/>
      </c>
      <c r="K893" s="21" t="n"/>
    </row>
    <row r="894">
      <c r="A894" s="24" t="n">
        <v>2501</v>
      </c>
      <c r="B894" s="10" t="inlineStr">
        <is>
          <t>T110 Chiêm Hóa</t>
        </is>
      </c>
      <c r="C894" s="10" t="inlineStr">
        <is>
          <t>TBA 110kV Chiêm Hóa</t>
        </is>
      </c>
      <c r="D894" s="3" t="inlineStr">
        <is>
          <t>B14</t>
        </is>
      </c>
      <c r="E894" s="9" t="inlineStr">
        <is>
          <t>E14.2</t>
        </is>
      </c>
      <c r="F894" s="15">
        <f>IF(E894&lt;&gt;"","Đã VH","Quy hoạch điện VIII")</f>
        <v/>
      </c>
      <c r="G894" s="16">
        <f>LEFT(B894,FIND(" ",B894,1)-1)</f>
        <v/>
      </c>
      <c r="H894" s="16">
        <f>TRIM(RIGHT(B894,LEN(B894)-FIND(" ",B894,1)))</f>
        <v/>
      </c>
      <c r="I894" s="16">
        <f>_xlfn.XLOOKUP(Table2[[#This Row],[Type]],Table5[Type],Table5[Type2])</f>
        <v/>
      </c>
      <c r="J894" s="16">
        <f>_xlfn.XLOOKUP(Table2[[#This Row],[Sym]],Zones!$A$2:$A$21,Zones!$B$2:$B$21)</f>
        <v/>
      </c>
      <c r="K894" s="21" t="n"/>
    </row>
    <row r="895">
      <c r="A895" s="24" t="n">
        <v>2502</v>
      </c>
      <c r="B895" s="10" t="inlineStr">
        <is>
          <t>T110 Sơn Dương</t>
        </is>
      </c>
      <c r="C895" s="10" t="inlineStr">
        <is>
          <t>TBA 110kV Sơn Dương</t>
        </is>
      </c>
      <c r="D895" s="3" t="inlineStr">
        <is>
          <t>B14</t>
        </is>
      </c>
      <c r="E895" s="9" t="inlineStr">
        <is>
          <t>E14.3</t>
        </is>
      </c>
      <c r="F895" s="15">
        <f>IF(E895&lt;&gt;"","Đã VH","Quy hoạch điện VIII")</f>
        <v/>
      </c>
      <c r="G895" s="16">
        <f>LEFT(B895,FIND(" ",B895,1)-1)</f>
        <v/>
      </c>
      <c r="H895" s="16">
        <f>TRIM(RIGHT(B895,LEN(B895)-FIND(" ",B895,1)))</f>
        <v/>
      </c>
      <c r="I895" s="16">
        <f>_xlfn.XLOOKUP(Table2[[#This Row],[Type]],Table5[Type],Table5[Type2])</f>
        <v/>
      </c>
      <c r="J895" s="16">
        <f>_xlfn.XLOOKUP(Table2[[#This Row],[Sym]],Zones!$A$2:$A$21,Zones!$B$2:$B$21)</f>
        <v/>
      </c>
      <c r="K895" s="21" t="n"/>
    </row>
    <row r="896">
      <c r="A896" s="24" t="n">
        <v>2503</v>
      </c>
      <c r="B896" s="10" t="inlineStr">
        <is>
          <t>T110 Giấy An Hòa</t>
        </is>
      </c>
      <c r="C896" s="10" t="inlineStr">
        <is>
          <t>TBA 110kV Giấy An Hòa</t>
        </is>
      </c>
      <c r="D896" s="3" t="inlineStr">
        <is>
          <t>B14</t>
        </is>
      </c>
      <c r="E896" s="9" t="inlineStr">
        <is>
          <t>E14.4</t>
        </is>
      </c>
      <c r="F896" s="15">
        <f>IF(E896&lt;&gt;"","Đã VH","Quy hoạch điện VIII")</f>
        <v/>
      </c>
      <c r="G896" s="16">
        <f>LEFT(B896,FIND(" ",B896,1)-1)</f>
        <v/>
      </c>
      <c r="H896" s="16">
        <f>TRIM(RIGHT(B896,LEN(B896)-FIND(" ",B896,1)))</f>
        <v/>
      </c>
      <c r="I896" s="16">
        <f>_xlfn.XLOOKUP(Table2[[#This Row],[Type]],Table5[Type],Table5[Type2])</f>
        <v/>
      </c>
      <c r="J896" s="16">
        <f>_xlfn.XLOOKUP(Table2[[#This Row],[Sym]],Zones!$A$2:$A$21,Zones!$B$2:$B$21)</f>
        <v/>
      </c>
      <c r="K896" s="21" t="n"/>
    </row>
    <row r="897">
      <c r="A897" s="24" t="n">
        <v>2504</v>
      </c>
      <c r="B897" s="10" t="inlineStr">
        <is>
          <t>T110 XM Tân Quang</t>
        </is>
      </c>
      <c r="C897" s="10" t="inlineStr">
        <is>
          <t>TBA 110kV XM Tân Quang</t>
        </is>
      </c>
      <c r="D897" s="3" t="inlineStr">
        <is>
          <t>B14</t>
        </is>
      </c>
      <c r="E897" s="9" t="inlineStr">
        <is>
          <t>E14.5</t>
        </is>
      </c>
      <c r="F897" s="15">
        <f>IF(E897&lt;&gt;"","Đã VH","Quy hoạch điện VIII")</f>
        <v/>
      </c>
      <c r="G897" s="16">
        <f>LEFT(B897,FIND(" ",B897,1)-1)</f>
        <v/>
      </c>
      <c r="H897" s="16">
        <f>TRIM(RIGHT(B897,LEN(B897)-FIND(" ",B897,1)))</f>
        <v/>
      </c>
      <c r="I897" s="16">
        <f>_xlfn.XLOOKUP(Table2[[#This Row],[Type]],Table5[Type],Table5[Type2])</f>
        <v/>
      </c>
      <c r="J897" s="16">
        <f>_xlfn.XLOOKUP(Table2[[#This Row],[Sym]],Zones!$A$2:$A$21,Zones!$B$2:$B$21)</f>
        <v/>
      </c>
      <c r="K897" s="21" t="n"/>
    </row>
    <row r="898">
      <c r="A898" s="24" t="n">
        <v>2505</v>
      </c>
      <c r="B898" s="10" t="inlineStr">
        <is>
          <t xml:space="preserve">T220 Tuyên Quang </t>
        </is>
      </c>
      <c r="C898" s="10" t="inlineStr">
        <is>
          <t>TBA 220kV Tuyên Quang</t>
        </is>
      </c>
      <c r="D898" s="3" t="inlineStr">
        <is>
          <t>B14</t>
        </is>
      </c>
      <c r="E898" s="9" t="inlineStr">
        <is>
          <t>E14.6</t>
        </is>
      </c>
      <c r="F898" s="15">
        <f>IF(E898&lt;&gt;"","Đã VH","Quy hoạch điện VIII")</f>
        <v/>
      </c>
      <c r="G898" s="16">
        <f>LEFT(B898,FIND(" ",B898,1)-1)</f>
        <v/>
      </c>
      <c r="H898" s="16">
        <f>TRIM(RIGHT(B898,LEN(B898)-FIND(" ",B898,1)))</f>
        <v/>
      </c>
      <c r="I898" s="16">
        <f>_xlfn.XLOOKUP(Table2[[#This Row],[Type]],Table5[Type],Table5[Type2])</f>
        <v/>
      </c>
      <c r="J898" s="16">
        <f>_xlfn.XLOOKUP(Table2[[#This Row],[Sym]],Zones!$A$2:$A$21,Zones!$B$2:$B$21)</f>
        <v/>
      </c>
      <c r="K898" s="21" t="n"/>
    </row>
    <row r="899">
      <c r="A899" s="24" t="n">
        <v>2506</v>
      </c>
      <c r="B899" s="10" t="inlineStr">
        <is>
          <t>T110 KCN Long Bình An</t>
        </is>
      </c>
      <c r="C899" s="30" t="inlineStr">
        <is>
          <t>TBA 110kV Long Bình An</t>
        </is>
      </c>
      <c r="D899" s="3" t="inlineStr">
        <is>
          <t>B14</t>
        </is>
      </c>
      <c r="E899" s="9" t="inlineStr">
        <is>
          <t>E14.7</t>
        </is>
      </c>
      <c r="F899" s="15">
        <f>IF(E899&lt;&gt;"","Đã VH","Quy hoạch điện VIII")</f>
        <v/>
      </c>
      <c r="G899" s="16">
        <f>LEFT(B899,FIND(" ",B899,1)-1)</f>
        <v/>
      </c>
      <c r="H899" s="16">
        <f>TRIM(RIGHT(B899,LEN(B899)-FIND(" ",B899,1)))</f>
        <v/>
      </c>
      <c r="I899" s="16">
        <f>_xlfn.XLOOKUP(Table2[[#This Row],[Type]],Table5[Type],Table5[Type2])</f>
        <v/>
      </c>
      <c r="J899" s="16">
        <f>_xlfn.XLOOKUP(Table2[[#This Row],[Sym]],Zones!$A$2:$A$21,Zones!$B$2:$B$21)</f>
        <v/>
      </c>
      <c r="K899" s="21" t="n"/>
      <c r="U899" t="inlineStr">
        <is>
          <t>Đã sửa từ dashboard (TBA 110kV KCN Long Bình An ➔ TBA 110kV Long Bình An)</t>
        </is>
      </c>
    </row>
    <row r="900">
      <c r="A900" s="24" t="n">
        <v>2507</v>
      </c>
      <c r="B900" s="10" t="inlineStr">
        <is>
          <t>TĐ Chiêm Hóa</t>
        </is>
      </c>
      <c r="C900" s="10" t="inlineStr">
        <is>
          <t>NM TĐN Chiêm Hóa</t>
        </is>
      </c>
      <c r="D900" s="3" t="inlineStr">
        <is>
          <t>B14</t>
        </is>
      </c>
      <c r="E900" s="9" t="inlineStr">
        <is>
          <t>A14.10</t>
        </is>
      </c>
      <c r="F900" s="15">
        <f>IF(E900&lt;&gt;"","Đã VH","Quy hoạch điện VIII")</f>
        <v/>
      </c>
      <c r="G900" s="16">
        <f>LEFT(B900,FIND(" ",B900,1)-1)</f>
        <v/>
      </c>
      <c r="H900" s="16">
        <f>TRIM(RIGHT(B900,LEN(B900)-FIND(" ",B900,1)))</f>
        <v/>
      </c>
      <c r="I900" s="16">
        <f>_xlfn.XLOOKUP(Table2[[#This Row],[Type]],Table5[Type],Table5[Type2])</f>
        <v/>
      </c>
      <c r="J900" s="16">
        <f>_xlfn.XLOOKUP(Table2[[#This Row],[Sym]],Zones!$A$2:$A$21,Zones!$B$2:$B$21)</f>
        <v/>
      </c>
      <c r="K900" s="21" t="n"/>
    </row>
    <row r="901">
      <c r="A901" s="24" t="n">
        <v>2508</v>
      </c>
      <c r="B901" s="10" t="inlineStr">
        <is>
          <t>TĐ Tuyên Quang</t>
        </is>
      </c>
      <c r="C901" s="10" t="inlineStr">
        <is>
          <t>NM TĐN Tuyên Quang</t>
        </is>
      </c>
      <c r="D901" s="3" t="inlineStr">
        <is>
          <t>B14</t>
        </is>
      </c>
      <c r="E901" s="9" t="inlineStr">
        <is>
          <t>A14.0</t>
        </is>
      </c>
      <c r="F901" s="15">
        <f>IF(E901&lt;&gt;"","Đã VH","Quy hoạch điện VIII")</f>
        <v/>
      </c>
      <c r="G901" s="16">
        <f>LEFT(B901,FIND(" ",B901,1)-1)</f>
        <v/>
      </c>
      <c r="H901" s="16">
        <f>TRIM(RIGHT(B901,LEN(B901)-FIND(" ",B901,1)))</f>
        <v/>
      </c>
      <c r="I901" s="16">
        <f>_xlfn.XLOOKUP(Table2[[#This Row],[Type]],Table5[Type],Table5[Type2])</f>
        <v/>
      </c>
      <c r="J901" s="16">
        <f>_xlfn.XLOOKUP(Table2[[#This Row],[Sym]],Zones!$A$2:$A$21,Zones!$B$2:$B$21)</f>
        <v/>
      </c>
      <c r="K901" s="21" t="n"/>
    </row>
    <row r="902">
      <c r="A902" s="24" t="n">
        <v>2509</v>
      </c>
      <c r="B902" s="10" t="inlineStr">
        <is>
          <t>SKMĐ Tuyên Quang</t>
        </is>
      </c>
      <c r="C902" s="10" t="inlineStr">
        <is>
          <t xml:space="preserve"> Tuyên Quang</t>
        </is>
      </c>
      <c r="D902" s="3" t="inlineStr">
        <is>
          <t>B14</t>
        </is>
      </c>
      <c r="E902" s="9" t="inlineStr">
        <is>
          <t>A14.8</t>
        </is>
      </c>
      <c r="F902" s="15">
        <f>IF(E902&lt;&gt;"","Đã VH","Quy hoạch điện VIII")</f>
        <v/>
      </c>
      <c r="G902" s="16">
        <f>LEFT(B902,FIND(" ",B902,1)-1)</f>
        <v/>
      </c>
      <c r="H902" s="16">
        <f>TRIM(RIGHT(B902,LEN(B902)-FIND(" ",B902,1)))</f>
        <v/>
      </c>
      <c r="I902" s="16">
        <f>_xlfn.XLOOKUP(Table2[[#This Row],[Type]],Table5[Type],Table5[Type2])</f>
        <v/>
      </c>
      <c r="J902" s="16">
        <f>_xlfn.XLOOKUP(Table2[[#This Row],[Sym]],Zones!$A$2:$A$21,Zones!$B$2:$B$21)</f>
        <v/>
      </c>
      <c r="K902" s="21" t="n"/>
    </row>
    <row r="903">
      <c r="A903" s="24" t="n">
        <v>2510</v>
      </c>
      <c r="B903" s="10" t="inlineStr">
        <is>
          <t>T110 Gò Trẩu</t>
        </is>
      </c>
      <c r="C903" s="10" t="inlineStr">
        <is>
          <t>TBA 110kV Gò Trẩu</t>
        </is>
      </c>
      <c r="D903" s="3" t="inlineStr">
        <is>
          <t>B14</t>
        </is>
      </c>
      <c r="E903" s="9" t="inlineStr">
        <is>
          <t>E14.9</t>
        </is>
      </c>
      <c r="F903" s="15">
        <f>IF(E903&lt;&gt;"","Đã VH","Quy hoạch điện VIII")</f>
        <v/>
      </c>
      <c r="G903" s="16">
        <f>LEFT(B903,FIND(" ",B903,1)-1)</f>
        <v/>
      </c>
      <c r="H903" s="16">
        <f>TRIM(RIGHT(B903,LEN(B903)-FIND(" ",B903,1)))</f>
        <v/>
      </c>
      <c r="I903" s="16">
        <f>_xlfn.XLOOKUP(Table2[[#This Row],[Type]],Table5[Type],Table5[Type2])</f>
        <v/>
      </c>
      <c r="J903" s="16">
        <f>_xlfn.XLOOKUP(Table2[[#This Row],[Sym]],Zones!$A$2:$A$21,Zones!$B$2:$B$21)</f>
        <v/>
      </c>
      <c r="K903" s="21" t="n"/>
    </row>
    <row r="904">
      <c r="A904" s="24" t="n">
        <v>2511</v>
      </c>
      <c r="B904" s="10" t="inlineStr">
        <is>
          <t>TĐ Yên Sơn</t>
        </is>
      </c>
      <c r="C904" s="10" t="inlineStr">
        <is>
          <t>NM TĐN Yên Sơn</t>
        </is>
      </c>
      <c r="D904" s="3" t="inlineStr">
        <is>
          <t>B14</t>
        </is>
      </c>
      <c r="E904" s="9" t="n"/>
      <c r="F904" s="15">
        <f>IF(E904&lt;&gt;"","Đã VH","Quy hoạch điện VIII")</f>
        <v/>
      </c>
      <c r="G904" s="16">
        <f>LEFT(B904,FIND(" ",B904,1)-1)</f>
        <v/>
      </c>
      <c r="H904" s="16">
        <f>TRIM(RIGHT(B904,LEN(B904)-FIND(" ",B904,1)))</f>
        <v/>
      </c>
      <c r="I904" s="16">
        <f>_xlfn.XLOOKUP(Table2[[#This Row],[Type]],Table5[Type],Table5[Type2])</f>
        <v/>
      </c>
      <c r="J904" s="16">
        <f>_xlfn.XLOOKUP(Table2[[#This Row],[Sym]],Zones!$A$2:$A$21,Zones!$B$2:$B$21)</f>
        <v/>
      </c>
      <c r="K904" s="21" t="n"/>
    </row>
    <row r="905">
      <c r="A905" s="24" t="n">
        <v>2512</v>
      </c>
      <c r="B905" s="10" t="inlineStr">
        <is>
          <t>T110 Hàm Yên</t>
        </is>
      </c>
      <c r="C905" s="10" t="inlineStr">
        <is>
          <t>TBA 110kV Hàm Yên</t>
        </is>
      </c>
      <c r="D905" s="3" t="inlineStr">
        <is>
          <t>B14</t>
        </is>
      </c>
      <c r="E905" s="9" t="inlineStr">
        <is>
          <t>E14.11</t>
        </is>
      </c>
      <c r="F905" s="15">
        <f>IF(E905&lt;&gt;"","Đã VH","Quy hoạch điện VIII")</f>
        <v/>
      </c>
      <c r="G905" s="16">
        <f>LEFT(B905,FIND(" ",B905,1)-1)</f>
        <v/>
      </c>
      <c r="H905" s="16">
        <f>TRIM(RIGHT(B905,LEN(B905)-FIND(" ",B905,1)))</f>
        <v/>
      </c>
      <c r="I905" s="16">
        <f>_xlfn.XLOOKUP(Table2[[#This Row],[Type]],Table5[Type],Table5[Type2])</f>
        <v/>
      </c>
      <c r="J905" s="16">
        <f>_xlfn.XLOOKUP(Table2[[#This Row],[Sym]],Zones!$A$2:$A$21,Zones!$B$2:$B$21)</f>
        <v/>
      </c>
      <c r="K905" s="21" t="n"/>
    </row>
    <row r="906">
      <c r="A906" s="24" t="n">
        <v>2513</v>
      </c>
      <c r="B906" s="10" t="inlineStr">
        <is>
          <t>TĐ Sông Lô 8A</t>
        </is>
      </c>
      <c r="C906" s="10" t="inlineStr">
        <is>
          <t>NM TĐN Sông Lô 8A</t>
        </is>
      </c>
      <c r="D906" s="3" t="inlineStr">
        <is>
          <t>B14</t>
        </is>
      </c>
      <c r="E906" s="9" t="inlineStr">
        <is>
          <t>A14.18A</t>
        </is>
      </c>
      <c r="F906" s="15">
        <f>IF(E906&lt;&gt;"","Đã VH","Quy hoạch điện VIII")</f>
        <v/>
      </c>
      <c r="G906" s="16">
        <f>LEFT(B906,FIND(" ",B906,1)-1)</f>
        <v/>
      </c>
      <c r="H906" s="16">
        <f>TRIM(RIGHT(B906,LEN(B906)-FIND(" ",B906,1)))</f>
        <v/>
      </c>
      <c r="I906" s="16">
        <f>_xlfn.XLOOKUP(Table2[[#This Row],[Type]],Table5[Type],Table5[Type2])</f>
        <v/>
      </c>
      <c r="J906" s="16">
        <f>_xlfn.XLOOKUP(Table2[[#This Row],[Sym]],Zones!$A$2:$A$21,Zones!$B$2:$B$21)</f>
        <v/>
      </c>
      <c r="K906" s="21" t="n"/>
    </row>
    <row r="907">
      <c r="A907" s="24" t="n">
        <v>2514</v>
      </c>
      <c r="B907" s="10" t="inlineStr">
        <is>
          <t>TĐ Sông Lô 8B</t>
        </is>
      </c>
      <c r="C907" s="10" t="inlineStr">
        <is>
          <t>NM TĐN Sông Lô 8B</t>
        </is>
      </c>
      <c r="D907" s="3" t="inlineStr">
        <is>
          <t>B14</t>
        </is>
      </c>
      <c r="E907" s="9" t="inlineStr">
        <is>
          <t>A14.18B</t>
        </is>
      </c>
      <c r="F907" s="15">
        <f>IF(E907&lt;&gt;"","Đã VH","Quy hoạch điện VIII")</f>
        <v/>
      </c>
      <c r="G907" s="16">
        <f>LEFT(B907,FIND(" ",B907,1)-1)</f>
        <v/>
      </c>
      <c r="H907" s="16">
        <f>TRIM(RIGHT(B907,LEN(B907)-FIND(" ",B907,1)))</f>
        <v/>
      </c>
      <c r="I907" s="16">
        <f>_xlfn.XLOOKUP(Table2[[#This Row],[Type]],Table5[Type],Table5[Type2])</f>
        <v/>
      </c>
      <c r="J907" s="16">
        <f>_xlfn.XLOOKUP(Table2[[#This Row],[Sym]],Zones!$A$2:$A$21,Zones!$B$2:$B$21)</f>
        <v/>
      </c>
      <c r="K907" s="21" t="n"/>
    </row>
    <row r="908">
      <c r="A908" s="24" t="n">
        <v>2515</v>
      </c>
      <c r="B908" s="10" t="inlineStr">
        <is>
          <t>T110 Na Hang</t>
        </is>
      </c>
      <c r="C908" s="10" t="inlineStr">
        <is>
          <t>TBA 110kV Na Hang</t>
        </is>
      </c>
      <c r="D908" s="3" t="inlineStr">
        <is>
          <t>B14</t>
        </is>
      </c>
      <c r="E908" s="9" t="inlineStr">
        <is>
          <t>E14.12</t>
        </is>
      </c>
      <c r="F908" s="15">
        <f>IF(E908&lt;&gt;"","Đã VH","Quy hoạch điện VIII")</f>
        <v/>
      </c>
      <c r="G908" s="16">
        <f>LEFT(B908,FIND(" ",B908,1)-1)</f>
        <v/>
      </c>
      <c r="H908" s="16">
        <f>TRIM(RIGHT(B908,LEN(B908)-FIND(" ",B908,1)))</f>
        <v/>
      </c>
      <c r="I908" s="16">
        <f>_xlfn.XLOOKUP(Table2[[#This Row],[Type]],Table5[Type],Table5[Type2])</f>
        <v/>
      </c>
      <c r="J908" s="16">
        <f>_xlfn.XLOOKUP(Table2[[#This Row],[Sym]],Zones!$A$2:$A$21,Zones!$B$2:$B$21)</f>
        <v/>
      </c>
      <c r="K908" s="21" t="n"/>
    </row>
    <row r="909">
      <c r="A909" s="24" t="n">
        <v>2516</v>
      </c>
      <c r="B909" s="10" t="inlineStr">
        <is>
          <t>TĐ Sông Lô 7</t>
        </is>
      </c>
      <c r="C909" s="10" t="inlineStr">
        <is>
          <t>NM TĐN Sông Lô 7</t>
        </is>
      </c>
      <c r="D909" s="3" t="inlineStr">
        <is>
          <t>B14</t>
        </is>
      </c>
      <c r="E909" s="9" t="inlineStr">
        <is>
          <t>A14.15</t>
        </is>
      </c>
      <c r="F909" s="15">
        <f>IF(E909&lt;&gt;"","Đã VH","Quy hoạch điện VIII")</f>
        <v/>
      </c>
      <c r="G909" s="16">
        <f>LEFT(B909,FIND(" ",B909,1)-1)</f>
        <v/>
      </c>
      <c r="H909" s="16">
        <f>TRIM(RIGHT(B909,LEN(B909)-FIND(" ",B909,1)))</f>
        <v/>
      </c>
      <c r="I909" s="16">
        <f>_xlfn.XLOOKUP(Table2[[#This Row],[Type]],Table5[Type],Table5[Type2])</f>
        <v/>
      </c>
      <c r="J909" s="16">
        <f>_xlfn.XLOOKUP(Table2[[#This Row],[Sym]],Zones!$A$2:$A$21,Zones!$B$2:$B$21)</f>
        <v/>
      </c>
      <c r="K909" s="21" t="n"/>
    </row>
    <row r="910">
      <c r="A910" s="24" t="n">
        <v>2517</v>
      </c>
      <c r="B910" s="10" t="inlineStr">
        <is>
          <t>T110 Lâm Bình</t>
        </is>
      </c>
      <c r="C910" s="10" t="inlineStr">
        <is>
          <t>TBA 110kV Lâm Bình</t>
        </is>
      </c>
      <c r="D910" s="3" t="inlineStr">
        <is>
          <t>B14</t>
        </is>
      </c>
      <c r="E910" s="9" t="n"/>
      <c r="F910" s="15">
        <f>IF(E910&lt;&gt;"","Đã VH","Quy hoạch điện VIII")</f>
        <v/>
      </c>
      <c r="G910" s="16">
        <f>LEFT(B910,FIND(" ",B910,1)-1)</f>
        <v/>
      </c>
      <c r="H910" s="16">
        <f>TRIM(RIGHT(B910,LEN(B910)-FIND(" ",B910,1)))</f>
        <v/>
      </c>
      <c r="I910" s="16">
        <f>_xlfn.XLOOKUP(Table2[[#This Row],[Type]],Table5[Type],Table5[Type2])</f>
        <v/>
      </c>
      <c r="J910" s="16">
        <f>_xlfn.XLOOKUP(Table2[[#This Row],[Sym]],Zones!$A$2:$A$21,Zones!$B$2:$B$21)</f>
        <v/>
      </c>
      <c r="K910" s="21" t="n"/>
    </row>
    <row r="911">
      <c r="A911" s="24" t="n">
        <v>2518</v>
      </c>
      <c r="B911" s="10" t="inlineStr">
        <is>
          <t>T110 Tuyên Quang 2</t>
        </is>
      </c>
      <c r="C911" s="10" t="inlineStr">
        <is>
          <t>TBA 110kV Tuyên Quang 2</t>
        </is>
      </c>
      <c r="D911" s="3" t="inlineStr">
        <is>
          <t>B14</t>
        </is>
      </c>
      <c r="E911" s="9" t="inlineStr">
        <is>
          <t>E14.13</t>
        </is>
      </c>
      <c r="F911" s="15">
        <f>IF(E911&lt;&gt;"","Đã VH","Quy hoạch điện VIII")</f>
        <v/>
      </c>
      <c r="G911" s="16">
        <f>LEFT(B911,FIND(" ",B911,1)-1)</f>
        <v/>
      </c>
      <c r="H911" s="16">
        <f>TRIM(RIGHT(B911,LEN(B911)-FIND(" ",B911,1)))</f>
        <v/>
      </c>
      <c r="I911" s="16">
        <f>_xlfn.XLOOKUP(Table2[[#This Row],[Type]],Table5[Type],Table5[Type2])</f>
        <v/>
      </c>
      <c r="J911" s="16">
        <f>_xlfn.XLOOKUP(Table2[[#This Row],[Sym]],Zones!$A$2:$A$21,Zones!$B$2:$B$21)</f>
        <v/>
      </c>
      <c r="K911" s="21" t="n"/>
    </row>
    <row r="912">
      <c r="A912" s="24" t="n">
        <v>2519</v>
      </c>
      <c r="B912" s="10" t="inlineStr">
        <is>
          <t>T110 Vĩnh Thái</t>
        </is>
      </c>
      <c r="C912" s="10" t="inlineStr">
        <is>
          <t>TBA 110kV Vĩnh Thái</t>
        </is>
      </c>
      <c r="D912" s="3" t="inlineStr">
        <is>
          <t>B14</t>
        </is>
      </c>
      <c r="E912" s="9" t="n"/>
      <c r="F912" s="15">
        <f>IF(E912&lt;&gt;"","Đã VH","Quy hoạch điện VIII")</f>
        <v/>
      </c>
      <c r="G912" s="16">
        <f>LEFT(B912,FIND(" ",B912,1)-1)</f>
        <v/>
      </c>
      <c r="H912" s="16">
        <f>TRIM(RIGHT(B912,LEN(B912)-FIND(" ",B912,1)))</f>
        <v/>
      </c>
      <c r="I912" s="16">
        <f>_xlfn.XLOOKUP(Table2[[#This Row],[Type]],Table5[Type],Table5[Type2])</f>
        <v/>
      </c>
      <c r="J912" s="16">
        <f>_xlfn.XLOOKUP(Table2[[#This Row],[Sym]],Zones!$A$2:$A$21,Zones!$B$2:$B$21)</f>
        <v/>
      </c>
      <c r="K912" s="21" t="n"/>
    </row>
    <row r="913">
      <c r="A913" s="24" t="n">
        <v>2520</v>
      </c>
      <c r="B913" s="10" t="inlineStr">
        <is>
          <t>T110 Sơn Nam</t>
        </is>
      </c>
      <c r="C913" s="10" t="inlineStr">
        <is>
          <t>TBA 110kV Sơn Nam</t>
        </is>
      </c>
      <c r="D913" s="3" t="inlineStr">
        <is>
          <t>B14</t>
        </is>
      </c>
      <c r="E913" s="9" t="n"/>
      <c r="F913" s="15">
        <f>IF(E913&lt;&gt;"","Đã VH","Quy hoạch điện VIII")</f>
        <v/>
      </c>
      <c r="G913" s="16">
        <f>LEFT(B913,FIND(" ",B913,1)-1)</f>
        <v/>
      </c>
      <c r="H913" s="16">
        <f>TRIM(RIGHT(B913,LEN(B913)-FIND(" ",B913,1)))</f>
        <v/>
      </c>
      <c r="I913" s="16">
        <f>_xlfn.XLOOKUP(Table2[[#This Row],[Type]],Table5[Type],Table5[Type2])</f>
        <v/>
      </c>
      <c r="J913" s="16">
        <f>_xlfn.XLOOKUP(Table2[[#This Row],[Sym]],Zones!$A$2:$A$21,Zones!$B$2:$B$21)</f>
        <v/>
      </c>
      <c r="K913" s="21" t="n"/>
    </row>
    <row r="914">
      <c r="A914" s="24" t="n">
        <v>2521</v>
      </c>
      <c r="B914" s="10" t="inlineStr">
        <is>
          <t>T110 Tân Trào</t>
        </is>
      </c>
      <c r="C914" s="10" t="inlineStr">
        <is>
          <t>TBA 110kV Tân Trào</t>
        </is>
      </c>
      <c r="D914" s="3" t="inlineStr">
        <is>
          <t>B14</t>
        </is>
      </c>
      <c r="E914" s="9" t="n"/>
      <c r="F914" s="15">
        <f>IF(E914&lt;&gt;"","Đã VH","Quy hoạch điện VIII")</f>
        <v/>
      </c>
      <c r="G914" s="16">
        <f>LEFT(B914,FIND(" ",B914,1)-1)</f>
        <v/>
      </c>
      <c r="H914" s="16">
        <f>TRIM(RIGHT(B914,LEN(B914)-FIND(" ",B914,1)))</f>
        <v/>
      </c>
      <c r="I914" s="16">
        <f>_xlfn.XLOOKUP(Table2[[#This Row],[Type]],Table5[Type],Table5[Type2])</f>
        <v/>
      </c>
      <c r="J914" s="16">
        <f>_xlfn.XLOOKUP(Table2[[#This Row],[Sym]],Zones!$A$2:$A$21,Zones!$B$2:$B$21)</f>
        <v/>
      </c>
      <c r="K914" s="21" t="n"/>
    </row>
    <row r="915">
      <c r="A915" s="24" t="n">
        <v>2522</v>
      </c>
      <c r="B915" s="10" t="inlineStr">
        <is>
          <t>T110 Yên Sơn</t>
        </is>
      </c>
      <c r="C915" s="10" t="inlineStr">
        <is>
          <t>TBA 110kV Yên Sơn</t>
        </is>
      </c>
      <c r="D915" s="3" t="inlineStr">
        <is>
          <t>B14</t>
        </is>
      </c>
      <c r="E915" s="9" t="n"/>
      <c r="F915" s="15">
        <f>IF(E915&lt;&gt;"","Đã VH","Quy hoạch điện VIII")</f>
        <v/>
      </c>
      <c r="G915" s="16">
        <f>LEFT(B915,FIND(" ",B915,1)-1)</f>
        <v/>
      </c>
      <c r="H915" s="16">
        <f>TRIM(RIGHT(B915,LEN(B915)-FIND(" ",B915,1)))</f>
        <v/>
      </c>
      <c r="I915" s="16">
        <f>_xlfn.XLOOKUP(Table2[[#This Row],[Type]],Table5[Type],Table5[Type2])</f>
        <v/>
      </c>
      <c r="J915" s="16">
        <f>_xlfn.XLOOKUP(Table2[[#This Row],[Sym]],Zones!$A$2:$A$21,Zones!$B$2:$B$21)</f>
        <v/>
      </c>
      <c r="K915" s="21" t="n"/>
    </row>
    <row r="916">
      <c r="A916" s="24" t="n">
        <v>2523</v>
      </c>
      <c r="B916" s="10" t="inlineStr">
        <is>
          <t>T110 Chiêm Hóa 2</t>
        </is>
      </c>
      <c r="C916" s="10" t="inlineStr">
        <is>
          <t>TBA 110kV Chiêm Hóa 2</t>
        </is>
      </c>
      <c r="D916" s="3" t="inlineStr">
        <is>
          <t>B14</t>
        </is>
      </c>
      <c r="E916" s="9" t="n"/>
      <c r="F916" s="15">
        <f>IF(E916&lt;&gt;"","Đã VH","Quy hoạch điện VIII")</f>
        <v/>
      </c>
      <c r="G916" s="16">
        <f>LEFT(B916,FIND(" ",B916,1)-1)</f>
        <v/>
      </c>
      <c r="H916" s="16">
        <f>TRIM(RIGHT(B916,LEN(B916)-FIND(" ",B916,1)))</f>
        <v/>
      </c>
      <c r="I916" s="16">
        <f>_xlfn.XLOOKUP(Table2[[#This Row],[Type]],Table5[Type],Table5[Type2])</f>
        <v/>
      </c>
      <c r="J916" s="16">
        <f>_xlfn.XLOOKUP(Table2[[#This Row],[Sym]],Zones!$A$2:$A$21,Zones!$B$2:$B$21)</f>
        <v/>
      </c>
      <c r="K916" s="21" t="n"/>
    </row>
    <row r="917">
      <c r="A917" s="24" t="n">
        <v>2524</v>
      </c>
      <c r="B917" s="10" t="inlineStr">
        <is>
          <t>T110 Hồng Hạc</t>
        </is>
      </c>
      <c r="C917" s="10" t="inlineStr">
        <is>
          <t>TBA 110kV Hồng Hạc</t>
        </is>
      </c>
      <c r="D917" s="3" t="inlineStr">
        <is>
          <t>B14</t>
        </is>
      </c>
      <c r="E917" s="9" t="n"/>
      <c r="F917" s="15">
        <f>IF(E917&lt;&gt;"","Đã VH","Quy hoạch điện VIII")</f>
        <v/>
      </c>
      <c r="G917" s="16">
        <f>LEFT(B917,FIND(" ",B917,1)-1)</f>
        <v/>
      </c>
      <c r="H917" s="16">
        <f>TRIM(RIGHT(B917,LEN(B917)-FIND(" ",B917,1)))</f>
        <v/>
      </c>
      <c r="I917" s="16">
        <f>_xlfn.XLOOKUP(Table2[[#This Row],[Type]],Table5[Type],Table5[Type2])</f>
        <v/>
      </c>
      <c r="J917" s="16">
        <f>_xlfn.XLOOKUP(Table2[[#This Row],[Sym]],Zones!$A$2:$A$21,Zones!$B$2:$B$21)</f>
        <v/>
      </c>
      <c r="K917" s="21" t="n"/>
    </row>
    <row r="918">
      <c r="A918" s="24" t="n">
        <v>2525</v>
      </c>
      <c r="B918" s="10" t="inlineStr">
        <is>
          <t>T110 Phú Lâm</t>
        </is>
      </c>
      <c r="C918" s="10" t="inlineStr">
        <is>
          <t>TBA 110kV Phú Lâm</t>
        </is>
      </c>
      <c r="D918" s="3" t="inlineStr">
        <is>
          <t>B14</t>
        </is>
      </c>
      <c r="E918" s="9" t="n"/>
      <c r="F918" s="15">
        <f>IF(E918&lt;&gt;"","Đã VH","Quy hoạch điện VIII")</f>
        <v/>
      </c>
      <c r="G918" s="16">
        <f>LEFT(B918,FIND(" ",B918,1)-1)</f>
        <v/>
      </c>
      <c r="H918" s="16">
        <f>TRIM(RIGHT(B918,LEN(B918)-FIND(" ",B918,1)))</f>
        <v/>
      </c>
      <c r="I918" s="16">
        <f>_xlfn.XLOOKUP(Table2[[#This Row],[Type]],Table5[Type],Table5[Type2])</f>
        <v/>
      </c>
      <c r="J918" s="16">
        <f>_xlfn.XLOOKUP(Table2[[#This Row],[Sym]],Zones!$A$2:$A$21,Zones!$B$2:$B$21)</f>
        <v/>
      </c>
      <c r="K918" s="21" t="n"/>
    </row>
    <row r="919">
      <c r="A919" s="24" t="n">
        <v>2526</v>
      </c>
      <c r="B919" s="10" t="inlineStr">
        <is>
          <t>T110 Hàm Yên 2</t>
        </is>
      </c>
      <c r="C919" s="10" t="inlineStr">
        <is>
          <t>TBA 110kV Hàm Yên 2</t>
        </is>
      </c>
      <c r="D919" s="3" t="inlineStr">
        <is>
          <t>B14</t>
        </is>
      </c>
      <c r="E919" s="9" t="n"/>
      <c r="F919" s="15">
        <f>IF(E919&lt;&gt;"","Đã VH","Quy hoạch điện VIII")</f>
        <v/>
      </c>
      <c r="G919" s="16">
        <f>LEFT(B919,FIND(" ",B919,1)-1)</f>
        <v/>
      </c>
      <c r="H919" s="16">
        <f>TRIM(RIGHT(B919,LEN(B919)-FIND(" ",B919,1)))</f>
        <v/>
      </c>
      <c r="I919" s="16">
        <f>_xlfn.XLOOKUP(Table2[[#This Row],[Type]],Table5[Type],Table5[Type2])</f>
        <v/>
      </c>
      <c r="J919" s="16">
        <f>_xlfn.XLOOKUP(Table2[[#This Row],[Sym]],Zones!$A$2:$A$21,Zones!$B$2:$B$21)</f>
        <v/>
      </c>
      <c r="K919" s="21" t="n"/>
    </row>
    <row r="920">
      <c r="A920" s="24" t="n">
        <v>2527</v>
      </c>
      <c r="B920" s="10" t="inlineStr">
        <is>
          <t>T110 Nhữ Khê</t>
        </is>
      </c>
      <c r="C920" s="10" t="inlineStr">
        <is>
          <t>TBA 110kV Nhữ Khê</t>
        </is>
      </c>
      <c r="D920" s="3" t="inlineStr">
        <is>
          <t>B14</t>
        </is>
      </c>
      <c r="E920" s="9" t="n"/>
      <c r="F920" s="15">
        <f>IF(E920&lt;&gt;"","Đã VH","Quy hoạch điện VIII")</f>
        <v/>
      </c>
      <c r="G920" s="16">
        <f>LEFT(B920,FIND(" ",B920,1)-1)</f>
        <v/>
      </c>
      <c r="H920" s="16">
        <f>TRIM(RIGHT(B920,LEN(B920)-FIND(" ",B920,1)))</f>
        <v/>
      </c>
      <c r="I920" s="16">
        <f>_xlfn.XLOOKUP(Table2[[#This Row],[Type]],Table5[Type],Table5[Type2])</f>
        <v/>
      </c>
      <c r="J920" s="16">
        <f>_xlfn.XLOOKUP(Table2[[#This Row],[Sym]],Zones!$A$2:$A$21,Zones!$B$2:$B$21)</f>
        <v/>
      </c>
      <c r="K920" s="21" t="n"/>
    </row>
    <row r="921">
      <c r="A921" s="24" t="n">
        <v>2528</v>
      </c>
      <c r="B921" s="10" t="inlineStr">
        <is>
          <t>T110 Đội Cấn</t>
        </is>
      </c>
      <c r="C921" s="10" t="inlineStr">
        <is>
          <t>TBA 110kV Đội Cấn</t>
        </is>
      </c>
      <c r="D921" s="3" t="inlineStr">
        <is>
          <t>B14</t>
        </is>
      </c>
      <c r="E921" s="9" t="n"/>
      <c r="F921" s="15">
        <f>IF(E921&lt;&gt;"","Đã VH","Quy hoạch điện VIII")</f>
        <v/>
      </c>
      <c r="G921" s="16">
        <f>LEFT(B921,FIND(" ",B921,1)-1)</f>
        <v/>
      </c>
      <c r="H921" s="16">
        <f>TRIM(RIGHT(B921,LEN(B921)-FIND(" ",B921,1)))</f>
        <v/>
      </c>
      <c r="I921" s="16">
        <f>_xlfn.XLOOKUP(Table2[[#This Row],[Type]],Table5[Type],Table5[Type2])</f>
        <v/>
      </c>
      <c r="J921" s="16">
        <f>_xlfn.XLOOKUP(Table2[[#This Row],[Sym]],Zones!$A$2:$A$21,Zones!$B$2:$B$21)</f>
        <v/>
      </c>
      <c r="K921" s="21" t="n"/>
    </row>
    <row r="922">
      <c r="A922" s="24" t="n">
        <v>2529</v>
      </c>
      <c r="B922" s="10" t="inlineStr">
        <is>
          <t>T110 Tam Đa</t>
        </is>
      </c>
      <c r="C922" s="10" t="inlineStr">
        <is>
          <t>TBA 110kV Tam Đa</t>
        </is>
      </c>
      <c r="D922" s="3" t="inlineStr">
        <is>
          <t>B14</t>
        </is>
      </c>
      <c r="E922" s="9" t="n"/>
      <c r="F922" s="15">
        <f>IF(E922&lt;&gt;"","Đã VH","Quy hoạch điện VIII")</f>
        <v/>
      </c>
      <c r="G922" s="16">
        <f>LEFT(B922,FIND(" ",B922,1)-1)</f>
        <v/>
      </c>
      <c r="H922" s="16">
        <f>TRIM(RIGHT(B922,LEN(B922)-FIND(" ",B922,1)))</f>
        <v/>
      </c>
      <c r="I922" s="16">
        <f>_xlfn.XLOOKUP(Table2[[#This Row],[Type]],Table5[Type],Table5[Type2])</f>
        <v/>
      </c>
      <c r="J922" s="16">
        <f>_xlfn.XLOOKUP(Table2[[#This Row],[Sym]],Zones!$A$2:$A$21,Zones!$B$2:$B$21)</f>
        <v/>
      </c>
      <c r="K922" s="21" t="n"/>
    </row>
    <row r="923">
      <c r="A923" s="24" t="n">
        <v>2530</v>
      </c>
      <c r="B923" s="10" t="inlineStr">
        <is>
          <t>T110 Thái Sơn</t>
        </is>
      </c>
      <c r="C923" s="10" t="inlineStr">
        <is>
          <t>TBA 110kV Thái Sơn</t>
        </is>
      </c>
      <c r="D923" s="3" t="inlineStr">
        <is>
          <t>B14</t>
        </is>
      </c>
      <c r="E923" s="9" t="n"/>
      <c r="F923" s="15">
        <f>IF(E923&lt;&gt;"","Đã VH","Quy hoạch điện VIII")</f>
        <v/>
      </c>
      <c r="G923" s="16">
        <f>LEFT(B923,FIND(" ",B923,1)-1)</f>
        <v/>
      </c>
      <c r="H923" s="16">
        <f>TRIM(RIGHT(B923,LEN(B923)-FIND(" ",B923,1)))</f>
        <v/>
      </c>
      <c r="I923" s="16">
        <f>_xlfn.XLOOKUP(Table2[[#This Row],[Type]],Table5[Type],Table5[Type2])</f>
        <v/>
      </c>
      <c r="J923" s="16">
        <f>_xlfn.XLOOKUP(Table2[[#This Row],[Sym]],Zones!$A$2:$A$21,Zones!$B$2:$B$21)</f>
        <v/>
      </c>
      <c r="K923" s="21" t="n"/>
    </row>
    <row r="924">
      <c r="A924" s="24" t="n">
        <v>2531</v>
      </c>
      <c r="B924" s="10" t="inlineStr">
        <is>
          <t>T110 Thành Long</t>
        </is>
      </c>
      <c r="C924" s="10" t="inlineStr">
        <is>
          <t>TBA 110kV Thành Long</t>
        </is>
      </c>
      <c r="D924" s="3" t="inlineStr">
        <is>
          <t>B14</t>
        </is>
      </c>
      <c r="E924" s="9" t="n"/>
      <c r="F924" s="15">
        <f>IF(E924&lt;&gt;"","Đã VH","Quy hoạch điện VIII")</f>
        <v/>
      </c>
      <c r="G924" s="16">
        <f>LEFT(B924,FIND(" ",B924,1)-1)</f>
        <v/>
      </c>
      <c r="H924" s="16">
        <f>TRIM(RIGHT(B924,LEN(B924)-FIND(" ",B924,1)))</f>
        <v/>
      </c>
      <c r="I924" s="16">
        <f>_xlfn.XLOOKUP(Table2[[#This Row],[Type]],Table5[Type],Table5[Type2])</f>
        <v/>
      </c>
      <c r="J924" s="16">
        <f>_xlfn.XLOOKUP(Table2[[#This Row],[Sym]],Zones!$A$2:$A$21,Zones!$B$2:$B$21)</f>
        <v/>
      </c>
      <c r="K924" s="21" t="n"/>
    </row>
    <row r="925">
      <c r="A925" s="24" t="n">
        <v>2532</v>
      </c>
      <c r="B925" s="10" t="inlineStr">
        <is>
          <t>TĐ Suối Ba 2</t>
        </is>
      </c>
      <c r="C925" s="10" t="inlineStr">
        <is>
          <t>NM TĐN Suối Ba 2</t>
        </is>
      </c>
      <c r="D925" s="3" t="inlineStr">
        <is>
          <t>B14</t>
        </is>
      </c>
      <c r="E925" s="9" t="n"/>
      <c r="F925" s="15">
        <f>IF(E925&lt;&gt;"","Đã VH","Quy hoạch điện VIII")</f>
        <v/>
      </c>
      <c r="G925" s="16">
        <f>LEFT(B925,FIND(" ",B925,1)-1)</f>
        <v/>
      </c>
      <c r="H925" s="16">
        <f>TRIM(RIGHT(B925,LEN(B925)-FIND(" ",B925,1)))</f>
        <v/>
      </c>
      <c r="I925" s="16">
        <f>_xlfn.XLOOKUP(Table2[[#This Row],[Type]],Table5[Type],Table5[Type2])</f>
        <v/>
      </c>
      <c r="J925" s="16">
        <f>_xlfn.XLOOKUP(Table2[[#This Row],[Sym]],Zones!$A$2:$A$21,Zones!$B$2:$B$21)</f>
        <v/>
      </c>
      <c r="K925" s="21" t="n"/>
    </row>
    <row r="926">
      <c r="A926" s="24" t="n">
        <v>2600</v>
      </c>
      <c r="B926" s="10" t="inlineStr">
        <is>
          <t>T220 Hưng Đông</t>
        </is>
      </c>
      <c r="C926" s="10" t="inlineStr">
        <is>
          <t>TBA 220kV Hưng Đông</t>
        </is>
      </c>
      <c r="D926" s="3" t="inlineStr">
        <is>
          <t>B15</t>
        </is>
      </c>
      <c r="E926" s="9" t="inlineStr">
        <is>
          <t>E15.1</t>
        </is>
      </c>
      <c r="F926" s="15">
        <f>IF(E926&lt;&gt;"","Đã VH","Quy hoạch điện VIII")</f>
        <v/>
      </c>
      <c r="G926" s="16">
        <f>LEFT(B926,FIND(" ",B926,1)-1)</f>
        <v/>
      </c>
      <c r="H926" s="16">
        <f>TRIM(RIGHT(B926,LEN(B926)-FIND(" ",B926,1)))</f>
        <v/>
      </c>
      <c r="I926" s="16">
        <f>_xlfn.XLOOKUP(Table2[[#This Row],[Type]],Table5[Type],Table5[Type2])</f>
        <v/>
      </c>
      <c r="J926" s="16">
        <f>_xlfn.XLOOKUP(Table2[[#This Row],[Sym]],Zones!$A$2:$A$21,Zones!$B$2:$B$21)</f>
        <v/>
      </c>
      <c r="K926" s="21" t="n"/>
    </row>
    <row r="927">
      <c r="A927" s="24" t="n">
        <v>2601</v>
      </c>
      <c r="B927" s="10" t="inlineStr">
        <is>
          <t>T110 Nghĩa Đàn</t>
        </is>
      </c>
      <c r="C927" s="10" t="inlineStr">
        <is>
          <t>TBA 110kV Nghĩa Đàn</t>
        </is>
      </c>
      <c r="D927" s="3" t="inlineStr">
        <is>
          <t>B15</t>
        </is>
      </c>
      <c r="E927" s="9" t="inlineStr">
        <is>
          <t>E15.2</t>
        </is>
      </c>
      <c r="F927" s="15">
        <f>IF(E927&lt;&gt;"","Đã VH","Quy hoạch điện VIII")</f>
        <v/>
      </c>
      <c r="G927" s="16">
        <f>LEFT(B927,FIND(" ",B927,1)-1)</f>
        <v/>
      </c>
      <c r="H927" s="16">
        <f>TRIM(RIGHT(B927,LEN(B927)-FIND(" ",B927,1)))</f>
        <v/>
      </c>
      <c r="I927" s="16">
        <f>_xlfn.XLOOKUP(Table2[[#This Row],[Type]],Table5[Type],Table5[Type2])</f>
        <v/>
      </c>
      <c r="J927" s="16">
        <f>_xlfn.XLOOKUP(Table2[[#This Row],[Sym]],Zones!$A$2:$A$21,Zones!$B$2:$B$21)</f>
        <v/>
      </c>
      <c r="K927" s="21" t="n"/>
    </row>
    <row r="928">
      <c r="A928" s="24" t="n">
        <v>2602</v>
      </c>
      <c r="B928" s="10" t="inlineStr">
        <is>
          <t>T110 Quỳ Hợp</t>
        </is>
      </c>
      <c r="C928" s="10" t="inlineStr">
        <is>
          <t>TBA 110kV Quỳ Hợp</t>
        </is>
      </c>
      <c r="D928" s="3" t="inlineStr">
        <is>
          <t>B15</t>
        </is>
      </c>
      <c r="E928" s="9" t="inlineStr">
        <is>
          <t>E15.3</t>
        </is>
      </c>
      <c r="F928" s="15">
        <f>IF(E928&lt;&gt;"","Đã VH","Quy hoạch điện VIII")</f>
        <v/>
      </c>
      <c r="G928" s="16">
        <f>LEFT(B928,FIND(" ",B928,1)-1)</f>
        <v/>
      </c>
      <c r="H928" s="16">
        <f>TRIM(RIGHT(B928,LEN(B928)-FIND(" ",B928,1)))</f>
        <v/>
      </c>
      <c r="I928" s="16">
        <f>_xlfn.XLOOKUP(Table2[[#This Row],[Type]],Table5[Type],Table5[Type2])</f>
        <v/>
      </c>
      <c r="J928" s="16">
        <f>_xlfn.XLOOKUP(Table2[[#This Row],[Sym]],Zones!$A$2:$A$21,Zones!$B$2:$B$21)</f>
        <v/>
      </c>
      <c r="K928" s="21" t="n"/>
    </row>
    <row r="929">
      <c r="A929" s="24" t="n">
        <v>2603</v>
      </c>
      <c r="B929" s="10" t="inlineStr">
        <is>
          <t>T110 Đô Lương</t>
        </is>
      </c>
      <c r="C929" s="10" t="inlineStr">
        <is>
          <t>TBA 110kV Đô Lương</t>
        </is>
      </c>
      <c r="D929" s="3" t="inlineStr">
        <is>
          <t>B15</t>
        </is>
      </c>
      <c r="E929" s="9" t="inlineStr">
        <is>
          <t>E15.4</t>
        </is>
      </c>
      <c r="F929" s="15">
        <f>IF(E929&lt;&gt;"","Đã VH","Quy hoạch điện VIII")</f>
        <v/>
      </c>
      <c r="G929" s="16">
        <f>LEFT(B929,FIND(" ",B929,1)-1)</f>
        <v/>
      </c>
      <c r="H929" s="16">
        <f>TRIM(RIGHT(B929,LEN(B929)-FIND(" ",B929,1)))</f>
        <v/>
      </c>
      <c r="I929" s="16">
        <f>_xlfn.XLOOKUP(Table2[[#This Row],[Type]],Table5[Type],Table5[Type2])</f>
        <v/>
      </c>
      <c r="J929" s="16">
        <f>_xlfn.XLOOKUP(Table2[[#This Row],[Sym]],Zones!$A$2:$A$21,Zones!$B$2:$B$21)</f>
        <v/>
      </c>
      <c r="K929" s="21" t="n"/>
    </row>
    <row r="930">
      <c r="A930" s="24" t="n">
        <v>2604</v>
      </c>
      <c r="B930" s="10" t="inlineStr">
        <is>
          <t>T110 Quỳnh Lưu</t>
        </is>
      </c>
      <c r="C930" s="10" t="inlineStr">
        <is>
          <t>TBA 110kV Quỳnh Lưu</t>
        </is>
      </c>
      <c r="D930" s="3" t="inlineStr">
        <is>
          <t>B15</t>
        </is>
      </c>
      <c r="E930" s="9" t="inlineStr">
        <is>
          <t>E15.5</t>
        </is>
      </c>
      <c r="F930" s="15">
        <f>IF(E930&lt;&gt;"","Đã VH","Quy hoạch điện VIII")</f>
        <v/>
      </c>
      <c r="G930" s="16">
        <f>LEFT(B930,FIND(" ",B930,1)-1)</f>
        <v/>
      </c>
      <c r="H930" s="16">
        <f>TRIM(RIGHT(B930,LEN(B930)-FIND(" ",B930,1)))</f>
        <v/>
      </c>
      <c r="I930" s="16">
        <f>_xlfn.XLOOKUP(Table2[[#This Row],[Type]],Table5[Type],Table5[Type2])</f>
        <v/>
      </c>
      <c r="J930" s="16">
        <f>_xlfn.XLOOKUP(Table2[[#This Row],[Sym]],Zones!$A$2:$A$21,Zones!$B$2:$B$21)</f>
        <v/>
      </c>
      <c r="K930" s="21" t="n"/>
    </row>
    <row r="931">
      <c r="A931" s="24" t="n">
        <v>2605</v>
      </c>
      <c r="B931" s="10" t="inlineStr">
        <is>
          <t>T110 XM Hoàng Mai</t>
        </is>
      </c>
      <c r="C931" s="10" t="inlineStr">
        <is>
          <t>TBA 110kV XM Hoàng Mai</t>
        </is>
      </c>
      <c r="D931" s="3" t="inlineStr">
        <is>
          <t>B15</t>
        </is>
      </c>
      <c r="E931" s="9" t="inlineStr">
        <is>
          <t>E15.6</t>
        </is>
      </c>
      <c r="F931" s="15">
        <f>IF(E931&lt;&gt;"","Đã VH","Quy hoạch điện VIII")</f>
        <v/>
      </c>
      <c r="G931" s="16">
        <f>LEFT(B931,FIND(" ",B931,1)-1)</f>
        <v/>
      </c>
      <c r="H931" s="16">
        <f>TRIM(RIGHT(B931,LEN(B931)-FIND(" ",B931,1)))</f>
        <v/>
      </c>
      <c r="I931" s="16">
        <f>_xlfn.XLOOKUP(Table2[[#This Row],[Type]],Table5[Type],Table5[Type2])</f>
        <v/>
      </c>
      <c r="J931" s="16">
        <f>_xlfn.XLOOKUP(Table2[[#This Row],[Sym]],Zones!$A$2:$A$21,Zones!$B$2:$B$21)</f>
        <v/>
      </c>
      <c r="K931" s="21" t="n"/>
    </row>
    <row r="932">
      <c r="A932" s="24" t="n">
        <v>2606</v>
      </c>
      <c r="B932" s="10" t="inlineStr">
        <is>
          <t>T110 Bến Thuỷ</t>
        </is>
      </c>
      <c r="C932" s="10" t="inlineStr">
        <is>
          <t>TBA 110kV Bến Thuỷ</t>
        </is>
      </c>
      <c r="D932" s="3" t="inlineStr">
        <is>
          <t>B15</t>
        </is>
      </c>
      <c r="E932" s="9" t="inlineStr">
        <is>
          <t>E15.7</t>
        </is>
      </c>
      <c r="F932" s="15">
        <f>IF(E932&lt;&gt;"","Đã VH","Quy hoạch điện VIII")</f>
        <v/>
      </c>
      <c r="G932" s="16">
        <f>LEFT(B932,FIND(" ",B932,1)-1)</f>
        <v/>
      </c>
      <c r="H932" s="16">
        <f>TRIM(RIGHT(B932,LEN(B932)-FIND(" ",B932,1)))</f>
        <v/>
      </c>
      <c r="I932" s="16">
        <f>_xlfn.XLOOKUP(Table2[[#This Row],[Type]],Table5[Type],Table5[Type2])</f>
        <v/>
      </c>
      <c r="J932" s="16">
        <f>_xlfn.XLOOKUP(Table2[[#This Row],[Sym]],Zones!$A$2:$A$21,Zones!$B$2:$B$21)</f>
        <v/>
      </c>
      <c r="K932" s="21" t="n"/>
    </row>
    <row r="933">
      <c r="A933" s="24" t="n">
        <v>2607</v>
      </c>
      <c r="B933" s="10" t="inlineStr">
        <is>
          <t>T110 Cửa Lò</t>
        </is>
      </c>
      <c r="C933" s="10" t="inlineStr">
        <is>
          <t>TBA 110kV Cửa Lò</t>
        </is>
      </c>
      <c r="D933" s="3" t="inlineStr">
        <is>
          <t>B15</t>
        </is>
      </c>
      <c r="E933" s="9" t="inlineStr">
        <is>
          <t>E15.8</t>
        </is>
      </c>
      <c r="F933" s="15">
        <f>IF(E933&lt;&gt;"","Đã VH","Quy hoạch điện VIII")</f>
        <v/>
      </c>
      <c r="G933" s="16">
        <f>LEFT(B933,FIND(" ",B933,1)-1)</f>
        <v/>
      </c>
      <c r="H933" s="16">
        <f>TRIM(RIGHT(B933,LEN(B933)-FIND(" ",B933,1)))</f>
        <v/>
      </c>
      <c r="I933" s="16">
        <f>_xlfn.XLOOKUP(Table2[[#This Row],[Type]],Table5[Type],Table5[Type2])</f>
        <v/>
      </c>
      <c r="J933" s="16">
        <f>_xlfn.XLOOKUP(Table2[[#This Row],[Sym]],Zones!$A$2:$A$21,Zones!$B$2:$B$21)</f>
        <v/>
      </c>
      <c r="K933" s="21" t="n"/>
    </row>
    <row r="934">
      <c r="A934" s="24" t="n">
        <v>2608</v>
      </c>
      <c r="B934" s="10" t="inlineStr">
        <is>
          <t xml:space="preserve">TĐ Nậm Pông </t>
        </is>
      </c>
      <c r="C934" s="10" t="inlineStr">
        <is>
          <t>NM TĐN Nậm Pông</t>
        </is>
      </c>
      <c r="D934" s="3" t="inlineStr">
        <is>
          <t>B15</t>
        </is>
      </c>
      <c r="E934" s="9" t="inlineStr">
        <is>
          <t>A15.19</t>
        </is>
      </c>
      <c r="F934" s="15">
        <f>IF(E934&lt;&gt;"","Đã VH","Quy hoạch điện VIII")</f>
        <v/>
      </c>
      <c r="G934" s="16">
        <f>LEFT(B934,FIND(" ",B934,1)-1)</f>
        <v/>
      </c>
      <c r="H934" s="16">
        <f>TRIM(RIGHT(B934,LEN(B934)-FIND(" ",B934,1)))</f>
        <v/>
      </c>
      <c r="I934" s="16">
        <f>_xlfn.XLOOKUP(Table2[[#This Row],[Type]],Table5[Type],Table5[Type2])</f>
        <v/>
      </c>
      <c r="J934" s="16">
        <f>_xlfn.XLOOKUP(Table2[[#This Row],[Sym]],Zones!$A$2:$A$21,Zones!$B$2:$B$21)</f>
        <v/>
      </c>
      <c r="K934" s="21" t="n"/>
    </row>
    <row r="935">
      <c r="A935" s="24" t="n">
        <v>2609</v>
      </c>
      <c r="B935" s="10" t="inlineStr">
        <is>
          <t>TĐ Nậm Nơn</t>
        </is>
      </c>
      <c r="C935" s="10" t="inlineStr">
        <is>
          <t>NM TĐN Nậm Nơn</t>
        </is>
      </c>
      <c r="D935" s="3" t="inlineStr">
        <is>
          <t>B15</t>
        </is>
      </c>
      <c r="E935" s="9" t="inlineStr">
        <is>
          <t>A15.22</t>
        </is>
      </c>
      <c r="F935" s="15">
        <f>IF(E935&lt;&gt;"","Đã VH","Quy hoạch điện VIII")</f>
        <v/>
      </c>
      <c r="G935" s="16">
        <f>LEFT(B935,FIND(" ",B935,1)-1)</f>
        <v/>
      </c>
      <c r="H935" s="16">
        <f>TRIM(RIGHT(B935,LEN(B935)-FIND(" ",B935,1)))</f>
        <v/>
      </c>
      <c r="I935" s="16">
        <f>_xlfn.XLOOKUP(Table2[[#This Row],[Type]],Table5[Type],Table5[Type2])</f>
        <v/>
      </c>
      <c r="J935" s="16">
        <f>_xlfn.XLOOKUP(Table2[[#This Row],[Sym]],Zones!$A$2:$A$21,Zones!$B$2:$B$21)</f>
        <v/>
      </c>
      <c r="K935" s="21" t="n"/>
    </row>
    <row r="936">
      <c r="A936" s="24" t="n">
        <v>2610</v>
      </c>
      <c r="B936" s="10" t="inlineStr">
        <is>
          <t>T110 Thanh Chương</t>
        </is>
      </c>
      <c r="C936" s="10" t="inlineStr">
        <is>
          <t>TBA 110kV Thanh Chương</t>
        </is>
      </c>
      <c r="D936" s="3" t="inlineStr">
        <is>
          <t>B15</t>
        </is>
      </c>
      <c r="E936" s="9" t="inlineStr">
        <is>
          <t>E15.11</t>
        </is>
      </c>
      <c r="F936" s="15">
        <f>IF(E936&lt;&gt;"","Đã VH","Quy hoạch điện VIII")</f>
        <v/>
      </c>
      <c r="G936" s="16">
        <f>LEFT(B936,FIND(" ",B936,1)-1)</f>
        <v/>
      </c>
      <c r="H936" s="16">
        <f>TRIM(RIGHT(B936,LEN(B936)-FIND(" ",B936,1)))</f>
        <v/>
      </c>
      <c r="I936" s="16">
        <f>_xlfn.XLOOKUP(Table2[[#This Row],[Type]],Table5[Type],Table5[Type2])</f>
        <v/>
      </c>
      <c r="J936" s="16">
        <f>_xlfn.XLOOKUP(Table2[[#This Row],[Sym]],Zones!$A$2:$A$21,Zones!$B$2:$B$21)</f>
        <v/>
      </c>
      <c r="K936" s="21" t="n"/>
    </row>
    <row r="937">
      <c r="A937" s="24" t="n">
        <v>2611</v>
      </c>
      <c r="B937" s="10" t="inlineStr">
        <is>
          <t>T110 Truông Bành</t>
        </is>
      </c>
      <c r="C937" s="30" t="inlineStr">
        <is>
          <t>Trạm biến áp 110kV Truông Bành</t>
        </is>
      </c>
      <c r="D937" s="3" t="inlineStr">
        <is>
          <t>B15</t>
        </is>
      </c>
      <c r="E937" s="9" t="inlineStr">
        <is>
          <t>E15.12</t>
        </is>
      </c>
      <c r="F937" s="15">
        <f>IF(E937&lt;&gt;"","Đã VH","Quy hoạch điện VIII")</f>
        <v/>
      </c>
      <c r="G937" s="16">
        <f>LEFT(B937,FIND(" ",B937,1)-1)</f>
        <v/>
      </c>
      <c r="H937" s="16">
        <f>TRIM(RIGHT(B937,LEN(B937)-FIND(" ",B937,1)))</f>
        <v/>
      </c>
      <c r="I937" s="16">
        <f>_xlfn.XLOOKUP(Table2[[#This Row],[Type]],Table5[Type],Table5[Type2])</f>
        <v/>
      </c>
      <c r="J937" s="16">
        <f>_xlfn.XLOOKUP(Table2[[#This Row],[Sym]],Zones!$A$2:$A$21,Zones!$B$2:$B$21)</f>
        <v/>
      </c>
      <c r="K937" s="21" t="n"/>
      <c r="AC937" t="inlineStr">
        <is>
          <t>Đã sửa từ dashboard (TBA 110kV Truông Bành ➔ Trạm biến áp 110kV Truông Bành)</t>
        </is>
      </c>
    </row>
    <row r="938">
      <c r="A938" s="24" t="n">
        <v>2612</v>
      </c>
      <c r="B938" s="10" t="inlineStr">
        <is>
          <t>T110 Diễn Châu</t>
        </is>
      </c>
      <c r="C938" s="10" t="inlineStr">
        <is>
          <t>TBA 110kV Diễn Châu</t>
        </is>
      </c>
      <c r="D938" s="3" t="inlineStr">
        <is>
          <t>B15</t>
        </is>
      </c>
      <c r="E938" s="9" t="inlineStr">
        <is>
          <t>E15.13</t>
        </is>
      </c>
      <c r="F938" s="15">
        <f>IF(E938&lt;&gt;"","Đã VH","Quy hoạch điện VIII")</f>
        <v/>
      </c>
      <c r="G938" s="16">
        <f>LEFT(B938,FIND(" ",B938,1)-1)</f>
        <v/>
      </c>
      <c r="H938" s="16">
        <f>TRIM(RIGHT(B938,LEN(B938)-FIND(" ",B938,1)))</f>
        <v/>
      </c>
      <c r="I938" s="16">
        <f>_xlfn.XLOOKUP(Table2[[#This Row],[Type]],Table5[Type],Table5[Type2])</f>
        <v/>
      </c>
      <c r="J938" s="16">
        <f>_xlfn.XLOOKUP(Table2[[#This Row],[Sym]],Zones!$A$2:$A$21,Zones!$B$2:$B$21)</f>
        <v/>
      </c>
      <c r="K938" s="21" t="n"/>
    </row>
    <row r="939">
      <c r="A939" s="24" t="n">
        <v>2613</v>
      </c>
      <c r="B939" s="10" t="inlineStr">
        <is>
          <t>T110 TT Hoà Bình</t>
        </is>
      </c>
      <c r="C939" s="30" t="inlineStr">
        <is>
          <t>TBA 110kV TT Hòa Bình</t>
        </is>
      </c>
      <c r="D939" s="3" t="inlineStr">
        <is>
          <t>B15</t>
        </is>
      </c>
      <c r="E939" s="9" t="inlineStr">
        <is>
          <t>E15.14</t>
        </is>
      </c>
      <c r="F939" s="15">
        <f>IF(E939&lt;&gt;"","Đã VH","Quy hoạch điện VIII")</f>
        <v/>
      </c>
      <c r="G939" s="16">
        <f>LEFT(B939,FIND(" ",B939,1)-1)</f>
        <v/>
      </c>
      <c r="H939" s="16">
        <f>TRIM(RIGHT(B939,LEN(B939)-FIND(" ",B939,1)))</f>
        <v/>
      </c>
      <c r="I939" s="16">
        <f>_xlfn.XLOOKUP(Table2[[#This Row],[Type]],Table5[Type],Table5[Type2])</f>
        <v/>
      </c>
      <c r="J939" s="16">
        <f>_xlfn.XLOOKUP(Table2[[#This Row],[Sym]],Zones!$A$2:$A$21,Zones!$B$2:$B$21)</f>
        <v/>
      </c>
      <c r="K939" s="21" t="n"/>
      <c r="AE939" t="inlineStr">
        <is>
          <t>Đã sửa từ dashboard (TBA 110kV TT Hoà Bình ➔ TBA 110kV TT Hòa Bình)</t>
        </is>
      </c>
    </row>
    <row r="940">
      <c r="A940" s="24" t="n">
        <v>2614</v>
      </c>
      <c r="B940" s="10" t="inlineStr">
        <is>
          <t>T110 Nam Đàn</t>
        </is>
      </c>
      <c r="C940" s="10" t="inlineStr">
        <is>
          <t>TBA 110kV Nam Đàn</t>
        </is>
      </c>
      <c r="D940" s="3" t="inlineStr">
        <is>
          <t>B15</t>
        </is>
      </c>
      <c r="E940" s="9" t="inlineStr">
        <is>
          <t>E15.15</t>
        </is>
      </c>
      <c r="F940" s="15">
        <f>IF(E940&lt;&gt;"","Đã VH","Quy hoạch điện VIII")</f>
        <v/>
      </c>
      <c r="G940" s="16">
        <f>LEFT(B940,FIND(" ",B940,1)-1)</f>
        <v/>
      </c>
      <c r="H940" s="16">
        <f>TRIM(RIGHT(B940,LEN(B940)-FIND(" ",B940,1)))</f>
        <v/>
      </c>
      <c r="I940" s="16">
        <f>_xlfn.XLOOKUP(Table2[[#This Row],[Type]],Table5[Type],Table5[Type2])</f>
        <v/>
      </c>
      <c r="J940" s="16">
        <f>_xlfn.XLOOKUP(Table2[[#This Row],[Sym]],Zones!$A$2:$A$21,Zones!$B$2:$B$21)</f>
        <v/>
      </c>
      <c r="K940" s="21" t="n"/>
    </row>
    <row r="941">
      <c r="A941" s="24" t="n">
        <v>2615</v>
      </c>
      <c r="B941" s="10" t="inlineStr">
        <is>
          <t>T110 Hưng Hoà</t>
        </is>
      </c>
      <c r="C941" s="30" t="inlineStr">
        <is>
          <t>TBA 110kV Hưng Hòa</t>
        </is>
      </c>
      <c r="D941" s="3" t="inlineStr">
        <is>
          <t>B15</t>
        </is>
      </c>
      <c r="E941" s="9" t="inlineStr">
        <is>
          <t>E15.16</t>
        </is>
      </c>
      <c r="F941" s="15">
        <f>IF(E941&lt;&gt;"","Đã VH","Quy hoạch điện VIII")</f>
        <v/>
      </c>
      <c r="G941" s="16">
        <f>LEFT(B941,FIND(" ",B941,1)-1)</f>
        <v/>
      </c>
      <c r="H941" s="16">
        <f>TRIM(RIGHT(B941,LEN(B941)-FIND(" ",B941,1)))</f>
        <v/>
      </c>
      <c r="I941" s="16">
        <f>_xlfn.XLOOKUP(Table2[[#This Row],[Type]],Table5[Type],Table5[Type2])</f>
        <v/>
      </c>
      <c r="J941" s="16">
        <f>_xlfn.XLOOKUP(Table2[[#This Row],[Sym]],Zones!$A$2:$A$21,Zones!$B$2:$B$21)</f>
        <v/>
      </c>
      <c r="K941" s="21" t="n"/>
      <c r="X941" t="inlineStr">
        <is>
          <t>Đã sửa từ dashboard (TBA 110kV Hưng Hoà ➔ TBA 110kV Hưng Hòa)</t>
        </is>
      </c>
    </row>
    <row r="942">
      <c r="A942" s="24" t="n">
        <v>2616</v>
      </c>
      <c r="B942" s="10" t="inlineStr">
        <is>
          <t>T110 Hoàng Mai</t>
        </is>
      </c>
      <c r="C942" s="10" t="inlineStr">
        <is>
          <t>TBA 110kV Hoàng Mai</t>
        </is>
      </c>
      <c r="D942" s="3" t="inlineStr">
        <is>
          <t>B15</t>
        </is>
      </c>
      <c r="E942" s="9" t="inlineStr">
        <is>
          <t>E15.17</t>
        </is>
      </c>
      <c r="F942" s="15">
        <f>IF(E942&lt;&gt;"","Đã VH","Quy hoạch điện VIII")</f>
        <v/>
      </c>
      <c r="G942" s="16">
        <f>LEFT(B942,FIND(" ",B942,1)-1)</f>
        <v/>
      </c>
      <c r="H942" s="16">
        <f>TRIM(RIGHT(B942,LEN(B942)-FIND(" ",B942,1)))</f>
        <v/>
      </c>
      <c r="I942" s="16">
        <f>_xlfn.XLOOKUP(Table2[[#This Row],[Type]],Table5[Type],Table5[Type2])</f>
        <v/>
      </c>
      <c r="J942" s="16">
        <f>_xlfn.XLOOKUP(Table2[[#This Row],[Sym]],Zones!$A$2:$A$21,Zones!$B$2:$B$21)</f>
        <v/>
      </c>
      <c r="K942" s="21" t="n"/>
    </row>
    <row r="943">
      <c r="A943" s="24" t="n">
        <v>2617</v>
      </c>
      <c r="B943" s="10" t="inlineStr">
        <is>
          <t>TĐ Nậm Mô</t>
        </is>
      </c>
      <c r="C943" s="10" t="inlineStr">
        <is>
          <t>NM TĐN Nậm Mô</t>
        </is>
      </c>
      <c r="D943" s="3" t="inlineStr">
        <is>
          <t>B15</t>
        </is>
      </c>
      <c r="E943" s="9" t="inlineStr">
        <is>
          <t>A15.25</t>
        </is>
      </c>
      <c r="F943" s="15">
        <f>IF(E943&lt;&gt;"","Đã VH","Quy hoạch điện VIII")</f>
        <v/>
      </c>
      <c r="G943" s="16">
        <f>LEFT(B943,FIND(" ",B943,1)-1)</f>
        <v/>
      </c>
      <c r="H943" s="16">
        <f>TRIM(RIGHT(B943,LEN(B943)-FIND(" ",B943,1)))</f>
        <v/>
      </c>
      <c r="I943" s="16">
        <f>_xlfn.XLOOKUP(Table2[[#This Row],[Type]],Table5[Type],Table5[Type2])</f>
        <v/>
      </c>
      <c r="J943" s="16">
        <f>_xlfn.XLOOKUP(Table2[[#This Row],[Sym]],Zones!$A$2:$A$21,Zones!$B$2:$B$21)</f>
        <v/>
      </c>
      <c r="K943" s="21" t="n"/>
    </row>
    <row r="944">
      <c r="A944" s="24" t="n">
        <v>2618</v>
      </c>
      <c r="B944" s="10" t="inlineStr">
        <is>
          <t>TĐ Nậm Cắn 2</t>
        </is>
      </c>
      <c r="C944" s="10" t="inlineStr">
        <is>
          <t>NM TĐN Nậm Cắn 2</t>
        </is>
      </c>
      <c r="D944" s="3" t="inlineStr">
        <is>
          <t>B15</t>
        </is>
      </c>
      <c r="E944" s="9" t="inlineStr">
        <is>
          <t>A15.23</t>
        </is>
      </c>
      <c r="F944" s="15">
        <f>IF(E944&lt;&gt;"","Đã VH","Quy hoạch điện VIII")</f>
        <v/>
      </c>
      <c r="G944" s="16">
        <f>LEFT(B944,FIND(" ",B944,1)-1)</f>
        <v/>
      </c>
      <c r="H944" s="16">
        <f>TRIM(RIGHT(B944,LEN(B944)-FIND(" ",B944,1)))</f>
        <v/>
      </c>
      <c r="I944" s="16">
        <f>_xlfn.XLOOKUP(Table2[[#This Row],[Type]],Table5[Type],Table5[Type2])</f>
        <v/>
      </c>
      <c r="J944" s="16">
        <f>_xlfn.XLOOKUP(Table2[[#This Row],[Sym]],Zones!$A$2:$A$21,Zones!$B$2:$B$21)</f>
        <v/>
      </c>
      <c r="K944" s="21" t="n"/>
    </row>
    <row r="945">
      <c r="A945" s="24" t="n">
        <v>2619</v>
      </c>
      <c r="B945" s="10" t="inlineStr">
        <is>
          <t>TĐ Chi Khê</t>
        </is>
      </c>
      <c r="C945" s="10" t="inlineStr">
        <is>
          <t>NM TĐN Chi Khê</t>
        </is>
      </c>
      <c r="D945" s="3" t="inlineStr">
        <is>
          <t>B15</t>
        </is>
      </c>
      <c r="E945" s="9" t="inlineStr">
        <is>
          <t>A15.26</t>
        </is>
      </c>
      <c r="F945" s="15">
        <f>IF(E945&lt;&gt;"","Đã VH","Quy hoạch điện VIII")</f>
        <v/>
      </c>
      <c r="G945" s="16">
        <f>LEFT(B945,FIND(" ",B945,1)-1)</f>
        <v/>
      </c>
      <c r="H945" s="16">
        <f>TRIM(RIGHT(B945,LEN(B945)-FIND(" ",B945,1)))</f>
        <v/>
      </c>
      <c r="I945" s="16">
        <f>_xlfn.XLOOKUP(Table2[[#This Row],[Type]],Table5[Type],Table5[Type2])</f>
        <v/>
      </c>
      <c r="J945" s="16">
        <f>_xlfn.XLOOKUP(Table2[[#This Row],[Sym]],Zones!$A$2:$A$21,Zones!$B$2:$B$21)</f>
        <v/>
      </c>
      <c r="K945" s="21" t="n"/>
    </row>
    <row r="946">
      <c r="A946" s="24" t="n">
        <v>2620</v>
      </c>
      <c r="B946" s="10" t="inlineStr">
        <is>
          <t>T110 Yên Thành</t>
        </is>
      </c>
      <c r="C946" s="10" t="inlineStr">
        <is>
          <t>TBA 110kV Yên Thành</t>
        </is>
      </c>
      <c r="D946" s="3" t="inlineStr">
        <is>
          <t>B15</t>
        </is>
      </c>
      <c r="E946" s="9" t="inlineStr">
        <is>
          <t>E15.21</t>
        </is>
      </c>
      <c r="F946" s="15">
        <f>IF(E946&lt;&gt;"","Đã VH","Quy hoạch điện VIII")</f>
        <v/>
      </c>
      <c r="G946" s="16">
        <f>LEFT(B946,FIND(" ",B946,1)-1)</f>
        <v/>
      </c>
      <c r="H946" s="16">
        <f>TRIM(RIGHT(B946,LEN(B946)-FIND(" ",B946,1)))</f>
        <v/>
      </c>
      <c r="I946" s="16">
        <f>_xlfn.XLOOKUP(Table2[[#This Row],[Type]],Table5[Type],Table5[Type2])</f>
        <v/>
      </c>
      <c r="J946" s="16">
        <f>_xlfn.XLOOKUP(Table2[[#This Row],[Sym]],Zones!$A$2:$A$21,Zones!$B$2:$B$21)</f>
        <v/>
      </c>
      <c r="K946" s="21" t="n"/>
    </row>
    <row r="947">
      <c r="A947" s="24" t="n">
        <v>2621</v>
      </c>
      <c r="B947" s="10" t="inlineStr">
        <is>
          <t>T110 XM Sông Lam 2</t>
        </is>
      </c>
      <c r="C947" s="10" t="inlineStr">
        <is>
          <t>TBA 110kV XM Sông Lam 2</t>
        </is>
      </c>
      <c r="D947" s="3" t="inlineStr">
        <is>
          <t>B15</t>
        </is>
      </c>
      <c r="E947" s="9" t="inlineStr">
        <is>
          <t>E15.24</t>
        </is>
      </c>
      <c r="F947" s="15">
        <f>IF(E947&lt;&gt;"","Đã VH","Quy hoạch điện VIII")</f>
        <v/>
      </c>
      <c r="G947" s="16">
        <f>LEFT(B947,FIND(" ",B947,1)-1)</f>
        <v/>
      </c>
      <c r="H947" s="16">
        <f>TRIM(RIGHT(B947,LEN(B947)-FIND(" ",B947,1)))</f>
        <v/>
      </c>
      <c r="I947" s="16">
        <f>_xlfn.XLOOKUP(Table2[[#This Row],[Type]],Table5[Type],Table5[Type2])</f>
        <v/>
      </c>
      <c r="J947" s="16">
        <f>_xlfn.XLOOKUP(Table2[[#This Row],[Sym]],Zones!$A$2:$A$21,Zones!$B$2:$B$21)</f>
        <v/>
      </c>
      <c r="K947" s="21" t="n"/>
    </row>
    <row r="948">
      <c r="A948" s="24" t="n">
        <v>2622</v>
      </c>
      <c r="B948" s="10" t="inlineStr">
        <is>
          <t>TĐ Bản Vẽ</t>
        </is>
      </c>
      <c r="C948" s="10" t="inlineStr">
        <is>
          <t>NM TĐN Bản Vẽ</t>
        </is>
      </c>
      <c r="D948" s="3" t="inlineStr">
        <is>
          <t>B15</t>
        </is>
      </c>
      <c r="E948" s="9" t="inlineStr">
        <is>
          <t>A15.0</t>
        </is>
      </c>
      <c r="F948" s="15">
        <f>IF(E948&lt;&gt;"","Đã VH","Quy hoạch điện VIII")</f>
        <v/>
      </c>
      <c r="G948" s="16">
        <f>LEFT(B948,FIND(" ",B948,1)-1)</f>
        <v/>
      </c>
      <c r="H948" s="16">
        <f>TRIM(RIGHT(B948,LEN(B948)-FIND(" ",B948,1)))</f>
        <v/>
      </c>
      <c r="I948" s="16">
        <f>_xlfn.XLOOKUP(Table2[[#This Row],[Type]],Table5[Type],Table5[Type2])</f>
        <v/>
      </c>
      <c r="J948" s="16">
        <f>_xlfn.XLOOKUP(Table2[[#This Row],[Sym]],Zones!$A$2:$A$21,Zones!$B$2:$B$21)</f>
        <v/>
      </c>
      <c r="K948" s="21" t="n"/>
    </row>
    <row r="949">
      <c r="A949" s="24" t="n">
        <v>2623</v>
      </c>
      <c r="B949" s="10" t="inlineStr">
        <is>
          <t>T220 Đô Lương</t>
        </is>
      </c>
      <c r="C949" s="10" t="inlineStr">
        <is>
          <t>TBA 220kV Đô Lương</t>
        </is>
      </c>
      <c r="D949" s="3" t="inlineStr">
        <is>
          <t>B15</t>
        </is>
      </c>
      <c r="E949" s="9" t="inlineStr">
        <is>
          <t>E15.10</t>
        </is>
      </c>
      <c r="F949" s="15">
        <f>IF(E949&lt;&gt;"","Đã VH","Quy hoạch điện VIII")</f>
        <v/>
      </c>
      <c r="G949" s="16">
        <f>LEFT(B949,FIND(" ",B949,1)-1)</f>
        <v/>
      </c>
      <c r="H949" s="16">
        <f>TRIM(RIGHT(B949,LEN(B949)-FIND(" ",B949,1)))</f>
        <v/>
      </c>
      <c r="I949" s="16">
        <f>_xlfn.XLOOKUP(Table2[[#This Row],[Type]],Table5[Type],Table5[Type2])</f>
        <v/>
      </c>
      <c r="J949" s="16">
        <f>_xlfn.XLOOKUP(Table2[[#This Row],[Sym]],Zones!$A$2:$A$21,Zones!$B$2:$B$21)</f>
        <v/>
      </c>
      <c r="K949" s="21" t="n"/>
    </row>
    <row r="950">
      <c r="A950" s="24" t="n">
        <v>2624</v>
      </c>
      <c r="B950" s="10" t="inlineStr">
        <is>
          <t>TĐ Khe Bố</t>
        </is>
      </c>
      <c r="C950" s="10" t="inlineStr">
        <is>
          <t>NM TĐN Khe Bố</t>
        </is>
      </c>
      <c r="D950" s="3" t="inlineStr">
        <is>
          <t>B15</t>
        </is>
      </c>
      <c r="E950" s="9" t="inlineStr">
        <is>
          <t>A15.20</t>
        </is>
      </c>
      <c r="F950" s="15">
        <f>IF(E950&lt;&gt;"","Đã VH","Quy hoạch điện VIII")</f>
        <v/>
      </c>
      <c r="G950" s="16">
        <f>LEFT(B950,FIND(" ",B950,1)-1)</f>
        <v/>
      </c>
      <c r="H950" s="16">
        <f>TRIM(RIGHT(B950,LEN(B950)-FIND(" ",B950,1)))</f>
        <v/>
      </c>
      <c r="I950" s="16">
        <f>_xlfn.XLOOKUP(Table2[[#This Row],[Type]],Table5[Type],Table5[Type2])</f>
        <v/>
      </c>
      <c r="J950" s="16">
        <f>_xlfn.XLOOKUP(Table2[[#This Row],[Sym]],Zones!$A$2:$A$21,Zones!$B$2:$B$21)</f>
        <v/>
      </c>
      <c r="K950" s="21" t="n"/>
    </row>
    <row r="951">
      <c r="A951" s="24" t="n">
        <v>2625</v>
      </c>
      <c r="B951" s="10" t="inlineStr">
        <is>
          <t>T110 Nghi Thiết</t>
        </is>
      </c>
      <c r="C951" s="10" t="inlineStr">
        <is>
          <t>TBA 110kV Nghi Thiết</t>
        </is>
      </c>
      <c r="D951" s="3" t="inlineStr">
        <is>
          <t>B15</t>
        </is>
      </c>
      <c r="E951" s="9" t="inlineStr">
        <is>
          <t>E15.33</t>
        </is>
      </c>
      <c r="F951" s="15">
        <f>IF(E951&lt;&gt;"","Đã VH","Quy hoạch điện VIII")</f>
        <v/>
      </c>
      <c r="G951" s="16">
        <f>LEFT(B951,FIND(" ",B951,1)-1)</f>
        <v/>
      </c>
      <c r="H951" s="16">
        <f>TRIM(RIGHT(B951,LEN(B951)-FIND(" ",B951,1)))</f>
        <v/>
      </c>
      <c r="I951" s="16">
        <f>_xlfn.XLOOKUP(Table2[[#This Row],[Type]],Table5[Type],Table5[Type2])</f>
        <v/>
      </c>
      <c r="J951" s="16">
        <f>_xlfn.XLOOKUP(Table2[[#This Row],[Sym]],Zones!$A$2:$A$21,Zones!$B$2:$B$21)</f>
        <v/>
      </c>
      <c r="K951" s="21" t="n"/>
    </row>
    <row r="952">
      <c r="A952" s="24" t="n">
        <v>2626</v>
      </c>
      <c r="B952" s="10" t="inlineStr">
        <is>
          <t>T110 XM Sông Lam 1</t>
        </is>
      </c>
      <c r="C952" s="10" t="inlineStr">
        <is>
          <t>TBA 110kV XM Sông Lam 1</t>
        </is>
      </c>
      <c r="D952" s="3" t="inlineStr">
        <is>
          <t>B15</t>
        </is>
      </c>
      <c r="E952" s="9" t="inlineStr">
        <is>
          <t>E15.31</t>
        </is>
      </c>
      <c r="F952" s="15">
        <f>IF(E952&lt;&gt;"","Đã VH","Quy hoạch điện VIII")</f>
        <v/>
      </c>
      <c r="G952" s="16">
        <f>LEFT(B952,FIND(" ",B952,1)-1)</f>
        <v/>
      </c>
      <c r="H952" s="16">
        <f>TRIM(RIGHT(B952,LEN(B952)-FIND(" ",B952,1)))</f>
        <v/>
      </c>
      <c r="I952" s="16">
        <f>_xlfn.XLOOKUP(Table2[[#This Row],[Type]],Table5[Type],Table5[Type2])</f>
        <v/>
      </c>
      <c r="J952" s="16">
        <f>_xlfn.XLOOKUP(Table2[[#This Row],[Sym]],Zones!$A$2:$A$21,Zones!$B$2:$B$21)</f>
        <v/>
      </c>
      <c r="K952" s="21" t="n"/>
    </row>
    <row r="953">
      <c r="A953" s="24" t="n">
        <v>2627</v>
      </c>
      <c r="B953" s="10" t="inlineStr">
        <is>
          <t>T110 Tôn Hoa Sen</t>
        </is>
      </c>
      <c r="C953" s="10" t="inlineStr">
        <is>
          <t>TBA 110kV Tôn Hoa Sen</t>
        </is>
      </c>
      <c r="D953" s="3" t="inlineStr">
        <is>
          <t>B15</t>
        </is>
      </c>
      <c r="E953" s="9" t="inlineStr">
        <is>
          <t>E15.27</t>
        </is>
      </c>
      <c r="F953" s="15">
        <f>IF(E953&lt;&gt;"","Đã VH","Quy hoạch điện VIII")</f>
        <v/>
      </c>
      <c r="G953" s="16">
        <f>LEFT(B953,FIND(" ",B953,1)-1)</f>
        <v/>
      </c>
      <c r="H953" s="16">
        <f>TRIM(RIGHT(B953,LEN(B953)-FIND(" ",B953,1)))</f>
        <v/>
      </c>
      <c r="I953" s="16">
        <f>_xlfn.XLOOKUP(Table2[[#This Row],[Type]],Table5[Type],Table5[Type2])</f>
        <v/>
      </c>
      <c r="J953" s="16">
        <f>_xlfn.XLOOKUP(Table2[[#This Row],[Sym]],Zones!$A$2:$A$21,Zones!$B$2:$B$21)</f>
        <v/>
      </c>
      <c r="K953" s="21" t="n"/>
    </row>
    <row r="954">
      <c r="A954" s="24" t="n">
        <v>2628</v>
      </c>
      <c r="B954" s="10" t="inlineStr">
        <is>
          <t>T110 Bắc Á</t>
        </is>
      </c>
      <c r="C954" s="10" t="inlineStr">
        <is>
          <t>TBA 110kV Bắc Á</t>
        </is>
      </c>
      <c r="D954" s="3" t="inlineStr">
        <is>
          <t>B15</t>
        </is>
      </c>
      <c r="E954" s="9" t="inlineStr">
        <is>
          <t>E15.36</t>
        </is>
      </c>
      <c r="F954" s="15">
        <f>IF(E954&lt;&gt;"","Đã VH","Quy hoạch điện VIII")</f>
        <v/>
      </c>
      <c r="G954" s="16">
        <f>LEFT(B954,FIND(" ",B954,1)-1)</f>
        <v/>
      </c>
      <c r="H954" s="16">
        <f>TRIM(RIGHT(B954,LEN(B954)-FIND(" ",B954,1)))</f>
        <v/>
      </c>
      <c r="I954" s="16">
        <f>_xlfn.XLOOKUP(Table2[[#This Row],[Type]],Table5[Type],Table5[Type2])</f>
        <v/>
      </c>
      <c r="J954" s="16">
        <f>_xlfn.XLOOKUP(Table2[[#This Row],[Sym]],Zones!$A$2:$A$21,Zones!$B$2:$B$21)</f>
        <v/>
      </c>
      <c r="K954" s="21" t="n"/>
    </row>
    <row r="955">
      <c r="A955" s="24" t="n">
        <v>2629</v>
      </c>
      <c r="B955" s="10" t="inlineStr">
        <is>
          <t>TĐ Nhạc Hạc</t>
        </is>
      </c>
      <c r="C955" s="10" t="inlineStr">
        <is>
          <t>NM TĐN Nhạc Hạc</t>
        </is>
      </c>
      <c r="D955" s="3" t="inlineStr">
        <is>
          <t>B15</t>
        </is>
      </c>
      <c r="E955" s="9" t="inlineStr">
        <is>
          <t>A15.35A</t>
        </is>
      </c>
      <c r="F955" s="15">
        <f>IF(E955&lt;&gt;"","Đã VH","Quy hoạch điện VIII")</f>
        <v/>
      </c>
      <c r="G955" s="16">
        <f>LEFT(B955,FIND(" ",B955,1)-1)</f>
        <v/>
      </c>
      <c r="H955" s="16">
        <f>TRIM(RIGHT(B955,LEN(B955)-FIND(" ",B955,1)))</f>
        <v/>
      </c>
      <c r="I955" s="16">
        <f>_xlfn.XLOOKUP(Table2[[#This Row],[Type]],Table5[Type],Table5[Type2])</f>
        <v/>
      </c>
      <c r="J955" s="16">
        <f>_xlfn.XLOOKUP(Table2[[#This Row],[Sym]],Zones!$A$2:$A$21,Zones!$B$2:$B$21)</f>
        <v/>
      </c>
      <c r="K955" s="21" t="n"/>
    </row>
    <row r="956">
      <c r="A956" s="24" t="n">
        <v>2630</v>
      </c>
      <c r="B956" s="10" t="inlineStr">
        <is>
          <t>TĐ Ca Nan 2</t>
        </is>
      </c>
      <c r="C956" s="10" t="inlineStr">
        <is>
          <t>NM TĐN Ca Nan 2</t>
        </is>
      </c>
      <c r="D956" s="3" t="inlineStr">
        <is>
          <t>B15</t>
        </is>
      </c>
      <c r="E956" s="9" t="inlineStr">
        <is>
          <t>A15.37</t>
        </is>
      </c>
      <c r="F956" s="15">
        <f>IF(E956&lt;&gt;"","Đã VH","Quy hoạch điện VIII")</f>
        <v/>
      </c>
      <c r="G956" s="16">
        <f>LEFT(B956,FIND(" ",B956,1)-1)</f>
        <v/>
      </c>
      <c r="H956" s="16">
        <f>TRIM(RIGHT(B956,LEN(B956)-FIND(" ",B956,1)))</f>
        <v/>
      </c>
      <c r="I956" s="16">
        <f>_xlfn.XLOOKUP(Table2[[#This Row],[Type]],Table5[Type],Table5[Type2])</f>
        <v/>
      </c>
      <c r="J956" s="16">
        <f>_xlfn.XLOOKUP(Table2[[#This Row],[Sym]],Zones!$A$2:$A$21,Zones!$B$2:$B$21)</f>
        <v/>
      </c>
      <c r="K956" s="21" t="n"/>
    </row>
    <row r="957">
      <c r="A957" s="24" t="n">
        <v>2631</v>
      </c>
      <c r="B957" s="10" t="inlineStr">
        <is>
          <t>T110 Con Cuông</t>
        </is>
      </c>
      <c r="C957" s="10" t="inlineStr">
        <is>
          <t>TBA 110kV Con Cuông</t>
        </is>
      </c>
      <c r="D957" s="3" t="inlineStr">
        <is>
          <t>B15</t>
        </is>
      </c>
      <c r="E957" s="9" t="inlineStr">
        <is>
          <t>E15.48</t>
        </is>
      </c>
      <c r="F957" s="15">
        <f>IF(E957&lt;&gt;"","Đã VH","Quy hoạch điện VIII")</f>
        <v/>
      </c>
      <c r="G957" s="16">
        <f>LEFT(B957,FIND(" ",B957,1)-1)</f>
        <v/>
      </c>
      <c r="H957" s="16">
        <f>TRIM(RIGHT(B957,LEN(B957)-FIND(" ",B957,1)))</f>
        <v/>
      </c>
      <c r="I957" s="16">
        <f>_xlfn.XLOOKUP(Table2[[#This Row],[Type]],Table5[Type],Table5[Type2])</f>
        <v/>
      </c>
      <c r="J957" s="16">
        <f>_xlfn.XLOOKUP(Table2[[#This Row],[Sym]],Zones!$A$2:$A$21,Zones!$B$2:$B$21)</f>
        <v/>
      </c>
      <c r="K957" s="21" t="n"/>
    </row>
    <row r="958">
      <c r="A958" s="24" t="n">
        <v>2632</v>
      </c>
      <c r="B958" s="10" t="inlineStr">
        <is>
          <t>T110 KCN Hoàng Mai</t>
        </is>
      </c>
      <c r="C958" s="30" t="inlineStr">
        <is>
          <t>TBA 110kV KCN Hoàng Mai 1</t>
        </is>
      </c>
      <c r="D958" s="3" t="inlineStr">
        <is>
          <t>B15</t>
        </is>
      </c>
      <c r="E958" s="9" t="inlineStr">
        <is>
          <t>E15.49</t>
        </is>
      </c>
      <c r="F958" s="15">
        <f>IF(E958&lt;&gt;"","Đã VH","Quy hoạch điện VIII")</f>
        <v/>
      </c>
      <c r="G958" s="16">
        <f>LEFT(B958,FIND(" ",B958,1)-1)</f>
        <v/>
      </c>
      <c r="H958" s="16">
        <f>TRIM(RIGHT(B958,LEN(B958)-FIND(" ",B958,1)))</f>
        <v/>
      </c>
      <c r="I958" s="16">
        <f>_xlfn.XLOOKUP(Table2[[#This Row],[Type]],Table5[Type],Table5[Type2])</f>
        <v/>
      </c>
      <c r="J958" s="16">
        <f>_xlfn.XLOOKUP(Table2[[#This Row],[Sym]],Zones!$A$2:$A$21,Zones!$B$2:$B$21)</f>
        <v/>
      </c>
      <c r="K958" s="21" t="n"/>
      <c r="Y958" t="inlineStr">
        <is>
          <t>Đã sửa từ dashboard (TBA 110kV KCN Hoàng Mai ➔ TBA 110kV KCN Hoàng Mai 1)</t>
        </is>
      </c>
    </row>
    <row r="959">
      <c r="A959" s="24" t="n">
        <v>2633</v>
      </c>
      <c r="B959" s="10" t="inlineStr">
        <is>
          <t>TĐ Bản Mồng</t>
        </is>
      </c>
      <c r="C959" s="10" t="inlineStr">
        <is>
          <t>NM TĐN Bản Mồng</t>
        </is>
      </c>
      <c r="D959" s="3" t="inlineStr">
        <is>
          <t>B15</t>
        </is>
      </c>
      <c r="E959" s="9" t="n"/>
      <c r="F959" s="15">
        <f>IF(E959&lt;&gt;"","Đã VH","Quy hoạch điện VIII")</f>
        <v/>
      </c>
      <c r="G959" s="16">
        <f>LEFT(B959,FIND(" ",B959,1)-1)</f>
        <v/>
      </c>
      <c r="H959" s="16">
        <f>TRIM(RIGHT(B959,LEN(B959)-FIND(" ",B959,1)))</f>
        <v/>
      </c>
      <c r="I959" s="16">
        <f>_xlfn.XLOOKUP(Table2[[#This Row],[Type]],Table5[Type],Table5[Type2])</f>
        <v/>
      </c>
      <c r="J959" s="16">
        <f>_xlfn.XLOOKUP(Table2[[#This Row],[Sym]],Zones!$A$2:$A$21,Zones!$B$2:$B$21)</f>
        <v/>
      </c>
      <c r="K959" s="21" t="n"/>
    </row>
    <row r="960">
      <c r="A960" s="24" t="n">
        <v>2634</v>
      </c>
      <c r="B960" s="10" t="inlineStr">
        <is>
          <t>T110 Hưng Nguyên</t>
        </is>
      </c>
      <c r="C960" s="10" t="inlineStr">
        <is>
          <t>TBA 110kV Hưng Nguyên</t>
        </is>
      </c>
      <c r="D960" s="3" t="inlineStr">
        <is>
          <t>B15</t>
        </is>
      </c>
      <c r="E960" s="9" t="inlineStr">
        <is>
          <t>E15.43</t>
        </is>
      </c>
      <c r="F960" s="15">
        <f>IF(E960&lt;&gt;"","Đã VH","Quy hoạch điện VIII")</f>
        <v/>
      </c>
      <c r="G960" s="16">
        <f>LEFT(B960,FIND(" ",B960,1)-1)</f>
        <v/>
      </c>
      <c r="H960" s="16">
        <f>TRIM(RIGHT(B960,LEN(B960)-FIND(" ",B960,1)))</f>
        <v/>
      </c>
      <c r="I960" s="16">
        <f>_xlfn.XLOOKUP(Table2[[#This Row],[Type]],Table5[Type],Table5[Type2])</f>
        <v/>
      </c>
      <c r="J960" s="16">
        <f>_xlfn.XLOOKUP(Table2[[#This Row],[Sym]],Zones!$A$2:$A$21,Zones!$B$2:$B$21)</f>
        <v/>
      </c>
      <c r="K960" s="21" t="n"/>
    </row>
    <row r="961">
      <c r="A961" s="24" t="n">
        <v>2635</v>
      </c>
      <c r="B961" s="10" t="inlineStr">
        <is>
          <t>TĐ Mỹ Lý</t>
        </is>
      </c>
      <c r="C961" s="10" t="inlineStr">
        <is>
          <t>NM TĐN Mỹ Lý</t>
        </is>
      </c>
      <c r="D961" s="3" t="inlineStr">
        <is>
          <t>B15</t>
        </is>
      </c>
      <c r="E961" s="9" t="n"/>
      <c r="F961" s="15">
        <f>IF(E961&lt;&gt;"","Đã VH","Quy hoạch điện VIII")</f>
        <v/>
      </c>
      <c r="G961" s="16">
        <f>LEFT(B961,FIND(" ",B961,1)-1)</f>
        <v/>
      </c>
      <c r="H961" s="16">
        <f>TRIM(RIGHT(B961,LEN(B961)-FIND(" ",B961,1)))</f>
        <v/>
      </c>
      <c r="I961" s="16">
        <f>_xlfn.XLOOKUP(Table2[[#This Row],[Type]],Table5[Type],Table5[Type2])</f>
        <v/>
      </c>
      <c r="J961" s="16">
        <f>_xlfn.XLOOKUP(Table2[[#This Row],[Sym]],Zones!$A$2:$A$21,Zones!$B$2:$B$21)</f>
        <v/>
      </c>
      <c r="K961" s="21" t="n"/>
    </row>
    <row r="962">
      <c r="A962" s="24" t="n">
        <v>2636</v>
      </c>
      <c r="B962" s="10" t="inlineStr">
        <is>
          <t>TĐ Nậm Mô 1</t>
        </is>
      </c>
      <c r="C962" s="10" t="inlineStr">
        <is>
          <t>NM TĐN Nậm Mô 1</t>
        </is>
      </c>
      <c r="D962" s="3" t="inlineStr">
        <is>
          <t>B15</t>
        </is>
      </c>
      <c r="E962" s="9" t="n"/>
      <c r="F962" s="15">
        <f>IF(E962&lt;&gt;"","Đã VH","Quy hoạch điện VIII")</f>
        <v/>
      </c>
      <c r="G962" s="16">
        <f>LEFT(B962,FIND(" ",B962,1)-1)</f>
        <v/>
      </c>
      <c r="H962" s="16">
        <f>TRIM(RIGHT(B962,LEN(B962)-FIND(" ",B962,1)))</f>
        <v/>
      </c>
      <c r="I962" s="16">
        <f>_xlfn.XLOOKUP(Table2[[#This Row],[Type]],Table5[Type],Table5[Type2])</f>
        <v/>
      </c>
      <c r="J962" s="16">
        <f>_xlfn.XLOOKUP(Table2[[#This Row],[Sym]],Zones!$A$2:$A$21,Zones!$B$2:$B$21)</f>
        <v/>
      </c>
      <c r="K962" s="21" t="n"/>
    </row>
    <row r="963">
      <c r="A963" s="24" t="n">
        <v>2637</v>
      </c>
      <c r="B963" s="10" t="inlineStr">
        <is>
          <t>TĐ Xoỏng Con</t>
        </is>
      </c>
      <c r="C963" s="10" t="inlineStr">
        <is>
          <t>NM TĐN Xoỏng Con</t>
        </is>
      </c>
      <c r="D963" s="3" t="inlineStr">
        <is>
          <t>B15</t>
        </is>
      </c>
      <c r="E963" s="9" t="inlineStr">
        <is>
          <t>A15.38</t>
        </is>
      </c>
      <c r="F963" s="15">
        <f>IF(E963&lt;&gt;"","Đã VH","Quy hoạch điện VIII")</f>
        <v/>
      </c>
      <c r="G963" s="16">
        <f>LEFT(B963,FIND(" ",B963,1)-1)</f>
        <v/>
      </c>
      <c r="H963" s="16">
        <f>TRIM(RIGHT(B963,LEN(B963)-FIND(" ",B963,1)))</f>
        <v/>
      </c>
      <c r="I963" s="16">
        <f>_xlfn.XLOOKUP(Table2[[#This Row],[Type]],Table5[Type],Table5[Type2])</f>
        <v/>
      </c>
      <c r="J963" s="16">
        <f>_xlfn.XLOOKUP(Table2[[#This Row],[Sym]],Zones!$A$2:$A$21,Zones!$B$2:$B$21)</f>
        <v/>
      </c>
      <c r="K963" s="21" t="n"/>
    </row>
    <row r="964">
      <c r="A964" s="24" t="n">
        <v>2638</v>
      </c>
      <c r="B964" s="10" t="inlineStr">
        <is>
          <t>TĐ Sông Quang</t>
        </is>
      </c>
      <c r="C964" s="10" t="inlineStr">
        <is>
          <t>NM TĐN Sông Quang</t>
        </is>
      </c>
      <c r="D964" s="3" t="inlineStr">
        <is>
          <t>B15</t>
        </is>
      </c>
      <c r="E964" s="9" t="inlineStr">
        <is>
          <t>A15.39</t>
        </is>
      </c>
      <c r="F964" s="15">
        <f>IF(E964&lt;&gt;"","Đã VH","Quy hoạch điện VIII")</f>
        <v/>
      </c>
      <c r="G964" s="16">
        <f>LEFT(B964,FIND(" ",B964,1)-1)</f>
        <v/>
      </c>
      <c r="H964" s="16">
        <f>TRIM(RIGHT(B964,LEN(B964)-FIND(" ",B964,1)))</f>
        <v/>
      </c>
      <c r="I964" s="16">
        <f>_xlfn.XLOOKUP(Table2[[#This Row],[Type]],Table5[Type],Table5[Type2])</f>
        <v/>
      </c>
      <c r="J964" s="16">
        <f>_xlfn.XLOOKUP(Table2[[#This Row],[Sym]],Zones!$A$2:$A$21,Zones!$B$2:$B$21)</f>
        <v/>
      </c>
      <c r="K964" s="21" t="n"/>
    </row>
    <row r="965">
      <c r="A965" s="24" t="n">
        <v>2639</v>
      </c>
      <c r="B965" s="10" t="inlineStr">
        <is>
          <t>TĐ Đồng Văn</t>
        </is>
      </c>
      <c r="C965" s="10" t="inlineStr">
        <is>
          <t>NM TĐN Đồng Văn</t>
        </is>
      </c>
      <c r="D965" s="3" t="inlineStr">
        <is>
          <t>B15</t>
        </is>
      </c>
      <c r="E965" s="9" t="inlineStr">
        <is>
          <t>A15.41</t>
        </is>
      </c>
      <c r="F965" s="15">
        <f>IF(E965&lt;&gt;"","Đã VH","Quy hoạch điện VIII")</f>
        <v/>
      </c>
      <c r="G965" s="16">
        <f>LEFT(B965,FIND(" ",B965,1)-1)</f>
        <v/>
      </c>
      <c r="H965" s="16">
        <f>TRIM(RIGHT(B965,LEN(B965)-FIND(" ",B965,1)))</f>
        <v/>
      </c>
      <c r="I965" s="16">
        <f>_xlfn.XLOOKUP(Table2[[#This Row],[Type]],Table5[Type],Table5[Type2])</f>
        <v/>
      </c>
      <c r="J965" s="16">
        <f>_xlfn.XLOOKUP(Table2[[#This Row],[Sym]],Zones!$A$2:$A$21,Zones!$B$2:$B$21)</f>
        <v/>
      </c>
      <c r="K965" s="21" t="n"/>
    </row>
    <row r="966">
      <c r="A966" s="24" t="n">
        <v>2640</v>
      </c>
      <c r="B966" s="10" t="inlineStr">
        <is>
          <t>T220 Quỳnh Lưu</t>
        </is>
      </c>
      <c r="C966" s="10" t="inlineStr">
        <is>
          <t>TBA 220kV Quỳnh Lưu</t>
        </is>
      </c>
      <c r="D966" s="3" t="inlineStr">
        <is>
          <t>B15</t>
        </is>
      </c>
      <c r="E966" s="9" t="inlineStr">
        <is>
          <t>E15.30</t>
        </is>
      </c>
      <c r="F966" s="15">
        <f>IF(E966&lt;&gt;"","Đã VH","Quy hoạch điện VIII")</f>
        <v/>
      </c>
      <c r="G966" s="16">
        <f>LEFT(B966,FIND(" ",B966,1)-1)</f>
        <v/>
      </c>
      <c r="H966" s="16">
        <f>TRIM(RIGHT(B966,LEN(B966)-FIND(" ",B966,1)))</f>
        <v/>
      </c>
      <c r="I966" s="16">
        <f>_xlfn.XLOOKUP(Table2[[#This Row],[Type]],Table5[Type],Table5[Type2])</f>
        <v/>
      </c>
      <c r="J966" s="16">
        <f>_xlfn.XLOOKUP(Table2[[#This Row],[Sym]],Zones!$A$2:$A$21,Zones!$B$2:$B$21)</f>
        <v/>
      </c>
      <c r="K966" s="21" t="n"/>
    </row>
    <row r="967">
      <c r="A967" s="24" t="n">
        <v>2641</v>
      </c>
      <c r="B967" s="10" t="inlineStr">
        <is>
          <t>T220 Nam Cấm</t>
        </is>
      </c>
      <c r="C967" s="10" t="inlineStr">
        <is>
          <t>TBA 220kV Nam Cấm</t>
        </is>
      </c>
      <c r="D967" s="3" t="inlineStr">
        <is>
          <t>B15</t>
        </is>
      </c>
      <c r="E967" s="9" t="inlineStr">
        <is>
          <t>E15.50</t>
        </is>
      </c>
      <c r="F967" s="15">
        <f>IF(E967&lt;&gt;"","Đã VH","Quy hoạch điện VIII")</f>
        <v/>
      </c>
      <c r="G967" s="16">
        <f>LEFT(B967,FIND(" ",B967,1)-1)</f>
        <v/>
      </c>
      <c r="H967" s="16">
        <f>TRIM(RIGHT(B967,LEN(B967)-FIND(" ",B967,1)))</f>
        <v/>
      </c>
      <c r="I967" s="16">
        <f>_xlfn.XLOOKUP(Table2[[#This Row],[Type]],Table5[Type],Table5[Type2])</f>
        <v/>
      </c>
      <c r="J967" s="16">
        <f>_xlfn.XLOOKUP(Table2[[#This Row],[Sym]],Zones!$A$2:$A$21,Zones!$B$2:$B$21)</f>
        <v/>
      </c>
      <c r="K967" s="21" t="n"/>
    </row>
    <row r="968">
      <c r="A968" s="24" t="n">
        <v>2642</v>
      </c>
      <c r="B968" s="10" t="inlineStr">
        <is>
          <t>T220 Tương Dương</t>
        </is>
      </c>
      <c r="C968" s="10" t="inlineStr">
        <is>
          <t>TBA 220kV Tương Dương</t>
        </is>
      </c>
      <c r="D968" s="3" t="inlineStr">
        <is>
          <t>B15</t>
        </is>
      </c>
      <c r="E968" s="9" t="inlineStr">
        <is>
          <t>E15.40</t>
        </is>
      </c>
      <c r="F968" s="15">
        <f>IF(E968&lt;&gt;"","Đã VH","Quy hoạch điện VIII")</f>
        <v/>
      </c>
      <c r="G968" s="16">
        <f>LEFT(B968,FIND(" ",B968,1)-1)</f>
        <v/>
      </c>
      <c r="H968" s="16">
        <f>TRIM(RIGHT(B968,LEN(B968)-FIND(" ",B968,1)))</f>
        <v/>
      </c>
      <c r="I968" s="16">
        <f>_xlfn.XLOOKUP(Table2[[#This Row],[Type]],Table5[Type],Table5[Type2])</f>
        <v/>
      </c>
      <c r="J968" s="16">
        <f>_xlfn.XLOOKUP(Table2[[#This Row],[Sym]],Zones!$A$2:$A$21,Zones!$B$2:$B$21)</f>
        <v/>
      </c>
      <c r="K968" s="21" t="n"/>
    </row>
    <row r="969">
      <c r="A969" s="24" t="n">
        <v>2643</v>
      </c>
      <c r="B969" s="10" t="inlineStr">
        <is>
          <t>T110 Diễn Phong</t>
        </is>
      </c>
      <c r="C969" s="10" t="inlineStr">
        <is>
          <t>TBA 110kV Diễn Phong</t>
        </is>
      </c>
      <c r="D969" s="3" t="inlineStr">
        <is>
          <t>B15</t>
        </is>
      </c>
      <c r="E969" s="9" t="inlineStr">
        <is>
          <t>E15.52</t>
        </is>
      </c>
      <c r="F969" s="15">
        <f>IF(E969&lt;&gt;"","Đã VH","Quy hoạch điện VIII")</f>
        <v/>
      </c>
      <c r="G969" s="16">
        <f>LEFT(B969,FIND(" ",B969,1)-1)</f>
        <v/>
      </c>
      <c r="H969" s="16">
        <f>TRIM(RIGHT(B969,LEN(B969)-FIND(" ",B969,1)))</f>
        <v/>
      </c>
      <c r="I969" s="16">
        <f>_xlfn.XLOOKUP(Table2[[#This Row],[Type]],Table5[Type],Table5[Type2])</f>
        <v/>
      </c>
      <c r="J969" s="16">
        <f>_xlfn.XLOOKUP(Table2[[#This Row],[Sym]],Zones!$A$2:$A$21,Zones!$B$2:$B$21)</f>
        <v/>
      </c>
      <c r="K969" s="21" t="n"/>
    </row>
    <row r="970">
      <c r="A970" s="24" t="n">
        <v>2644</v>
      </c>
      <c r="B970" s="10" t="inlineStr">
        <is>
          <t>T110 Anh Sơn</t>
        </is>
      </c>
      <c r="C970" s="10" t="inlineStr">
        <is>
          <t>TBA 110kV Anh Sơn</t>
        </is>
      </c>
      <c r="D970" s="3" t="inlineStr">
        <is>
          <t>B15</t>
        </is>
      </c>
      <c r="E970" s="9" t="inlineStr">
        <is>
          <t>E15.53</t>
        </is>
      </c>
      <c r="F970" s="15">
        <f>IF(E970&lt;&gt;"","Đã VH","Quy hoạch điện VIII")</f>
        <v/>
      </c>
      <c r="G970" s="16">
        <f>LEFT(B970,FIND(" ",B970,1)-1)</f>
        <v/>
      </c>
      <c r="H970" s="16">
        <f>TRIM(RIGHT(B970,LEN(B970)-FIND(" ",B970,1)))</f>
        <v/>
      </c>
      <c r="I970" s="16">
        <f>_xlfn.XLOOKUP(Table2[[#This Row],[Type]],Table5[Type],Table5[Type2])</f>
        <v/>
      </c>
      <c r="J970" s="16">
        <f>_xlfn.XLOOKUP(Table2[[#This Row],[Sym]],Zones!$A$2:$A$21,Zones!$B$2:$B$21)</f>
        <v/>
      </c>
      <c r="K970" s="21" t="n"/>
    </row>
    <row r="971">
      <c r="A971" s="24" t="n">
        <v>2645</v>
      </c>
      <c r="B971" s="10" t="inlineStr">
        <is>
          <t>T110 KCN WHA</t>
        </is>
      </c>
      <c r="C971" s="10" t="inlineStr">
        <is>
          <t>TBA 110kV KCN WHA</t>
        </is>
      </c>
      <c r="D971" s="3" t="inlineStr">
        <is>
          <t>B15</t>
        </is>
      </c>
      <c r="E971" s="9" t="inlineStr">
        <is>
          <t>E15.51</t>
        </is>
      </c>
      <c r="F971" s="15">
        <f>IF(E971&lt;&gt;"","Đã VH","Quy hoạch điện VIII")</f>
        <v/>
      </c>
      <c r="G971" s="16">
        <f>LEFT(B971,FIND(" ",B971,1)-1)</f>
        <v/>
      </c>
      <c r="H971" s="16">
        <f>TRIM(RIGHT(B971,LEN(B971)-FIND(" ",B971,1)))</f>
        <v/>
      </c>
      <c r="I971" s="16">
        <f>_xlfn.XLOOKUP(Table2[[#This Row],[Type]],Table5[Type],Table5[Type2])</f>
        <v/>
      </c>
      <c r="J971" s="16">
        <f>_xlfn.XLOOKUP(Table2[[#This Row],[Sym]],Zones!$A$2:$A$21,Zones!$B$2:$B$21)</f>
        <v/>
      </c>
      <c r="K971" s="21" t="n"/>
    </row>
    <row r="972">
      <c r="A972" s="24" t="n">
        <v>2646</v>
      </c>
      <c r="B972" s="10" t="inlineStr">
        <is>
          <t>TĐ Châu Thôn</t>
        </is>
      </c>
      <c r="C972" s="10" t="inlineStr">
        <is>
          <t>NM TĐN Châu Thôn</t>
        </is>
      </c>
      <c r="D972" s="3" t="inlineStr">
        <is>
          <t>B15</t>
        </is>
      </c>
      <c r="E972" s="9" t="inlineStr">
        <is>
          <t>A15.54</t>
        </is>
      </c>
      <c r="F972" s="15">
        <f>IF(E972&lt;&gt;"","Đã VH","Quy hoạch điện VIII")</f>
        <v/>
      </c>
      <c r="G972" s="16">
        <f>LEFT(B972,FIND(" ",B972,1)-1)</f>
        <v/>
      </c>
      <c r="H972" s="16">
        <f>TRIM(RIGHT(B972,LEN(B972)-FIND(" ",B972,1)))</f>
        <v/>
      </c>
      <c r="I972" s="16">
        <f>_xlfn.XLOOKUP(Table2[[#This Row],[Type]],Table5[Type],Table5[Type2])</f>
        <v/>
      </c>
      <c r="J972" s="16">
        <f>_xlfn.XLOOKUP(Table2[[#This Row],[Sym]],Zones!$A$2:$A$21,Zones!$B$2:$B$21)</f>
        <v/>
      </c>
      <c r="K972" s="21" t="n"/>
    </row>
    <row r="973">
      <c r="A973" s="24" t="n">
        <v>2647</v>
      </c>
      <c r="B973" s="10" t="inlineStr">
        <is>
          <t>T110 XM Hoàng Mai 2</t>
        </is>
      </c>
      <c r="C973" s="10" t="inlineStr">
        <is>
          <t>TBA 110kV XM Hoàng Mai 2</t>
        </is>
      </c>
      <c r="D973" s="3" t="inlineStr">
        <is>
          <t>B15</t>
        </is>
      </c>
      <c r="E973" s="9" t="n"/>
      <c r="F973" s="15">
        <f>IF(E973&lt;&gt;"","Đã VH","Quy hoạch điện VIII")</f>
        <v/>
      </c>
      <c r="G973" s="16">
        <f>LEFT(B973,FIND(" ",B973,1)-1)</f>
        <v/>
      </c>
      <c r="H973" s="16">
        <f>TRIM(RIGHT(B973,LEN(B973)-FIND(" ",B973,1)))</f>
        <v/>
      </c>
      <c r="I973" s="16">
        <f>_xlfn.XLOOKUP(Table2[[#This Row],[Type]],Table5[Type],Table5[Type2])</f>
        <v/>
      </c>
      <c r="J973" s="16">
        <f>_xlfn.XLOOKUP(Table2[[#This Row],[Sym]],Zones!$A$2:$A$21,Zones!$B$2:$B$21)</f>
        <v/>
      </c>
      <c r="K973" s="21" t="n"/>
    </row>
    <row r="974">
      <c r="A974" s="24" t="n">
        <v>2648</v>
      </c>
      <c r="B974" s="10" t="inlineStr">
        <is>
          <t>T110 XM Tân Kỳ</t>
        </is>
      </c>
      <c r="C974" s="10" t="inlineStr">
        <is>
          <t>TBA 110kV XM Tân Kỳ</t>
        </is>
      </c>
      <c r="D974" s="3" t="inlineStr">
        <is>
          <t>B15</t>
        </is>
      </c>
      <c r="E974" s="9" t="n"/>
      <c r="F974" s="15">
        <f>IF(E974&lt;&gt;"","Đã VH","Quy hoạch điện VIII")</f>
        <v/>
      </c>
      <c r="G974" s="16">
        <f>LEFT(B974,FIND(" ",B974,1)-1)</f>
        <v/>
      </c>
      <c r="H974" s="16">
        <f>TRIM(RIGHT(B974,LEN(B974)-FIND(" ",B974,1)))</f>
        <v/>
      </c>
      <c r="I974" s="16">
        <f>_xlfn.XLOOKUP(Table2[[#This Row],[Type]],Table5[Type],Table5[Type2])</f>
        <v/>
      </c>
      <c r="J974" s="16">
        <f>_xlfn.XLOOKUP(Table2[[#This Row],[Sym]],Zones!$A$2:$A$21,Zones!$B$2:$B$21)</f>
        <v/>
      </c>
      <c r="K974" s="21" t="n"/>
    </row>
    <row r="975">
      <c r="A975" s="24" t="n">
        <v>2649</v>
      </c>
      <c r="B975" s="10" t="inlineStr">
        <is>
          <t>T110 LN Công nghệ cao</t>
        </is>
      </c>
      <c r="C975" s="10" t="inlineStr">
        <is>
          <t>TBA 110kV LN Công nghệ cao</t>
        </is>
      </c>
      <c r="D975" s="3" t="inlineStr">
        <is>
          <t>B15</t>
        </is>
      </c>
      <c r="E975" s="9" t="n"/>
      <c r="F975" s="15">
        <f>IF(E975&lt;&gt;"","Đã VH","Quy hoạch điện VIII")</f>
        <v/>
      </c>
      <c r="G975" s="16">
        <f>LEFT(B975,FIND(" ",B975,1)-1)</f>
        <v/>
      </c>
      <c r="H975" s="16">
        <f>TRIM(RIGHT(B975,LEN(B975)-FIND(" ",B975,1)))</f>
        <v/>
      </c>
      <c r="I975" s="16">
        <f>_xlfn.XLOOKUP(Table2[[#This Row],[Type]],Table5[Type],Table5[Type2])</f>
        <v/>
      </c>
      <c r="J975" s="16">
        <f>_xlfn.XLOOKUP(Table2[[#This Row],[Sym]],Zones!$A$2:$A$21,Zones!$B$2:$B$21)</f>
        <v/>
      </c>
      <c r="K975" s="21" t="n"/>
    </row>
    <row r="976">
      <c r="A976" s="24" t="n">
        <v>2650</v>
      </c>
      <c r="B976" s="10" t="inlineStr">
        <is>
          <t>T110 Nghi Ân</t>
        </is>
      </c>
      <c r="C976" s="10" t="inlineStr">
        <is>
          <t>TBA 110kV Nghi Ân</t>
        </is>
      </c>
      <c r="D976" s="3" t="inlineStr">
        <is>
          <t>B15</t>
        </is>
      </c>
      <c r="E976" s="9" t="n"/>
      <c r="F976" s="15">
        <f>IF(E976&lt;&gt;"","Đã VH","Quy hoạch điện VIII")</f>
        <v/>
      </c>
      <c r="G976" s="16">
        <f>LEFT(B976,FIND(" ",B976,1)-1)</f>
        <v/>
      </c>
      <c r="H976" s="16">
        <f>TRIM(RIGHT(B976,LEN(B976)-FIND(" ",B976,1)))</f>
        <v/>
      </c>
      <c r="I976" s="16">
        <f>_xlfn.XLOOKUP(Table2[[#This Row],[Type]],Table5[Type],Table5[Type2])</f>
        <v/>
      </c>
      <c r="J976" s="16">
        <f>_xlfn.XLOOKUP(Table2[[#This Row],[Sym]],Zones!$A$2:$A$21,Zones!$B$2:$B$21)</f>
        <v/>
      </c>
      <c r="K976" s="21" t="n"/>
    </row>
    <row r="977">
      <c r="A977" s="24" t="n">
        <v>2651</v>
      </c>
      <c r="B977" s="10" t="inlineStr">
        <is>
          <t>T110 Nghi Lộc</t>
        </is>
      </c>
      <c r="C977" s="10" t="inlineStr">
        <is>
          <t>TBA 110kV Nghi Lộc</t>
        </is>
      </c>
      <c r="D977" s="3" t="inlineStr">
        <is>
          <t>B15</t>
        </is>
      </c>
      <c r="E977" s="9" t="n"/>
      <c r="F977" s="15">
        <f>IF(E977&lt;&gt;"","Đã VH","Quy hoạch điện VIII")</f>
        <v/>
      </c>
      <c r="G977" s="16">
        <f>LEFT(B977,FIND(" ",B977,1)-1)</f>
        <v/>
      </c>
      <c r="H977" s="16">
        <f>TRIM(RIGHT(B977,LEN(B977)-FIND(" ",B977,1)))</f>
        <v/>
      </c>
      <c r="I977" s="16">
        <f>_xlfn.XLOOKUP(Table2[[#This Row],[Type]],Table5[Type],Table5[Type2])</f>
        <v/>
      </c>
      <c r="J977" s="16">
        <f>_xlfn.XLOOKUP(Table2[[#This Row],[Sym]],Zones!$A$2:$A$21,Zones!$B$2:$B$21)</f>
        <v/>
      </c>
      <c r="K977" s="21" t="n"/>
    </row>
    <row r="978">
      <c r="A978" s="24" t="n">
        <v>2652</v>
      </c>
      <c r="B978" s="10" t="inlineStr">
        <is>
          <t>T110 VIP 6</t>
        </is>
      </c>
      <c r="C978" s="10" t="inlineStr">
        <is>
          <t>TBA 110kV VIP 6</t>
        </is>
      </c>
      <c r="D978" s="3" t="inlineStr">
        <is>
          <t>B15</t>
        </is>
      </c>
      <c r="E978" s="9" t="n"/>
      <c r="F978" s="15">
        <f>IF(E978&lt;&gt;"","Đã VH","Quy hoạch điện VIII")</f>
        <v/>
      </c>
      <c r="G978" s="16">
        <f>LEFT(B978,FIND(" ",B978,1)-1)</f>
        <v/>
      </c>
      <c r="H978" s="16">
        <f>TRIM(RIGHT(B978,LEN(B978)-FIND(" ",B978,1)))</f>
        <v/>
      </c>
      <c r="I978" s="16">
        <f>_xlfn.XLOOKUP(Table2[[#This Row],[Type]],Table5[Type],Table5[Type2])</f>
        <v/>
      </c>
      <c r="J978" s="16">
        <f>_xlfn.XLOOKUP(Table2[[#This Row],[Sym]],Zones!$A$2:$A$21,Zones!$B$2:$B$21)</f>
        <v/>
      </c>
      <c r="K978" s="21" t="n"/>
    </row>
    <row r="979">
      <c r="A979" s="24" t="n">
        <v>2653</v>
      </c>
      <c r="B979" s="10" t="inlineStr">
        <is>
          <t>TĐ Khe Thơi</t>
        </is>
      </c>
      <c r="C979" s="10" t="inlineStr">
        <is>
          <t>NM TĐN Khe Thơi</t>
        </is>
      </c>
      <c r="D979" s="3" t="inlineStr">
        <is>
          <t>B15</t>
        </is>
      </c>
      <c r="E979" s="9" t="inlineStr">
        <is>
          <t>A15.46</t>
        </is>
      </c>
      <c r="F979" s="15">
        <f>IF(E979&lt;&gt;"","Đã VH","Quy hoạch điện VIII")</f>
        <v/>
      </c>
      <c r="G979" s="16">
        <f>LEFT(B979,FIND(" ",B979,1)-1)</f>
        <v/>
      </c>
      <c r="H979" s="16">
        <f>TRIM(RIGHT(B979,LEN(B979)-FIND(" ",B979,1)))</f>
        <v/>
      </c>
      <c r="I979" s="16">
        <f>_xlfn.XLOOKUP(Table2[[#This Row],[Type]],Table5[Type],Table5[Type2])</f>
        <v/>
      </c>
      <c r="J979" s="16">
        <f>_xlfn.XLOOKUP(Table2[[#This Row],[Sym]],Zones!$A$2:$A$21,Zones!$B$2:$B$21)</f>
        <v/>
      </c>
      <c r="K979" s="21" t="n"/>
    </row>
    <row r="980">
      <c r="A980" s="24" t="n">
        <v>2654</v>
      </c>
      <c r="B980" s="10" t="inlineStr">
        <is>
          <t>T110 KCN Kim Cường</t>
        </is>
      </c>
      <c r="C980" s="10" t="inlineStr">
        <is>
          <t>TBA 110kV KCN Kim Cường</t>
        </is>
      </c>
      <c r="D980" s="3" t="inlineStr">
        <is>
          <t>B15</t>
        </is>
      </c>
      <c r="E980" s="9" t="n"/>
      <c r="F980" s="15">
        <f>IF(E980&lt;&gt;"","Đã VH","Quy hoạch điện VIII")</f>
        <v/>
      </c>
      <c r="G980" s="16">
        <f>LEFT(B980,FIND(" ",B980,1)-1)</f>
        <v/>
      </c>
      <c r="H980" s="16">
        <f>TRIM(RIGHT(B980,LEN(B980)-FIND(" ",B980,1)))</f>
        <v/>
      </c>
      <c r="I980" s="16">
        <f>_xlfn.XLOOKUP(Table2[[#This Row],[Type]],Table5[Type],Table5[Type2])</f>
        <v/>
      </c>
      <c r="J980" s="16">
        <f>_xlfn.XLOOKUP(Table2[[#This Row],[Sym]],Zones!$A$2:$A$21,Zones!$B$2:$B$21)</f>
        <v/>
      </c>
      <c r="K980" s="21" t="n"/>
    </row>
    <row r="981">
      <c r="A981" s="24" t="n">
        <v>2655</v>
      </c>
      <c r="B981" s="10" t="inlineStr">
        <is>
          <t>T110 KCN WHA 2</t>
        </is>
      </c>
      <c r="C981" s="10" t="inlineStr">
        <is>
          <t>TBA 110kV KCN WHA 2</t>
        </is>
      </c>
      <c r="D981" s="3" t="inlineStr">
        <is>
          <t>B15</t>
        </is>
      </c>
      <c r="E981" s="9" t="n"/>
      <c r="F981" s="15">
        <f>IF(E981&lt;&gt;"","Đã VH","Quy hoạch điện VIII")</f>
        <v/>
      </c>
      <c r="G981" s="16">
        <f>LEFT(B981,FIND(" ",B981,1)-1)</f>
        <v/>
      </c>
      <c r="H981" s="16">
        <f>TRIM(RIGHT(B981,LEN(B981)-FIND(" ",B981,1)))</f>
        <v/>
      </c>
      <c r="I981" s="16">
        <f>_xlfn.XLOOKUP(Table2[[#This Row],[Type]],Table5[Type],Table5[Type2])</f>
        <v/>
      </c>
      <c r="J981" s="16">
        <f>_xlfn.XLOOKUP(Table2[[#This Row],[Sym]],Zones!$A$2:$A$21,Zones!$B$2:$B$21)</f>
        <v/>
      </c>
      <c r="K981" s="21" t="n"/>
    </row>
    <row r="982">
      <c r="A982" s="24" t="n">
        <v>2656</v>
      </c>
      <c r="B982" s="10" t="inlineStr">
        <is>
          <t>T110 KCN Nam Cấm 2</t>
        </is>
      </c>
      <c r="C982" s="10" t="inlineStr">
        <is>
          <t>TBA 110kV KCN Nam Cấm 2</t>
        </is>
      </c>
      <c r="D982" s="3" t="inlineStr">
        <is>
          <t>B15</t>
        </is>
      </c>
      <c r="E982" s="9" t="n"/>
      <c r="F982" s="15">
        <f>IF(E982&lt;&gt;"","Đã VH","Quy hoạch điện VIII")</f>
        <v/>
      </c>
      <c r="G982" s="16">
        <f>LEFT(B982,FIND(" ",B982,1)-1)</f>
        <v/>
      </c>
      <c r="H982" s="16">
        <f>TRIM(RIGHT(B982,LEN(B982)-FIND(" ",B982,1)))</f>
        <v/>
      </c>
      <c r="I982" s="16">
        <f>_xlfn.XLOOKUP(Table2[[#This Row],[Type]],Table5[Type],Table5[Type2])</f>
        <v/>
      </c>
      <c r="J982" s="16">
        <f>_xlfn.XLOOKUP(Table2[[#This Row],[Sym]],Zones!$A$2:$A$21,Zones!$B$2:$B$21)</f>
        <v/>
      </c>
      <c r="K982" s="21" t="n"/>
    </row>
    <row r="983">
      <c r="A983" s="24" t="n">
        <v>2657</v>
      </c>
      <c r="B983" s="10" t="inlineStr">
        <is>
          <t>T110 KCN Yên Quang</t>
        </is>
      </c>
      <c r="C983" s="10" t="inlineStr">
        <is>
          <t>TBA 110kV KCN Yên Quang</t>
        </is>
      </c>
      <c r="D983" s="3" t="inlineStr">
        <is>
          <t>B15</t>
        </is>
      </c>
      <c r="E983" s="9" t="n"/>
      <c r="F983" s="15">
        <f>IF(E983&lt;&gt;"","Đã VH","Quy hoạch điện VIII")</f>
        <v/>
      </c>
      <c r="G983" s="16">
        <f>LEFT(B983,FIND(" ",B983,1)-1)</f>
        <v/>
      </c>
      <c r="H983" s="16">
        <f>TRIM(RIGHT(B983,LEN(B983)-FIND(" ",B983,1)))</f>
        <v/>
      </c>
      <c r="I983" s="16">
        <f>_xlfn.XLOOKUP(Table2[[#This Row],[Type]],Table5[Type],Table5[Type2])</f>
        <v/>
      </c>
      <c r="J983" s="16">
        <f>_xlfn.XLOOKUP(Table2[[#This Row],[Sym]],Zones!$A$2:$A$21,Zones!$B$2:$B$21)</f>
        <v/>
      </c>
      <c r="K983" s="21" t="n"/>
    </row>
    <row r="984">
      <c r="A984" s="24" t="n">
        <v>2658</v>
      </c>
      <c r="B984" s="10" t="inlineStr">
        <is>
          <t>T110 TP. Vinh</t>
        </is>
      </c>
      <c r="C984" s="10" t="inlineStr">
        <is>
          <t>TBA 110kV TP. Vinh</t>
        </is>
      </c>
      <c r="D984" s="3" t="inlineStr">
        <is>
          <t>B15</t>
        </is>
      </c>
      <c r="E984" s="9" t="n"/>
      <c r="F984" s="15">
        <f>IF(E984&lt;&gt;"","Đã VH","Quy hoạch điện VIII")</f>
        <v/>
      </c>
      <c r="G984" s="16">
        <f>LEFT(B984,FIND(" ",B984,1)-1)</f>
        <v/>
      </c>
      <c r="H984" s="16">
        <f>TRIM(RIGHT(B984,LEN(B984)-FIND(" ",B984,1)))</f>
        <v/>
      </c>
      <c r="I984" s="16">
        <f>_xlfn.XLOOKUP(Table2[[#This Row],[Type]],Table5[Type],Table5[Type2])</f>
        <v/>
      </c>
      <c r="J984" s="16">
        <f>_xlfn.XLOOKUP(Table2[[#This Row],[Sym]],Zones!$A$2:$A$21,Zones!$B$2:$B$21)</f>
        <v/>
      </c>
      <c r="K984" s="21" t="n"/>
    </row>
    <row r="985">
      <c r="A985" s="24" t="n">
        <v>2659</v>
      </c>
      <c r="B985" s="10" t="inlineStr">
        <is>
          <t>T110 Hưng Yên</t>
        </is>
      </c>
      <c r="C985" s="10" t="inlineStr">
        <is>
          <t>TBA 110kV Hưng Yên</t>
        </is>
      </c>
      <c r="D985" s="3" t="inlineStr">
        <is>
          <t>B15</t>
        </is>
      </c>
      <c r="E985" s="9" t="n"/>
      <c r="F985" s="15">
        <f>IF(E985&lt;&gt;"","Đã VH","Quy hoạch điện VIII")</f>
        <v/>
      </c>
      <c r="G985" s="16">
        <f>LEFT(B985,FIND(" ",B985,1)-1)</f>
        <v/>
      </c>
      <c r="H985" s="16">
        <f>TRIM(RIGHT(B985,LEN(B985)-FIND(" ",B985,1)))</f>
        <v/>
      </c>
      <c r="I985" s="16">
        <f>_xlfn.XLOOKUP(Table2[[#This Row],[Type]],Table5[Type],Table5[Type2])</f>
        <v/>
      </c>
      <c r="J985" s="16">
        <f>_xlfn.XLOOKUP(Table2[[#This Row],[Sym]],Zones!$A$2:$A$21,Zones!$B$2:$B$21)</f>
        <v/>
      </c>
      <c r="K985" s="21" t="n"/>
    </row>
    <row r="986">
      <c r="A986" s="24" t="n">
        <v>2660</v>
      </c>
      <c r="B986" s="10" t="inlineStr">
        <is>
          <t>T110 Nghi Lộc 2</t>
        </is>
      </c>
      <c r="C986" s="10" t="inlineStr">
        <is>
          <t>TBA 110kV Nghi Lộc 2</t>
        </is>
      </c>
      <c r="D986" s="3" t="inlineStr">
        <is>
          <t>B15</t>
        </is>
      </c>
      <c r="E986" s="9" t="n"/>
      <c r="F986" s="15">
        <f>IF(E986&lt;&gt;"","Đã VH","Quy hoạch điện VIII")</f>
        <v/>
      </c>
      <c r="G986" s="16">
        <f>LEFT(B986,FIND(" ",B986,1)-1)</f>
        <v/>
      </c>
      <c r="H986" s="16">
        <f>TRIM(RIGHT(B986,LEN(B986)-FIND(" ",B986,1)))</f>
        <v/>
      </c>
      <c r="I986" s="16">
        <f>_xlfn.XLOOKUP(Table2[[#This Row],[Type]],Table5[Type],Table5[Type2])</f>
        <v/>
      </c>
      <c r="J986" s="16">
        <f>_xlfn.XLOOKUP(Table2[[#This Row],[Sym]],Zones!$A$2:$A$21,Zones!$B$2:$B$21)</f>
        <v/>
      </c>
      <c r="K986" s="21" t="n"/>
    </row>
    <row r="987">
      <c r="A987" s="24" t="n">
        <v>2661</v>
      </c>
      <c r="B987" s="10" t="inlineStr">
        <is>
          <t>T110 Bãi Ngang</t>
        </is>
      </c>
      <c r="C987" s="10" t="inlineStr">
        <is>
          <t>TBA 110kV Bãi Ngang</t>
        </is>
      </c>
      <c r="D987" s="3" t="inlineStr">
        <is>
          <t>B15</t>
        </is>
      </c>
      <c r="E987" s="9" t="n"/>
      <c r="F987" s="15">
        <f>IF(E987&lt;&gt;"","Đã VH","Quy hoạch điện VIII")</f>
        <v/>
      </c>
      <c r="G987" s="16">
        <f>LEFT(B987,FIND(" ",B987,1)-1)</f>
        <v/>
      </c>
      <c r="H987" s="16">
        <f>TRIM(RIGHT(B987,LEN(B987)-FIND(" ",B987,1)))</f>
        <v/>
      </c>
      <c r="I987" s="16">
        <f>_xlfn.XLOOKUP(Table2[[#This Row],[Type]],Table5[Type],Table5[Type2])</f>
        <v/>
      </c>
      <c r="J987" s="16">
        <f>_xlfn.XLOOKUP(Table2[[#This Row],[Sym]],Zones!$A$2:$A$21,Zones!$B$2:$B$21)</f>
        <v/>
      </c>
      <c r="K987" s="21" t="n"/>
    </row>
    <row r="988">
      <c r="A988" s="24" t="n">
        <v>2662</v>
      </c>
      <c r="B988" s="10" t="inlineStr">
        <is>
          <t>T110 XM Tân Thắng</t>
        </is>
      </c>
      <c r="C988" s="10" t="inlineStr">
        <is>
          <t>TBA 110kV XM Tân Thắng</t>
        </is>
      </c>
      <c r="D988" s="3" t="inlineStr">
        <is>
          <t>B15</t>
        </is>
      </c>
      <c r="E988" s="9" t="inlineStr">
        <is>
          <t>E15.44</t>
        </is>
      </c>
      <c r="F988" s="15">
        <f>IF(E988&lt;&gt;"","Đã VH","Quy hoạch điện VIII")</f>
        <v/>
      </c>
      <c r="G988" s="16">
        <f>LEFT(B988,FIND(" ",B988,1)-1)</f>
        <v/>
      </c>
      <c r="H988" s="16">
        <f>TRIM(RIGHT(B988,LEN(B988)-FIND(" ",B988,1)))</f>
        <v/>
      </c>
      <c r="I988" s="16">
        <f>_xlfn.XLOOKUP(Table2[[#This Row],[Type]],Table5[Type],Table5[Type2])</f>
        <v/>
      </c>
      <c r="J988" s="16">
        <f>_xlfn.XLOOKUP(Table2[[#This Row],[Sym]],Zones!$A$2:$A$21,Zones!$B$2:$B$21)</f>
        <v/>
      </c>
      <c r="K988" s="21" t="n"/>
    </row>
    <row r="989">
      <c r="A989" s="24" t="n">
        <v>2663</v>
      </c>
      <c r="B989" s="10" t="inlineStr">
        <is>
          <t>T110 KCN Đông Hồi</t>
        </is>
      </c>
      <c r="C989" s="10" t="inlineStr">
        <is>
          <t>TBA 110kV KCN Đông Hồi</t>
        </is>
      </c>
      <c r="D989" s="3" t="inlineStr">
        <is>
          <t>B15</t>
        </is>
      </c>
      <c r="E989" s="9" t="n"/>
      <c r="F989" s="15">
        <f>IF(E989&lt;&gt;"","Đã VH","Quy hoạch điện VIII")</f>
        <v/>
      </c>
      <c r="G989" s="16">
        <f>LEFT(B989,FIND(" ",B989,1)-1)</f>
        <v/>
      </c>
      <c r="H989" s="16">
        <f>TRIM(RIGHT(B989,LEN(B989)-FIND(" ",B989,1)))</f>
        <v/>
      </c>
      <c r="I989" s="16">
        <f>_xlfn.XLOOKUP(Table2[[#This Row],[Type]],Table5[Type],Table5[Type2])</f>
        <v/>
      </c>
      <c r="J989" s="16">
        <f>_xlfn.XLOOKUP(Table2[[#This Row],[Sym]],Zones!$A$2:$A$21,Zones!$B$2:$B$21)</f>
        <v/>
      </c>
      <c r="K989" s="21" t="n"/>
    </row>
    <row r="990">
      <c r="A990" s="24" t="n">
        <v>2664</v>
      </c>
      <c r="B990" s="10" t="inlineStr">
        <is>
          <t>T110 KCN Thọ Lộc</t>
        </is>
      </c>
      <c r="C990" s="10" t="inlineStr">
        <is>
          <t>TBA 110kV KCN Thọ Lộc</t>
        </is>
      </c>
      <c r="D990" s="3" t="inlineStr">
        <is>
          <t>B15</t>
        </is>
      </c>
      <c r="E990" s="9" t="n"/>
      <c r="F990" s="15">
        <f>IF(E990&lt;&gt;"","Đã VH","Quy hoạch điện VIII")</f>
        <v/>
      </c>
      <c r="G990" s="16">
        <f>LEFT(B990,FIND(" ",B990,1)-1)</f>
        <v/>
      </c>
      <c r="H990" s="16">
        <f>TRIM(RIGHT(B990,LEN(B990)-FIND(" ",B990,1)))</f>
        <v/>
      </c>
      <c r="I990" s="16">
        <f>_xlfn.XLOOKUP(Table2[[#This Row],[Type]],Table5[Type],Table5[Type2])</f>
        <v/>
      </c>
      <c r="J990" s="16">
        <f>_xlfn.XLOOKUP(Table2[[#This Row],[Sym]],Zones!$A$2:$A$21,Zones!$B$2:$B$21)</f>
        <v/>
      </c>
      <c r="K990" s="21" t="n"/>
    </row>
    <row r="991">
      <c r="A991" s="24" t="n">
        <v>2665</v>
      </c>
      <c r="B991" s="10" t="inlineStr">
        <is>
          <t>T110 KCN Hoàng Mai 2</t>
        </is>
      </c>
      <c r="C991" s="10" t="inlineStr">
        <is>
          <t>TBA 110kV KCN Hoàng Mai 2</t>
        </is>
      </c>
      <c r="D991" s="3" t="inlineStr">
        <is>
          <t>B15</t>
        </is>
      </c>
      <c r="E991" s="9" t="n"/>
      <c r="F991" s="15">
        <f>IF(E991&lt;&gt;"","Đã VH","Quy hoạch điện VIII")</f>
        <v/>
      </c>
      <c r="G991" s="16">
        <f>LEFT(B991,FIND(" ",B991,1)-1)</f>
        <v/>
      </c>
      <c r="H991" s="16">
        <f>TRIM(RIGHT(B991,LEN(B991)-FIND(" ",B991,1)))</f>
        <v/>
      </c>
      <c r="I991" s="16">
        <f>_xlfn.XLOOKUP(Table2[[#This Row],[Type]],Table5[Type],Table5[Type2])</f>
        <v/>
      </c>
      <c r="J991" s="16">
        <f>_xlfn.XLOOKUP(Table2[[#This Row],[Sym]],Zones!$A$2:$A$21,Zones!$B$2:$B$21)</f>
        <v/>
      </c>
      <c r="K991" s="21" t="n"/>
    </row>
    <row r="992">
      <c r="A992" s="24" t="n">
        <v>2666</v>
      </c>
      <c r="B992" s="10" t="inlineStr">
        <is>
          <t>T110 Quỳnh Châu</t>
        </is>
      </c>
      <c r="C992" s="10" t="inlineStr">
        <is>
          <t>TBA 110kV Quỳnh Châu</t>
        </is>
      </c>
      <c r="D992" s="3" t="inlineStr">
        <is>
          <t>B15</t>
        </is>
      </c>
      <c r="E992" s="9" t="n"/>
      <c r="F992" s="15">
        <f>IF(E992&lt;&gt;"","Đã VH","Quy hoạch điện VIII")</f>
        <v/>
      </c>
      <c r="G992" s="16">
        <f>LEFT(B992,FIND(" ",B992,1)-1)</f>
        <v/>
      </c>
      <c r="H992" s="16">
        <f>TRIM(RIGHT(B992,LEN(B992)-FIND(" ",B992,1)))</f>
        <v/>
      </c>
      <c r="I992" s="16">
        <f>_xlfn.XLOOKUP(Table2[[#This Row],[Type]],Table5[Type],Table5[Type2])</f>
        <v/>
      </c>
      <c r="J992" s="16">
        <f>_xlfn.XLOOKUP(Table2[[#This Row],[Sym]],Zones!$A$2:$A$21,Zones!$B$2:$B$21)</f>
        <v/>
      </c>
      <c r="K992" s="21" t="n"/>
    </row>
    <row r="993">
      <c r="A993" s="24" t="n">
        <v>2667</v>
      </c>
      <c r="B993" s="10" t="inlineStr">
        <is>
          <t>T110 Diễn Thắng</t>
        </is>
      </c>
      <c r="C993" s="10" t="inlineStr">
        <is>
          <t>TBA 110kV Diễn Thắng</t>
        </is>
      </c>
      <c r="D993" s="3" t="inlineStr">
        <is>
          <t>B15</t>
        </is>
      </c>
      <c r="E993" s="9" t="n"/>
      <c r="F993" s="15">
        <f>IF(E993&lt;&gt;"","Đã VH","Quy hoạch điện VIII")</f>
        <v/>
      </c>
      <c r="G993" s="16">
        <f>LEFT(B993,FIND(" ",B993,1)-1)</f>
        <v/>
      </c>
      <c r="H993" s="16">
        <f>TRIM(RIGHT(B993,LEN(B993)-FIND(" ",B993,1)))</f>
        <v/>
      </c>
      <c r="I993" s="16">
        <f>_xlfn.XLOOKUP(Table2[[#This Row],[Type]],Table5[Type],Table5[Type2])</f>
        <v/>
      </c>
      <c r="J993" s="16">
        <f>_xlfn.XLOOKUP(Table2[[#This Row],[Sym]],Zones!$A$2:$A$21,Zones!$B$2:$B$21)</f>
        <v/>
      </c>
      <c r="K993" s="21" t="n"/>
    </row>
    <row r="994">
      <c r="A994" s="24" t="n">
        <v>2668</v>
      </c>
      <c r="B994" s="10" t="inlineStr">
        <is>
          <t>T110 KCN Đông Hiếu</t>
        </is>
      </c>
      <c r="C994" s="10" t="inlineStr">
        <is>
          <t>TBA 110kV KCN Đông Hiếu</t>
        </is>
      </c>
      <c r="D994" s="3" t="inlineStr">
        <is>
          <t>B15</t>
        </is>
      </c>
      <c r="E994" s="9" t="n"/>
      <c r="F994" s="15">
        <f>IF(E994&lt;&gt;"","Đã VH","Quy hoạch điện VIII")</f>
        <v/>
      </c>
      <c r="G994" s="16">
        <f>LEFT(B994,FIND(" ",B994,1)-1)</f>
        <v/>
      </c>
      <c r="H994" s="16">
        <f>TRIM(RIGHT(B994,LEN(B994)-FIND(" ",B994,1)))</f>
        <v/>
      </c>
      <c r="I994" s="16">
        <f>_xlfn.XLOOKUP(Table2[[#This Row],[Type]],Table5[Type],Table5[Type2])</f>
        <v/>
      </c>
      <c r="J994" s="16">
        <f>_xlfn.XLOOKUP(Table2[[#This Row],[Sym]],Zones!$A$2:$A$21,Zones!$B$2:$B$21)</f>
        <v/>
      </c>
      <c r="K994" s="21" t="n"/>
    </row>
    <row r="995">
      <c r="A995" s="24" t="n">
        <v>2669</v>
      </c>
      <c r="B995" s="10" t="inlineStr">
        <is>
          <t>T110 KCN Diễn Quỳnh</t>
        </is>
      </c>
      <c r="C995" s="10" t="inlineStr">
        <is>
          <t>TBA 110kV KCN Diễn Quỳnh</t>
        </is>
      </c>
      <c r="D995" s="3" t="inlineStr">
        <is>
          <t>B15</t>
        </is>
      </c>
      <c r="E995" s="9" t="n"/>
      <c r="F995" s="15">
        <f>IF(E995&lt;&gt;"","Đã VH","Quy hoạch điện VIII")</f>
        <v/>
      </c>
      <c r="G995" s="16">
        <f>LEFT(B995,FIND(" ",B995,1)-1)</f>
        <v/>
      </c>
      <c r="H995" s="16">
        <f>TRIM(RIGHT(B995,LEN(B995)-FIND(" ",B995,1)))</f>
        <v/>
      </c>
      <c r="I995" s="16">
        <f>_xlfn.XLOOKUP(Table2[[#This Row],[Type]],Table5[Type],Table5[Type2])</f>
        <v/>
      </c>
      <c r="J995" s="16">
        <f>_xlfn.XLOOKUP(Table2[[#This Row],[Sym]],Zones!$A$2:$A$21,Zones!$B$2:$B$21)</f>
        <v/>
      </c>
      <c r="K995" s="21" t="n"/>
    </row>
    <row r="996">
      <c r="A996" s="24" t="n">
        <v>2670</v>
      </c>
      <c r="B996" s="10" t="inlineStr">
        <is>
          <t>T500 Nam Cấm</t>
        </is>
      </c>
      <c r="C996" s="10" t="inlineStr">
        <is>
          <t>TBA 500kV Nam Cấm</t>
        </is>
      </c>
      <c r="D996" s="3" t="inlineStr">
        <is>
          <t>B15</t>
        </is>
      </c>
      <c r="E996" s="9" t="n"/>
      <c r="F996" s="15">
        <f>IF(E996&lt;&gt;"","Đã VH","Quy hoạch điện VIII")</f>
        <v/>
      </c>
      <c r="G996" s="16">
        <f>LEFT(B996,FIND(" ",B996,1)-1)</f>
        <v/>
      </c>
      <c r="H996" s="16">
        <f>TRIM(RIGHT(B996,LEN(B996)-FIND(" ",B996,1)))</f>
        <v/>
      </c>
      <c r="I996" s="16">
        <f>_xlfn.XLOOKUP(Table2[[#This Row],[Type]],Table5[Type],Table5[Type2])</f>
        <v/>
      </c>
      <c r="J996" s="16">
        <f>_xlfn.XLOOKUP(Table2[[#This Row],[Sym]],Zones!$A$2:$A$21,Zones!$B$2:$B$21)</f>
        <v/>
      </c>
      <c r="K996" s="21" t="n"/>
    </row>
    <row r="997">
      <c r="A997" s="24" t="n">
        <v>2671</v>
      </c>
      <c r="B997" s="10" t="inlineStr">
        <is>
          <t>T220 Quỳ Hợp</t>
        </is>
      </c>
      <c r="C997" s="10" t="inlineStr">
        <is>
          <t>TBA 220kV Quỳ Hợp</t>
        </is>
      </c>
      <c r="D997" s="3" t="inlineStr">
        <is>
          <t>B15</t>
        </is>
      </c>
      <c r="E997" s="9" t="n"/>
      <c r="F997" s="15">
        <f>IF(E997&lt;&gt;"","Đã VH","Quy hoạch điện VIII")</f>
        <v/>
      </c>
      <c r="G997" s="16">
        <f>LEFT(B997,FIND(" ",B997,1)-1)</f>
        <v/>
      </c>
      <c r="H997" s="16">
        <f>TRIM(RIGHT(B997,LEN(B997)-FIND(" ",B997,1)))</f>
        <v/>
      </c>
      <c r="I997" s="16">
        <f>_xlfn.XLOOKUP(Table2[[#This Row],[Type]],Table5[Type],Table5[Type2])</f>
        <v/>
      </c>
      <c r="J997" s="16">
        <f>_xlfn.XLOOKUP(Table2[[#This Row],[Sym]],Zones!$A$2:$A$21,Zones!$B$2:$B$21)</f>
        <v/>
      </c>
      <c r="K997" s="21" t="n"/>
    </row>
    <row r="998">
      <c r="A998" s="24" t="n">
        <v>2672</v>
      </c>
      <c r="B998" s="10" t="inlineStr">
        <is>
          <t>T110 KCN Nghĩa Đàn</t>
        </is>
      </c>
      <c r="C998" s="10" t="inlineStr">
        <is>
          <t>TBA 110kV KCN Nghĩa Đàn</t>
        </is>
      </c>
      <c r="D998" s="3" t="inlineStr">
        <is>
          <t>B15</t>
        </is>
      </c>
      <c r="E998" s="9" t="n"/>
      <c r="F998" s="15">
        <f>IF(E998&lt;&gt;"","Đã VH","Quy hoạch điện VIII")</f>
        <v/>
      </c>
      <c r="G998" s="16">
        <f>LEFT(B998,FIND(" ",B998,1)-1)</f>
        <v/>
      </c>
      <c r="H998" s="16">
        <f>TRIM(RIGHT(B998,LEN(B998)-FIND(" ",B998,1)))</f>
        <v/>
      </c>
      <c r="I998" s="16">
        <f>_xlfn.XLOOKUP(Table2[[#This Row],[Type]],Table5[Type],Table5[Type2])</f>
        <v/>
      </c>
      <c r="J998" s="16">
        <f>_xlfn.XLOOKUP(Table2[[#This Row],[Sym]],Zones!$A$2:$A$21,Zones!$B$2:$B$21)</f>
        <v/>
      </c>
      <c r="K998" s="21" t="n"/>
    </row>
    <row r="999">
      <c r="A999" s="24" t="n">
        <v>2673</v>
      </c>
      <c r="B999" s="10" t="inlineStr">
        <is>
          <t>T110 KCN Tây Hiếu</t>
        </is>
      </c>
      <c r="C999" s="10" t="inlineStr">
        <is>
          <t>TBA 110kV KCN Tây Hiếu</t>
        </is>
      </c>
      <c r="D999" s="3" t="inlineStr">
        <is>
          <t>B15</t>
        </is>
      </c>
      <c r="E999" s="9" t="n"/>
      <c r="F999" s="15">
        <f>IF(E999&lt;&gt;"","Đã VH","Quy hoạch điện VIII")</f>
        <v/>
      </c>
      <c r="G999" s="16">
        <f>LEFT(B999,FIND(" ",B999,1)-1)</f>
        <v/>
      </c>
      <c r="H999" s="16">
        <f>TRIM(RIGHT(B999,LEN(B999)-FIND(" ",B999,1)))</f>
        <v/>
      </c>
      <c r="I999" s="16">
        <f>_xlfn.XLOOKUP(Table2[[#This Row],[Type]],Table5[Type],Table5[Type2])</f>
        <v/>
      </c>
      <c r="J999" s="16">
        <f>_xlfn.XLOOKUP(Table2[[#This Row],[Sym]],Zones!$A$2:$A$21,Zones!$B$2:$B$21)</f>
        <v/>
      </c>
      <c r="K999" s="21" t="n"/>
    </row>
    <row r="1000">
      <c r="A1000" s="24" t="n">
        <v>2674</v>
      </c>
      <c r="B1000" s="10" t="inlineStr">
        <is>
          <t>T110 Thái Hòa</t>
        </is>
      </c>
      <c r="C1000" s="10" t="inlineStr">
        <is>
          <t>TBA 110kV Thái Hòa</t>
        </is>
      </c>
      <c r="D1000" s="3" t="inlineStr">
        <is>
          <t>B15</t>
        </is>
      </c>
      <c r="E1000" s="9" t="n"/>
      <c r="F1000" s="15">
        <f>IF(E1000&lt;&gt;"","Đã VH","Quy hoạch điện VIII")</f>
        <v/>
      </c>
      <c r="G1000" s="16">
        <f>LEFT(B1000,FIND(" ",B1000,1)-1)</f>
        <v/>
      </c>
      <c r="H1000" s="16">
        <f>TRIM(RIGHT(B1000,LEN(B1000)-FIND(" ",B1000,1)))</f>
        <v/>
      </c>
      <c r="I1000" s="16">
        <f>_xlfn.XLOOKUP(Table2[[#This Row],[Type]],Table5[Type],Table5[Type2])</f>
        <v/>
      </c>
      <c r="J1000" s="16">
        <f>_xlfn.XLOOKUP(Table2[[#This Row],[Sym]],Zones!$A$2:$A$21,Zones!$B$2:$B$21)</f>
        <v/>
      </c>
      <c r="K1000" s="21" t="n"/>
    </row>
    <row r="1001">
      <c r="A1001" s="24" t="n">
        <v>2675</v>
      </c>
      <c r="B1001" s="10" t="inlineStr">
        <is>
          <t>T110 KCN Thọ Lộc 2</t>
        </is>
      </c>
      <c r="C1001" s="10" t="inlineStr">
        <is>
          <t>TBA 110kV KCN Thọ Lộc 2</t>
        </is>
      </c>
      <c r="D1001" s="3" t="inlineStr">
        <is>
          <t>B15</t>
        </is>
      </c>
      <c r="E1001" s="9" t="n"/>
      <c r="F1001" s="15">
        <f>IF(E1001&lt;&gt;"","Đã VH","Quy hoạch điện VIII")</f>
        <v/>
      </c>
      <c r="G1001" s="16">
        <f>LEFT(B1001,FIND(" ",B1001,1)-1)</f>
        <v/>
      </c>
      <c r="H1001" s="16">
        <f>TRIM(RIGHT(B1001,LEN(B1001)-FIND(" ",B1001,1)))</f>
        <v/>
      </c>
      <c r="I1001" s="16">
        <f>_xlfn.XLOOKUP(Table2[[#This Row],[Type]],Table5[Type],Table5[Type2])</f>
        <v/>
      </c>
      <c r="J1001" s="16">
        <f>_xlfn.XLOOKUP(Table2[[#This Row],[Sym]],Zones!$A$2:$A$21,Zones!$B$2:$B$21)</f>
        <v/>
      </c>
      <c r="K1001" s="21" t="n"/>
    </row>
    <row r="1002">
      <c r="A1002" s="24" t="n">
        <v>2676</v>
      </c>
      <c r="B1002" s="10" t="inlineStr">
        <is>
          <t>T110 KCN Thọ Lộc 3</t>
        </is>
      </c>
      <c r="C1002" s="10" t="inlineStr">
        <is>
          <t>TBA 110kV KCN Thọ Lộc 3</t>
        </is>
      </c>
      <c r="D1002" s="3" t="inlineStr">
        <is>
          <t>B15</t>
        </is>
      </c>
      <c r="E1002" s="9" t="n"/>
      <c r="F1002" s="15">
        <f>IF(E1002&lt;&gt;"","Đã VH","Quy hoạch điện VIII")</f>
        <v/>
      </c>
      <c r="G1002" s="16">
        <f>LEFT(B1002,FIND(" ",B1002,1)-1)</f>
        <v/>
      </c>
      <c r="H1002" s="16">
        <f>TRIM(RIGHT(B1002,LEN(B1002)-FIND(" ",B1002,1)))</f>
        <v/>
      </c>
      <c r="I1002" s="16">
        <f>_xlfn.XLOOKUP(Table2[[#This Row],[Type]],Table5[Type],Table5[Type2])</f>
        <v/>
      </c>
      <c r="J1002" s="16">
        <f>_xlfn.XLOOKUP(Table2[[#This Row],[Sym]],Zones!$A$2:$A$21,Zones!$B$2:$B$21)</f>
        <v/>
      </c>
      <c r="K1002" s="21" t="n"/>
    </row>
    <row r="1003">
      <c r="A1003" s="24" t="n">
        <v>2677</v>
      </c>
      <c r="B1003" s="10" t="inlineStr">
        <is>
          <t>T110 Hoàng Mai 1A</t>
        </is>
      </c>
      <c r="C1003" s="10" t="inlineStr">
        <is>
          <t>TBA 110kV Hoàng Mai 1A</t>
        </is>
      </c>
      <c r="D1003" s="3" t="inlineStr">
        <is>
          <t>B15</t>
        </is>
      </c>
      <c r="E1003" s="9" t="n"/>
      <c r="F1003" s="15">
        <f>IF(E1003&lt;&gt;"","Đã VH","Quy hoạch điện VIII")</f>
        <v/>
      </c>
      <c r="G1003" s="16">
        <f>LEFT(B1003,FIND(" ",B1003,1)-1)</f>
        <v/>
      </c>
      <c r="H1003" s="16">
        <f>TRIM(RIGHT(B1003,LEN(B1003)-FIND(" ",B1003,1)))</f>
        <v/>
      </c>
      <c r="I1003" s="16">
        <f>_xlfn.XLOOKUP(Table2[[#This Row],[Type]],Table5[Type],Table5[Type2])</f>
        <v/>
      </c>
      <c r="J1003" s="16">
        <f>_xlfn.XLOOKUP(Table2[[#This Row],[Sym]],Zones!$A$2:$A$21,Zones!$B$2:$B$21)</f>
        <v/>
      </c>
      <c r="K1003" s="21" t="n"/>
    </row>
    <row r="1004">
      <c r="A1004" s="24" t="n">
        <v>2678</v>
      </c>
      <c r="B1004" s="10" t="inlineStr">
        <is>
          <t>T110 Quỳ Châu</t>
        </is>
      </c>
      <c r="C1004" s="10" t="inlineStr">
        <is>
          <t>TBA 110kV Quỳ Châu</t>
        </is>
      </c>
      <c r="D1004" s="3" t="inlineStr">
        <is>
          <t>B15</t>
        </is>
      </c>
      <c r="E1004" s="9" t="n"/>
      <c r="F1004" s="15">
        <f>IF(E1004&lt;&gt;"","Đã VH","Quy hoạch điện VIII")</f>
        <v/>
      </c>
      <c r="G1004" s="16">
        <f>LEFT(B1004,FIND(" ",B1004,1)-1)</f>
        <v/>
      </c>
      <c r="H1004" s="16">
        <f>TRIM(RIGHT(B1004,LEN(B1004)-FIND(" ",B1004,1)))</f>
        <v/>
      </c>
      <c r="I1004" s="16">
        <f>_xlfn.XLOOKUP(Table2[[#This Row],[Type]],Table5[Type],Table5[Type2])</f>
        <v/>
      </c>
      <c r="J1004" s="16">
        <f>_xlfn.XLOOKUP(Table2[[#This Row],[Sym]],Zones!$A$2:$A$21,Zones!$B$2:$B$21)</f>
        <v/>
      </c>
      <c r="K1004" s="21" t="n"/>
    </row>
    <row r="1005">
      <c r="A1005" s="24" t="n">
        <v>2679</v>
      </c>
      <c r="B1005" s="10" t="inlineStr">
        <is>
          <t>T110 Quế Phong</t>
        </is>
      </c>
      <c r="C1005" s="10" t="inlineStr">
        <is>
          <t>TBA 110kV Quế Phong</t>
        </is>
      </c>
      <c r="D1005" s="3" t="inlineStr">
        <is>
          <t>B15</t>
        </is>
      </c>
      <c r="E1005" s="9" t="n"/>
      <c r="F1005" s="15">
        <f>IF(E1005&lt;&gt;"","Đã VH","Quy hoạch điện VIII")</f>
        <v/>
      </c>
      <c r="G1005" s="16">
        <f>LEFT(B1005,FIND(" ",B1005,1)-1)</f>
        <v/>
      </c>
      <c r="H1005" s="16">
        <f>TRIM(RIGHT(B1005,LEN(B1005)-FIND(" ",B1005,1)))</f>
        <v/>
      </c>
      <c r="I1005" s="16">
        <f>_xlfn.XLOOKUP(Table2[[#This Row],[Type]],Table5[Type],Table5[Type2])</f>
        <v/>
      </c>
      <c r="J1005" s="16">
        <f>_xlfn.XLOOKUP(Table2[[#This Row],[Sym]],Zones!$A$2:$A$21,Zones!$B$2:$B$21)</f>
        <v/>
      </c>
      <c r="K1005" s="21" t="n"/>
    </row>
    <row r="1006">
      <c r="A1006" s="24" t="n">
        <v>2680</v>
      </c>
      <c r="B1006" s="10" t="inlineStr">
        <is>
          <t>T110 KCN Sông Dinh</t>
        </is>
      </c>
      <c r="C1006" s="10" t="inlineStr">
        <is>
          <t>TBA 110kV KCN Sông Dinh</t>
        </is>
      </c>
      <c r="D1006" s="3" t="inlineStr">
        <is>
          <t>B15</t>
        </is>
      </c>
      <c r="E1006" s="9" t="n"/>
      <c r="F1006" s="15">
        <f>IF(E1006&lt;&gt;"","Đã VH","Quy hoạch điện VIII")</f>
        <v/>
      </c>
      <c r="G1006" s="16">
        <f>LEFT(B1006,FIND(" ",B1006,1)-1)</f>
        <v/>
      </c>
      <c r="H1006" s="16">
        <f>TRIM(RIGHT(B1006,LEN(B1006)-FIND(" ",B1006,1)))</f>
        <v/>
      </c>
      <c r="I1006" s="16">
        <f>_xlfn.XLOOKUP(Table2[[#This Row],[Type]],Table5[Type],Table5[Type2])</f>
        <v/>
      </c>
      <c r="J1006" s="16">
        <f>_xlfn.XLOOKUP(Table2[[#This Row],[Sym]],Zones!$A$2:$A$21,Zones!$B$2:$B$21)</f>
        <v/>
      </c>
      <c r="K1006" s="21" t="n"/>
    </row>
    <row r="1007">
      <c r="A1007" s="24" t="n">
        <v>2681</v>
      </c>
      <c r="B1007" s="10" t="inlineStr">
        <is>
          <t>T110 Tân Kỳ</t>
        </is>
      </c>
      <c r="C1007" s="10" t="inlineStr">
        <is>
          <t>TBA 110kV Tân Kỳ</t>
        </is>
      </c>
      <c r="D1007" s="3" t="inlineStr">
        <is>
          <t>B15</t>
        </is>
      </c>
      <c r="E1007" s="9" t="n"/>
      <c r="F1007" s="15">
        <f>IF(E1007&lt;&gt;"","Đã VH","Quy hoạch điện VIII")</f>
        <v/>
      </c>
      <c r="G1007" s="16">
        <f>LEFT(B1007,FIND(" ",B1007,1)-1)</f>
        <v/>
      </c>
      <c r="H1007" s="16">
        <f>TRIM(RIGHT(B1007,LEN(B1007)-FIND(" ",B1007,1)))</f>
        <v/>
      </c>
      <c r="I1007" s="16">
        <f>_xlfn.XLOOKUP(Table2[[#This Row],[Type]],Table5[Type],Table5[Type2])</f>
        <v/>
      </c>
      <c r="J1007" s="16">
        <f>_xlfn.XLOOKUP(Table2[[#This Row],[Sym]],Zones!$A$2:$A$21,Zones!$B$2:$B$21)</f>
        <v/>
      </c>
      <c r="K1007" s="21" t="n"/>
    </row>
    <row r="1008">
      <c r="A1008" s="24" t="n">
        <v>2682</v>
      </c>
      <c r="B1008" s="10" t="inlineStr">
        <is>
          <t>T110 KCN Tân Kỳ</t>
        </is>
      </c>
      <c r="C1008" s="10" t="inlineStr">
        <is>
          <t>TBA 110kV KCN Tân Kỳ</t>
        </is>
      </c>
      <c r="D1008" s="3" t="inlineStr">
        <is>
          <t>B15</t>
        </is>
      </c>
      <c r="E1008" s="9" t="n"/>
      <c r="F1008" s="15">
        <f>IF(E1008&lt;&gt;"","Đã VH","Quy hoạch điện VIII")</f>
        <v/>
      </c>
      <c r="G1008" s="16">
        <f>LEFT(B1008,FIND(" ",B1008,1)-1)</f>
        <v/>
      </c>
      <c r="H1008" s="16">
        <f>TRIM(RIGHT(B1008,LEN(B1008)-FIND(" ",B1008,1)))</f>
        <v/>
      </c>
      <c r="I1008" s="16">
        <f>_xlfn.XLOOKUP(Table2[[#This Row],[Type]],Table5[Type],Table5[Type2])</f>
        <v/>
      </c>
      <c r="J1008" s="16">
        <f>_xlfn.XLOOKUP(Table2[[#This Row],[Sym]],Zones!$A$2:$A$21,Zones!$B$2:$B$21)</f>
        <v/>
      </c>
      <c r="K1008" s="21" t="n"/>
    </row>
    <row r="1009">
      <c r="A1009" s="24" t="n">
        <v>2683</v>
      </c>
      <c r="B1009" s="10" t="inlineStr">
        <is>
          <t>T110 KCN Tri Lễ</t>
        </is>
      </c>
      <c r="C1009" s="10" t="inlineStr">
        <is>
          <t>TBA 110kV KCN Tri Lễ</t>
        </is>
      </c>
      <c r="D1009" s="3" t="inlineStr">
        <is>
          <t>B15</t>
        </is>
      </c>
      <c r="E1009" s="9" t="n"/>
      <c r="F1009" s="15">
        <f>IF(E1009&lt;&gt;"","Đã VH","Quy hoạch điện VIII")</f>
        <v/>
      </c>
      <c r="G1009" s="16">
        <f>LEFT(B1009,FIND(" ",B1009,1)-1)</f>
        <v/>
      </c>
      <c r="H1009" s="16">
        <f>TRIM(RIGHT(B1009,LEN(B1009)-FIND(" ",B1009,1)))</f>
        <v/>
      </c>
      <c r="I1009" s="16">
        <f>_xlfn.XLOOKUP(Table2[[#This Row],[Type]],Table5[Type],Table5[Type2])</f>
        <v/>
      </c>
      <c r="J1009" s="16">
        <f>_xlfn.XLOOKUP(Table2[[#This Row],[Sym]],Zones!$A$2:$A$21,Zones!$B$2:$B$21)</f>
        <v/>
      </c>
      <c r="K1009" s="21" t="n"/>
    </row>
    <row r="1010">
      <c r="A1010" s="24" t="n">
        <v>2684</v>
      </c>
      <c r="B1010" s="10" t="inlineStr">
        <is>
          <t>T110 Thanh Thủy</t>
        </is>
      </c>
      <c r="C1010" s="10" t="inlineStr">
        <is>
          <t>TBA 110kV Thanh Thủy</t>
        </is>
      </c>
      <c r="D1010" s="3" t="inlineStr">
        <is>
          <t>B15</t>
        </is>
      </c>
      <c r="E1010" s="9" t="n"/>
      <c r="F1010" s="15">
        <f>IF(E1010&lt;&gt;"","Đã VH","Quy hoạch điện VIII")</f>
        <v/>
      </c>
      <c r="G1010" s="16">
        <f>LEFT(B1010,FIND(" ",B1010,1)-1)</f>
        <v/>
      </c>
      <c r="H1010" s="16">
        <f>TRIM(RIGHT(B1010,LEN(B1010)-FIND(" ",B1010,1)))</f>
        <v/>
      </c>
      <c r="I1010" s="16">
        <f>_xlfn.XLOOKUP(Table2[[#This Row],[Type]],Table5[Type],Table5[Type2])</f>
        <v/>
      </c>
      <c r="J1010" s="16">
        <f>_xlfn.XLOOKUP(Table2[[#This Row],[Sym]],Zones!$A$2:$A$21,Zones!$B$2:$B$21)</f>
        <v/>
      </c>
      <c r="K1010" s="21" t="n"/>
    </row>
    <row r="1011">
      <c r="A1011" s="24" t="n">
        <v>2685</v>
      </c>
      <c r="B1011" s="10" t="inlineStr">
        <is>
          <t>T110 KCN Thanh Cát</t>
        </is>
      </c>
      <c r="C1011" s="10" t="inlineStr">
        <is>
          <t>TBA 110kV KCN Thanh Cát</t>
        </is>
      </c>
      <c r="D1011" s="3" t="inlineStr">
        <is>
          <t>B15</t>
        </is>
      </c>
      <c r="E1011" s="9" t="n"/>
      <c r="F1011" s="15">
        <f>IF(E1011&lt;&gt;"","Đã VH","Quy hoạch điện VIII")</f>
        <v/>
      </c>
      <c r="G1011" s="16">
        <f>LEFT(B1011,FIND(" ",B1011,1)-1)</f>
        <v/>
      </c>
      <c r="H1011" s="16">
        <f>TRIM(RIGHT(B1011,LEN(B1011)-FIND(" ",B1011,1)))</f>
        <v/>
      </c>
      <c r="I1011" s="16">
        <f>_xlfn.XLOOKUP(Table2[[#This Row],[Type]],Table5[Type],Table5[Type2])</f>
        <v/>
      </c>
      <c r="J1011" s="16">
        <f>_xlfn.XLOOKUP(Table2[[#This Row],[Sym]],Zones!$A$2:$A$21,Zones!$B$2:$B$21)</f>
        <v/>
      </c>
      <c r="K1011" s="21" t="n"/>
    </row>
    <row r="1012">
      <c r="A1012" s="24" t="n">
        <v>2686</v>
      </c>
      <c r="B1012" s="10" t="inlineStr">
        <is>
          <t>T110 KCN Xuân Lâm</t>
        </is>
      </c>
      <c r="C1012" s="10" t="inlineStr">
        <is>
          <t>TBA 110kV KCN Xuân Lâm</t>
        </is>
      </c>
      <c r="D1012" s="3" t="inlineStr">
        <is>
          <t>B15</t>
        </is>
      </c>
      <c r="E1012" s="9" t="n"/>
      <c r="F1012" s="15">
        <f>IF(E1012&lt;&gt;"","Đã VH","Quy hoạch điện VIII")</f>
        <v/>
      </c>
      <c r="G1012" s="16">
        <f>LEFT(B1012,FIND(" ",B1012,1)-1)</f>
        <v/>
      </c>
      <c r="H1012" s="16">
        <f>TRIM(RIGHT(B1012,LEN(B1012)-FIND(" ",B1012,1)))</f>
        <v/>
      </c>
      <c r="I1012" s="16">
        <f>_xlfn.XLOOKUP(Table2[[#This Row],[Type]],Table5[Type],Table5[Type2])</f>
        <v/>
      </c>
      <c r="J1012" s="16">
        <f>_xlfn.XLOOKUP(Table2[[#This Row],[Sym]],Zones!$A$2:$A$21,Zones!$B$2:$B$21)</f>
        <v/>
      </c>
      <c r="K1012" s="21" t="n"/>
    </row>
    <row r="1013">
      <c r="A1013" s="24" t="n">
        <v>2687</v>
      </c>
      <c r="B1013" s="10" t="inlineStr">
        <is>
          <t>T110 Đô Lương 2</t>
        </is>
      </c>
      <c r="C1013" s="10" t="inlineStr">
        <is>
          <t>TBA 110kV Đô Lương 2</t>
        </is>
      </c>
      <c r="D1013" s="3" t="inlineStr">
        <is>
          <t>B15</t>
        </is>
      </c>
      <c r="E1013" s="9" t="n"/>
      <c r="F1013" s="15">
        <f>IF(E1013&lt;&gt;"","Đã VH","Quy hoạch điện VIII")</f>
        <v/>
      </c>
      <c r="G1013" s="16">
        <f>LEFT(B1013,FIND(" ",B1013,1)-1)</f>
        <v/>
      </c>
      <c r="H1013" s="16">
        <f>TRIM(RIGHT(B1013,LEN(B1013)-FIND(" ",B1013,1)))</f>
        <v/>
      </c>
      <c r="I1013" s="16">
        <f>_xlfn.XLOOKUP(Table2[[#This Row],[Type]],Table5[Type],Table5[Type2])</f>
        <v/>
      </c>
      <c r="J1013" s="16">
        <f>_xlfn.XLOOKUP(Table2[[#This Row],[Sym]],Zones!$A$2:$A$21,Zones!$B$2:$B$21)</f>
        <v/>
      </c>
      <c r="K1013" s="21" t="n"/>
    </row>
    <row r="1014">
      <c r="A1014" s="24" t="n">
        <v>2688</v>
      </c>
      <c r="B1014" s="10" t="inlineStr">
        <is>
          <t>T110 KCN Tân Mỹ</t>
        </is>
      </c>
      <c r="C1014" s="10" t="inlineStr">
        <is>
          <t>TBA 110kV KCN Tân Mỹ</t>
        </is>
      </c>
      <c r="D1014" s="3" t="inlineStr">
        <is>
          <t>B15</t>
        </is>
      </c>
      <c r="E1014" s="9" t="n"/>
      <c r="F1014" s="15">
        <f>IF(E1014&lt;&gt;"","Đã VH","Quy hoạch điện VIII")</f>
        <v/>
      </c>
      <c r="G1014" s="16">
        <f>LEFT(B1014,FIND(" ",B1014,1)-1)</f>
        <v/>
      </c>
      <c r="H1014" s="16">
        <f>TRIM(RIGHT(B1014,LEN(B1014)-FIND(" ",B1014,1)))</f>
        <v/>
      </c>
      <c r="I1014" s="16">
        <f>_xlfn.XLOOKUP(Table2[[#This Row],[Type]],Table5[Type],Table5[Type2])</f>
        <v/>
      </c>
      <c r="J1014" s="16">
        <f>_xlfn.XLOOKUP(Table2[[#This Row],[Sym]],Zones!$A$2:$A$21,Zones!$B$2:$B$21)</f>
        <v/>
      </c>
      <c r="K1014" s="21" t="n"/>
    </row>
    <row r="1015">
      <c r="A1015" s="24" t="n">
        <v>2689</v>
      </c>
      <c r="B1015" s="10" t="inlineStr">
        <is>
          <t>T110 KCN An Thành</t>
        </is>
      </c>
      <c r="C1015" s="10" t="inlineStr">
        <is>
          <t>TBA 110kV KCN An Thành</t>
        </is>
      </c>
      <c r="D1015" s="3" t="inlineStr">
        <is>
          <t>B15</t>
        </is>
      </c>
      <c r="E1015" s="9" t="n"/>
      <c r="F1015" s="15">
        <f>IF(E1015&lt;&gt;"","Đã VH","Quy hoạch điện VIII")</f>
        <v/>
      </c>
      <c r="G1015" s="16">
        <f>LEFT(B1015,FIND(" ",B1015,1)-1)</f>
        <v/>
      </c>
      <c r="H1015" s="16">
        <f>TRIM(RIGHT(B1015,LEN(B1015)-FIND(" ",B1015,1)))</f>
        <v/>
      </c>
      <c r="I1015" s="16">
        <f>_xlfn.XLOOKUP(Table2[[#This Row],[Type]],Table5[Type],Table5[Type2])</f>
        <v/>
      </c>
      <c r="J1015" s="16">
        <f>_xlfn.XLOOKUP(Table2[[#This Row],[Sym]],Zones!$A$2:$A$21,Zones!$B$2:$B$21)</f>
        <v/>
      </c>
      <c r="K1015" s="21" t="n"/>
    </row>
    <row r="1016">
      <c r="A1016" s="24" t="n">
        <v>2690</v>
      </c>
      <c r="B1016" s="10" t="inlineStr">
        <is>
          <t>T110 Kỳ Sơn</t>
        </is>
      </c>
      <c r="C1016" s="10" t="inlineStr">
        <is>
          <t>TBA 110kV Kỳ Sơn</t>
        </is>
      </c>
      <c r="D1016" s="3" t="inlineStr">
        <is>
          <t>B15</t>
        </is>
      </c>
      <c r="E1016" s="9" t="n"/>
      <c r="F1016" s="15">
        <f>IF(E1016&lt;&gt;"","Đã VH","Quy hoạch điện VIII")</f>
        <v/>
      </c>
      <c r="G1016" s="16">
        <f>LEFT(B1016,FIND(" ",B1016,1)-1)</f>
        <v/>
      </c>
      <c r="H1016" s="16">
        <f>TRIM(RIGHT(B1016,LEN(B1016)-FIND(" ",B1016,1)))</f>
        <v/>
      </c>
      <c r="I1016" s="16">
        <f>_xlfn.XLOOKUP(Table2[[#This Row],[Type]],Table5[Type],Table5[Type2])</f>
        <v/>
      </c>
      <c r="J1016" s="16">
        <f>_xlfn.XLOOKUP(Table2[[#This Row],[Sym]],Zones!$A$2:$A$21,Zones!$B$2:$B$21)</f>
        <v/>
      </c>
      <c r="K1016" s="21" t="n"/>
    </row>
    <row r="1017">
      <c r="A1017" s="24" t="n">
        <v>2691</v>
      </c>
      <c r="B1017" s="10" t="inlineStr">
        <is>
          <t>T110 Nam Cấm</t>
        </is>
      </c>
      <c r="C1017" s="10" t="inlineStr">
        <is>
          <t>TBA 110kV Nam Cấm</t>
        </is>
      </c>
      <c r="D1017" s="3" t="inlineStr">
        <is>
          <t>B15</t>
        </is>
      </c>
      <c r="E1017" s="9" t="inlineStr">
        <is>
          <t>E15.56</t>
        </is>
      </c>
      <c r="F1017" s="15">
        <f>IF(E1017&lt;&gt;"","Đã VH","Quy hoạch điện VIII")</f>
        <v/>
      </c>
      <c r="G1017" s="16">
        <f>LEFT(B1017,FIND(" ",B1017,1)-1)</f>
        <v/>
      </c>
      <c r="H1017" s="16">
        <f>TRIM(RIGHT(B1017,LEN(B1017)-FIND(" ",B1017,1)))</f>
        <v/>
      </c>
      <c r="I1017" s="16">
        <f>_xlfn.XLOOKUP(Table2[[#This Row],[Type]],Table5[Type],Table5[Type2])</f>
        <v/>
      </c>
      <c r="J1017" s="16">
        <f>_xlfn.XLOOKUP(Table2[[#This Row],[Sym]],Zones!$A$2:$A$21,Zones!$B$2:$B$21)</f>
        <v/>
      </c>
      <c r="K1017" s="21" t="n"/>
    </row>
    <row r="1018">
      <c r="A1018" s="24" t="n">
        <v>2720</v>
      </c>
      <c r="B1018" s="10" t="inlineStr">
        <is>
          <t>T110 Cao Bằng</t>
        </is>
      </c>
      <c r="C1018" s="10" t="inlineStr">
        <is>
          <t>TBA 110kV Cao Bằng</t>
        </is>
      </c>
      <c r="D1018" s="3" t="inlineStr">
        <is>
          <t>B16</t>
        </is>
      </c>
      <c r="E1018" s="9" t="inlineStr">
        <is>
          <t>E16.1</t>
        </is>
      </c>
      <c r="F1018" s="15">
        <f>IF(E1018&lt;&gt;"","Đã VH","Quy hoạch điện VIII")</f>
        <v/>
      </c>
      <c r="G1018" s="16">
        <f>LEFT(B1018,FIND(" ",B1018,1)-1)</f>
        <v/>
      </c>
      <c r="H1018" s="16">
        <f>TRIM(RIGHT(B1018,LEN(B1018)-FIND(" ",B1018,1)))</f>
        <v/>
      </c>
      <c r="I1018" s="16">
        <f>_xlfn.XLOOKUP(Table2[[#This Row],[Type]],Table5[Type],Table5[Type2])</f>
        <v/>
      </c>
      <c r="J1018" s="16">
        <f>_xlfn.XLOOKUP(Table2[[#This Row],[Sym]],Zones!$A$2:$A$21,Zones!$B$2:$B$21)</f>
        <v/>
      </c>
      <c r="K1018" s="21" t="n"/>
    </row>
    <row r="1019">
      <c r="A1019" s="24" t="n">
        <v>2721</v>
      </c>
      <c r="B1019" s="10" t="inlineStr">
        <is>
          <t>T220 Cao Bằng</t>
        </is>
      </c>
      <c r="C1019" s="10" t="inlineStr">
        <is>
          <t>TBA 220kV Cao Bằng</t>
        </is>
      </c>
      <c r="D1019" s="3" t="inlineStr">
        <is>
          <t>B16</t>
        </is>
      </c>
      <c r="E1019" s="9" t="inlineStr">
        <is>
          <t>E16.2</t>
        </is>
      </c>
      <c r="F1019" s="15">
        <f>IF(E1019&lt;&gt;"","Đã VH","Quy hoạch điện VIII")</f>
        <v/>
      </c>
      <c r="G1019" s="16">
        <f>LEFT(B1019,FIND(" ",B1019,1)-1)</f>
        <v/>
      </c>
      <c r="H1019" s="16">
        <f>TRIM(RIGHT(B1019,LEN(B1019)-FIND(" ",B1019,1)))</f>
        <v/>
      </c>
      <c r="I1019" s="16">
        <f>_xlfn.XLOOKUP(Table2[[#This Row],[Type]],Table5[Type],Table5[Type2])</f>
        <v/>
      </c>
      <c r="J1019" s="16">
        <f>_xlfn.XLOOKUP(Table2[[#This Row],[Sym]],Zones!$A$2:$A$21,Zones!$B$2:$B$21)</f>
        <v/>
      </c>
      <c r="K1019" s="21" t="n"/>
    </row>
    <row r="1020">
      <c r="A1020" s="24" t="n">
        <v>2722</v>
      </c>
      <c r="B1020" s="10" t="inlineStr">
        <is>
          <t>T110 Quảng Uyên</t>
        </is>
      </c>
      <c r="C1020" s="10" t="inlineStr">
        <is>
          <t>TBA 110kV Quảng Uyên</t>
        </is>
      </c>
      <c r="D1020" s="3" t="inlineStr">
        <is>
          <t>B16</t>
        </is>
      </c>
      <c r="E1020" s="9" t="inlineStr">
        <is>
          <t>E16.3</t>
        </is>
      </c>
      <c r="F1020" s="15">
        <f>IF(E1020&lt;&gt;"","Đã VH","Quy hoạch điện VIII")</f>
        <v/>
      </c>
      <c r="G1020" s="16">
        <f>LEFT(B1020,FIND(" ",B1020,1)-1)</f>
        <v/>
      </c>
      <c r="H1020" s="16">
        <f>TRIM(RIGHT(B1020,LEN(B1020)-FIND(" ",B1020,1)))</f>
        <v/>
      </c>
      <c r="I1020" s="16">
        <f>_xlfn.XLOOKUP(Table2[[#This Row],[Type]],Table5[Type],Table5[Type2])</f>
        <v/>
      </c>
      <c r="J1020" s="16">
        <f>_xlfn.XLOOKUP(Table2[[#This Row],[Sym]],Zones!$A$2:$A$21,Zones!$B$2:$B$21)</f>
        <v/>
      </c>
      <c r="K1020" s="21" t="n"/>
    </row>
    <row r="1021">
      <c r="A1021" s="24" t="n">
        <v>2723</v>
      </c>
      <c r="B1021" s="10" t="inlineStr">
        <is>
          <t>T110 GT Cao Bằng</t>
        </is>
      </c>
      <c r="C1021" s="10" t="inlineStr">
        <is>
          <t>TBA 110kV GT Cao Bằng</t>
        </is>
      </c>
      <c r="D1021" s="3" t="inlineStr">
        <is>
          <t>B16</t>
        </is>
      </c>
      <c r="E1021" s="9" t="inlineStr">
        <is>
          <t>E16.4</t>
        </is>
      </c>
      <c r="F1021" s="15">
        <f>IF(E1021&lt;&gt;"","Đã VH","Quy hoạch điện VIII")</f>
        <v/>
      </c>
      <c r="G1021" s="16">
        <f>LEFT(B1021,FIND(" ",B1021,1)-1)</f>
        <v/>
      </c>
      <c r="H1021" s="16">
        <f>TRIM(RIGHT(B1021,LEN(B1021)-FIND(" ",B1021,1)))</f>
        <v/>
      </c>
      <c r="I1021" s="16">
        <f>_xlfn.XLOOKUP(Table2[[#This Row],[Type]],Table5[Type],Table5[Type2])</f>
        <v/>
      </c>
      <c r="J1021" s="16">
        <f>_xlfn.XLOOKUP(Table2[[#This Row],[Sym]],Zones!$A$2:$A$21,Zones!$B$2:$B$21)</f>
        <v/>
      </c>
      <c r="K1021" s="21" t="n"/>
    </row>
    <row r="1022">
      <c r="A1022" s="24" t="n">
        <v>2724</v>
      </c>
      <c r="B1022" s="10" t="inlineStr">
        <is>
          <t>TĐ Bản Rạ</t>
        </is>
      </c>
      <c r="C1022" s="10" t="inlineStr">
        <is>
          <t>NM TĐN Bản Rạ</t>
        </is>
      </c>
      <c r="D1022" s="3" t="inlineStr">
        <is>
          <t>B16</t>
        </is>
      </c>
      <c r="E1022" s="9" t="inlineStr">
        <is>
          <t>A16.10</t>
        </is>
      </c>
      <c r="F1022" s="15">
        <f>IF(E1022&lt;&gt;"","Đã VH","Quy hoạch điện VIII")</f>
        <v/>
      </c>
      <c r="G1022" s="16">
        <f>LEFT(B1022,FIND(" ",B1022,1)-1)</f>
        <v/>
      </c>
      <c r="H1022" s="16">
        <f>TRIM(RIGHT(B1022,LEN(B1022)-FIND(" ",B1022,1)))</f>
        <v/>
      </c>
      <c r="I1022" s="16">
        <f>_xlfn.XLOOKUP(Table2[[#This Row],[Type]],Table5[Type],Table5[Type2])</f>
        <v/>
      </c>
      <c r="J1022" s="16">
        <f>_xlfn.XLOOKUP(Table2[[#This Row],[Sym]],Zones!$A$2:$A$21,Zones!$B$2:$B$21)</f>
        <v/>
      </c>
      <c r="K1022" s="21" t="n"/>
    </row>
    <row r="1023">
      <c r="A1023" s="24" t="n">
        <v>2725</v>
      </c>
      <c r="B1023" s="10" t="inlineStr">
        <is>
          <t>T220 Bảo Lâm</t>
        </is>
      </c>
      <c r="C1023" s="30" t="inlineStr">
        <is>
          <t>TBA 220kV Bảo Lâm</t>
        </is>
      </c>
      <c r="D1023" s="3" t="inlineStr">
        <is>
          <t>B16</t>
        </is>
      </c>
      <c r="E1023" s="9" t="inlineStr">
        <is>
          <t>E16.5</t>
        </is>
      </c>
      <c r="F1023" s="15">
        <f>IF(E1023&lt;&gt;"","Đã VH","Quy hoạch điện VIII")</f>
        <v/>
      </c>
      <c r="G1023" s="16">
        <f>LEFT(B1023,FIND(" ",B1023,1)-1)</f>
        <v/>
      </c>
      <c r="H1023" s="16">
        <f>TRIM(RIGHT(B1023,LEN(B1023)-FIND(" ",B1023,1)))</f>
        <v/>
      </c>
      <c r="I1023" s="16">
        <f>_xlfn.XLOOKUP(Table2[[#This Row],[Type]],Table5[Type],Table5[Type2])</f>
        <v/>
      </c>
      <c r="J1023" s="16">
        <f>_xlfn.XLOOKUP(Table2[[#This Row],[Sym]],Zones!$A$2:$A$21,Zones!$B$2:$B$21)</f>
        <v/>
      </c>
      <c r="K1023" s="21" t="n"/>
      <c r="AG1023" t="inlineStr">
        <is>
          <t>Đã sửa từ dashboard (TBA 220kV Bảo Lâm ➔ TBA 220kV Bảo Lâm)</t>
        </is>
      </c>
    </row>
    <row r="1024">
      <c r="A1024" s="24" t="n">
        <v>2726</v>
      </c>
      <c r="B1024" s="10" t="inlineStr">
        <is>
          <t>TĐ Bảo Lâm 1</t>
        </is>
      </c>
      <c r="C1024" s="10" t="inlineStr">
        <is>
          <t>NM TĐN Bảo Lâm 1</t>
        </is>
      </c>
      <c r="D1024" s="3" t="inlineStr">
        <is>
          <t>B16</t>
        </is>
      </c>
      <c r="E1024" s="9" t="inlineStr">
        <is>
          <t>A16.11</t>
        </is>
      </c>
      <c r="F1024" s="15">
        <f>IF(E1024&lt;&gt;"","Đã VH","Quy hoạch điện VIII")</f>
        <v/>
      </c>
      <c r="G1024" s="16">
        <f>LEFT(B1024,FIND(" ",B1024,1)-1)</f>
        <v/>
      </c>
      <c r="H1024" s="16">
        <f>TRIM(RIGHT(B1024,LEN(B1024)-FIND(" ",B1024,1)))</f>
        <v/>
      </c>
      <c r="I1024" s="16">
        <f>_xlfn.XLOOKUP(Table2[[#This Row],[Type]],Table5[Type],Table5[Type2])</f>
        <v/>
      </c>
      <c r="J1024" s="16">
        <f>_xlfn.XLOOKUP(Table2[[#This Row],[Sym]],Zones!$A$2:$A$21,Zones!$B$2:$B$21)</f>
        <v/>
      </c>
      <c r="K1024" s="21" t="n"/>
    </row>
    <row r="1025">
      <c r="A1025" s="24" t="n">
        <v>2727</v>
      </c>
      <c r="B1025" s="10" t="inlineStr">
        <is>
          <t>TĐ Bảo Lâm 3A</t>
        </is>
      </c>
      <c r="C1025" s="10" t="inlineStr">
        <is>
          <t>NM TĐN Bảo Lâm 3A</t>
        </is>
      </c>
      <c r="D1025" s="3" t="inlineStr">
        <is>
          <t>B16</t>
        </is>
      </c>
      <c r="E1025" s="9" t="inlineStr">
        <is>
          <t>A16.14</t>
        </is>
      </c>
      <c r="F1025" s="15">
        <f>IF(E1025&lt;&gt;"","Đã VH","Quy hoạch điện VIII")</f>
        <v/>
      </c>
      <c r="G1025" s="16">
        <f>LEFT(B1025,FIND(" ",B1025,1)-1)</f>
        <v/>
      </c>
      <c r="H1025" s="16">
        <f>TRIM(RIGHT(B1025,LEN(B1025)-FIND(" ",B1025,1)))</f>
        <v/>
      </c>
      <c r="I1025" s="16">
        <f>_xlfn.XLOOKUP(Table2[[#This Row],[Type]],Table5[Type],Table5[Type2])</f>
        <v/>
      </c>
      <c r="J1025" s="16">
        <f>_xlfn.XLOOKUP(Table2[[#This Row],[Sym]],Zones!$A$2:$A$21,Zones!$B$2:$B$21)</f>
        <v/>
      </c>
      <c r="K1025" s="21" t="n"/>
    </row>
    <row r="1026">
      <c r="A1026" s="24" t="n">
        <v>2728</v>
      </c>
      <c r="B1026" s="10" t="inlineStr">
        <is>
          <t>TĐ Hòa Thuận</t>
        </is>
      </c>
      <c r="C1026" s="10" t="inlineStr">
        <is>
          <t>NM TĐN Hòa Thuận</t>
        </is>
      </c>
      <c r="D1026" s="3" t="inlineStr">
        <is>
          <t>B16</t>
        </is>
      </c>
      <c r="E1026" s="9" t="inlineStr">
        <is>
          <t>A16.15</t>
        </is>
      </c>
      <c r="F1026" s="15">
        <f>IF(E1026&lt;&gt;"","Đã VH","Quy hoạch điện VIII")</f>
        <v/>
      </c>
      <c r="G1026" s="16">
        <f>LEFT(B1026,FIND(" ",B1026,1)-1)</f>
        <v/>
      </c>
      <c r="H1026" s="16">
        <f>TRIM(RIGHT(B1026,LEN(B1026)-FIND(" ",B1026,1)))</f>
        <v/>
      </c>
      <c r="I1026" s="16">
        <f>_xlfn.XLOOKUP(Table2[[#This Row],[Type]],Table5[Type],Table5[Type2])</f>
        <v/>
      </c>
      <c r="J1026" s="16">
        <f>_xlfn.XLOOKUP(Table2[[#This Row],[Sym]],Zones!$A$2:$A$21,Zones!$B$2:$B$21)</f>
        <v/>
      </c>
      <c r="K1026" s="21" t="n"/>
    </row>
    <row r="1027">
      <c r="A1027" s="24" t="n">
        <v>2729</v>
      </c>
      <c r="B1027" s="10" t="inlineStr">
        <is>
          <t>TĐ Mông Ân</t>
        </is>
      </c>
      <c r="C1027" s="10" t="inlineStr">
        <is>
          <t>NM TĐN Mông Ân</t>
        </is>
      </c>
      <c r="D1027" s="3" t="inlineStr">
        <is>
          <t>B16</t>
        </is>
      </c>
      <c r="E1027" s="9" t="inlineStr">
        <is>
          <t>A16.16</t>
        </is>
      </c>
      <c r="F1027" s="15">
        <f>IF(E1027&lt;&gt;"","Đã VH","Quy hoạch điện VIII")</f>
        <v/>
      </c>
      <c r="G1027" s="16">
        <f>LEFT(B1027,FIND(" ",B1027,1)-1)</f>
        <v/>
      </c>
      <c r="H1027" s="16">
        <f>TRIM(RIGHT(B1027,LEN(B1027)-FIND(" ",B1027,1)))</f>
        <v/>
      </c>
      <c r="I1027" s="16">
        <f>_xlfn.XLOOKUP(Table2[[#This Row],[Type]],Table5[Type],Table5[Type2])</f>
        <v/>
      </c>
      <c r="J1027" s="16">
        <f>_xlfn.XLOOKUP(Table2[[#This Row],[Sym]],Zones!$A$2:$A$21,Zones!$B$2:$B$21)</f>
        <v/>
      </c>
      <c r="K1027" s="21" t="n"/>
    </row>
    <row r="1028">
      <c r="A1028" s="24" t="n">
        <v>2730</v>
      </c>
      <c r="B1028" s="10" t="inlineStr">
        <is>
          <t>TĐ Bảo Lạc B</t>
        </is>
      </c>
      <c r="C1028" s="10" t="inlineStr">
        <is>
          <t>NM TĐN Bảo Lạc B</t>
        </is>
      </c>
      <c r="D1028" s="3" t="inlineStr">
        <is>
          <t>B16</t>
        </is>
      </c>
      <c r="E1028" s="9" t="inlineStr">
        <is>
          <t>A16.17</t>
        </is>
      </c>
      <c r="F1028" s="15">
        <f>IF(E1028&lt;&gt;"","Đã VH","Quy hoạch điện VIII")</f>
        <v/>
      </c>
      <c r="G1028" s="16">
        <f>LEFT(B1028,FIND(" ",B1028,1)-1)</f>
        <v/>
      </c>
      <c r="H1028" s="16">
        <f>TRIM(RIGHT(B1028,LEN(B1028)-FIND(" ",B1028,1)))</f>
        <v/>
      </c>
      <c r="I1028" s="16">
        <f>_xlfn.XLOOKUP(Table2[[#This Row],[Type]],Table5[Type],Table5[Type2])</f>
        <v/>
      </c>
      <c r="J1028" s="16">
        <f>_xlfn.XLOOKUP(Table2[[#This Row],[Sym]],Zones!$A$2:$A$21,Zones!$B$2:$B$21)</f>
        <v/>
      </c>
      <c r="K1028" s="21" t="n"/>
    </row>
    <row r="1029">
      <c r="A1029" s="24" t="n">
        <v>2731</v>
      </c>
      <c r="B1029" s="10" t="inlineStr">
        <is>
          <t>T110 Bảo Lâm</t>
        </is>
      </c>
      <c r="C1029" s="10" t="inlineStr">
        <is>
          <t>TBA 110kV Bảo Lâm</t>
        </is>
      </c>
      <c r="D1029" s="3" t="inlineStr">
        <is>
          <t>B16</t>
        </is>
      </c>
      <c r="E1029" s="9" t="inlineStr">
        <is>
          <t>E16.6</t>
        </is>
      </c>
      <c r="F1029" s="15">
        <f>IF(E1029&lt;&gt;"","Đã VH","Quy hoạch điện VIII")</f>
        <v/>
      </c>
      <c r="G1029" s="16">
        <f>LEFT(B1029,FIND(" ",B1029,1)-1)</f>
        <v/>
      </c>
      <c r="H1029" s="16">
        <f>TRIM(RIGHT(B1029,LEN(B1029)-FIND(" ",B1029,1)))</f>
        <v/>
      </c>
      <c r="I1029" s="16">
        <f>_xlfn.XLOOKUP(Table2[[#This Row],[Type]],Table5[Type],Table5[Type2])</f>
        <v/>
      </c>
      <c r="J1029" s="16">
        <f>_xlfn.XLOOKUP(Table2[[#This Row],[Sym]],Zones!$A$2:$A$21,Zones!$B$2:$B$21)</f>
        <v/>
      </c>
      <c r="K1029" s="21" t="n"/>
    </row>
    <row r="1030">
      <c r="A1030" s="24" t="n">
        <v>2732</v>
      </c>
      <c r="B1030" s="10" t="inlineStr">
        <is>
          <t>T110 Chu Trinh</t>
        </is>
      </c>
      <c r="C1030" s="10" t="inlineStr">
        <is>
          <t>TBA 110kV Chu Trinh</t>
        </is>
      </c>
      <c r="D1030" s="3" t="inlineStr">
        <is>
          <t>B16</t>
        </is>
      </c>
      <c r="E1030" s="9" t="inlineStr">
        <is>
          <t>E16.7</t>
        </is>
      </c>
      <c r="F1030" s="15">
        <f>IF(E1030&lt;&gt;"","Đã VH","Quy hoạch điện VIII")</f>
        <v/>
      </c>
      <c r="G1030" s="16">
        <f>LEFT(B1030,FIND(" ",B1030,1)-1)</f>
        <v/>
      </c>
      <c r="H1030" s="16">
        <f>TRIM(RIGHT(B1030,LEN(B1030)-FIND(" ",B1030,1)))</f>
        <v/>
      </c>
      <c r="I1030" s="16">
        <f>_xlfn.XLOOKUP(Table2[[#This Row],[Type]],Table5[Type],Table5[Type2])</f>
        <v/>
      </c>
      <c r="J1030" s="16">
        <f>_xlfn.XLOOKUP(Table2[[#This Row],[Sym]],Zones!$A$2:$A$21,Zones!$B$2:$B$21)</f>
        <v/>
      </c>
      <c r="K1030" s="21" t="n"/>
    </row>
    <row r="1031">
      <c r="A1031" s="24" t="n">
        <v>2733</v>
      </c>
      <c r="B1031" s="10" t="inlineStr">
        <is>
          <t>TĐ Bảo Lâm 3</t>
        </is>
      </c>
      <c r="C1031" s="10" t="inlineStr">
        <is>
          <t>NM TĐN Bảo Lâm 3</t>
        </is>
      </c>
      <c r="D1031" s="3" t="inlineStr">
        <is>
          <t>B16</t>
        </is>
      </c>
      <c r="E1031" s="9" t="inlineStr">
        <is>
          <t>A16.13</t>
        </is>
      </c>
      <c r="F1031" s="15">
        <f>IF(E1031&lt;&gt;"","Đã VH","Quy hoạch điện VIII")</f>
        <v/>
      </c>
      <c r="G1031" s="16">
        <f>LEFT(B1031,FIND(" ",B1031,1)-1)</f>
        <v/>
      </c>
      <c r="H1031" s="16">
        <f>TRIM(RIGHT(B1031,LEN(B1031)-FIND(" ",B1031,1)))</f>
        <v/>
      </c>
      <c r="I1031" s="16">
        <f>_xlfn.XLOOKUP(Table2[[#This Row],[Type]],Table5[Type],Table5[Type2])</f>
        <v/>
      </c>
      <c r="J1031" s="16">
        <f>_xlfn.XLOOKUP(Table2[[#This Row],[Sym]],Zones!$A$2:$A$21,Zones!$B$2:$B$21)</f>
        <v/>
      </c>
      <c r="K1031" s="21" t="n"/>
    </row>
    <row r="1032">
      <c r="A1032" s="24" t="n">
        <v>2734</v>
      </c>
      <c r="B1032" s="10" t="inlineStr">
        <is>
          <t>T110 Hòa An</t>
        </is>
      </c>
      <c r="C1032" s="10" t="inlineStr">
        <is>
          <t>TBA 110kV Hòa An</t>
        </is>
      </c>
      <c r="D1032" s="3" t="inlineStr">
        <is>
          <t>B16</t>
        </is>
      </c>
      <c r="E1032" s="9" t="n"/>
      <c r="F1032" s="15">
        <f>IF(E1032&lt;&gt;"","Đã VH","Quy hoạch điện VIII")</f>
        <v/>
      </c>
      <c r="G1032" s="16">
        <f>LEFT(B1032,FIND(" ",B1032,1)-1)</f>
        <v/>
      </c>
      <c r="H1032" s="16">
        <f>TRIM(RIGHT(B1032,LEN(B1032)-FIND(" ",B1032,1)))</f>
        <v/>
      </c>
      <c r="I1032" s="16">
        <f>_xlfn.XLOOKUP(Table2[[#This Row],[Type]],Table5[Type],Table5[Type2])</f>
        <v/>
      </c>
      <c r="J1032" s="16">
        <f>_xlfn.XLOOKUP(Table2[[#This Row],[Sym]],Zones!$A$2:$A$21,Zones!$B$2:$B$21)</f>
        <v/>
      </c>
      <c r="K1032" s="21" t="n"/>
    </row>
    <row r="1033">
      <c r="A1033" s="24" t="n">
        <v>2735</v>
      </c>
      <c r="B1033" s="10" t="inlineStr">
        <is>
          <t>T110 Trùng Khánh</t>
        </is>
      </c>
      <c r="C1033" s="10" t="inlineStr">
        <is>
          <t>TBA 110kV Trùng Khánh</t>
        </is>
      </c>
      <c r="D1033" s="3" t="inlineStr">
        <is>
          <t>B16</t>
        </is>
      </c>
      <c r="E1033" s="9" t="n"/>
      <c r="F1033" s="15">
        <f>IF(E1033&lt;&gt;"","Đã VH","Quy hoạch điện VIII")</f>
        <v/>
      </c>
      <c r="G1033" s="16">
        <f>LEFT(B1033,FIND(" ",B1033,1)-1)</f>
        <v/>
      </c>
      <c r="H1033" s="16">
        <f>TRIM(RIGHT(B1033,LEN(B1033)-FIND(" ",B1033,1)))</f>
        <v/>
      </c>
      <c r="I1033" s="16">
        <f>_xlfn.XLOOKUP(Table2[[#This Row],[Type]],Table5[Type],Table5[Type2])</f>
        <v/>
      </c>
      <c r="J1033" s="16">
        <f>_xlfn.XLOOKUP(Table2[[#This Row],[Sym]],Zones!$A$2:$A$21,Zones!$B$2:$B$21)</f>
        <v/>
      </c>
      <c r="K1033" s="21" t="n"/>
    </row>
    <row r="1034">
      <c r="A1034" s="24" t="n">
        <v>2736</v>
      </c>
      <c r="B1034" s="10" t="inlineStr">
        <is>
          <t>T110 Trà Lĩnh</t>
        </is>
      </c>
      <c r="C1034" s="10" t="inlineStr">
        <is>
          <t>TBA 110kV Trà Lĩnh</t>
        </is>
      </c>
      <c r="D1034" s="3" t="inlineStr">
        <is>
          <t>B16</t>
        </is>
      </c>
      <c r="E1034" s="9" t="n"/>
      <c r="F1034" s="15">
        <f>IF(E1034&lt;&gt;"","Đã VH","Quy hoạch điện VIII")</f>
        <v/>
      </c>
      <c r="G1034" s="16">
        <f>LEFT(B1034,FIND(" ",B1034,1)-1)</f>
        <v/>
      </c>
      <c r="H1034" s="16">
        <f>TRIM(RIGHT(B1034,LEN(B1034)-FIND(" ",B1034,1)))</f>
        <v/>
      </c>
      <c r="I1034" s="16">
        <f>_xlfn.XLOOKUP(Table2[[#This Row],[Type]],Table5[Type],Table5[Type2])</f>
        <v/>
      </c>
      <c r="J1034" s="16">
        <f>_xlfn.XLOOKUP(Table2[[#This Row],[Sym]],Zones!$A$2:$A$21,Zones!$B$2:$B$21)</f>
        <v/>
      </c>
      <c r="K1034" s="21" t="n"/>
    </row>
    <row r="1035">
      <c r="A1035" s="24" t="n">
        <v>2737</v>
      </c>
      <c r="B1035" s="10" t="inlineStr">
        <is>
          <t>TĐ Thượng Hà</t>
        </is>
      </c>
      <c r="C1035" s="10" t="inlineStr">
        <is>
          <t>NM TĐN Thượng Hà</t>
        </is>
      </c>
      <c r="D1035" s="3" t="inlineStr">
        <is>
          <t>B16</t>
        </is>
      </c>
      <c r="E1035" s="9" t="n"/>
      <c r="F1035" s="15">
        <f>IF(E1035&lt;&gt;"","Đã VH","Quy hoạch điện VIII")</f>
        <v/>
      </c>
      <c r="G1035" s="16">
        <f>LEFT(B1035,FIND(" ",B1035,1)-1)</f>
        <v/>
      </c>
      <c r="H1035" s="16">
        <f>TRIM(RIGHT(B1035,LEN(B1035)-FIND(" ",B1035,1)))</f>
        <v/>
      </c>
      <c r="I1035" s="16">
        <f>_xlfn.XLOOKUP(Table2[[#This Row],[Type]],Table5[Type],Table5[Type2])</f>
        <v/>
      </c>
      <c r="J1035" s="16">
        <f>_xlfn.XLOOKUP(Table2[[#This Row],[Sym]],Zones!$A$2:$A$21,Zones!$B$2:$B$21)</f>
        <v/>
      </c>
      <c r="K1035" s="21" t="n"/>
    </row>
    <row r="1036">
      <c r="A1036" s="24" t="n">
        <v>2738</v>
      </c>
      <c r="B1036" s="10" t="inlineStr">
        <is>
          <t>TĐ Bảo Lạc A</t>
        </is>
      </c>
      <c r="C1036" s="10" t="inlineStr">
        <is>
          <t>NM TĐN Bảo Lạc A</t>
        </is>
      </c>
      <c r="D1036" s="3" t="inlineStr">
        <is>
          <t>B16</t>
        </is>
      </c>
      <c r="E1036" s="9" t="n"/>
      <c r="F1036" s="15">
        <f>IF(E1036&lt;&gt;"","Đã VH","Quy hoạch điện VIII")</f>
        <v/>
      </c>
      <c r="G1036" s="16">
        <f>LEFT(B1036,FIND(" ",B1036,1)-1)</f>
        <v/>
      </c>
      <c r="H1036" s="16">
        <f>TRIM(RIGHT(B1036,LEN(B1036)-FIND(" ",B1036,1)))</f>
        <v/>
      </c>
      <c r="I1036" s="16">
        <f>_xlfn.XLOOKUP(Table2[[#This Row],[Type]],Table5[Type],Table5[Type2])</f>
        <v/>
      </c>
      <c r="J1036" s="16">
        <f>_xlfn.XLOOKUP(Table2[[#This Row],[Sym]],Zones!$A$2:$A$21,Zones!$B$2:$B$21)</f>
        <v/>
      </c>
      <c r="K1036" s="21" t="n"/>
    </row>
    <row r="1037">
      <c r="A1037" s="24" t="n">
        <v>2739</v>
      </c>
      <c r="B1037" s="10" t="inlineStr">
        <is>
          <t>TĐ Mỹ Hưng</t>
        </is>
      </c>
      <c r="C1037" s="10" t="inlineStr">
        <is>
          <t>NM TĐN Mỹ Hưng</t>
        </is>
      </c>
      <c r="D1037" s="3" t="inlineStr">
        <is>
          <t>B16</t>
        </is>
      </c>
      <c r="E1037" s="9" t="n"/>
      <c r="F1037" s="15">
        <f>IF(E1037&lt;&gt;"","Đã VH","Quy hoạch điện VIII")</f>
        <v/>
      </c>
      <c r="G1037" s="16">
        <f>LEFT(B1037,FIND(" ",B1037,1)-1)</f>
        <v/>
      </c>
      <c r="H1037" s="16">
        <f>TRIM(RIGHT(B1037,LEN(B1037)-FIND(" ",B1037,1)))</f>
        <v/>
      </c>
      <c r="I1037" s="16">
        <f>_xlfn.XLOOKUP(Table2[[#This Row],[Type]],Table5[Type],Table5[Type2])</f>
        <v/>
      </c>
      <c r="J1037" s="16">
        <f>_xlfn.XLOOKUP(Table2[[#This Row],[Sym]],Zones!$A$2:$A$21,Zones!$B$2:$B$21)</f>
        <v/>
      </c>
      <c r="K1037" s="21" t="n"/>
    </row>
    <row r="1038">
      <c r="A1038" s="24" t="n">
        <v>2740</v>
      </c>
      <c r="B1038" s="10" t="inlineStr">
        <is>
          <t>T110 Hòa Thuận</t>
        </is>
      </c>
      <c r="C1038" s="10" t="inlineStr">
        <is>
          <t>TBA 110kV Hòa Thuận</t>
        </is>
      </c>
      <c r="D1038" s="3" t="inlineStr">
        <is>
          <t>B16</t>
        </is>
      </c>
      <c r="E1038" s="9" t="n"/>
      <c r="F1038" s="15">
        <f>IF(E1038&lt;&gt;"","Đã VH","Quy hoạch điện VIII")</f>
        <v/>
      </c>
      <c r="G1038" s="16">
        <f>LEFT(B1038,FIND(" ",B1038,1)-1)</f>
        <v/>
      </c>
      <c r="H1038" s="16">
        <f>TRIM(RIGHT(B1038,LEN(B1038)-FIND(" ",B1038,1)))</f>
        <v/>
      </c>
      <c r="I1038" s="16">
        <f>_xlfn.XLOOKUP(Table2[[#This Row],[Type]],Table5[Type],Table5[Type2])</f>
        <v/>
      </c>
      <c r="J1038" s="16">
        <f>_xlfn.XLOOKUP(Table2[[#This Row],[Sym]],Zones!$A$2:$A$21,Zones!$B$2:$B$21)</f>
        <v/>
      </c>
      <c r="K1038" s="21" t="n"/>
    </row>
    <row r="1039">
      <c r="A1039" s="24" t="n">
        <v>2741</v>
      </c>
      <c r="B1039" s="10" t="inlineStr">
        <is>
          <t>T110 Nguyên Bình</t>
        </is>
      </c>
      <c r="C1039" s="10" t="inlineStr">
        <is>
          <t>TBA 110kV Nguyên Bình</t>
        </is>
      </c>
      <c r="D1039" s="3" t="inlineStr">
        <is>
          <t>B16</t>
        </is>
      </c>
      <c r="E1039" s="9" t="n"/>
      <c r="F1039" s="15">
        <f>IF(E1039&lt;&gt;"","Đã VH","Quy hoạch điện VIII")</f>
        <v/>
      </c>
      <c r="G1039" s="16">
        <f>LEFT(B1039,FIND(" ",B1039,1)-1)</f>
        <v/>
      </c>
      <c r="H1039" s="16">
        <f>TRIM(RIGHT(B1039,LEN(B1039)-FIND(" ",B1039,1)))</f>
        <v/>
      </c>
      <c r="I1039" s="16">
        <f>_xlfn.XLOOKUP(Table2[[#This Row],[Type]],Table5[Type],Table5[Type2])</f>
        <v/>
      </c>
      <c r="J1039" s="16">
        <f>_xlfn.XLOOKUP(Table2[[#This Row],[Sym]],Zones!$A$2:$A$21,Zones!$B$2:$B$21)</f>
        <v/>
      </c>
      <c r="K1039" s="21" t="n"/>
    </row>
    <row r="1040">
      <c r="A1040" s="24" t="n">
        <v>2742</v>
      </c>
      <c r="B1040" s="10" t="inlineStr">
        <is>
          <t>T110 Thông Nông</t>
        </is>
      </c>
      <c r="C1040" s="10" t="inlineStr">
        <is>
          <t>TBA 110kV Thông Nông</t>
        </is>
      </c>
      <c r="D1040" s="3" t="inlineStr">
        <is>
          <t>B16</t>
        </is>
      </c>
      <c r="E1040" s="9" t="n"/>
      <c r="F1040" s="15">
        <f>IF(E1040&lt;&gt;"","Đã VH","Quy hoạch điện VIII")</f>
        <v/>
      </c>
      <c r="G1040" s="16">
        <f>LEFT(B1040,FIND(" ",B1040,1)-1)</f>
        <v/>
      </c>
      <c r="H1040" s="16">
        <f>TRIM(RIGHT(B1040,LEN(B1040)-FIND(" ",B1040,1)))</f>
        <v/>
      </c>
      <c r="I1040" s="16">
        <f>_xlfn.XLOOKUP(Table2[[#This Row],[Type]],Table5[Type],Table5[Type2])</f>
        <v/>
      </c>
      <c r="J1040" s="16">
        <f>_xlfn.XLOOKUP(Table2[[#This Row],[Sym]],Zones!$A$2:$A$21,Zones!$B$2:$B$21)</f>
        <v/>
      </c>
      <c r="K1040" s="21" t="n"/>
    </row>
    <row r="1041">
      <c r="A1041" s="24" t="n">
        <v>2743</v>
      </c>
      <c r="B1041" s="10" t="inlineStr">
        <is>
          <t>T110 Niken Đồng</t>
        </is>
      </c>
      <c r="C1041" s="10" t="inlineStr">
        <is>
          <t>TBA 110kV Niken Đồng</t>
        </is>
      </c>
      <c r="D1041" s="3" t="inlineStr">
        <is>
          <t>B16</t>
        </is>
      </c>
      <c r="E1041" s="9" t="n"/>
      <c r="F1041" s="15">
        <f>IF(E1041&lt;&gt;"","Đã VH","Quy hoạch điện VIII")</f>
        <v/>
      </c>
      <c r="G1041" s="16">
        <f>LEFT(B1041,FIND(" ",B1041,1)-1)</f>
        <v/>
      </c>
      <c r="H1041" s="16">
        <f>TRIM(RIGHT(B1041,LEN(B1041)-FIND(" ",B1041,1)))</f>
        <v/>
      </c>
      <c r="I1041" s="16">
        <f>_xlfn.XLOOKUP(Table2[[#This Row],[Type]],Table5[Type],Table5[Type2])</f>
        <v/>
      </c>
      <c r="J1041" s="16">
        <f>_xlfn.XLOOKUP(Table2[[#This Row],[Sym]],Zones!$A$2:$A$21,Zones!$B$2:$B$21)</f>
        <v/>
      </c>
      <c r="K1041" s="21" t="n"/>
    </row>
    <row r="1042">
      <c r="A1042" s="24" t="n">
        <v>2744</v>
      </c>
      <c r="B1042" s="10" t="inlineStr">
        <is>
          <t>T110 Hà Quảng</t>
        </is>
      </c>
      <c r="C1042" s="10" t="inlineStr">
        <is>
          <t>TBA 110kV Hà Quảng</t>
        </is>
      </c>
      <c r="D1042" s="3" t="inlineStr">
        <is>
          <t>B16</t>
        </is>
      </c>
      <c r="E1042" s="9" t="n"/>
      <c r="F1042" s="15">
        <f>IF(E1042&lt;&gt;"","Đã VH","Quy hoạch điện VIII")</f>
        <v/>
      </c>
      <c r="G1042" s="16">
        <f>LEFT(B1042,FIND(" ",B1042,1)-1)</f>
        <v/>
      </c>
      <c r="H1042" s="16">
        <f>TRIM(RIGHT(B1042,LEN(B1042)-FIND(" ",B1042,1)))</f>
        <v/>
      </c>
      <c r="I1042" s="16">
        <f>_xlfn.XLOOKUP(Table2[[#This Row],[Type]],Table5[Type],Table5[Type2])</f>
        <v/>
      </c>
      <c r="J1042" s="16">
        <f>_xlfn.XLOOKUP(Table2[[#This Row],[Sym]],Zones!$A$2:$A$21,Zones!$B$2:$B$21)</f>
        <v/>
      </c>
      <c r="K1042" s="21" t="n"/>
    </row>
    <row r="1043">
      <c r="A1043" s="24" t="n">
        <v>2745</v>
      </c>
      <c r="B1043" s="10" t="inlineStr">
        <is>
          <t>T110 Thạch An</t>
        </is>
      </c>
      <c r="C1043" s="10" t="inlineStr">
        <is>
          <t>TBA 110kV Thạch An</t>
        </is>
      </c>
      <c r="D1043" s="3" t="inlineStr">
        <is>
          <t>B16</t>
        </is>
      </c>
      <c r="E1043" s="9" t="n"/>
      <c r="F1043" s="15">
        <f>IF(E1043&lt;&gt;"","Đã VH","Quy hoạch điện VIII")</f>
        <v/>
      </c>
      <c r="G1043" s="16">
        <f>LEFT(B1043,FIND(" ",B1043,1)-1)</f>
        <v/>
      </c>
      <c r="H1043" s="16">
        <f>TRIM(RIGHT(B1043,LEN(B1043)-FIND(" ",B1043,1)))</f>
        <v/>
      </c>
      <c r="I1043" s="16">
        <f>_xlfn.XLOOKUP(Table2[[#This Row],[Type]],Table5[Type],Table5[Type2])</f>
        <v/>
      </c>
      <c r="J1043" s="16">
        <f>_xlfn.XLOOKUP(Table2[[#This Row],[Sym]],Zones!$A$2:$A$21,Zones!$B$2:$B$21)</f>
        <v/>
      </c>
      <c r="K1043" s="21" t="n"/>
    </row>
    <row r="1044">
      <c r="A1044" s="24" t="n">
        <v>2751</v>
      </c>
      <c r="B1044" s="10" t="inlineStr">
        <is>
          <t>TĐ Bản Ngà</t>
        </is>
      </c>
      <c r="C1044" s="10" t="inlineStr">
        <is>
          <t>NM TĐN Bản Ngà</t>
        </is>
      </c>
      <c r="D1044" s="3" t="inlineStr">
        <is>
          <t>B16</t>
        </is>
      </c>
      <c r="E1044" s="9" t="n"/>
      <c r="F1044" s="15">
        <f>IF(E1044&lt;&gt;"","Đã VH","Quy hoạch điện VIII")</f>
        <v/>
      </c>
      <c r="G1044" s="16">
        <f>LEFT(B1044,FIND(" ",B1044,1)-1)</f>
        <v/>
      </c>
      <c r="H1044" s="16">
        <f>TRIM(RIGHT(B1044,LEN(B1044)-FIND(" ",B1044,1)))</f>
        <v/>
      </c>
      <c r="I1044" s="16">
        <f>_xlfn.XLOOKUP(Table2[[#This Row],[Type]],Table5[Type],Table5[Type2])</f>
        <v/>
      </c>
      <c r="J1044" s="16">
        <f>_xlfn.XLOOKUP(Table2[[#This Row],[Sym]],Zones!$A$2:$A$21,Zones!$B$2:$B$21)</f>
        <v/>
      </c>
      <c r="K1044" s="21" t="n"/>
    </row>
    <row r="1045">
      <c r="A1045" s="24" t="n">
        <v>2761</v>
      </c>
      <c r="B1045" s="10" t="inlineStr">
        <is>
          <t>TĐ Bản Riển</t>
        </is>
      </c>
      <c r="C1045" s="10" t="inlineStr">
        <is>
          <t>NM TĐN Bản Riển</t>
        </is>
      </c>
      <c r="D1045" s="3" t="inlineStr">
        <is>
          <t>B16</t>
        </is>
      </c>
      <c r="E1045" s="9" t="n"/>
      <c r="F1045" s="15">
        <f>IF(E1045&lt;&gt;"","Đã VH","Quy hoạch điện VIII")</f>
        <v/>
      </c>
      <c r="G1045" s="16">
        <f>LEFT(B1045,FIND(" ",B1045,1)-1)</f>
        <v/>
      </c>
      <c r="H1045" s="16">
        <f>TRIM(RIGHT(B1045,LEN(B1045)-FIND(" ",B1045,1)))</f>
        <v/>
      </c>
      <c r="I1045" s="16">
        <f>_xlfn.XLOOKUP(Table2[[#This Row],[Type]],Table5[Type],Table5[Type2])</f>
        <v/>
      </c>
      <c r="J1045" s="16">
        <f>_xlfn.XLOOKUP(Table2[[#This Row],[Sym]],Zones!$A$2:$A$21,Zones!$B$2:$B$21)</f>
        <v/>
      </c>
      <c r="K1045" s="21" t="n"/>
    </row>
    <row r="1046">
      <c r="A1046" s="24" t="n">
        <v>2800</v>
      </c>
      <c r="B1046" s="10" t="inlineStr">
        <is>
          <t>T110 Mộc Châu</t>
        </is>
      </c>
      <c r="C1046" s="10" t="inlineStr">
        <is>
          <t>TBA 110kV Mộc Châu</t>
        </is>
      </c>
      <c r="D1046" s="3" t="inlineStr">
        <is>
          <t>B17</t>
        </is>
      </c>
      <c r="E1046" s="9" t="inlineStr">
        <is>
          <t>E17.1</t>
        </is>
      </c>
      <c r="F1046" s="15">
        <f>IF(E1046&lt;&gt;"","Đã VH","Quy hoạch điện VIII")</f>
        <v/>
      </c>
      <c r="G1046" s="16">
        <f>LEFT(B1046,FIND(" ",B1046,1)-1)</f>
        <v/>
      </c>
      <c r="H1046" s="16">
        <f>TRIM(RIGHT(B1046,LEN(B1046)-FIND(" ",B1046,1)))</f>
        <v/>
      </c>
      <c r="I1046" s="16">
        <f>_xlfn.XLOOKUP(Table2[[#This Row],[Type]],Table5[Type],Table5[Type2])</f>
        <v/>
      </c>
      <c r="J1046" s="16">
        <f>_xlfn.XLOOKUP(Table2[[#This Row],[Sym]],Zones!$A$2:$A$21,Zones!$B$2:$B$21)</f>
        <v/>
      </c>
      <c r="K1046" s="21" t="n"/>
    </row>
    <row r="1047">
      <c r="A1047" s="24" t="n">
        <v>2801</v>
      </c>
      <c r="B1047" s="10" t="inlineStr">
        <is>
          <t>T110 Sơn La</t>
        </is>
      </c>
      <c r="C1047" s="10" t="inlineStr">
        <is>
          <t>TBA 110kV Sơn La</t>
        </is>
      </c>
      <c r="D1047" s="3" t="inlineStr">
        <is>
          <t>B17</t>
        </is>
      </c>
      <c r="E1047" s="9" t="inlineStr">
        <is>
          <t>E17.2</t>
        </is>
      </c>
      <c r="F1047" s="15">
        <f>IF(E1047&lt;&gt;"","Đã VH","Quy hoạch điện VIII")</f>
        <v/>
      </c>
      <c r="G1047" s="16">
        <f>LEFT(B1047,FIND(" ",B1047,1)-1)</f>
        <v/>
      </c>
      <c r="H1047" s="16">
        <f>TRIM(RIGHT(B1047,LEN(B1047)-FIND(" ",B1047,1)))</f>
        <v/>
      </c>
      <c r="I1047" s="16">
        <f>_xlfn.XLOOKUP(Table2[[#This Row],[Type]],Table5[Type],Table5[Type2])</f>
        <v/>
      </c>
      <c r="J1047" s="16">
        <f>_xlfn.XLOOKUP(Table2[[#This Row],[Sym]],Zones!$A$2:$A$21,Zones!$B$2:$B$21)</f>
        <v/>
      </c>
      <c r="K1047" s="21" t="n"/>
    </row>
    <row r="1048">
      <c r="A1048" s="24" t="n">
        <v>2802</v>
      </c>
      <c r="B1048" s="10" t="inlineStr">
        <is>
          <t>T110 Mường La</t>
        </is>
      </c>
      <c r="C1048" s="10" t="inlineStr">
        <is>
          <t>TBA 110kV Mường La</t>
        </is>
      </c>
      <c r="D1048" s="3" t="inlineStr">
        <is>
          <t>B17</t>
        </is>
      </c>
      <c r="E1048" s="9" t="inlineStr">
        <is>
          <t>E17.3</t>
        </is>
      </c>
      <c r="F1048" s="15">
        <f>IF(E1048&lt;&gt;"","Đã VH","Quy hoạch điện VIII")</f>
        <v/>
      </c>
      <c r="G1048" s="16">
        <f>LEFT(B1048,FIND(" ",B1048,1)-1)</f>
        <v/>
      </c>
      <c r="H1048" s="16">
        <f>TRIM(RIGHT(B1048,LEN(B1048)-FIND(" ",B1048,1)))</f>
        <v/>
      </c>
      <c r="I1048" s="16">
        <f>_xlfn.XLOOKUP(Table2[[#This Row],[Type]],Table5[Type],Table5[Type2])</f>
        <v/>
      </c>
      <c r="J1048" s="16">
        <f>_xlfn.XLOOKUP(Table2[[#This Row],[Sym]],Zones!$A$2:$A$21,Zones!$B$2:$B$21)</f>
        <v/>
      </c>
      <c r="K1048" s="21" t="n"/>
    </row>
    <row r="1049">
      <c r="A1049" s="24" t="n">
        <v>2803</v>
      </c>
      <c r="B1049" s="10" t="inlineStr">
        <is>
          <t>T110 Thuận Châu</t>
        </is>
      </c>
      <c r="C1049" s="10" t="inlineStr">
        <is>
          <t>TBA 110kV Thuận Châu</t>
        </is>
      </c>
      <c r="D1049" s="3" t="inlineStr">
        <is>
          <t>B17</t>
        </is>
      </c>
      <c r="E1049" s="9" t="inlineStr">
        <is>
          <t>E17.4</t>
        </is>
      </c>
      <c r="F1049" s="15">
        <f>IF(E1049&lt;&gt;"","Đã VH","Quy hoạch điện VIII")</f>
        <v/>
      </c>
      <c r="G1049" s="16">
        <f>LEFT(B1049,FIND(" ",B1049,1)-1)</f>
        <v/>
      </c>
      <c r="H1049" s="16">
        <f>TRIM(RIGHT(B1049,LEN(B1049)-FIND(" ",B1049,1)))</f>
        <v/>
      </c>
      <c r="I1049" s="16">
        <f>_xlfn.XLOOKUP(Table2[[#This Row],[Type]],Table5[Type],Table5[Type2])</f>
        <v/>
      </c>
      <c r="J1049" s="16">
        <f>_xlfn.XLOOKUP(Table2[[#This Row],[Sym]],Zones!$A$2:$A$21,Zones!$B$2:$B$21)</f>
        <v/>
      </c>
      <c r="K1049" s="21" t="n"/>
    </row>
    <row r="1050">
      <c r="A1050" s="24" t="n">
        <v>2804</v>
      </c>
      <c r="B1050" s="10" t="inlineStr">
        <is>
          <t>T110 Phù Yên</t>
        </is>
      </c>
      <c r="C1050" s="10" t="inlineStr">
        <is>
          <t>TBA 110kV Phù Yên</t>
        </is>
      </c>
      <c r="D1050" s="3" t="inlineStr">
        <is>
          <t>B17</t>
        </is>
      </c>
      <c r="E1050" s="9" t="inlineStr">
        <is>
          <t>E17.5</t>
        </is>
      </c>
      <c r="F1050" s="15">
        <f>IF(E1050&lt;&gt;"","Đã VH","Quy hoạch điện VIII")</f>
        <v/>
      </c>
      <c r="G1050" s="16">
        <f>LEFT(B1050,FIND(" ",B1050,1)-1)</f>
        <v/>
      </c>
      <c r="H1050" s="16">
        <f>TRIM(RIGHT(B1050,LEN(B1050)-FIND(" ",B1050,1)))</f>
        <v/>
      </c>
      <c r="I1050" s="16">
        <f>_xlfn.XLOOKUP(Table2[[#This Row],[Type]],Table5[Type],Table5[Type2])</f>
        <v/>
      </c>
      <c r="J1050" s="16">
        <f>_xlfn.XLOOKUP(Table2[[#This Row],[Sym]],Zones!$A$2:$A$21,Zones!$B$2:$B$21)</f>
        <v/>
      </c>
      <c r="K1050" s="21" t="n"/>
    </row>
    <row r="1051">
      <c r="A1051" s="24" t="n">
        <v>2805</v>
      </c>
      <c r="B1051" s="10" t="inlineStr">
        <is>
          <t>T220 Sơn La</t>
        </is>
      </c>
      <c r="C1051" s="10" t="inlineStr">
        <is>
          <t>TBA 220kV Sơn La</t>
        </is>
      </c>
      <c r="D1051" s="3" t="inlineStr">
        <is>
          <t>B17</t>
        </is>
      </c>
      <c r="E1051" s="9" t="inlineStr">
        <is>
          <t>E17.6</t>
        </is>
      </c>
      <c r="F1051" s="15">
        <f>IF(E1051&lt;&gt;"","Đã VH","Quy hoạch điện VIII")</f>
        <v/>
      </c>
      <c r="G1051" s="16">
        <f>LEFT(B1051,FIND(" ",B1051,1)-1)</f>
        <v/>
      </c>
      <c r="H1051" s="16">
        <f>TRIM(RIGHT(B1051,LEN(B1051)-FIND(" ",B1051,1)))</f>
        <v/>
      </c>
      <c r="I1051" s="16">
        <f>_xlfn.XLOOKUP(Table2[[#This Row],[Type]],Table5[Type],Table5[Type2])</f>
        <v/>
      </c>
      <c r="J1051" s="16">
        <f>_xlfn.XLOOKUP(Table2[[#This Row],[Sym]],Zones!$A$2:$A$21,Zones!$B$2:$B$21)</f>
        <v/>
      </c>
      <c r="K1051" s="21" t="n"/>
    </row>
    <row r="1052">
      <c r="A1052" s="24" t="n">
        <v>2806</v>
      </c>
      <c r="B1052" s="10" t="inlineStr">
        <is>
          <t>TĐ Nậm Chim 1A + 1B</t>
        </is>
      </c>
      <c r="C1052" s="30" t="inlineStr">
        <is>
          <t>NM TĐN Nậm Chim 1A</t>
        </is>
      </c>
      <c r="D1052" s="3" t="inlineStr">
        <is>
          <t>B17</t>
        </is>
      </c>
      <c r="E1052" s="9" t="inlineStr">
        <is>
          <t>A17.34</t>
        </is>
      </c>
      <c r="F1052" s="15">
        <f>IF(E1052&lt;&gt;"","Đã VH","Quy hoạch điện VIII")</f>
        <v/>
      </c>
      <c r="G1052" s="16">
        <f>LEFT(B1052,FIND(" ",B1052,1)-1)</f>
        <v/>
      </c>
      <c r="H1052" s="16">
        <f>TRIM(RIGHT(B1052,LEN(B1052)-FIND(" ",B1052,1)))</f>
        <v/>
      </c>
      <c r="I1052" s="16">
        <f>_xlfn.XLOOKUP(Table2[[#This Row],[Type]],Table5[Type],Table5[Type2])</f>
        <v/>
      </c>
      <c r="J1052" s="16">
        <f>_xlfn.XLOOKUP(Table2[[#This Row],[Sym]],Zones!$A$2:$A$21,Zones!$B$2:$B$21)</f>
        <v/>
      </c>
      <c r="K1052" s="21" t="n"/>
      <c r="AL1052" t="inlineStr">
        <is>
          <t>Đã sửa từ dashboard (NM TĐN Nậm Chim 1A + 1B ➔ NM TĐN Nậm Chim 1A)</t>
        </is>
      </c>
    </row>
    <row r="1053">
      <c r="A1053" s="24" t="n">
        <v>2807</v>
      </c>
      <c r="B1053" s="10" t="inlineStr">
        <is>
          <t>TĐ Sơn La</t>
        </is>
      </c>
      <c r="C1053" s="10" t="inlineStr">
        <is>
          <t>NM TĐN Sơn La</t>
        </is>
      </c>
      <c r="D1053" s="3" t="inlineStr">
        <is>
          <t>B17</t>
        </is>
      </c>
      <c r="E1053" s="9" t="inlineStr">
        <is>
          <t>A17.0</t>
        </is>
      </c>
      <c r="F1053" s="15">
        <f>IF(E1053&lt;&gt;"","Đã VH","Quy hoạch điện VIII")</f>
        <v/>
      </c>
      <c r="G1053" s="16">
        <f>LEFT(B1053,FIND(" ",B1053,1)-1)</f>
        <v/>
      </c>
      <c r="H1053" s="16">
        <f>TRIM(RIGHT(B1053,LEN(B1053)-FIND(" ",B1053,1)))</f>
        <v/>
      </c>
      <c r="I1053" s="16">
        <f>_xlfn.XLOOKUP(Table2[[#This Row],[Type]],Table5[Type],Table5[Type2])</f>
        <v/>
      </c>
      <c r="J1053" s="16">
        <f>_xlfn.XLOOKUP(Table2[[#This Row],[Sym]],Zones!$A$2:$A$21,Zones!$B$2:$B$21)</f>
        <v/>
      </c>
      <c r="K1053" s="21" t="n"/>
    </row>
    <row r="1054">
      <c r="A1054" s="24" t="n">
        <v>2808</v>
      </c>
      <c r="B1054" s="10" t="inlineStr">
        <is>
          <t>TĐ Nậm Sọi</t>
        </is>
      </c>
      <c r="C1054" s="10" t="inlineStr">
        <is>
          <t>NM TĐN Nậm Sọi</t>
        </is>
      </c>
      <c r="D1054" s="3" t="inlineStr">
        <is>
          <t>B17</t>
        </is>
      </c>
      <c r="E1054" s="9" t="inlineStr">
        <is>
          <t>A17.15</t>
        </is>
      </c>
      <c r="F1054" s="15">
        <f>IF(E1054&lt;&gt;"","Đã VH","Quy hoạch điện VIII")</f>
        <v/>
      </c>
      <c r="G1054" s="16">
        <f>LEFT(B1054,FIND(" ",B1054,1)-1)</f>
        <v/>
      </c>
      <c r="H1054" s="16">
        <f>TRIM(RIGHT(B1054,LEN(B1054)-FIND(" ",B1054,1)))</f>
        <v/>
      </c>
      <c r="I1054" s="16">
        <f>_xlfn.XLOOKUP(Table2[[#This Row],[Type]],Table5[Type],Table5[Type2])</f>
        <v/>
      </c>
      <c r="J1054" s="16">
        <f>_xlfn.XLOOKUP(Table2[[#This Row],[Sym]],Zones!$A$2:$A$21,Zones!$B$2:$B$21)</f>
        <v/>
      </c>
      <c r="K1054" s="21" t="n"/>
    </row>
    <row r="1055">
      <c r="A1055" s="24" t="n">
        <v>2809</v>
      </c>
      <c r="B1055" s="10" t="inlineStr">
        <is>
          <t>TĐ Nậm Pia</t>
        </is>
      </c>
      <c r="C1055" s="10" t="inlineStr">
        <is>
          <t>NM TĐN Nậm Pia</t>
        </is>
      </c>
      <c r="D1055" s="3" t="inlineStr">
        <is>
          <t>B17</t>
        </is>
      </c>
      <c r="E1055" s="9" t="inlineStr">
        <is>
          <t>A17.10</t>
        </is>
      </c>
      <c r="F1055" s="15">
        <f>IF(E1055&lt;&gt;"","Đã VH","Quy hoạch điện VIII")</f>
        <v/>
      </c>
      <c r="G1055" s="16">
        <f>LEFT(B1055,FIND(" ",B1055,1)-1)</f>
        <v/>
      </c>
      <c r="H1055" s="16">
        <f>TRIM(RIGHT(B1055,LEN(B1055)-FIND(" ",B1055,1)))</f>
        <v/>
      </c>
      <c r="I1055" s="16">
        <f>_xlfn.XLOOKUP(Table2[[#This Row],[Type]],Table5[Type],Table5[Type2])</f>
        <v/>
      </c>
      <c r="J1055" s="16">
        <f>_xlfn.XLOOKUP(Table2[[#This Row],[Sym]],Zones!$A$2:$A$21,Zones!$B$2:$B$21)</f>
        <v/>
      </c>
      <c r="K1055" s="21" t="n"/>
    </row>
    <row r="1056">
      <c r="A1056" s="24" t="n">
        <v>2810</v>
      </c>
      <c r="B1056" s="10" t="inlineStr">
        <is>
          <t>TĐ Nậm Chim 1</t>
        </is>
      </c>
      <c r="C1056" s="10" t="inlineStr">
        <is>
          <t>NM TĐN Nậm Chim 1</t>
        </is>
      </c>
      <c r="D1056" s="3" t="inlineStr">
        <is>
          <t>B17</t>
        </is>
      </c>
      <c r="E1056" s="9" t="inlineStr">
        <is>
          <t>A17.12</t>
        </is>
      </c>
      <c r="F1056" s="15">
        <f>IF(E1056&lt;&gt;"","Đã VH","Quy hoạch điện VIII")</f>
        <v/>
      </c>
      <c r="G1056" s="16">
        <f>LEFT(B1056,FIND(" ",B1056,1)-1)</f>
        <v/>
      </c>
      <c r="H1056" s="16">
        <f>TRIM(RIGHT(B1056,LEN(B1056)-FIND(" ",B1056,1)))</f>
        <v/>
      </c>
      <c r="I1056" s="16">
        <f>_xlfn.XLOOKUP(Table2[[#This Row],[Type]],Table5[Type],Table5[Type2])</f>
        <v/>
      </c>
      <c r="J1056" s="16">
        <f>_xlfn.XLOOKUP(Table2[[#This Row],[Sym]],Zones!$A$2:$A$21,Zones!$B$2:$B$21)</f>
        <v/>
      </c>
      <c r="K1056" s="21" t="n"/>
    </row>
    <row r="1057">
      <c r="A1057" s="24" t="n">
        <v>2811</v>
      </c>
      <c r="B1057" s="10" t="inlineStr">
        <is>
          <t>T110 XM Mai Sơn</t>
        </is>
      </c>
      <c r="C1057" s="10" t="inlineStr">
        <is>
          <t>TBA 110kV XM Mai Sơn</t>
        </is>
      </c>
      <c r="D1057" s="3" t="inlineStr">
        <is>
          <t>B17</t>
        </is>
      </c>
      <c r="E1057" s="9" t="inlineStr">
        <is>
          <t>E17.13</t>
        </is>
      </c>
      <c r="F1057" s="15">
        <f>IF(E1057&lt;&gt;"","Đã VH","Quy hoạch điện VIII")</f>
        <v/>
      </c>
      <c r="G1057" s="16">
        <f>LEFT(B1057,FIND(" ",B1057,1)-1)</f>
        <v/>
      </c>
      <c r="H1057" s="16">
        <f>TRIM(RIGHT(B1057,LEN(B1057)-FIND(" ",B1057,1)))</f>
        <v/>
      </c>
      <c r="I1057" s="16">
        <f>_xlfn.XLOOKUP(Table2[[#This Row],[Type]],Table5[Type],Table5[Type2])</f>
        <v/>
      </c>
      <c r="J1057" s="16">
        <f>_xlfn.XLOOKUP(Table2[[#This Row],[Sym]],Zones!$A$2:$A$21,Zones!$B$2:$B$21)</f>
        <v/>
      </c>
      <c r="K1057" s="21" t="n"/>
    </row>
    <row r="1058">
      <c r="A1058" s="24" t="n">
        <v>2812</v>
      </c>
      <c r="B1058" s="10" t="inlineStr">
        <is>
          <t>TĐ Nậm Công</t>
        </is>
      </c>
      <c r="C1058" s="10" t="inlineStr">
        <is>
          <t>NM TĐN Nậm Công</t>
        </is>
      </c>
      <c r="D1058" s="3" t="inlineStr">
        <is>
          <t>B17</t>
        </is>
      </c>
      <c r="E1058" s="9" t="inlineStr">
        <is>
          <t>A17.14</t>
        </is>
      </c>
      <c r="F1058" s="15">
        <f>IF(E1058&lt;&gt;"","Đã VH","Quy hoạch điện VIII")</f>
        <v/>
      </c>
      <c r="G1058" s="16">
        <f>LEFT(B1058,FIND(" ",B1058,1)-1)</f>
        <v/>
      </c>
      <c r="H1058" s="16">
        <f>TRIM(RIGHT(B1058,LEN(B1058)-FIND(" ",B1058,1)))</f>
        <v/>
      </c>
      <c r="I1058" s="16">
        <f>_xlfn.XLOOKUP(Table2[[#This Row],[Type]],Table5[Type],Table5[Type2])</f>
        <v/>
      </c>
      <c r="J1058" s="16">
        <f>_xlfn.XLOOKUP(Table2[[#This Row],[Sym]],Zones!$A$2:$A$21,Zones!$B$2:$B$21)</f>
        <v/>
      </c>
      <c r="K1058" s="21" t="n"/>
    </row>
    <row r="1059">
      <c r="A1059" s="24" t="n">
        <v>2813</v>
      </c>
      <c r="B1059" s="10" t="inlineStr">
        <is>
          <t>TĐ Cụm Chiềng Công</t>
        </is>
      </c>
      <c r="C1059" s="10" t="inlineStr">
        <is>
          <t>NM TĐN Cụm Chiềng Công</t>
        </is>
      </c>
      <c r="D1059" s="3" t="inlineStr">
        <is>
          <t>B17</t>
        </is>
      </c>
      <c r="E1059" s="9" t="inlineStr">
        <is>
          <t>A17.16</t>
        </is>
      </c>
      <c r="F1059" s="15">
        <f>IF(E1059&lt;&gt;"","Đã VH","Quy hoạch điện VIII")</f>
        <v/>
      </c>
      <c r="G1059" s="16">
        <f>LEFT(B1059,FIND(" ",B1059,1)-1)</f>
        <v/>
      </c>
      <c r="H1059" s="16">
        <f>TRIM(RIGHT(B1059,LEN(B1059)-FIND(" ",B1059,1)))</f>
        <v/>
      </c>
      <c r="I1059" s="16">
        <f>_xlfn.XLOOKUP(Table2[[#This Row],[Type]],Table5[Type],Table5[Type2])</f>
        <v/>
      </c>
      <c r="J1059" s="16">
        <f>_xlfn.XLOOKUP(Table2[[#This Row],[Sym]],Zones!$A$2:$A$21,Zones!$B$2:$B$21)</f>
        <v/>
      </c>
      <c r="K1059" s="21" t="n"/>
    </row>
    <row r="1060">
      <c r="A1060" s="24" t="n">
        <v>2814</v>
      </c>
      <c r="B1060" s="10" t="inlineStr">
        <is>
          <t>TĐ Nậm La</t>
        </is>
      </c>
      <c r="C1060" s="10" t="inlineStr">
        <is>
          <t>NM TĐN Nậm La</t>
        </is>
      </c>
      <c r="D1060" s="3" t="inlineStr">
        <is>
          <t>B17</t>
        </is>
      </c>
      <c r="E1060" s="9" t="inlineStr">
        <is>
          <t>A17.21</t>
        </is>
      </c>
      <c r="F1060" s="15">
        <f>IF(E1060&lt;&gt;"","Đã VH","Quy hoạch điện VIII")</f>
        <v/>
      </c>
      <c r="G1060" s="16">
        <f>LEFT(B1060,FIND(" ",B1060,1)-1)</f>
        <v/>
      </c>
      <c r="H1060" s="16">
        <f>TRIM(RIGHT(B1060,LEN(B1060)-FIND(" ",B1060,1)))</f>
        <v/>
      </c>
      <c r="I1060" s="16">
        <f>_xlfn.XLOOKUP(Table2[[#This Row],[Type]],Table5[Type],Table5[Type2])</f>
        <v/>
      </c>
      <c r="J1060" s="16">
        <f>_xlfn.XLOOKUP(Table2[[#This Row],[Sym]],Zones!$A$2:$A$21,Zones!$B$2:$B$21)</f>
        <v/>
      </c>
      <c r="K1060" s="21" t="n"/>
    </row>
    <row r="1061">
      <c r="A1061" s="24" t="n">
        <v>2815</v>
      </c>
      <c r="B1061" s="10" t="inlineStr">
        <is>
          <t>TĐ Suối Sập 1</t>
        </is>
      </c>
      <c r="C1061" s="10" t="inlineStr">
        <is>
          <t>NM TĐN Suối Sập 1</t>
        </is>
      </c>
      <c r="D1061" s="3" t="inlineStr">
        <is>
          <t>B17</t>
        </is>
      </c>
      <c r="E1061" s="9" t="inlineStr">
        <is>
          <t>A17.22</t>
        </is>
      </c>
      <c r="F1061" s="15">
        <f>IF(E1061&lt;&gt;"","Đã VH","Quy hoạch điện VIII")</f>
        <v/>
      </c>
      <c r="G1061" s="16">
        <f>LEFT(B1061,FIND(" ",B1061,1)-1)</f>
        <v/>
      </c>
      <c r="H1061" s="16">
        <f>TRIM(RIGHT(B1061,LEN(B1061)-FIND(" ",B1061,1)))</f>
        <v/>
      </c>
      <c r="I1061" s="16">
        <f>_xlfn.XLOOKUP(Table2[[#This Row],[Type]],Table5[Type],Table5[Type2])</f>
        <v/>
      </c>
      <c r="J1061" s="16">
        <f>_xlfn.XLOOKUP(Table2[[#This Row],[Sym]],Zones!$A$2:$A$21,Zones!$B$2:$B$21)</f>
        <v/>
      </c>
      <c r="K1061" s="21" t="n"/>
    </row>
    <row r="1062">
      <c r="A1062" s="24" t="n">
        <v>2816</v>
      </c>
      <c r="B1062" s="10" t="inlineStr">
        <is>
          <t>TĐ Tà Cọ</t>
        </is>
      </c>
      <c r="C1062" s="30" t="inlineStr">
        <is>
          <t>NM TĐ Tà Cọ</t>
        </is>
      </c>
      <c r="D1062" s="3" t="inlineStr">
        <is>
          <t>B17</t>
        </is>
      </c>
      <c r="E1062" s="9" t="inlineStr">
        <is>
          <t>A17.23</t>
        </is>
      </c>
      <c r="F1062" s="15">
        <f>IF(E1062&lt;&gt;"","Đã VH","Quy hoạch điện VIII")</f>
        <v/>
      </c>
      <c r="G1062" s="16">
        <f>LEFT(B1062,FIND(" ",B1062,1)-1)</f>
        <v/>
      </c>
      <c r="H1062" s="16">
        <f>TRIM(RIGHT(B1062,LEN(B1062)-FIND(" ",B1062,1)))</f>
        <v/>
      </c>
      <c r="I1062" s="16">
        <f>_xlfn.XLOOKUP(Table2[[#This Row],[Type]],Table5[Type],Table5[Type2])</f>
        <v/>
      </c>
      <c r="J1062" s="16">
        <f>_xlfn.XLOOKUP(Table2[[#This Row],[Sym]],Zones!$A$2:$A$21,Zones!$B$2:$B$21)</f>
        <v/>
      </c>
      <c r="K1062" s="21" t="n"/>
      <c r="W1062" t="inlineStr">
        <is>
          <t>Đã sửa từ dashboard (NM TĐN Tà Cọ ➔ NM TĐ Tà Cọ)</t>
        </is>
      </c>
    </row>
    <row r="1063">
      <c r="A1063" s="24" t="n">
        <v>2817</v>
      </c>
      <c r="B1063" s="10" t="inlineStr">
        <is>
          <t>TĐ Nậm Hồng</t>
        </is>
      </c>
      <c r="C1063" s="10" t="inlineStr">
        <is>
          <t>NM TĐN Nậm Hồng</t>
        </is>
      </c>
      <c r="D1063" s="3" t="inlineStr">
        <is>
          <t>B17</t>
        </is>
      </c>
      <c r="E1063" s="9" t="inlineStr">
        <is>
          <t>A17.24</t>
        </is>
      </c>
      <c r="F1063" s="15">
        <f>IF(E1063&lt;&gt;"","Đã VH","Quy hoạch điện VIII")</f>
        <v/>
      </c>
      <c r="G1063" s="16">
        <f>LEFT(B1063,FIND(" ",B1063,1)-1)</f>
        <v/>
      </c>
      <c r="H1063" s="16">
        <f>TRIM(RIGHT(B1063,LEN(B1063)-FIND(" ",B1063,1)))</f>
        <v/>
      </c>
      <c r="I1063" s="16">
        <f>_xlfn.XLOOKUP(Table2[[#This Row],[Type]],Table5[Type],Table5[Type2])</f>
        <v/>
      </c>
      <c r="J1063" s="16">
        <f>_xlfn.XLOOKUP(Table2[[#This Row],[Sym]],Zones!$A$2:$A$21,Zones!$B$2:$B$21)</f>
        <v/>
      </c>
      <c r="K1063" s="21" t="n"/>
    </row>
    <row r="1064">
      <c r="A1064" s="24" t="n">
        <v>2818</v>
      </c>
      <c r="B1064" s="10" t="inlineStr">
        <is>
          <t>TĐ Nậm Chiến</t>
        </is>
      </c>
      <c r="C1064" s="10" t="inlineStr">
        <is>
          <t>NM TĐN Nậm Chiến</t>
        </is>
      </c>
      <c r="D1064" s="3" t="inlineStr">
        <is>
          <t>B17</t>
        </is>
      </c>
      <c r="E1064" s="9" t="inlineStr">
        <is>
          <t>A17.25</t>
        </is>
      </c>
      <c r="F1064" s="15">
        <f>IF(E1064&lt;&gt;"","Đã VH","Quy hoạch điện VIII")</f>
        <v/>
      </c>
      <c r="G1064" s="16">
        <f>LEFT(B1064,FIND(" ",B1064,1)-1)</f>
        <v/>
      </c>
      <c r="H1064" s="16">
        <f>TRIM(RIGHT(B1064,LEN(B1064)-FIND(" ",B1064,1)))</f>
        <v/>
      </c>
      <c r="I1064" s="16">
        <f>_xlfn.XLOOKUP(Table2[[#This Row],[Type]],Table5[Type],Table5[Type2])</f>
        <v/>
      </c>
      <c r="J1064" s="16">
        <f>_xlfn.XLOOKUP(Table2[[#This Row],[Sym]],Zones!$A$2:$A$21,Zones!$B$2:$B$21)</f>
        <v/>
      </c>
      <c r="K1064" s="21" t="n"/>
    </row>
    <row r="1065">
      <c r="A1065" s="24" t="n">
        <v>2819</v>
      </c>
      <c r="B1065" s="10" t="inlineStr">
        <is>
          <t>TĐ Háng Đồng A1</t>
        </is>
      </c>
      <c r="C1065" s="10" t="inlineStr">
        <is>
          <t>NM TĐN Háng Đồng A1</t>
        </is>
      </c>
      <c r="D1065" s="3" t="inlineStr">
        <is>
          <t>B17</t>
        </is>
      </c>
      <c r="E1065" s="9" t="inlineStr">
        <is>
          <t>A17.27</t>
        </is>
      </c>
      <c r="F1065" s="15">
        <f>IF(E1065&lt;&gt;"","Đã VH","Quy hoạch điện VIII")</f>
        <v/>
      </c>
      <c r="G1065" s="16">
        <f>LEFT(B1065,FIND(" ",B1065,1)-1)</f>
        <v/>
      </c>
      <c r="H1065" s="16">
        <f>TRIM(RIGHT(B1065,LEN(B1065)-FIND(" ",B1065,1)))</f>
        <v/>
      </c>
      <c r="I1065" s="16">
        <f>_xlfn.XLOOKUP(Table2[[#This Row],[Type]],Table5[Type],Table5[Type2])</f>
        <v/>
      </c>
      <c r="J1065" s="16">
        <f>_xlfn.XLOOKUP(Table2[[#This Row],[Sym]],Zones!$A$2:$A$21,Zones!$B$2:$B$21)</f>
        <v/>
      </c>
      <c r="K1065" s="21" t="n"/>
    </row>
    <row r="1066">
      <c r="A1066" s="24" t="n">
        <v>2820</v>
      </c>
      <c r="B1066" s="10" t="inlineStr">
        <is>
          <t>TĐ Suối Lừm 1</t>
        </is>
      </c>
      <c r="C1066" s="10" t="inlineStr">
        <is>
          <t>NM TĐN Suối Lừm 1</t>
        </is>
      </c>
      <c r="D1066" s="3" t="inlineStr">
        <is>
          <t>B17</t>
        </is>
      </c>
      <c r="E1066" s="9" t="inlineStr">
        <is>
          <t>A17.28</t>
        </is>
      </c>
      <c r="F1066" s="15">
        <f>IF(E1066&lt;&gt;"","Đã VH","Quy hoạch điện VIII")</f>
        <v/>
      </c>
      <c r="G1066" s="16">
        <f>LEFT(B1066,FIND(" ",B1066,1)-1)</f>
        <v/>
      </c>
      <c r="H1066" s="16">
        <f>TRIM(RIGHT(B1066,LEN(B1066)-FIND(" ",B1066,1)))</f>
        <v/>
      </c>
      <c r="I1066" s="16">
        <f>_xlfn.XLOOKUP(Table2[[#This Row],[Type]],Table5[Type],Table5[Type2])</f>
        <v/>
      </c>
      <c r="J1066" s="16">
        <f>_xlfn.XLOOKUP(Table2[[#This Row],[Sym]],Zones!$A$2:$A$21,Zones!$B$2:$B$21)</f>
        <v/>
      </c>
      <c r="K1066" s="21" t="n"/>
    </row>
    <row r="1067">
      <c r="A1067" s="24" t="n">
        <v>2821</v>
      </c>
      <c r="B1067" s="10" t="inlineStr">
        <is>
          <t>TĐ Nậm Chiến 2</t>
        </is>
      </c>
      <c r="C1067" s="10" t="inlineStr">
        <is>
          <t>NM TĐN Nậm Chiến 2</t>
        </is>
      </c>
      <c r="D1067" s="3" t="inlineStr">
        <is>
          <t>B17</t>
        </is>
      </c>
      <c r="E1067" s="9" t="inlineStr">
        <is>
          <t>A17.11</t>
        </is>
      </c>
      <c r="F1067" s="15">
        <f>IF(E1067&lt;&gt;"","Đã VH","Quy hoạch điện VIII")</f>
        <v/>
      </c>
      <c r="G1067" s="16">
        <f>LEFT(B1067,FIND(" ",B1067,1)-1)</f>
        <v/>
      </c>
      <c r="H1067" s="16">
        <f>TRIM(RIGHT(B1067,LEN(B1067)-FIND(" ",B1067,1)))</f>
        <v/>
      </c>
      <c r="I1067" s="16">
        <f>_xlfn.XLOOKUP(Table2[[#This Row],[Type]],Table5[Type],Table5[Type2])</f>
        <v/>
      </c>
      <c r="J1067" s="16">
        <f>_xlfn.XLOOKUP(Table2[[#This Row],[Sym]],Zones!$A$2:$A$21,Zones!$B$2:$B$21)</f>
        <v/>
      </c>
      <c r="K1067" s="21" t="n"/>
    </row>
    <row r="1068">
      <c r="A1068" s="24" t="n">
        <v>2822</v>
      </c>
      <c r="B1068" s="10" t="inlineStr">
        <is>
          <t>TĐ Pá Chiến</t>
        </is>
      </c>
      <c r="C1068" s="10" t="inlineStr">
        <is>
          <t>NM TĐN Pá Chiến</t>
        </is>
      </c>
      <c r="D1068" s="3" t="inlineStr">
        <is>
          <t>B17</t>
        </is>
      </c>
      <c r="E1068" s="9" t="inlineStr">
        <is>
          <t>A17.29</t>
        </is>
      </c>
      <c r="F1068" s="15">
        <f>IF(E1068&lt;&gt;"","Đã VH","Quy hoạch điện VIII")</f>
        <v/>
      </c>
      <c r="G1068" s="16">
        <f>LEFT(B1068,FIND(" ",B1068,1)-1)</f>
        <v/>
      </c>
      <c r="H1068" s="16">
        <f>TRIM(RIGHT(B1068,LEN(B1068)-FIND(" ",B1068,1)))</f>
        <v/>
      </c>
      <c r="I1068" s="16">
        <f>_xlfn.XLOOKUP(Table2[[#This Row],[Type]],Table5[Type],Table5[Type2])</f>
        <v/>
      </c>
      <c r="J1068" s="16">
        <f>_xlfn.XLOOKUP(Table2[[#This Row],[Sym]],Zones!$A$2:$A$21,Zones!$B$2:$B$21)</f>
        <v/>
      </c>
      <c r="K1068" s="21" t="n"/>
    </row>
    <row r="1069">
      <c r="A1069" s="24" t="n">
        <v>2823</v>
      </c>
      <c r="B1069" s="10" t="inlineStr">
        <is>
          <t>TĐ Nậm Giôn</t>
        </is>
      </c>
      <c r="C1069" s="10" t="inlineStr">
        <is>
          <t>NM TĐN Nậm Giôn</t>
        </is>
      </c>
      <c r="D1069" s="3" t="inlineStr">
        <is>
          <t>B17</t>
        </is>
      </c>
      <c r="E1069" s="9" t="inlineStr">
        <is>
          <t>A17.31</t>
        </is>
      </c>
      <c r="F1069" s="15">
        <f>IF(E1069&lt;&gt;"","Đã VH","Quy hoạch điện VIII")</f>
        <v/>
      </c>
      <c r="G1069" s="16">
        <f>LEFT(B1069,FIND(" ",B1069,1)-1)</f>
        <v/>
      </c>
      <c r="H1069" s="16">
        <f>TRIM(RIGHT(B1069,LEN(B1069)-FIND(" ",B1069,1)))</f>
        <v/>
      </c>
      <c r="I1069" s="16">
        <f>_xlfn.XLOOKUP(Table2[[#This Row],[Type]],Table5[Type],Table5[Type2])</f>
        <v/>
      </c>
      <c r="J1069" s="16">
        <f>_xlfn.XLOOKUP(Table2[[#This Row],[Sym]],Zones!$A$2:$A$21,Zones!$B$2:$B$21)</f>
        <v/>
      </c>
      <c r="K1069" s="21" t="n"/>
    </row>
    <row r="1070">
      <c r="A1070" s="24" t="n">
        <v>2824</v>
      </c>
      <c r="B1070" s="10" t="inlineStr">
        <is>
          <t>TĐ Tắt Ngoẵng</t>
        </is>
      </c>
      <c r="C1070" s="10" t="inlineStr">
        <is>
          <t>NM TĐN Tắt Ngoẵng</t>
        </is>
      </c>
      <c r="D1070" s="3" t="inlineStr">
        <is>
          <t>B17</t>
        </is>
      </c>
      <c r="E1070" s="9" t="inlineStr">
        <is>
          <t>A17.33</t>
        </is>
      </c>
      <c r="F1070" s="15">
        <f>IF(E1070&lt;&gt;"","Đã VH","Quy hoạch điện VIII")</f>
        <v/>
      </c>
      <c r="G1070" s="16">
        <f>LEFT(B1070,FIND(" ",B1070,1)-1)</f>
        <v/>
      </c>
      <c r="H1070" s="16">
        <f>TRIM(RIGHT(B1070,LEN(B1070)-FIND(" ",B1070,1)))</f>
        <v/>
      </c>
      <c r="I1070" s="16">
        <f>_xlfn.XLOOKUP(Table2[[#This Row],[Type]],Table5[Type],Table5[Type2])</f>
        <v/>
      </c>
      <c r="J1070" s="16">
        <f>_xlfn.XLOOKUP(Table2[[#This Row],[Sym]],Zones!$A$2:$A$21,Zones!$B$2:$B$21)</f>
        <v/>
      </c>
      <c r="K1070" s="21" t="n"/>
    </row>
    <row r="1071">
      <c r="A1071" s="24" t="n">
        <v>2825</v>
      </c>
      <c r="B1071" s="10" t="inlineStr">
        <is>
          <t>TĐ Háng Đồng A</t>
        </is>
      </c>
      <c r="C1071" s="10" t="inlineStr">
        <is>
          <t>NM TĐN Háng Đồng A</t>
        </is>
      </c>
      <c r="D1071" s="3" t="inlineStr">
        <is>
          <t>B17</t>
        </is>
      </c>
      <c r="E1071" s="9" t="inlineStr">
        <is>
          <t>A17.35</t>
        </is>
      </c>
      <c r="F1071" s="15">
        <f>IF(E1071&lt;&gt;"","Đã VH","Quy hoạch điện VIII")</f>
        <v/>
      </c>
      <c r="G1071" s="16">
        <f>LEFT(B1071,FIND(" ",B1071,1)-1)</f>
        <v/>
      </c>
      <c r="H1071" s="16">
        <f>TRIM(RIGHT(B1071,LEN(B1071)-FIND(" ",B1071,1)))</f>
        <v/>
      </c>
      <c r="I1071" s="16">
        <f>_xlfn.XLOOKUP(Table2[[#This Row],[Type]],Table5[Type],Table5[Type2])</f>
        <v/>
      </c>
      <c r="J1071" s="16">
        <f>_xlfn.XLOOKUP(Table2[[#This Row],[Sym]],Zones!$A$2:$A$21,Zones!$B$2:$B$21)</f>
        <v/>
      </c>
      <c r="K1071" s="21" t="n"/>
    </row>
    <row r="1072">
      <c r="A1072" s="24" t="n">
        <v>2826</v>
      </c>
      <c r="B1072" s="10" t="inlineStr">
        <is>
          <t>TĐ Nậm Xá</t>
        </is>
      </c>
      <c r="C1072" s="10" t="inlineStr">
        <is>
          <t>NM TĐN Nậm Xá</t>
        </is>
      </c>
      <c r="D1072" s="3" t="inlineStr">
        <is>
          <t>B17</t>
        </is>
      </c>
      <c r="E1072" s="9" t="inlineStr">
        <is>
          <t>A17.36</t>
        </is>
      </c>
      <c r="F1072" s="15">
        <f>IF(E1072&lt;&gt;"","Đã VH","Quy hoạch điện VIII")</f>
        <v/>
      </c>
      <c r="G1072" s="16">
        <f>LEFT(B1072,FIND(" ",B1072,1)-1)</f>
        <v/>
      </c>
      <c r="H1072" s="16">
        <f>TRIM(RIGHT(B1072,LEN(B1072)-FIND(" ",B1072,1)))</f>
        <v/>
      </c>
      <c r="I1072" s="16">
        <f>_xlfn.XLOOKUP(Table2[[#This Row],[Type]],Table5[Type],Table5[Type2])</f>
        <v/>
      </c>
      <c r="J1072" s="16">
        <f>_xlfn.XLOOKUP(Table2[[#This Row],[Sym]],Zones!$A$2:$A$21,Zones!$B$2:$B$21)</f>
        <v/>
      </c>
      <c r="K1072" s="21" t="n"/>
    </row>
    <row r="1073">
      <c r="A1073" s="24" t="n">
        <v>2827</v>
      </c>
      <c r="B1073" s="10" t="inlineStr">
        <is>
          <t>TĐ Suối Lừm 3</t>
        </is>
      </c>
      <c r="C1073" s="10" t="inlineStr">
        <is>
          <t>NM TĐN Suối Lừm 3</t>
        </is>
      </c>
      <c r="D1073" s="3" t="inlineStr">
        <is>
          <t>B17</t>
        </is>
      </c>
      <c r="E1073" s="9" t="inlineStr">
        <is>
          <t>A17.38</t>
        </is>
      </c>
      <c r="F1073" s="15">
        <f>IF(E1073&lt;&gt;"","Đã VH","Quy hoạch điện VIII")</f>
        <v/>
      </c>
      <c r="G1073" s="16">
        <f>LEFT(B1073,FIND(" ",B1073,1)-1)</f>
        <v/>
      </c>
      <c r="H1073" s="16">
        <f>TRIM(RIGHT(B1073,LEN(B1073)-FIND(" ",B1073,1)))</f>
        <v/>
      </c>
      <c r="I1073" s="16">
        <f>_xlfn.XLOOKUP(Table2[[#This Row],[Type]],Table5[Type],Table5[Type2])</f>
        <v/>
      </c>
      <c r="J1073" s="16">
        <f>_xlfn.XLOOKUP(Table2[[#This Row],[Sym]],Zones!$A$2:$A$21,Zones!$B$2:$B$21)</f>
        <v/>
      </c>
      <c r="K1073" s="21" t="n"/>
    </row>
    <row r="1074">
      <c r="A1074" s="24" t="n">
        <v>2828</v>
      </c>
      <c r="B1074" s="10" t="inlineStr">
        <is>
          <t>TĐ To Buông</t>
        </is>
      </c>
      <c r="C1074" s="10" t="inlineStr">
        <is>
          <t>NM TĐN To Buông</t>
        </is>
      </c>
      <c r="D1074" s="3" t="inlineStr">
        <is>
          <t>B17</t>
        </is>
      </c>
      <c r="E1074" s="9" t="inlineStr">
        <is>
          <t>A17.41</t>
        </is>
      </c>
      <c r="F1074" s="15">
        <f>IF(E1074&lt;&gt;"","Đã VH","Quy hoạch điện VIII")</f>
        <v/>
      </c>
      <c r="G1074" s="16">
        <f>LEFT(B1074,FIND(" ",B1074,1)-1)</f>
        <v/>
      </c>
      <c r="H1074" s="16">
        <f>TRIM(RIGHT(B1074,LEN(B1074)-FIND(" ",B1074,1)))</f>
        <v/>
      </c>
      <c r="I1074" s="16">
        <f>_xlfn.XLOOKUP(Table2[[#This Row],[Type]],Table5[Type],Table5[Type2])</f>
        <v/>
      </c>
      <c r="J1074" s="16">
        <f>_xlfn.XLOOKUP(Table2[[#This Row],[Sym]],Zones!$A$2:$A$21,Zones!$B$2:$B$21)</f>
        <v/>
      </c>
      <c r="K1074" s="21" t="n"/>
    </row>
    <row r="1075">
      <c r="A1075" s="24" t="n">
        <v>2829</v>
      </c>
      <c r="B1075" s="10" t="inlineStr">
        <is>
          <t>T500 Sơn La</t>
        </is>
      </c>
      <c r="C1075" s="10" t="inlineStr">
        <is>
          <t>TBA 500kV Sơn La</t>
        </is>
      </c>
      <c r="D1075" s="3" t="inlineStr">
        <is>
          <t>B17</t>
        </is>
      </c>
      <c r="E1075" s="9" t="inlineStr">
        <is>
          <t>T500 Sơn La</t>
        </is>
      </c>
      <c r="F1075" s="15">
        <f>IF(E1075&lt;&gt;"","Đã VH","Quy hoạch điện VIII")</f>
        <v/>
      </c>
      <c r="G1075" s="16">
        <f>LEFT(B1075,FIND(" ",B1075,1)-1)</f>
        <v/>
      </c>
      <c r="H1075" s="16">
        <f>TRIM(RIGHT(B1075,LEN(B1075)-FIND(" ",B1075,1)))</f>
        <v/>
      </c>
      <c r="I1075" s="16">
        <f>_xlfn.XLOOKUP(Table2[[#This Row],[Type]],Table5[Type],Table5[Type2])</f>
        <v/>
      </c>
      <c r="J1075" s="16">
        <f>_xlfn.XLOOKUP(Table2[[#This Row],[Sym]],Zones!$A$2:$A$21,Zones!$B$2:$B$21)</f>
        <v/>
      </c>
      <c r="K1075" s="21" t="n"/>
    </row>
    <row r="1076">
      <c r="A1076" s="24" t="n">
        <v>2830</v>
      </c>
      <c r="B1076" s="10" t="inlineStr">
        <is>
          <t>TĐ Nậm Chim 2</t>
        </is>
      </c>
      <c r="C1076" s="10" t="inlineStr">
        <is>
          <t>NM TĐN Nậm Chim 2</t>
        </is>
      </c>
      <c r="D1076" s="3" t="inlineStr">
        <is>
          <t>B17</t>
        </is>
      </c>
      <c r="E1076" s="9" t="inlineStr">
        <is>
          <t>A17.39</t>
        </is>
      </c>
      <c r="F1076" s="15">
        <f>IF(E1076&lt;&gt;"","Đã VH","Quy hoạch điện VIII")</f>
        <v/>
      </c>
      <c r="G1076" s="16">
        <f>LEFT(B1076,FIND(" ",B1076,1)-1)</f>
        <v/>
      </c>
      <c r="H1076" s="16">
        <f>TRIM(RIGHT(B1076,LEN(B1076)-FIND(" ",B1076,1)))</f>
        <v/>
      </c>
      <c r="I1076" s="16">
        <f>_xlfn.XLOOKUP(Table2[[#This Row],[Type]],Table5[Type],Table5[Type2])</f>
        <v/>
      </c>
      <c r="J1076" s="16">
        <f>_xlfn.XLOOKUP(Table2[[#This Row],[Sym]],Zones!$A$2:$A$21,Zones!$B$2:$B$21)</f>
        <v/>
      </c>
      <c r="K1076" s="21" t="n"/>
    </row>
    <row r="1077">
      <c r="A1077" s="24" t="n">
        <v>2831</v>
      </c>
      <c r="B1077" s="10" t="inlineStr">
        <is>
          <t>T110 Sông Mã</t>
        </is>
      </c>
      <c r="C1077" s="10" t="inlineStr">
        <is>
          <t>TBA 110kV Sông Mã</t>
        </is>
      </c>
      <c r="D1077" s="3" t="inlineStr">
        <is>
          <t>B17</t>
        </is>
      </c>
      <c r="E1077" s="9" t="inlineStr">
        <is>
          <t>E17.30</t>
        </is>
      </c>
      <c r="F1077" s="15">
        <f>IF(E1077&lt;&gt;"","Đã VH","Quy hoạch điện VIII")</f>
        <v/>
      </c>
      <c r="G1077" s="16">
        <f>LEFT(B1077,FIND(" ",B1077,1)-1)</f>
        <v/>
      </c>
      <c r="H1077" s="16">
        <f>TRIM(RIGHT(B1077,LEN(B1077)-FIND(" ",B1077,1)))</f>
        <v/>
      </c>
      <c r="I1077" s="16">
        <f>_xlfn.XLOOKUP(Table2[[#This Row],[Type]],Table5[Type],Table5[Type2])</f>
        <v/>
      </c>
      <c r="J1077" s="16">
        <f>_xlfn.XLOOKUP(Table2[[#This Row],[Sym]],Zones!$A$2:$A$21,Zones!$B$2:$B$21)</f>
        <v/>
      </c>
      <c r="K1077" s="21" t="n"/>
    </row>
    <row r="1078">
      <c r="A1078" s="24" t="n">
        <v>2832</v>
      </c>
      <c r="B1078" s="10" t="inlineStr">
        <is>
          <t>TĐ Xím Vàng 2</t>
        </is>
      </c>
      <c r="C1078" s="10" t="inlineStr">
        <is>
          <t>NM TĐN Xím Vàng 2</t>
        </is>
      </c>
      <c r="D1078" s="3" t="inlineStr">
        <is>
          <t>B17</t>
        </is>
      </c>
      <c r="E1078" s="9" t="inlineStr">
        <is>
          <t>A17.44</t>
        </is>
      </c>
      <c r="F1078" s="15">
        <f>IF(E1078&lt;&gt;"","Đã VH","Quy hoạch điện VIII")</f>
        <v/>
      </c>
      <c r="G1078" s="16">
        <f>LEFT(B1078,FIND(" ",B1078,1)-1)</f>
        <v/>
      </c>
      <c r="H1078" s="16">
        <f>TRIM(RIGHT(B1078,LEN(B1078)-FIND(" ",B1078,1)))</f>
        <v/>
      </c>
      <c r="I1078" s="16">
        <f>_xlfn.XLOOKUP(Table2[[#This Row],[Type]],Table5[Type],Table5[Type2])</f>
        <v/>
      </c>
      <c r="J1078" s="16">
        <f>_xlfn.XLOOKUP(Table2[[#This Row],[Sym]],Zones!$A$2:$A$21,Zones!$B$2:$B$21)</f>
        <v/>
      </c>
      <c r="K1078" s="21" t="n"/>
    </row>
    <row r="1079">
      <c r="A1079" s="24" t="n">
        <v>2833</v>
      </c>
      <c r="B1079" s="10" t="inlineStr">
        <is>
          <t>TĐ Nậm Hóa 2</t>
        </is>
      </c>
      <c r="C1079" s="10" t="inlineStr">
        <is>
          <t>NM TĐN Nậm Hóa 2</t>
        </is>
      </c>
      <c r="D1079" s="3" t="inlineStr">
        <is>
          <t>B17</t>
        </is>
      </c>
      <c r="E1079" s="9" t="inlineStr">
        <is>
          <t>A17.37</t>
        </is>
      </c>
      <c r="F1079" s="15">
        <f>IF(E1079&lt;&gt;"","Đã VH","Quy hoạch điện VIII")</f>
        <v/>
      </c>
      <c r="G1079" s="16">
        <f>LEFT(B1079,FIND(" ",B1079,1)-1)</f>
        <v/>
      </c>
      <c r="H1079" s="16">
        <f>TRIM(RIGHT(B1079,LEN(B1079)-FIND(" ",B1079,1)))</f>
        <v/>
      </c>
      <c r="I1079" s="16">
        <f>_xlfn.XLOOKUP(Table2[[#This Row],[Type]],Table5[Type],Table5[Type2])</f>
        <v/>
      </c>
      <c r="J1079" s="16">
        <f>_xlfn.XLOOKUP(Table2[[#This Row],[Sym]],Zones!$A$2:$A$21,Zones!$B$2:$B$21)</f>
        <v/>
      </c>
      <c r="K1079" s="21" t="n"/>
    </row>
    <row r="1080">
      <c r="A1080" s="24" t="n">
        <v>2834</v>
      </c>
      <c r="B1080" s="10" t="inlineStr">
        <is>
          <t>TĐ Sập Việt</t>
        </is>
      </c>
      <c r="C1080" s="10" t="inlineStr">
        <is>
          <t>NM TĐN Sập Việt</t>
        </is>
      </c>
      <c r="D1080" s="3" t="inlineStr">
        <is>
          <t>B17</t>
        </is>
      </c>
      <c r="E1080" s="9" t="inlineStr">
        <is>
          <t>A17.45</t>
        </is>
      </c>
      <c r="F1080" s="15">
        <f>IF(E1080&lt;&gt;"","Đã VH","Quy hoạch điện VIII")</f>
        <v/>
      </c>
      <c r="G1080" s="16">
        <f>LEFT(B1080,FIND(" ",B1080,1)-1)</f>
        <v/>
      </c>
      <c r="H1080" s="16">
        <f>TRIM(RIGHT(B1080,LEN(B1080)-FIND(" ",B1080,1)))</f>
        <v/>
      </c>
      <c r="I1080" s="16">
        <f>_xlfn.XLOOKUP(Table2[[#This Row],[Type]],Table5[Type],Table5[Type2])</f>
        <v/>
      </c>
      <c r="J1080" s="16">
        <f>_xlfn.XLOOKUP(Table2[[#This Row],[Sym]],Zones!$A$2:$A$21,Zones!$B$2:$B$21)</f>
        <v/>
      </c>
      <c r="K1080" s="21" t="n"/>
    </row>
    <row r="1081">
      <c r="A1081" s="24" t="n">
        <v>2835</v>
      </c>
      <c r="B1081" s="10" t="inlineStr">
        <is>
          <t>TĐ Nậm Pia 1</t>
        </is>
      </c>
      <c r="C1081" s="10" t="inlineStr">
        <is>
          <t>NM TĐN Nậm Pia 1</t>
        </is>
      </c>
      <c r="D1081" s="3" t="inlineStr">
        <is>
          <t>B17</t>
        </is>
      </c>
      <c r="E1081" s="9" t="inlineStr">
        <is>
          <t>A17.46</t>
        </is>
      </c>
      <c r="F1081" s="15">
        <f>IF(E1081&lt;&gt;"","Đã VH","Quy hoạch điện VIII")</f>
        <v/>
      </c>
      <c r="G1081" s="16">
        <f>LEFT(B1081,FIND(" ",B1081,1)-1)</f>
        <v/>
      </c>
      <c r="H1081" s="16">
        <f>TRIM(RIGHT(B1081,LEN(B1081)-FIND(" ",B1081,1)))</f>
        <v/>
      </c>
      <c r="I1081" s="16">
        <f>_xlfn.XLOOKUP(Table2[[#This Row],[Type]],Table5[Type],Table5[Type2])</f>
        <v/>
      </c>
      <c r="J1081" s="16">
        <f>_xlfn.XLOOKUP(Table2[[#This Row],[Sym]],Zones!$A$2:$A$21,Zones!$B$2:$B$21)</f>
        <v/>
      </c>
      <c r="K1081" s="21" t="n"/>
    </row>
    <row r="1082">
      <c r="A1082" s="24" t="n">
        <v>2836</v>
      </c>
      <c r="B1082" s="10" t="inlineStr">
        <is>
          <t>TĐ Mường Hung</t>
        </is>
      </c>
      <c r="C1082" s="10" t="inlineStr">
        <is>
          <t>NM TĐN Mường Hung</t>
        </is>
      </c>
      <c r="D1082" s="3" t="inlineStr">
        <is>
          <t>B17</t>
        </is>
      </c>
      <c r="E1082" s="9" t="inlineStr">
        <is>
          <t>A17.52</t>
        </is>
      </c>
      <c r="F1082" s="15">
        <f>IF(E1082&lt;&gt;"","Đã VH","Quy hoạch điện VIII")</f>
        <v/>
      </c>
      <c r="G1082" s="16">
        <f>LEFT(B1082,FIND(" ",B1082,1)-1)</f>
        <v/>
      </c>
      <c r="H1082" s="16">
        <f>TRIM(RIGHT(B1082,LEN(B1082)-FIND(" ",B1082,1)))</f>
        <v/>
      </c>
      <c r="I1082" s="16">
        <f>_xlfn.XLOOKUP(Table2[[#This Row],[Type]],Table5[Type],Table5[Type2])</f>
        <v/>
      </c>
      <c r="J1082" s="16">
        <f>_xlfn.XLOOKUP(Table2[[#This Row],[Sym]],Zones!$A$2:$A$21,Zones!$B$2:$B$21)</f>
        <v/>
      </c>
      <c r="K1082" s="21" t="n"/>
    </row>
    <row r="1083">
      <c r="A1083" s="24" t="n">
        <v>2837</v>
      </c>
      <c r="B1083" s="10" t="inlineStr">
        <is>
          <t>TĐ Mường Bang</t>
        </is>
      </c>
      <c r="C1083" s="10" t="inlineStr">
        <is>
          <t>NM TĐN Mường Bang</t>
        </is>
      </c>
      <c r="D1083" s="3" t="inlineStr">
        <is>
          <t>B17</t>
        </is>
      </c>
      <c r="E1083" s="9" t="inlineStr">
        <is>
          <t>A17.57</t>
        </is>
      </c>
      <c r="F1083" s="15">
        <f>IF(E1083&lt;&gt;"","Đã VH","Quy hoạch điện VIII")</f>
        <v/>
      </c>
      <c r="G1083" s="16">
        <f>LEFT(B1083,FIND(" ",B1083,1)-1)</f>
        <v/>
      </c>
      <c r="H1083" s="16">
        <f>TRIM(RIGHT(B1083,LEN(B1083)-FIND(" ",B1083,1)))</f>
        <v/>
      </c>
      <c r="I1083" s="16">
        <f>_xlfn.XLOOKUP(Table2[[#This Row],[Type]],Table5[Type],Table5[Type2])</f>
        <v/>
      </c>
      <c r="J1083" s="16">
        <f>_xlfn.XLOOKUP(Table2[[#This Row],[Sym]],Zones!$A$2:$A$21,Zones!$B$2:$B$21)</f>
        <v/>
      </c>
      <c r="K1083" s="21" t="n"/>
    </row>
    <row r="1084">
      <c r="A1084" s="24" t="n">
        <v>2838</v>
      </c>
      <c r="B1084" s="10" t="inlineStr">
        <is>
          <t>TĐ Hồng Ngài</t>
        </is>
      </c>
      <c r="C1084" s="10" t="inlineStr">
        <is>
          <t>NM TĐN Hồng Ngài</t>
        </is>
      </c>
      <c r="D1084" s="3" t="inlineStr">
        <is>
          <t>B17</t>
        </is>
      </c>
      <c r="E1084" s="9" t="inlineStr">
        <is>
          <t>A17.56</t>
        </is>
      </c>
      <c r="F1084" s="15">
        <f>IF(E1084&lt;&gt;"","Đã VH","Quy hoạch điện VIII")</f>
        <v/>
      </c>
      <c r="G1084" s="16">
        <f>LEFT(B1084,FIND(" ",B1084,1)-1)</f>
        <v/>
      </c>
      <c r="H1084" s="16">
        <f>TRIM(RIGHT(B1084,LEN(B1084)-FIND(" ",B1084,1)))</f>
        <v/>
      </c>
      <c r="I1084" s="16">
        <f>_xlfn.XLOOKUP(Table2[[#This Row],[Type]],Table5[Type],Table5[Type2])</f>
        <v/>
      </c>
      <c r="J1084" s="16">
        <f>_xlfn.XLOOKUP(Table2[[#This Row],[Sym]],Zones!$A$2:$A$21,Zones!$B$2:$B$21)</f>
        <v/>
      </c>
      <c r="K1084" s="21" t="n"/>
    </row>
    <row r="1085">
      <c r="A1085" s="24" t="n">
        <v>2839</v>
      </c>
      <c r="B1085" s="10" t="inlineStr">
        <is>
          <t>TĐ Phiêng Côn</t>
        </is>
      </c>
      <c r="C1085" s="10" t="inlineStr">
        <is>
          <t>NM TĐN Phiêng Côn</t>
        </is>
      </c>
      <c r="D1085" s="3" t="inlineStr">
        <is>
          <t>B17</t>
        </is>
      </c>
      <c r="E1085" s="9" t="inlineStr">
        <is>
          <t>A17.58</t>
        </is>
      </c>
      <c r="F1085" s="15">
        <f>IF(E1085&lt;&gt;"","Đã VH","Quy hoạch điện VIII")</f>
        <v/>
      </c>
      <c r="G1085" s="16">
        <f>LEFT(B1085,FIND(" ",B1085,1)-1)</f>
        <v/>
      </c>
      <c r="H1085" s="16">
        <f>TRIM(RIGHT(B1085,LEN(B1085)-FIND(" ",B1085,1)))</f>
        <v/>
      </c>
      <c r="I1085" s="16">
        <f>_xlfn.XLOOKUP(Table2[[#This Row],[Type]],Table5[Type],Table5[Type2])</f>
        <v/>
      </c>
      <c r="J1085" s="16">
        <f>_xlfn.XLOOKUP(Table2[[#This Row],[Sym]],Zones!$A$2:$A$21,Zones!$B$2:$B$21)</f>
        <v/>
      </c>
      <c r="K1085" s="21" t="n"/>
    </row>
    <row r="1086">
      <c r="A1086" s="24" t="n">
        <v>2840</v>
      </c>
      <c r="B1086" s="10" t="inlineStr">
        <is>
          <t>T110 Mai Sơn</t>
        </is>
      </c>
      <c r="C1086" s="10" t="inlineStr">
        <is>
          <t>TBA 110kV Mai Sơn</t>
        </is>
      </c>
      <c r="D1086" s="3" t="inlineStr">
        <is>
          <t>B17</t>
        </is>
      </c>
      <c r="E1086" s="9" t="inlineStr">
        <is>
          <t>E17.62</t>
        </is>
      </c>
      <c r="F1086" s="15">
        <f>IF(E1086&lt;&gt;"","Đã VH","Quy hoạch điện VIII")</f>
        <v/>
      </c>
      <c r="G1086" s="16">
        <f>LEFT(B1086,FIND(" ",B1086,1)-1)</f>
        <v/>
      </c>
      <c r="H1086" s="16">
        <f>TRIM(RIGHT(B1086,LEN(B1086)-FIND(" ",B1086,1)))</f>
        <v/>
      </c>
      <c r="I1086" s="16">
        <f>_xlfn.XLOOKUP(Table2[[#This Row],[Type]],Table5[Type],Table5[Type2])</f>
        <v/>
      </c>
      <c r="J1086" s="16">
        <f>_xlfn.XLOOKUP(Table2[[#This Row],[Sym]],Zones!$A$2:$A$21,Zones!$B$2:$B$21)</f>
        <v/>
      </c>
      <c r="K1086" s="21" t="n"/>
    </row>
    <row r="1087">
      <c r="A1087" s="24" t="n">
        <v>2841</v>
      </c>
      <c r="B1087" s="10" t="inlineStr">
        <is>
          <t>T110 Yên Châu</t>
        </is>
      </c>
      <c r="C1087" s="10" t="inlineStr">
        <is>
          <t>TBA 110kV Yên Châu</t>
        </is>
      </c>
      <c r="D1087" s="3" t="inlineStr">
        <is>
          <t>B17</t>
        </is>
      </c>
      <c r="E1087" s="9" t="inlineStr">
        <is>
          <t>E17.66</t>
        </is>
      </c>
      <c r="F1087" s="15">
        <f>IF(E1087&lt;&gt;"","Đã VH","Quy hoạch điện VIII")</f>
        <v/>
      </c>
      <c r="G1087" s="16">
        <f>LEFT(B1087,FIND(" ",B1087,1)-1)</f>
        <v/>
      </c>
      <c r="H1087" s="16">
        <f>TRIM(RIGHT(B1087,LEN(B1087)-FIND(" ",B1087,1)))</f>
        <v/>
      </c>
      <c r="I1087" s="16">
        <f>_xlfn.XLOOKUP(Table2[[#This Row],[Type]],Table5[Type],Table5[Type2])</f>
        <v/>
      </c>
      <c r="J1087" s="16">
        <f>_xlfn.XLOOKUP(Table2[[#This Row],[Sym]],Zones!$A$2:$A$21,Zones!$B$2:$B$21)</f>
        <v/>
      </c>
      <c r="K1087" s="21" t="n"/>
    </row>
    <row r="1088">
      <c r="A1088" s="24" t="n">
        <v>2842</v>
      </c>
      <c r="B1088" s="10" t="inlineStr">
        <is>
          <t>TĐ Háng Đồng B</t>
        </is>
      </c>
      <c r="C1088" s="10" t="inlineStr">
        <is>
          <t>NM TĐN Háng Đồng B</t>
        </is>
      </c>
      <c r="D1088" s="3" t="inlineStr">
        <is>
          <t>B17</t>
        </is>
      </c>
      <c r="E1088" s="9" t="n"/>
      <c r="F1088" s="15">
        <f>IF(E1088&lt;&gt;"","Đã VH","Quy hoạch điện VIII")</f>
        <v/>
      </c>
      <c r="G1088" s="16">
        <f>LEFT(B1088,FIND(" ",B1088,1)-1)</f>
        <v/>
      </c>
      <c r="H1088" s="16">
        <f>TRIM(RIGHT(B1088,LEN(B1088)-FIND(" ",B1088,1)))</f>
        <v/>
      </c>
      <c r="I1088" s="16">
        <f>_xlfn.XLOOKUP(Table2[[#This Row],[Type]],Table5[Type],Table5[Type2])</f>
        <v/>
      </c>
      <c r="J1088" s="16">
        <f>_xlfn.XLOOKUP(Table2[[#This Row],[Sym]],Zones!$A$2:$A$21,Zones!$B$2:$B$21)</f>
        <v/>
      </c>
      <c r="K1088" s="21" t="n"/>
    </row>
    <row r="1089">
      <c r="A1089" s="24" t="n">
        <v>2843</v>
      </c>
      <c r="B1089" s="10" t="inlineStr">
        <is>
          <t>TĐ Bó Sinh</t>
        </is>
      </c>
      <c r="C1089" s="10" t="inlineStr">
        <is>
          <t>NM TĐN Bó Sinh</t>
        </is>
      </c>
      <c r="D1089" s="3" t="inlineStr">
        <is>
          <t>B17</t>
        </is>
      </c>
      <c r="E1089" s="9" t="n"/>
      <c r="F1089" s="15">
        <f>IF(E1089&lt;&gt;"","Đã VH","Quy hoạch điện VIII")</f>
        <v/>
      </c>
      <c r="G1089" s="16">
        <f>LEFT(B1089,FIND(" ",B1089,1)-1)</f>
        <v/>
      </c>
      <c r="H1089" s="16">
        <f>TRIM(RIGHT(B1089,LEN(B1089)-FIND(" ",B1089,1)))</f>
        <v/>
      </c>
      <c r="I1089" s="16">
        <f>_xlfn.XLOOKUP(Table2[[#This Row],[Type]],Table5[Type],Table5[Type2])</f>
        <v/>
      </c>
      <c r="J1089" s="16">
        <f>_xlfn.XLOOKUP(Table2[[#This Row],[Sym]],Zones!$A$2:$A$21,Zones!$B$2:$B$21)</f>
        <v/>
      </c>
      <c r="K1089" s="21" t="n"/>
    </row>
    <row r="1090">
      <c r="A1090" s="24" t="n">
        <v>2844</v>
      </c>
      <c r="B1090" s="10" t="inlineStr">
        <is>
          <t>TĐ Nậm Pàn 5</t>
        </is>
      </c>
      <c r="C1090" s="10" t="inlineStr">
        <is>
          <t>NM TĐN Nậm Pàn 5</t>
        </is>
      </c>
      <c r="D1090" s="3" t="inlineStr">
        <is>
          <t>B17</t>
        </is>
      </c>
      <c r="E1090" s="9" t="n"/>
      <c r="F1090" s="15">
        <f>IF(E1090&lt;&gt;"","Đã VH","Quy hoạch điện VIII")</f>
        <v/>
      </c>
      <c r="G1090" s="16">
        <f>LEFT(B1090,FIND(" ",B1090,1)-1)</f>
        <v/>
      </c>
      <c r="H1090" s="16">
        <f>TRIM(RIGHT(B1090,LEN(B1090)-FIND(" ",B1090,1)))</f>
        <v/>
      </c>
      <c r="I1090" s="16">
        <f>_xlfn.XLOOKUP(Table2[[#This Row],[Type]],Table5[Type],Table5[Type2])</f>
        <v/>
      </c>
      <c r="J1090" s="16">
        <f>_xlfn.XLOOKUP(Table2[[#This Row],[Sym]],Zones!$A$2:$A$21,Zones!$B$2:$B$21)</f>
        <v/>
      </c>
      <c r="K1090" s="21" t="n"/>
    </row>
    <row r="1091">
      <c r="A1091" s="24" t="n">
        <v>2845</v>
      </c>
      <c r="B1091" s="10" t="inlineStr">
        <is>
          <t>T220 Mường La</t>
        </is>
      </c>
      <c r="C1091" s="10" t="inlineStr">
        <is>
          <t>TBA 220kV Mường La</t>
        </is>
      </c>
      <c r="D1091" s="3" t="inlineStr">
        <is>
          <t>B17</t>
        </is>
      </c>
      <c r="E1091" s="9" t="inlineStr">
        <is>
          <t>E17.50</t>
        </is>
      </c>
      <c r="F1091" s="15">
        <f>IF(E1091&lt;&gt;"","Đã VH","Quy hoạch điện VIII")</f>
        <v/>
      </c>
      <c r="G1091" s="16">
        <f>LEFT(B1091,FIND(" ",B1091,1)-1)</f>
        <v/>
      </c>
      <c r="H1091" s="16">
        <f>TRIM(RIGHT(B1091,LEN(B1091)-FIND(" ",B1091,1)))</f>
        <v/>
      </c>
      <c r="I1091" s="16">
        <f>_xlfn.XLOOKUP(Table2[[#This Row],[Type]],Table5[Type],Table5[Type2])</f>
        <v/>
      </c>
      <c r="J1091" s="16">
        <f>_xlfn.XLOOKUP(Table2[[#This Row],[Sym]],Zones!$A$2:$A$21,Zones!$B$2:$B$21)</f>
        <v/>
      </c>
      <c r="K1091" s="21" t="n"/>
    </row>
    <row r="1092">
      <c r="A1092" s="24" t="n">
        <v>2846</v>
      </c>
      <c r="B1092" s="10" t="inlineStr">
        <is>
          <t>TĐ Nậm Hóa 1</t>
        </is>
      </c>
      <c r="C1092" s="30" t="inlineStr">
        <is>
          <t>NM TĐN Nậm Hóa</t>
        </is>
      </c>
      <c r="D1092" s="3" t="inlineStr">
        <is>
          <t>B17</t>
        </is>
      </c>
      <c r="E1092" s="9" t="n"/>
      <c r="F1092" s="15">
        <f>IF(E1092&lt;&gt;"","Đã VH","Quy hoạch điện VIII")</f>
        <v/>
      </c>
      <c r="G1092" s="16">
        <f>LEFT(B1092,FIND(" ",B1092,1)-1)</f>
        <v/>
      </c>
      <c r="H1092" s="16">
        <f>TRIM(RIGHT(B1092,LEN(B1092)-FIND(" ",B1092,1)))</f>
        <v/>
      </c>
      <c r="I1092" s="16">
        <f>_xlfn.XLOOKUP(Table2[[#This Row],[Type]],Table5[Type],Table5[Type2])</f>
        <v/>
      </c>
      <c r="J1092" s="16">
        <f>_xlfn.XLOOKUP(Table2[[#This Row],[Sym]],Zones!$A$2:$A$21,Zones!$B$2:$B$21)</f>
        <v/>
      </c>
      <c r="K1092" s="21" t="n"/>
      <c r="AJ1092" t="inlineStr">
        <is>
          <t>Đã sửa từ dashboard (NM TĐN Nậm Hóa 1 ➔ NM TĐN Nậm Hóa)</t>
        </is>
      </c>
    </row>
    <row r="1093">
      <c r="A1093" s="24" t="n">
        <v>2847</v>
      </c>
      <c r="B1093" s="10" t="inlineStr">
        <is>
          <t>TĐ Mường Lầm</t>
        </is>
      </c>
      <c r="C1093" s="10" t="inlineStr">
        <is>
          <t>NM TĐN Mường Lầm</t>
        </is>
      </c>
      <c r="D1093" s="3" t="inlineStr">
        <is>
          <t>B17</t>
        </is>
      </c>
      <c r="E1093" s="9" t="n"/>
      <c r="F1093" s="15">
        <f>IF(E1093&lt;&gt;"","Đã VH","Quy hoạch điện VIII")</f>
        <v/>
      </c>
      <c r="G1093" s="16">
        <f>LEFT(B1093,FIND(" ",B1093,1)-1)</f>
        <v/>
      </c>
      <c r="H1093" s="16">
        <f>TRIM(RIGHT(B1093,LEN(B1093)-FIND(" ",B1093,1)))</f>
        <v/>
      </c>
      <c r="I1093" s="16">
        <f>_xlfn.XLOOKUP(Table2[[#This Row],[Type]],Table5[Type],Table5[Type2])</f>
        <v/>
      </c>
      <c r="J1093" s="16">
        <f>_xlfn.XLOOKUP(Table2[[#This Row],[Sym]],Zones!$A$2:$A$21,Zones!$B$2:$B$21)</f>
        <v/>
      </c>
      <c r="K1093" s="21" t="n"/>
    </row>
    <row r="1094">
      <c r="A1094" s="24" t="n">
        <v>2848</v>
      </c>
      <c r="B1094" s="10" t="inlineStr">
        <is>
          <t>TĐ Chiềng Hắc 1</t>
        </is>
      </c>
      <c r="C1094" s="10" t="inlineStr">
        <is>
          <t>NM TĐN Chiềng Hắc 1</t>
        </is>
      </c>
      <c r="D1094" s="3" t="inlineStr">
        <is>
          <t>B17</t>
        </is>
      </c>
      <c r="E1094" s="9" t="n"/>
      <c r="F1094" s="15">
        <f>IF(E1094&lt;&gt;"","Đã VH","Quy hoạch điện VIII")</f>
        <v/>
      </c>
      <c r="G1094" s="16">
        <f>LEFT(B1094,FIND(" ",B1094,1)-1)</f>
        <v/>
      </c>
      <c r="H1094" s="16">
        <f>TRIM(RIGHT(B1094,LEN(B1094)-FIND(" ",B1094,1)))</f>
        <v/>
      </c>
      <c r="I1094" s="16">
        <f>_xlfn.XLOOKUP(Table2[[#This Row],[Type]],Table5[Type],Table5[Type2])</f>
        <v/>
      </c>
      <c r="J1094" s="16">
        <f>_xlfn.XLOOKUP(Table2[[#This Row],[Sym]],Zones!$A$2:$A$21,Zones!$B$2:$B$21)</f>
        <v/>
      </c>
      <c r="K1094" s="21" t="n"/>
    </row>
    <row r="1095">
      <c r="A1095" s="24" t="n">
        <v>2849</v>
      </c>
      <c r="B1095" s="10" t="inlineStr">
        <is>
          <t>TĐ Suối Lừm 1A</t>
        </is>
      </c>
      <c r="C1095" s="10" t="inlineStr">
        <is>
          <t>NM TĐN Suối Lừm 1A</t>
        </is>
      </c>
      <c r="D1095" s="3" t="inlineStr">
        <is>
          <t>B17</t>
        </is>
      </c>
      <c r="E1095" s="9" t="n"/>
      <c r="F1095" s="15">
        <f>IF(E1095&lt;&gt;"","Đã VH","Quy hoạch điện VIII")</f>
        <v/>
      </c>
      <c r="G1095" s="16">
        <f>LEFT(B1095,FIND(" ",B1095,1)-1)</f>
        <v/>
      </c>
      <c r="H1095" s="16">
        <f>TRIM(RIGHT(B1095,LEN(B1095)-FIND(" ",B1095,1)))</f>
        <v/>
      </c>
      <c r="I1095" s="16">
        <f>_xlfn.XLOOKUP(Table2[[#This Row],[Type]],Table5[Type],Table5[Type2])</f>
        <v/>
      </c>
      <c r="J1095" s="16">
        <f>_xlfn.XLOOKUP(Table2[[#This Row],[Sym]],Zones!$A$2:$A$21,Zones!$B$2:$B$21)</f>
        <v/>
      </c>
      <c r="K1095" s="21" t="n"/>
    </row>
    <row r="1096">
      <c r="A1096" s="24" t="n">
        <v>2850</v>
      </c>
      <c r="B1096" s="10" t="inlineStr">
        <is>
          <t>TĐ Suối Sập 2A</t>
        </is>
      </c>
      <c r="C1096" s="10" t="inlineStr">
        <is>
          <t>NM TĐN Suối Sập 2A</t>
        </is>
      </c>
      <c r="D1096" s="3" t="inlineStr">
        <is>
          <t>B17</t>
        </is>
      </c>
      <c r="E1096" s="9" t="inlineStr">
        <is>
          <t>A17.55</t>
        </is>
      </c>
      <c r="F1096" s="15">
        <f>IF(E1096&lt;&gt;"","Đã VH","Quy hoạch điện VIII")</f>
        <v/>
      </c>
      <c r="G1096" s="16">
        <f>LEFT(B1096,FIND(" ",B1096,1)-1)</f>
        <v/>
      </c>
      <c r="H1096" s="16">
        <f>TRIM(RIGHT(B1096,LEN(B1096)-FIND(" ",B1096,1)))</f>
        <v/>
      </c>
      <c r="I1096" s="16">
        <f>_xlfn.XLOOKUP(Table2[[#This Row],[Type]],Table5[Type],Table5[Type2])</f>
        <v/>
      </c>
      <c r="J1096" s="16">
        <f>_xlfn.XLOOKUP(Table2[[#This Row],[Sym]],Zones!$A$2:$A$21,Zones!$B$2:$B$21)</f>
        <v/>
      </c>
      <c r="K1096" s="21" t="n"/>
    </row>
    <row r="1097">
      <c r="A1097" s="24" t="n">
        <v>2851</v>
      </c>
      <c r="B1097" s="10" t="inlineStr">
        <is>
          <t>T110 Vân Hồ</t>
        </is>
      </c>
      <c r="C1097" s="10" t="inlineStr">
        <is>
          <t>TBA 110kV Vân Hồ</t>
        </is>
      </c>
      <c r="D1097" s="3" t="inlineStr">
        <is>
          <t>B17</t>
        </is>
      </c>
      <c r="E1097" s="9" t="n"/>
      <c r="F1097" s="15">
        <f>IF(E1097&lt;&gt;"","Đã VH","Quy hoạch điện VIII")</f>
        <v/>
      </c>
      <c r="G1097" s="16">
        <f>LEFT(B1097,FIND(" ",B1097,1)-1)</f>
        <v/>
      </c>
      <c r="H1097" s="16">
        <f>TRIM(RIGHT(B1097,LEN(B1097)-FIND(" ",B1097,1)))</f>
        <v/>
      </c>
      <c r="I1097" s="16">
        <f>_xlfn.XLOOKUP(Table2[[#This Row],[Type]],Table5[Type],Table5[Type2])</f>
        <v/>
      </c>
      <c r="J1097" s="16">
        <f>_xlfn.XLOOKUP(Table2[[#This Row],[Sym]],Zones!$A$2:$A$21,Zones!$B$2:$B$21)</f>
        <v/>
      </c>
      <c r="K1097" s="21" t="n"/>
    </row>
    <row r="1098">
      <c r="A1098" s="24" t="n">
        <v>2852</v>
      </c>
      <c r="B1098" s="10" t="inlineStr">
        <is>
          <t>T110 KCN Vân Hồ</t>
        </is>
      </c>
      <c r="C1098" s="10" t="inlineStr">
        <is>
          <t>TBA 110kV KCN Vân Hồ</t>
        </is>
      </c>
      <c r="D1098" s="3" t="inlineStr">
        <is>
          <t>B17</t>
        </is>
      </c>
      <c r="E1098" s="9" t="n"/>
      <c r="F1098" s="15">
        <f>IF(E1098&lt;&gt;"","Đã VH","Quy hoạch điện VIII")</f>
        <v/>
      </c>
      <c r="G1098" s="16">
        <f>LEFT(B1098,FIND(" ",B1098,1)-1)</f>
        <v/>
      </c>
      <c r="H1098" s="16">
        <f>TRIM(RIGHT(B1098,LEN(B1098)-FIND(" ",B1098,1)))</f>
        <v/>
      </c>
      <c r="I1098" s="16">
        <f>_xlfn.XLOOKUP(Table2[[#This Row],[Type]],Table5[Type],Table5[Type2])</f>
        <v/>
      </c>
      <c r="J1098" s="16">
        <f>_xlfn.XLOOKUP(Table2[[#This Row],[Sym]],Zones!$A$2:$A$21,Zones!$B$2:$B$21)</f>
        <v/>
      </c>
      <c r="K1098" s="21" t="n"/>
    </row>
    <row r="1099">
      <c r="A1099" s="24" t="n">
        <v>2853</v>
      </c>
      <c r="B1099" s="10" t="inlineStr">
        <is>
          <t>T110 Mộc Châu 2</t>
        </is>
      </c>
      <c r="C1099" s="10" t="inlineStr">
        <is>
          <t>TBA 110kV Mộc Châu 2</t>
        </is>
      </c>
      <c r="D1099" s="3" t="inlineStr">
        <is>
          <t>B17</t>
        </is>
      </c>
      <c r="E1099" s="9" t="n"/>
      <c r="F1099" s="15">
        <f>IF(E1099&lt;&gt;"","Đã VH","Quy hoạch điện VIII")</f>
        <v/>
      </c>
      <c r="G1099" s="16">
        <f>LEFT(B1099,FIND(" ",B1099,1)-1)</f>
        <v/>
      </c>
      <c r="H1099" s="16">
        <f>TRIM(RIGHT(B1099,LEN(B1099)-FIND(" ",B1099,1)))</f>
        <v/>
      </c>
      <c r="I1099" s="16">
        <f>_xlfn.XLOOKUP(Table2[[#This Row],[Type]],Table5[Type],Table5[Type2])</f>
        <v/>
      </c>
      <c r="J1099" s="16">
        <f>_xlfn.XLOOKUP(Table2[[#This Row],[Sym]],Zones!$A$2:$A$21,Zones!$B$2:$B$21)</f>
        <v/>
      </c>
      <c r="K1099" s="21" t="n"/>
    </row>
    <row r="1100">
      <c r="A1100" s="24" t="n">
        <v>2854</v>
      </c>
      <c r="B1100" s="10" t="inlineStr">
        <is>
          <t>T110 Mộc Châu 3</t>
        </is>
      </c>
      <c r="C1100" s="10" t="inlineStr">
        <is>
          <t>TBA 110kV Mộc Châu 3</t>
        </is>
      </c>
      <c r="D1100" s="3" t="inlineStr">
        <is>
          <t>B17</t>
        </is>
      </c>
      <c r="E1100" s="9" t="n"/>
      <c r="F1100" s="15">
        <f>IF(E1100&lt;&gt;"","Đã VH","Quy hoạch điện VIII")</f>
        <v/>
      </c>
      <c r="G1100" s="16">
        <f>LEFT(B1100,FIND(" ",B1100,1)-1)</f>
        <v/>
      </c>
      <c r="H1100" s="16">
        <f>TRIM(RIGHT(B1100,LEN(B1100)-FIND(" ",B1100,1)))</f>
        <v/>
      </c>
      <c r="I1100" s="16">
        <f>_xlfn.XLOOKUP(Table2[[#This Row],[Type]],Table5[Type],Table5[Type2])</f>
        <v/>
      </c>
      <c r="J1100" s="16">
        <f>_xlfn.XLOOKUP(Table2[[#This Row],[Sym]],Zones!$A$2:$A$21,Zones!$B$2:$B$21)</f>
        <v/>
      </c>
      <c r="K1100" s="21" t="n"/>
    </row>
    <row r="1101">
      <c r="A1101" s="24" t="n">
        <v>2855</v>
      </c>
      <c r="B1101" s="10" t="inlineStr">
        <is>
          <t>T220 Phù Yên</t>
        </is>
      </c>
      <c r="C1101" s="10" t="inlineStr">
        <is>
          <t>TBA 220kV Phù Yên</t>
        </is>
      </c>
      <c r="D1101" s="3" t="inlineStr">
        <is>
          <t>B17</t>
        </is>
      </c>
      <c r="E1101" s="9" t="n"/>
      <c r="F1101" s="15">
        <f>IF(E1101&lt;&gt;"","Đã VH","Quy hoạch điện VIII")</f>
        <v/>
      </c>
      <c r="G1101" s="16">
        <f>LEFT(B1101,FIND(" ",B1101,1)-1)</f>
        <v/>
      </c>
      <c r="H1101" s="16">
        <f>TRIM(RIGHT(B1101,LEN(B1101)-FIND(" ",B1101,1)))</f>
        <v/>
      </c>
      <c r="I1101" s="16">
        <f>_xlfn.XLOOKUP(Table2[[#This Row],[Type]],Table5[Type],Table5[Type2])</f>
        <v/>
      </c>
      <c r="J1101" s="16">
        <f>_xlfn.XLOOKUP(Table2[[#This Row],[Sym]],Zones!$A$2:$A$21,Zones!$B$2:$B$21)</f>
        <v/>
      </c>
      <c r="K1101" s="21" t="n"/>
    </row>
    <row r="1102">
      <c r="A1102" s="24" t="n">
        <v>2856</v>
      </c>
      <c r="B1102" s="10" t="inlineStr">
        <is>
          <t>T110 KCN Mai Sơn</t>
        </is>
      </c>
      <c r="C1102" s="10" t="inlineStr">
        <is>
          <t>TBA 110kV KCN Mai Sơn</t>
        </is>
      </c>
      <c r="D1102" s="3" t="inlineStr">
        <is>
          <t>B17</t>
        </is>
      </c>
      <c r="E1102" s="9" t="n"/>
      <c r="F1102" s="15">
        <f>IF(E1102&lt;&gt;"","Đã VH","Quy hoạch điện VIII")</f>
        <v/>
      </c>
      <c r="G1102" s="16">
        <f>LEFT(B1102,FIND(" ",B1102,1)-1)</f>
        <v/>
      </c>
      <c r="H1102" s="16">
        <f>TRIM(RIGHT(B1102,LEN(B1102)-FIND(" ",B1102,1)))</f>
        <v/>
      </c>
      <c r="I1102" s="16">
        <f>_xlfn.XLOOKUP(Table2[[#This Row],[Type]],Table5[Type],Table5[Type2])</f>
        <v/>
      </c>
      <c r="J1102" s="16">
        <f>_xlfn.XLOOKUP(Table2[[#This Row],[Sym]],Zones!$A$2:$A$21,Zones!$B$2:$B$21)</f>
        <v/>
      </c>
      <c r="K1102" s="21" t="n"/>
    </row>
    <row r="1103">
      <c r="A1103" s="24" t="n">
        <v>2857</v>
      </c>
      <c r="B1103" s="10" t="inlineStr">
        <is>
          <t>T110 Nà Sản</t>
        </is>
      </c>
      <c r="C1103" s="10" t="inlineStr">
        <is>
          <t>TBA 110kV Nà Sản</t>
        </is>
      </c>
      <c r="D1103" s="3" t="inlineStr">
        <is>
          <t>B17</t>
        </is>
      </c>
      <c r="E1103" s="9" t="n"/>
      <c r="F1103" s="15">
        <f>IF(E1103&lt;&gt;"","Đã VH","Quy hoạch điện VIII")</f>
        <v/>
      </c>
      <c r="G1103" s="16">
        <f>LEFT(B1103,FIND(" ",B1103,1)-1)</f>
        <v/>
      </c>
      <c r="H1103" s="16">
        <f>TRIM(RIGHT(B1103,LEN(B1103)-FIND(" ",B1103,1)))</f>
        <v/>
      </c>
      <c r="I1103" s="16">
        <f>_xlfn.XLOOKUP(Table2[[#This Row],[Type]],Table5[Type],Table5[Type2])</f>
        <v/>
      </c>
      <c r="J1103" s="16">
        <f>_xlfn.XLOOKUP(Table2[[#This Row],[Sym]],Zones!$A$2:$A$21,Zones!$B$2:$B$21)</f>
        <v/>
      </c>
      <c r="K1103" s="21" t="n"/>
    </row>
    <row r="1104">
      <c r="A1104" s="24" t="n">
        <v>2858</v>
      </c>
      <c r="B1104" s="10" t="inlineStr">
        <is>
          <t>T110 Mai Sơn 2</t>
        </is>
      </c>
      <c r="C1104" s="10" t="inlineStr">
        <is>
          <t>TBA 110kV Mai Sơn 2</t>
        </is>
      </c>
      <c r="D1104" s="3" t="inlineStr">
        <is>
          <t>B17</t>
        </is>
      </c>
      <c r="E1104" s="9" t="n"/>
      <c r="F1104" s="15">
        <f>IF(E1104&lt;&gt;"","Đã VH","Quy hoạch điện VIII")</f>
        <v/>
      </c>
      <c r="G1104" s="16">
        <f>LEFT(B1104,FIND(" ",B1104,1)-1)</f>
        <v/>
      </c>
      <c r="H1104" s="16">
        <f>TRIM(RIGHT(B1104,LEN(B1104)-FIND(" ",B1104,1)))</f>
        <v/>
      </c>
      <c r="I1104" s="16">
        <f>_xlfn.XLOOKUP(Table2[[#This Row],[Type]],Table5[Type],Table5[Type2])</f>
        <v/>
      </c>
      <c r="J1104" s="16">
        <f>_xlfn.XLOOKUP(Table2[[#This Row],[Sym]],Zones!$A$2:$A$21,Zones!$B$2:$B$21)</f>
        <v/>
      </c>
      <c r="K1104" s="21" t="n"/>
    </row>
    <row r="1105">
      <c r="A1105" s="24" t="n">
        <v>2859</v>
      </c>
      <c r="B1105" s="10" t="inlineStr">
        <is>
          <t>T110 ĐSK Mía đường Sơn La</t>
        </is>
      </c>
      <c r="C1105" s="10" t="inlineStr">
        <is>
          <t>TBA 110kV ĐSK Mía đường Sơn La</t>
        </is>
      </c>
      <c r="D1105" s="3" t="inlineStr">
        <is>
          <t>B17</t>
        </is>
      </c>
      <c r="E1105" s="9" t="n"/>
      <c r="F1105" s="15">
        <f>IF(E1105&lt;&gt;"","Đã VH","Quy hoạch điện VIII")</f>
        <v/>
      </c>
      <c r="G1105" s="16">
        <f>LEFT(B1105,FIND(" ",B1105,1)-1)</f>
        <v/>
      </c>
      <c r="H1105" s="16">
        <f>TRIM(RIGHT(B1105,LEN(B1105)-FIND(" ",B1105,1)))</f>
        <v/>
      </c>
      <c r="I1105" s="16">
        <f>_xlfn.XLOOKUP(Table2[[#This Row],[Type]],Table5[Type],Table5[Type2])</f>
        <v/>
      </c>
      <c r="J1105" s="16">
        <f>_xlfn.XLOOKUP(Table2[[#This Row],[Sym]],Zones!$A$2:$A$21,Zones!$B$2:$B$21)</f>
        <v/>
      </c>
      <c r="K1105" s="21" t="n"/>
    </row>
    <row r="1106">
      <c r="A1106" s="24" t="n">
        <v>2860</v>
      </c>
      <c r="B1106" s="10" t="inlineStr">
        <is>
          <t>T220 Sông Mã</t>
        </is>
      </c>
      <c r="C1106" s="10" t="inlineStr">
        <is>
          <t>TBA 220kV Sông Mã</t>
        </is>
      </c>
      <c r="D1106" s="3" t="inlineStr">
        <is>
          <t>B17</t>
        </is>
      </c>
      <c r="E1106" s="9" t="n"/>
      <c r="F1106" s="15">
        <f>IF(E1106&lt;&gt;"","Đã VH","Quy hoạch điện VIII")</f>
        <v/>
      </c>
      <c r="G1106" s="16">
        <f>LEFT(B1106,FIND(" ",B1106,1)-1)</f>
        <v/>
      </c>
      <c r="H1106" s="16">
        <f>TRIM(RIGHT(B1106,LEN(B1106)-FIND(" ",B1106,1)))</f>
        <v/>
      </c>
      <c r="I1106" s="16">
        <f>_xlfn.XLOOKUP(Table2[[#This Row],[Type]],Table5[Type],Table5[Type2])</f>
        <v/>
      </c>
      <c r="J1106" s="16">
        <f>_xlfn.XLOOKUP(Table2[[#This Row],[Sym]],Zones!$A$2:$A$21,Zones!$B$2:$B$21)</f>
        <v/>
      </c>
      <c r="K1106" s="21" t="n"/>
    </row>
    <row r="1107">
      <c r="A1107" s="24" t="n">
        <v>2861</v>
      </c>
      <c r="B1107" s="10" t="inlineStr">
        <is>
          <t>T110 Sơn La 3</t>
        </is>
      </c>
      <c r="C1107" s="10" t="inlineStr">
        <is>
          <t>TBA 110kV Sơn La 3</t>
        </is>
      </c>
      <c r="D1107" s="3" t="inlineStr">
        <is>
          <t>B17</t>
        </is>
      </c>
      <c r="E1107" s="9" t="n"/>
      <c r="F1107" s="15">
        <f>IF(E1107&lt;&gt;"","Đã VH","Quy hoạch điện VIII")</f>
        <v/>
      </c>
      <c r="G1107" s="16">
        <f>LEFT(B1107,FIND(" ",B1107,1)-1)</f>
        <v/>
      </c>
      <c r="H1107" s="16">
        <f>TRIM(RIGHT(B1107,LEN(B1107)-FIND(" ",B1107,1)))</f>
        <v/>
      </c>
      <c r="I1107" s="16">
        <f>_xlfn.XLOOKUP(Table2[[#This Row],[Type]],Table5[Type],Table5[Type2])</f>
        <v/>
      </c>
      <c r="J1107" s="16">
        <f>_xlfn.XLOOKUP(Table2[[#This Row],[Sym]],Zones!$A$2:$A$21,Zones!$B$2:$B$21)</f>
        <v/>
      </c>
      <c r="K1107" s="21" t="n"/>
    </row>
    <row r="1108">
      <c r="A1108" s="24" t="n">
        <v>2862</v>
      </c>
      <c r="B1108" s="10" t="inlineStr">
        <is>
          <t>T110 Thuận Châu 2</t>
        </is>
      </c>
      <c r="C1108" s="10" t="inlineStr">
        <is>
          <t>TBA 110kV Thuận Châu 2</t>
        </is>
      </c>
      <c r="D1108" s="3" t="inlineStr">
        <is>
          <t>B17</t>
        </is>
      </c>
      <c r="E1108" s="9" t="n"/>
      <c r="F1108" s="15">
        <f>IF(E1108&lt;&gt;"","Đã VH","Quy hoạch điện VIII")</f>
        <v/>
      </c>
      <c r="G1108" s="16">
        <f>LEFT(B1108,FIND(" ",B1108,1)-1)</f>
        <v/>
      </c>
      <c r="H1108" s="16">
        <f>TRIM(RIGHT(B1108,LEN(B1108)-FIND(" ",B1108,1)))</f>
        <v/>
      </c>
      <c r="I1108" s="16">
        <f>_xlfn.XLOOKUP(Table2[[#This Row],[Type]],Table5[Type],Table5[Type2])</f>
        <v/>
      </c>
      <c r="J1108" s="16">
        <f>_xlfn.XLOOKUP(Table2[[#This Row],[Sym]],Zones!$A$2:$A$21,Zones!$B$2:$B$21)</f>
        <v/>
      </c>
      <c r="K1108" s="21" t="n"/>
    </row>
    <row r="1109">
      <c r="A1109" s="24" t="n">
        <v>2863</v>
      </c>
      <c r="B1109" s="10" t="inlineStr">
        <is>
          <t>T110 Quỳnh Nhai</t>
        </is>
      </c>
      <c r="C1109" s="10" t="inlineStr">
        <is>
          <t>TBA 110kV Quỳnh Nhai</t>
        </is>
      </c>
      <c r="D1109" s="3" t="inlineStr">
        <is>
          <t>B17</t>
        </is>
      </c>
      <c r="E1109" s="9" t="n"/>
      <c r="F1109" s="15">
        <f>IF(E1109&lt;&gt;"","Đã VH","Quy hoạch điện VIII")</f>
        <v/>
      </c>
      <c r="G1109" s="16">
        <f>LEFT(B1109,FIND(" ",B1109,1)-1)</f>
        <v/>
      </c>
      <c r="H1109" s="16">
        <f>TRIM(RIGHT(B1109,LEN(B1109)-FIND(" ",B1109,1)))</f>
        <v/>
      </c>
      <c r="I1109" s="16">
        <f>_xlfn.XLOOKUP(Table2[[#This Row],[Type]],Table5[Type],Table5[Type2])</f>
        <v/>
      </c>
      <c r="J1109" s="16">
        <f>_xlfn.XLOOKUP(Table2[[#This Row],[Sym]],Zones!$A$2:$A$21,Zones!$B$2:$B$21)</f>
        <v/>
      </c>
      <c r="K1109" s="21" t="n"/>
    </row>
    <row r="1110">
      <c r="A1110" s="24" t="n">
        <v>2864</v>
      </c>
      <c r="B1110" s="10" t="inlineStr">
        <is>
          <t>T110 ĐSK Quỳnh Nhai</t>
        </is>
      </c>
      <c r="C1110" s="10" t="inlineStr">
        <is>
          <t>TBA 110kV ĐSK Quỳnh Nhai</t>
        </is>
      </c>
      <c r="D1110" s="3" t="inlineStr">
        <is>
          <t>B17</t>
        </is>
      </c>
      <c r="E1110" s="9" t="n"/>
      <c r="F1110" s="15">
        <f>IF(E1110&lt;&gt;"","Đã VH","Quy hoạch điện VIII")</f>
        <v/>
      </c>
      <c r="G1110" s="16">
        <f>LEFT(B1110,FIND(" ",B1110,1)-1)</f>
        <v/>
      </c>
      <c r="H1110" s="16">
        <f>TRIM(RIGHT(B1110,LEN(B1110)-FIND(" ",B1110,1)))</f>
        <v/>
      </c>
      <c r="I1110" s="16">
        <f>_xlfn.XLOOKUP(Table2[[#This Row],[Type]],Table5[Type],Table5[Type2])</f>
        <v/>
      </c>
      <c r="J1110" s="16">
        <f>_xlfn.XLOOKUP(Table2[[#This Row],[Sym]],Zones!$A$2:$A$21,Zones!$B$2:$B$21)</f>
        <v/>
      </c>
      <c r="K1110" s="21" t="n"/>
    </row>
    <row r="1111">
      <c r="A1111" s="24" t="n">
        <v>2865</v>
      </c>
      <c r="B1111" s="10" t="inlineStr">
        <is>
          <t>T110 Mường La 2</t>
        </is>
      </c>
      <c r="C1111" s="10" t="inlineStr">
        <is>
          <t>TBA 110kV Mường La 2</t>
        </is>
      </c>
      <c r="D1111" s="3" t="inlineStr">
        <is>
          <t>B17</t>
        </is>
      </c>
      <c r="E1111" s="9" t="n"/>
      <c r="F1111" s="15">
        <f>IF(E1111&lt;&gt;"","Đã VH","Quy hoạch điện VIII")</f>
        <v/>
      </c>
      <c r="G1111" s="16">
        <f>LEFT(B1111,FIND(" ",B1111,1)-1)</f>
        <v/>
      </c>
      <c r="H1111" s="16">
        <f>TRIM(RIGHT(B1111,LEN(B1111)-FIND(" ",B1111,1)))</f>
        <v/>
      </c>
      <c r="I1111" s="16">
        <f>_xlfn.XLOOKUP(Table2[[#This Row],[Type]],Table5[Type],Table5[Type2])</f>
        <v/>
      </c>
      <c r="J1111" s="16">
        <f>_xlfn.XLOOKUP(Table2[[#This Row],[Sym]],Zones!$A$2:$A$21,Zones!$B$2:$B$21)</f>
        <v/>
      </c>
      <c r="K1111" s="21" t="n"/>
    </row>
    <row r="1112">
      <c r="A1112" s="24" t="n">
        <v>2866</v>
      </c>
      <c r="B1112" s="10" t="inlineStr">
        <is>
          <t>T110 Bắc Yên</t>
        </is>
      </c>
      <c r="C1112" s="10" t="inlineStr">
        <is>
          <t>TBA 110kV Bắc Yên</t>
        </is>
      </c>
      <c r="D1112" s="3" t="inlineStr">
        <is>
          <t>B17</t>
        </is>
      </c>
      <c r="E1112" s="9" t="n"/>
      <c r="F1112" s="15">
        <f>IF(E1112&lt;&gt;"","Đã VH","Quy hoạch điện VIII")</f>
        <v/>
      </c>
      <c r="G1112" s="16">
        <f>LEFT(B1112,FIND(" ",B1112,1)-1)</f>
        <v/>
      </c>
      <c r="H1112" s="16">
        <f>TRIM(RIGHT(B1112,LEN(B1112)-FIND(" ",B1112,1)))</f>
        <v/>
      </c>
      <c r="I1112" s="16">
        <f>_xlfn.XLOOKUP(Table2[[#This Row],[Type]],Table5[Type],Table5[Type2])</f>
        <v/>
      </c>
      <c r="J1112" s="16">
        <f>_xlfn.XLOOKUP(Table2[[#This Row],[Sym]],Zones!$A$2:$A$21,Zones!$B$2:$B$21)</f>
        <v/>
      </c>
      <c r="K1112" s="21" t="n"/>
    </row>
    <row r="1113">
      <c r="A1113" s="24" t="n">
        <v>2867</v>
      </c>
      <c r="B1113" s="10" t="inlineStr">
        <is>
          <t>T110 Niken</t>
        </is>
      </c>
      <c r="C1113" s="10" t="inlineStr">
        <is>
          <t>TBA 110kV Niken</t>
        </is>
      </c>
      <c r="D1113" s="3" t="inlineStr">
        <is>
          <t>B17</t>
        </is>
      </c>
      <c r="E1113" s="9" t="n"/>
      <c r="F1113" s="15">
        <f>IF(E1113&lt;&gt;"","Đã VH","Quy hoạch điện VIII")</f>
        <v/>
      </c>
      <c r="G1113" s="16">
        <f>LEFT(B1113,FIND(" ",B1113,1)-1)</f>
        <v/>
      </c>
      <c r="H1113" s="16">
        <f>TRIM(RIGHT(B1113,LEN(B1113)-FIND(" ",B1113,1)))</f>
        <v/>
      </c>
      <c r="I1113" s="16">
        <f>_xlfn.XLOOKUP(Table2[[#This Row],[Type]],Table5[Type],Table5[Type2])</f>
        <v/>
      </c>
      <c r="J1113" s="16">
        <f>_xlfn.XLOOKUP(Table2[[#This Row],[Sym]],Zones!$A$2:$A$21,Zones!$B$2:$B$21)</f>
        <v/>
      </c>
      <c r="K1113" s="21" t="n"/>
    </row>
    <row r="1114">
      <c r="A1114" s="24" t="n">
        <v>2868</v>
      </c>
      <c r="B1114" s="10" t="inlineStr">
        <is>
          <t>T110 Phù Yên 2</t>
        </is>
      </c>
      <c r="C1114" s="10" t="inlineStr">
        <is>
          <t>TBA 110kV Phù Yên 2</t>
        </is>
      </c>
      <c r="D1114" s="3" t="inlineStr">
        <is>
          <t>B17</t>
        </is>
      </c>
      <c r="E1114" s="9" t="n"/>
      <c r="F1114" s="15">
        <f>IF(E1114&lt;&gt;"","Đã VH","Quy hoạch điện VIII")</f>
        <v/>
      </c>
      <c r="G1114" s="16">
        <f>LEFT(B1114,FIND(" ",B1114,1)-1)</f>
        <v/>
      </c>
      <c r="H1114" s="16">
        <f>TRIM(RIGHT(B1114,LEN(B1114)-FIND(" ",B1114,1)))</f>
        <v/>
      </c>
      <c r="I1114" s="16">
        <f>_xlfn.XLOOKUP(Table2[[#This Row],[Type]],Table5[Type],Table5[Type2])</f>
        <v/>
      </c>
      <c r="J1114" s="16">
        <f>_xlfn.XLOOKUP(Table2[[#This Row],[Sym]],Zones!$A$2:$A$21,Zones!$B$2:$B$21)</f>
        <v/>
      </c>
      <c r="K1114" s="21" t="n"/>
    </row>
    <row r="1115">
      <c r="A1115" s="24" t="n">
        <v>2869</v>
      </c>
      <c r="B1115" s="10" t="inlineStr">
        <is>
          <t>T110 Chiềng Khương</t>
        </is>
      </c>
      <c r="C1115" s="10" t="inlineStr">
        <is>
          <t>TBA 110kV Chiềng Khương</t>
        </is>
      </c>
      <c r="D1115" s="3" t="inlineStr">
        <is>
          <t>B17</t>
        </is>
      </c>
      <c r="E1115" s="9" t="n"/>
      <c r="F1115" s="15">
        <f>IF(E1115&lt;&gt;"","Đã VH","Quy hoạch điện VIII")</f>
        <v/>
      </c>
      <c r="G1115" s="16">
        <f>LEFT(B1115,FIND(" ",B1115,1)-1)</f>
        <v/>
      </c>
      <c r="H1115" s="16">
        <f>TRIM(RIGHT(B1115,LEN(B1115)-FIND(" ",B1115,1)))</f>
        <v/>
      </c>
      <c r="I1115" s="16">
        <f>_xlfn.XLOOKUP(Table2[[#This Row],[Type]],Table5[Type],Table5[Type2])</f>
        <v/>
      </c>
      <c r="J1115" s="16">
        <f>_xlfn.XLOOKUP(Table2[[#This Row],[Sym]],Zones!$A$2:$A$21,Zones!$B$2:$B$21)</f>
        <v/>
      </c>
      <c r="K1115" s="21" t="n"/>
    </row>
    <row r="1116">
      <c r="A1116" s="24" t="n">
        <v>2870</v>
      </c>
      <c r="B1116" s="10" t="inlineStr">
        <is>
          <t>T220 Mộc Châu</t>
        </is>
      </c>
      <c r="C1116" s="10" t="inlineStr">
        <is>
          <t>TBA 220kV Mộc Châu</t>
        </is>
      </c>
      <c r="D1116" s="3" t="inlineStr">
        <is>
          <t>B17</t>
        </is>
      </c>
      <c r="E1116" s="9" t="n"/>
      <c r="F1116" s="15">
        <f>IF(E1116&lt;&gt;"","Đã VH","Quy hoạch điện VIII")</f>
        <v/>
      </c>
      <c r="G1116" s="16">
        <f>LEFT(B1116,FIND(" ",B1116,1)-1)</f>
        <v/>
      </c>
      <c r="H1116" s="16">
        <f>TRIM(RIGHT(B1116,LEN(B1116)-FIND(" ",B1116,1)))</f>
        <v/>
      </c>
      <c r="I1116" s="16">
        <f>_xlfn.XLOOKUP(Table2[[#This Row],[Type]],Table5[Type],Table5[Type2])</f>
        <v/>
      </c>
      <c r="J1116" s="16">
        <f>_xlfn.XLOOKUP(Table2[[#This Row],[Sym]],Zones!$A$2:$A$21,Zones!$B$2:$B$21)</f>
        <v/>
      </c>
      <c r="K1116" s="21" t="n"/>
    </row>
    <row r="1117">
      <c r="A1117" s="24" t="n">
        <v>2871</v>
      </c>
      <c r="B1117" s="10" t="inlineStr">
        <is>
          <t>T220 Sơn La 1</t>
        </is>
      </c>
      <c r="C1117" s="10" t="inlineStr">
        <is>
          <t>TBA 220kV Sơn La 1</t>
        </is>
      </c>
      <c r="D1117" s="3" t="inlineStr">
        <is>
          <t>B17</t>
        </is>
      </c>
      <c r="E1117" s="9" t="n"/>
      <c r="F1117" s="15">
        <f>IF(E1117&lt;&gt;"","Đã VH","Quy hoạch điện VIII")</f>
        <v/>
      </c>
      <c r="G1117" s="16">
        <f>LEFT(B1117,FIND(" ",B1117,1)-1)</f>
        <v/>
      </c>
      <c r="H1117" s="16">
        <f>TRIM(RIGHT(B1117,LEN(B1117)-FIND(" ",B1117,1)))</f>
        <v/>
      </c>
      <c r="I1117" s="16">
        <f>_xlfn.XLOOKUP(Table2[[#This Row],[Type]],Table5[Type],Table5[Type2])</f>
        <v/>
      </c>
      <c r="J1117" s="16">
        <f>_xlfn.XLOOKUP(Table2[[#This Row],[Sym]],Zones!$A$2:$A$21,Zones!$B$2:$B$21)</f>
        <v/>
      </c>
      <c r="K1117" s="21" t="n"/>
    </row>
    <row r="1118">
      <c r="A1118" s="24" t="n">
        <v>2872</v>
      </c>
      <c r="B1118" s="10" t="inlineStr">
        <is>
          <t>T110 Sông Mã 2</t>
        </is>
      </c>
      <c r="C1118" s="10" t="inlineStr">
        <is>
          <t>TBA 110kV Sông Mã 2</t>
        </is>
      </c>
      <c r="D1118" s="3" t="inlineStr">
        <is>
          <t>B17</t>
        </is>
      </c>
      <c r="E1118" s="9" t="n"/>
      <c r="F1118" s="15">
        <f>IF(E1118&lt;&gt;"","Đã VH","Quy hoạch điện VIII")</f>
        <v/>
      </c>
      <c r="G1118" s="16">
        <f>LEFT(B1118,FIND(" ",B1118,1)-1)</f>
        <v/>
      </c>
      <c r="H1118" s="16">
        <f>TRIM(RIGHT(B1118,LEN(B1118)-FIND(" ",B1118,1)))</f>
        <v/>
      </c>
      <c r="I1118" s="16">
        <f>_xlfn.XLOOKUP(Table2[[#This Row],[Type]],Table5[Type],Table5[Type2])</f>
        <v/>
      </c>
      <c r="J1118" s="16">
        <f>_xlfn.XLOOKUP(Table2[[#This Row],[Sym]],Zones!$A$2:$A$21,Zones!$B$2:$B$21)</f>
        <v/>
      </c>
      <c r="K1118" s="21" t="n"/>
    </row>
    <row r="1119">
      <c r="A1119" s="24" t="n">
        <v>2873</v>
      </c>
      <c r="B1119" s="10" t="inlineStr">
        <is>
          <t>T110 Sốp Cộp</t>
        </is>
      </c>
      <c r="C1119" s="10" t="inlineStr">
        <is>
          <t>TBA 110kV Sốp Cộp</t>
        </is>
      </c>
      <c r="D1119" s="3" t="inlineStr">
        <is>
          <t>B17</t>
        </is>
      </c>
      <c r="E1119" s="9" t="n"/>
      <c r="F1119" s="15">
        <f>IF(E1119&lt;&gt;"","Đã VH","Quy hoạch điện VIII")</f>
        <v/>
      </c>
      <c r="G1119" s="16">
        <f>LEFT(B1119,FIND(" ",B1119,1)-1)</f>
        <v/>
      </c>
      <c r="H1119" s="16">
        <f>TRIM(RIGHT(B1119,LEN(B1119)-FIND(" ",B1119,1)))</f>
        <v/>
      </c>
      <c r="I1119" s="16">
        <f>_xlfn.XLOOKUP(Table2[[#This Row],[Type]],Table5[Type],Table5[Type2])</f>
        <v/>
      </c>
      <c r="J1119" s="16">
        <f>_xlfn.XLOOKUP(Table2[[#This Row],[Sym]],Zones!$A$2:$A$21,Zones!$B$2:$B$21)</f>
        <v/>
      </c>
      <c r="K1119" s="21" t="n"/>
    </row>
    <row r="1120">
      <c r="A1120" s="24" t="n">
        <v>2874</v>
      </c>
      <c r="B1120" s="10" t="inlineStr">
        <is>
          <t>T110 Sơn La 2</t>
        </is>
      </c>
      <c r="C1120" s="10" t="inlineStr">
        <is>
          <t>TBA 110kV Sơn La 2</t>
        </is>
      </c>
      <c r="D1120" s="3" t="inlineStr">
        <is>
          <t>B17</t>
        </is>
      </c>
      <c r="E1120" s="9" t="n"/>
      <c r="F1120" s="15">
        <f>IF(E1120&lt;&gt;"","Đã VH","Quy hoạch điện VIII")</f>
        <v/>
      </c>
      <c r="G1120" s="16">
        <f>LEFT(B1120,FIND(" ",B1120,1)-1)</f>
        <v/>
      </c>
      <c r="H1120" s="16">
        <f>TRIM(RIGHT(B1120,LEN(B1120)-FIND(" ",B1120,1)))</f>
        <v/>
      </c>
      <c r="I1120" s="16">
        <f>_xlfn.XLOOKUP(Table2[[#This Row],[Type]],Table5[Type],Table5[Type2])</f>
        <v/>
      </c>
      <c r="J1120" s="16">
        <f>_xlfn.XLOOKUP(Table2[[#This Row],[Sym]],Zones!$A$2:$A$21,Zones!$B$2:$B$21)</f>
        <v/>
      </c>
      <c r="K1120" s="21" t="n"/>
    </row>
    <row r="1121">
      <c r="A1121" s="24" t="n">
        <v>2875</v>
      </c>
      <c r="B1121" s="10" t="inlineStr">
        <is>
          <t>TĐ Suối Tân 3</t>
        </is>
      </c>
      <c r="C1121" s="10" t="inlineStr">
        <is>
          <t>NM TĐN Suối Tân 3</t>
        </is>
      </c>
      <c r="D1121" s="3" t="inlineStr">
        <is>
          <t>B17</t>
        </is>
      </c>
      <c r="E1121" s="9" t="n"/>
      <c r="F1121" s="15">
        <f>IF(E1121&lt;&gt;"","Đã VH","Quy hoạch điện VIII")</f>
        <v/>
      </c>
      <c r="G1121" s="16">
        <f>LEFT(B1121,FIND(" ",B1121,1)-1)</f>
        <v/>
      </c>
      <c r="H1121" s="16">
        <f>TRIM(RIGHT(B1121,LEN(B1121)-FIND(" ",B1121,1)))</f>
        <v/>
      </c>
      <c r="I1121" s="16">
        <f>_xlfn.XLOOKUP(Table2[[#This Row],[Type]],Table5[Type],Table5[Type2])</f>
        <v/>
      </c>
      <c r="J1121" s="16">
        <f>_xlfn.XLOOKUP(Table2[[#This Row],[Sym]],Zones!$A$2:$A$21,Zones!$B$2:$B$21)</f>
        <v/>
      </c>
      <c r="K1121" s="21" t="n"/>
    </row>
    <row r="1122">
      <c r="A1122" s="24" t="n">
        <v>2876</v>
      </c>
      <c r="B1122" s="10" t="inlineStr">
        <is>
          <t>TĐ Quang Huy</t>
        </is>
      </c>
      <c r="C1122" s="10" t="inlineStr">
        <is>
          <t>NM TĐN Quang Huy</t>
        </is>
      </c>
      <c r="D1122" s="3" t="inlineStr">
        <is>
          <t>B17</t>
        </is>
      </c>
      <c r="E1122" s="9" t="n"/>
      <c r="F1122" s="15">
        <f>IF(E1122&lt;&gt;"","Đã VH","Quy hoạch điện VIII")</f>
        <v/>
      </c>
      <c r="G1122" s="16">
        <f>LEFT(B1122,FIND(" ",B1122,1)-1)</f>
        <v/>
      </c>
      <c r="H1122" s="16">
        <f>TRIM(RIGHT(B1122,LEN(B1122)-FIND(" ",B1122,1)))</f>
        <v/>
      </c>
      <c r="I1122" s="16">
        <f>_xlfn.XLOOKUP(Table2[[#This Row],[Type]],Table5[Type],Table5[Type2])</f>
        <v/>
      </c>
      <c r="J1122" s="16">
        <f>_xlfn.XLOOKUP(Table2[[#This Row],[Sym]],Zones!$A$2:$A$21,Zones!$B$2:$B$21)</f>
        <v/>
      </c>
      <c r="K1122" s="21" t="n"/>
    </row>
    <row r="1123">
      <c r="A1123" s="24" t="n">
        <v>2877</v>
      </c>
      <c r="B1123" s="10" t="inlineStr">
        <is>
          <t>TĐ Xím Vàng 3</t>
        </is>
      </c>
      <c r="C1123" s="10" t="inlineStr">
        <is>
          <t>NM TĐN Xím Vàng 3</t>
        </is>
      </c>
      <c r="D1123" s="3" t="inlineStr">
        <is>
          <t>B17</t>
        </is>
      </c>
      <c r="E1123" s="9" t="n"/>
      <c r="F1123" s="15">
        <f>IF(E1123&lt;&gt;"","Đã VH","Quy hoạch điện VIII")</f>
        <v/>
      </c>
      <c r="G1123" s="16">
        <f>LEFT(B1123,FIND(" ",B1123,1)-1)</f>
        <v/>
      </c>
      <c r="H1123" s="16">
        <f>TRIM(RIGHT(B1123,LEN(B1123)-FIND(" ",B1123,1)))</f>
        <v/>
      </c>
      <c r="I1123" s="16">
        <f>_xlfn.XLOOKUP(Table2[[#This Row],[Type]],Table5[Type],Table5[Type2])</f>
        <v/>
      </c>
      <c r="J1123" s="16">
        <f>_xlfn.XLOOKUP(Table2[[#This Row],[Sym]],Zones!$A$2:$A$21,Zones!$B$2:$B$21)</f>
        <v/>
      </c>
      <c r="K1123" s="21" t="n"/>
    </row>
    <row r="1124">
      <c r="A1124" s="24" t="n">
        <v>2901</v>
      </c>
      <c r="B1124" s="10" t="inlineStr">
        <is>
          <t>TĐTN Đông Phù Yên</t>
        </is>
      </c>
      <c r="C1124" s="10" t="inlineStr">
        <is>
          <t xml:space="preserve"> Đông Phù Yên</t>
        </is>
      </c>
      <c r="D1124" s="3" t="inlineStr">
        <is>
          <t>B17</t>
        </is>
      </c>
      <c r="E1124" s="9" t="n"/>
      <c r="F1124" s="15">
        <f>IF(E1124&lt;&gt;"","Đã VH","Quy hoạch điện VIII")</f>
        <v/>
      </c>
      <c r="G1124" s="16">
        <f>LEFT(B1124,FIND(" ",B1124,1)-1)</f>
        <v/>
      </c>
      <c r="H1124" s="16">
        <f>TRIM(RIGHT(B1124,LEN(B1124)-FIND(" ",B1124,1)))</f>
        <v/>
      </c>
      <c r="I1124" s="16">
        <f>_xlfn.XLOOKUP(Table2[[#This Row],[Type]],Table5[Type],Table5[Type2])</f>
        <v/>
      </c>
      <c r="J1124" s="16">
        <f>_xlfn.XLOOKUP(Table2[[#This Row],[Sym]],Zones!$A$2:$A$21,Zones!$B$2:$B$21)</f>
        <v/>
      </c>
      <c r="K1124" s="21" t="n"/>
    </row>
    <row r="1125">
      <c r="A1125" s="24" t="n">
        <v>2920</v>
      </c>
      <c r="B1125" s="10" t="inlineStr">
        <is>
          <t>T110 Thạch Linh</t>
        </is>
      </c>
      <c r="C1125" s="10" t="inlineStr">
        <is>
          <t>TBA 110kV Thạch Linh</t>
        </is>
      </c>
      <c r="D1125" s="3" t="inlineStr">
        <is>
          <t>B18</t>
        </is>
      </c>
      <c r="E1125" s="9" t="inlineStr">
        <is>
          <t>E18.1</t>
        </is>
      </c>
      <c r="F1125" s="15">
        <f>IF(E1125&lt;&gt;"","Đã VH","Quy hoạch điện VIII")</f>
        <v/>
      </c>
      <c r="G1125" s="16">
        <f>LEFT(B1125,FIND(" ",B1125,1)-1)</f>
        <v/>
      </c>
      <c r="H1125" s="16">
        <f>TRIM(RIGHT(B1125,LEN(B1125)-FIND(" ",B1125,1)))</f>
        <v/>
      </c>
      <c r="I1125" s="16">
        <f>_xlfn.XLOOKUP(Table2[[#This Row],[Type]],Table5[Type],Table5[Type2])</f>
        <v/>
      </c>
      <c r="J1125" s="16">
        <f>_xlfn.XLOOKUP(Table2[[#This Row],[Sym]],Zones!$A$2:$A$21,Zones!$B$2:$B$21)</f>
        <v/>
      </c>
      <c r="K1125" s="21" t="n"/>
    </row>
    <row r="1126">
      <c r="A1126" s="24" t="n">
        <v>2921</v>
      </c>
      <c r="B1126" s="10" t="inlineStr">
        <is>
          <t>T110 Linh Cảm</t>
        </is>
      </c>
      <c r="C1126" s="10" t="inlineStr">
        <is>
          <t>TBA 110kV Linh Cảm</t>
        </is>
      </c>
      <c r="D1126" s="3" t="inlineStr">
        <is>
          <t>B18</t>
        </is>
      </c>
      <c r="E1126" s="9" t="inlineStr">
        <is>
          <t>E18.2</t>
        </is>
      </c>
      <c r="F1126" s="15">
        <f>IF(E1126&lt;&gt;"","Đã VH","Quy hoạch điện VIII")</f>
        <v/>
      </c>
      <c r="G1126" s="16">
        <f>LEFT(B1126,FIND(" ",B1126,1)-1)</f>
        <v/>
      </c>
      <c r="H1126" s="16">
        <f>TRIM(RIGHT(B1126,LEN(B1126)-FIND(" ",B1126,1)))</f>
        <v/>
      </c>
      <c r="I1126" s="16">
        <f>_xlfn.XLOOKUP(Table2[[#This Row],[Type]],Table5[Type],Table5[Type2])</f>
        <v/>
      </c>
      <c r="J1126" s="16">
        <f>_xlfn.XLOOKUP(Table2[[#This Row],[Sym]],Zones!$A$2:$A$21,Zones!$B$2:$B$21)</f>
        <v/>
      </c>
      <c r="K1126" s="21" t="n"/>
    </row>
    <row r="1127">
      <c r="A1127" s="24" t="n">
        <v>2922</v>
      </c>
      <c r="B1127" s="10" t="inlineStr">
        <is>
          <t>T110 Kỳ Anh</t>
        </is>
      </c>
      <c r="C1127" s="10" t="inlineStr">
        <is>
          <t>TBA 110kV Kỳ Anh</t>
        </is>
      </c>
      <c r="D1127" s="3" t="inlineStr">
        <is>
          <t>B18</t>
        </is>
      </c>
      <c r="E1127" s="9" t="inlineStr">
        <is>
          <t>E18.3</t>
        </is>
      </c>
      <c r="F1127" s="15">
        <f>IF(E1127&lt;&gt;"","Đã VH","Quy hoạch điện VIII")</f>
        <v/>
      </c>
      <c r="G1127" s="16">
        <f>LEFT(B1127,FIND(" ",B1127,1)-1)</f>
        <v/>
      </c>
      <c r="H1127" s="16">
        <f>TRIM(RIGHT(B1127,LEN(B1127)-FIND(" ",B1127,1)))</f>
        <v/>
      </c>
      <c r="I1127" s="16">
        <f>_xlfn.XLOOKUP(Table2[[#This Row],[Type]],Table5[Type],Table5[Type2])</f>
        <v/>
      </c>
      <c r="J1127" s="16">
        <f>_xlfn.XLOOKUP(Table2[[#This Row],[Sym]],Zones!$A$2:$A$21,Zones!$B$2:$B$21)</f>
        <v/>
      </c>
      <c r="K1127" s="21" t="n"/>
    </row>
    <row r="1128">
      <c r="A1128" s="24" t="n">
        <v>2923</v>
      </c>
      <c r="B1128" s="10" t="inlineStr">
        <is>
          <t>T110 Can Lộc</t>
        </is>
      </c>
      <c r="C1128" s="10" t="inlineStr">
        <is>
          <t>TBA 110kV Can Lộc</t>
        </is>
      </c>
      <c r="D1128" s="3" t="inlineStr">
        <is>
          <t>B18</t>
        </is>
      </c>
      <c r="E1128" s="9" t="inlineStr">
        <is>
          <t>E18.4</t>
        </is>
      </c>
      <c r="F1128" s="15">
        <f>IF(E1128&lt;&gt;"","Đã VH","Quy hoạch điện VIII")</f>
        <v/>
      </c>
      <c r="G1128" s="16">
        <f>LEFT(B1128,FIND(" ",B1128,1)-1)</f>
        <v/>
      </c>
      <c r="H1128" s="16">
        <f>TRIM(RIGHT(B1128,LEN(B1128)-FIND(" ",B1128,1)))</f>
        <v/>
      </c>
      <c r="I1128" s="16">
        <f>_xlfn.XLOOKUP(Table2[[#This Row],[Type]],Table5[Type],Table5[Type2])</f>
        <v/>
      </c>
      <c r="J1128" s="16">
        <f>_xlfn.XLOOKUP(Table2[[#This Row],[Sym]],Zones!$A$2:$A$21,Zones!$B$2:$B$21)</f>
        <v/>
      </c>
      <c r="K1128" s="21" t="n"/>
    </row>
    <row r="1129">
      <c r="A1129" s="24" t="n">
        <v>2924</v>
      </c>
      <c r="B1129" s="10" t="inlineStr">
        <is>
          <t>T110 Vũng Áng</t>
        </is>
      </c>
      <c r="C1129" s="10" t="inlineStr">
        <is>
          <t>TBA 110kV Vũng Áng</t>
        </is>
      </c>
      <c r="D1129" s="3" t="inlineStr">
        <is>
          <t>B18</t>
        </is>
      </c>
      <c r="E1129" s="9" t="inlineStr">
        <is>
          <t>E18.5</t>
        </is>
      </c>
      <c r="F1129" s="15">
        <f>IF(E1129&lt;&gt;"","Đã VH","Quy hoạch điện VIII")</f>
        <v/>
      </c>
      <c r="G1129" s="16">
        <f>LEFT(B1129,FIND(" ",B1129,1)-1)</f>
        <v/>
      </c>
      <c r="H1129" s="16">
        <f>TRIM(RIGHT(B1129,LEN(B1129)-FIND(" ",B1129,1)))</f>
        <v/>
      </c>
      <c r="I1129" s="16">
        <f>_xlfn.XLOOKUP(Table2[[#This Row],[Type]],Table5[Type],Table5[Type2])</f>
        <v/>
      </c>
      <c r="J1129" s="16">
        <f>_xlfn.XLOOKUP(Table2[[#This Row],[Sym]],Zones!$A$2:$A$21,Zones!$B$2:$B$21)</f>
        <v/>
      </c>
      <c r="K1129" s="21" t="n"/>
    </row>
    <row r="1130">
      <c r="A1130" s="24" t="n">
        <v>2925</v>
      </c>
      <c r="B1130" s="10" t="inlineStr">
        <is>
          <t>TĐ Hương Sơn</t>
        </is>
      </c>
      <c r="C1130" s="10" t="inlineStr">
        <is>
          <t>NM TĐN Hương Sơn</t>
        </is>
      </c>
      <c r="D1130" s="3" t="inlineStr">
        <is>
          <t>B18</t>
        </is>
      </c>
      <c r="E1130" s="9" t="inlineStr">
        <is>
          <t>A18.6</t>
        </is>
      </c>
      <c r="F1130" s="15">
        <f>IF(E1130&lt;&gt;"","Đã VH","Quy hoạch điện VIII")</f>
        <v/>
      </c>
      <c r="G1130" s="16">
        <f>LEFT(B1130,FIND(" ",B1130,1)-1)</f>
        <v/>
      </c>
      <c r="H1130" s="16">
        <f>TRIM(RIGHT(B1130,LEN(B1130)-FIND(" ",B1130,1)))</f>
        <v/>
      </c>
      <c r="I1130" s="16">
        <f>_xlfn.XLOOKUP(Table2[[#This Row],[Type]],Table5[Type],Table5[Type2])</f>
        <v/>
      </c>
      <c r="J1130" s="16">
        <f>_xlfn.XLOOKUP(Table2[[#This Row],[Sym]],Zones!$A$2:$A$21,Zones!$B$2:$B$21)</f>
        <v/>
      </c>
      <c r="K1130" s="21" t="n"/>
    </row>
    <row r="1131">
      <c r="A1131" s="24" t="n">
        <v>2926</v>
      </c>
      <c r="B1131" s="10" t="inlineStr">
        <is>
          <t>T500 Hà Tĩnh</t>
        </is>
      </c>
      <c r="C1131" s="10" t="inlineStr">
        <is>
          <t>TBA 500kV Hà Tĩnh</t>
        </is>
      </c>
      <c r="D1131" s="3" t="inlineStr">
        <is>
          <t>B18</t>
        </is>
      </c>
      <c r="E1131" s="9" t="inlineStr">
        <is>
          <t>T500 Hà Tĩnh</t>
        </is>
      </c>
      <c r="F1131" s="15">
        <f>IF(E1131&lt;&gt;"","Đã VH","Quy hoạch điện VIII")</f>
        <v/>
      </c>
      <c r="G1131" s="16">
        <f>LEFT(B1131,FIND(" ",B1131,1)-1)</f>
        <v/>
      </c>
      <c r="H1131" s="16">
        <f>TRIM(RIGHT(B1131,LEN(B1131)-FIND(" ",B1131,1)))</f>
        <v/>
      </c>
      <c r="I1131" s="16">
        <f>_xlfn.XLOOKUP(Table2[[#This Row],[Type]],Table5[Type],Table5[Type2])</f>
        <v/>
      </c>
      <c r="J1131" s="16">
        <f>_xlfn.XLOOKUP(Table2[[#This Row],[Sym]],Zones!$A$2:$A$21,Zones!$B$2:$B$21)</f>
        <v/>
      </c>
      <c r="K1131" s="21" t="n"/>
    </row>
    <row r="1132">
      <c r="A1132" s="24" t="n">
        <v>2927</v>
      </c>
      <c r="B1132" s="10" t="inlineStr">
        <is>
          <t>Formosa Hà Tĩnh</t>
        </is>
      </c>
      <c r="C1132" s="10" t="inlineStr">
        <is>
          <t xml:space="preserve"> Hà Tĩnh</t>
        </is>
      </c>
      <c r="D1132" s="3" t="inlineStr">
        <is>
          <t>B18</t>
        </is>
      </c>
      <c r="E1132" s="9" t="inlineStr">
        <is>
          <t>A18.15</t>
        </is>
      </c>
      <c r="F1132" s="15">
        <f>IF(E1132&lt;&gt;"","Đã VH","Quy hoạch điện VIII")</f>
        <v/>
      </c>
      <c r="G1132" s="16">
        <f>LEFT(B1132,FIND(" ",B1132,1)-1)</f>
        <v/>
      </c>
      <c r="H1132" s="16">
        <f>TRIM(RIGHT(B1132,LEN(B1132)-FIND(" ",B1132,1)))</f>
        <v/>
      </c>
      <c r="I1132" s="16">
        <f>_xlfn.XLOOKUP(Table2[[#This Row],[Type]],Table5[Type],Table5[Type2])</f>
        <v/>
      </c>
      <c r="J1132" s="16">
        <f>_xlfn.XLOOKUP(Table2[[#This Row],[Sym]],Zones!$A$2:$A$21,Zones!$B$2:$B$21)</f>
        <v/>
      </c>
      <c r="K1132" s="21" t="n"/>
    </row>
    <row r="1133">
      <c r="A1133" s="24" t="n">
        <v>2928</v>
      </c>
      <c r="B1133" s="10" t="inlineStr">
        <is>
          <t>NĐ Vũng Áng 1</t>
        </is>
      </c>
      <c r="C1133" s="10" t="inlineStr">
        <is>
          <t xml:space="preserve"> Vũng Áng 1</t>
        </is>
      </c>
      <c r="D1133" s="3" t="inlineStr">
        <is>
          <t>B18</t>
        </is>
      </c>
      <c r="E1133" s="9" t="inlineStr">
        <is>
          <t>A18.10</t>
        </is>
      </c>
      <c r="F1133" s="15">
        <f>IF(E1133&lt;&gt;"","Đã VH","Quy hoạch điện VIII")</f>
        <v/>
      </c>
      <c r="G1133" s="16">
        <f>LEFT(B1133,FIND(" ",B1133,1)-1)</f>
        <v/>
      </c>
      <c r="H1133" s="16">
        <f>TRIM(RIGHT(B1133,LEN(B1133)-FIND(" ",B1133,1)))</f>
        <v/>
      </c>
      <c r="I1133" s="16">
        <f>_xlfn.XLOOKUP(Table2[[#This Row],[Type]],Table5[Type],Table5[Type2])</f>
        <v/>
      </c>
      <c r="J1133" s="16">
        <f>_xlfn.XLOOKUP(Table2[[#This Row],[Sym]],Zones!$A$2:$A$21,Zones!$B$2:$B$21)</f>
        <v/>
      </c>
      <c r="K1133" s="21" t="n"/>
    </row>
    <row r="1134">
      <c r="A1134" s="24" t="n">
        <v>2929</v>
      </c>
      <c r="B1134" s="10" t="inlineStr">
        <is>
          <t>T110 Hương Khê</t>
        </is>
      </c>
      <c r="C1134" s="10" t="inlineStr">
        <is>
          <t>TBA 110kV Hương Khê</t>
        </is>
      </c>
      <c r="D1134" s="3" t="inlineStr">
        <is>
          <t>B18</t>
        </is>
      </c>
      <c r="E1134" s="9" t="inlineStr">
        <is>
          <t>E18.8</t>
        </is>
      </c>
      <c r="F1134" s="15">
        <f>IF(E1134&lt;&gt;"","Đã VH","Quy hoạch điện VIII")</f>
        <v/>
      </c>
      <c r="G1134" s="16">
        <f>LEFT(B1134,FIND(" ",B1134,1)-1)</f>
        <v/>
      </c>
      <c r="H1134" s="16">
        <f>TRIM(RIGHT(B1134,LEN(B1134)-FIND(" ",B1134,1)))</f>
        <v/>
      </c>
      <c r="I1134" s="16">
        <f>_xlfn.XLOOKUP(Table2[[#This Row],[Type]],Table5[Type],Table5[Type2])</f>
        <v/>
      </c>
      <c r="J1134" s="16">
        <f>_xlfn.XLOOKUP(Table2[[#This Row],[Sym]],Zones!$A$2:$A$21,Zones!$B$2:$B$21)</f>
        <v/>
      </c>
      <c r="K1134" s="21" t="n"/>
    </row>
    <row r="1135">
      <c r="A1135" s="24" t="n">
        <v>2930</v>
      </c>
      <c r="B1135" s="10" t="inlineStr">
        <is>
          <t>ĐMT Cẩm Hưng</t>
        </is>
      </c>
      <c r="C1135" s="10" t="inlineStr">
        <is>
          <t xml:space="preserve"> Cẩm Hưng</t>
        </is>
      </c>
      <c r="D1135" s="3" t="inlineStr">
        <is>
          <t>B18</t>
        </is>
      </c>
      <c r="E1135" s="9" t="inlineStr">
        <is>
          <t>A18.25</t>
        </is>
      </c>
      <c r="F1135" s="15">
        <f>IF(E1135&lt;&gt;"","Đã VH","Quy hoạch điện VIII")</f>
        <v/>
      </c>
      <c r="G1135" s="16">
        <f>LEFT(B1135,FIND(" ",B1135,1)-1)</f>
        <v/>
      </c>
      <c r="H1135" s="16">
        <f>TRIM(RIGHT(B1135,LEN(B1135)-FIND(" ",B1135,1)))</f>
        <v/>
      </c>
      <c r="I1135" s="16">
        <f>_xlfn.XLOOKUP(Table2[[#This Row],[Type]],Table5[Type],Table5[Type2])</f>
        <v/>
      </c>
      <c r="J1135" s="16">
        <f>_xlfn.XLOOKUP(Table2[[#This Row],[Sym]],Zones!$A$2:$A$21,Zones!$B$2:$B$21)</f>
        <v/>
      </c>
      <c r="K1135" s="21" t="n"/>
    </row>
    <row r="1136">
      <c r="A1136" s="24" t="n">
        <v>2931</v>
      </c>
      <c r="B1136" s="10" t="inlineStr">
        <is>
          <t>T110 Cẩm Xuyên</t>
        </is>
      </c>
      <c r="C1136" s="10" t="inlineStr">
        <is>
          <t>TBA 110kV Cẩm Xuyên</t>
        </is>
      </c>
      <c r="D1136" s="3" t="inlineStr">
        <is>
          <t>B18</t>
        </is>
      </c>
      <c r="E1136" s="9" t="inlineStr">
        <is>
          <t>E18.9</t>
        </is>
      </c>
      <c r="F1136" s="15">
        <f>IF(E1136&lt;&gt;"","Đã VH","Quy hoạch điện VIII")</f>
        <v/>
      </c>
      <c r="G1136" s="16">
        <f>LEFT(B1136,FIND(" ",B1136,1)-1)</f>
        <v/>
      </c>
      <c r="H1136" s="16">
        <f>TRIM(RIGHT(B1136,LEN(B1136)-FIND(" ",B1136,1)))</f>
        <v/>
      </c>
      <c r="I1136" s="16">
        <f>_xlfn.XLOOKUP(Table2[[#This Row],[Type]],Table5[Type],Table5[Type2])</f>
        <v/>
      </c>
      <c r="J1136" s="16">
        <f>_xlfn.XLOOKUP(Table2[[#This Row],[Sym]],Zones!$A$2:$A$21,Zones!$B$2:$B$21)</f>
        <v/>
      </c>
      <c r="K1136" s="21" t="n"/>
    </row>
    <row r="1137">
      <c r="A1137" s="24" t="n">
        <v>2932</v>
      </c>
      <c r="B1137" s="10" t="inlineStr">
        <is>
          <t>NĐ Vũng Áng 2</t>
        </is>
      </c>
      <c r="C1137" s="10" t="inlineStr">
        <is>
          <t xml:space="preserve"> Vũng Áng 2</t>
        </is>
      </c>
      <c r="D1137" s="3" t="inlineStr">
        <is>
          <t>B18</t>
        </is>
      </c>
      <c r="E1137" s="9" t="n"/>
      <c r="F1137" s="15">
        <f>IF(E1137&lt;&gt;"","Đã VH","Quy hoạch điện VIII")</f>
        <v/>
      </c>
      <c r="G1137" s="16">
        <f>LEFT(B1137,FIND(" ",B1137,1)-1)</f>
        <v/>
      </c>
      <c r="H1137" s="16">
        <f>TRIM(RIGHT(B1137,LEN(B1137)-FIND(" ",B1137,1)))</f>
        <v/>
      </c>
      <c r="I1137" s="16">
        <f>_xlfn.XLOOKUP(Table2[[#This Row],[Type]],Table5[Type],Table5[Type2])</f>
        <v/>
      </c>
      <c r="J1137" s="16">
        <f>_xlfn.XLOOKUP(Table2[[#This Row],[Sym]],Zones!$A$2:$A$21,Zones!$B$2:$B$21)</f>
        <v/>
      </c>
      <c r="K1137" s="21" t="n"/>
    </row>
    <row r="1138">
      <c r="A1138" s="24" t="n">
        <v>2933</v>
      </c>
      <c r="B1138" s="10" t="inlineStr">
        <is>
          <t>NĐ Vũng Áng 3</t>
        </is>
      </c>
      <c r="C1138" s="10" t="inlineStr">
        <is>
          <t xml:space="preserve"> Vũng Áng 3</t>
        </is>
      </c>
      <c r="D1138" s="3" t="inlineStr">
        <is>
          <t>B18</t>
        </is>
      </c>
      <c r="E1138" s="9" t="n"/>
      <c r="F1138" s="15">
        <f>IF(E1138&lt;&gt;"","Đã VH","Quy hoạch điện VIII")</f>
        <v/>
      </c>
      <c r="G1138" s="16">
        <f>LEFT(B1138,FIND(" ",B1138,1)-1)</f>
        <v/>
      </c>
      <c r="H1138" s="16">
        <f>TRIM(RIGHT(B1138,LEN(B1138)-FIND(" ",B1138,1)))</f>
        <v/>
      </c>
      <c r="I1138" s="16">
        <f>_xlfn.XLOOKUP(Table2[[#This Row],[Type]],Table5[Type],Table5[Type2])</f>
        <v/>
      </c>
      <c r="J1138" s="16">
        <f>_xlfn.XLOOKUP(Table2[[#This Row],[Sym]],Zones!$A$2:$A$21,Zones!$B$2:$B$21)</f>
        <v/>
      </c>
      <c r="K1138" s="21" t="n"/>
    </row>
    <row r="1139">
      <c r="A1139" s="24" t="n">
        <v>2934</v>
      </c>
      <c r="B1139" s="10" t="inlineStr">
        <is>
          <t>T110 Nghi Xuân</t>
        </is>
      </c>
      <c r="C1139" s="10" t="inlineStr">
        <is>
          <t>TBA 110kV Nghi Xuân</t>
        </is>
      </c>
      <c r="D1139" s="3" t="inlineStr">
        <is>
          <t>B18</t>
        </is>
      </c>
      <c r="E1139" s="9" t="inlineStr">
        <is>
          <t>E18.11</t>
        </is>
      </c>
      <c r="F1139" s="15">
        <f>IF(E1139&lt;&gt;"","Đã VH","Quy hoạch điện VIII")</f>
        <v/>
      </c>
      <c r="G1139" s="16">
        <f>LEFT(B1139,FIND(" ",B1139,1)-1)</f>
        <v/>
      </c>
      <c r="H1139" s="16">
        <f>TRIM(RIGHT(B1139,LEN(B1139)-FIND(" ",B1139,1)))</f>
        <v/>
      </c>
      <c r="I1139" s="16">
        <f>_xlfn.XLOOKUP(Table2[[#This Row],[Type]],Table5[Type],Table5[Type2])</f>
        <v/>
      </c>
      <c r="J1139" s="16">
        <f>_xlfn.XLOOKUP(Table2[[#This Row],[Sym]],Zones!$A$2:$A$21,Zones!$B$2:$B$21)</f>
        <v/>
      </c>
      <c r="K1139" s="21" t="n"/>
    </row>
    <row r="1140">
      <c r="A1140" s="24" t="n">
        <v>2935</v>
      </c>
      <c r="B1140" s="10" t="inlineStr">
        <is>
          <t>T220 Vũng Áng</t>
        </is>
      </c>
      <c r="C1140" s="10" t="inlineStr">
        <is>
          <t>TBA 220kV Vũng Áng</t>
        </is>
      </c>
      <c r="D1140" s="3" t="inlineStr">
        <is>
          <t>B18</t>
        </is>
      </c>
      <c r="E1140" s="9" t="n"/>
      <c r="F1140" s="15">
        <f>IF(E1140&lt;&gt;"","Đã VH","Quy hoạch điện VIII")</f>
        <v/>
      </c>
      <c r="G1140" s="16">
        <f>LEFT(B1140,FIND(" ",B1140,1)-1)</f>
        <v/>
      </c>
      <c r="H1140" s="16">
        <f>TRIM(RIGHT(B1140,LEN(B1140)-FIND(" ",B1140,1)))</f>
        <v/>
      </c>
      <c r="I1140" s="16">
        <f>_xlfn.XLOOKUP(Table2[[#This Row],[Type]],Table5[Type],Table5[Type2])</f>
        <v/>
      </c>
      <c r="J1140" s="16">
        <f>_xlfn.XLOOKUP(Table2[[#This Row],[Sym]],Zones!$A$2:$A$21,Zones!$B$2:$B$21)</f>
        <v/>
      </c>
      <c r="K1140" s="21" t="n"/>
    </row>
    <row r="1141">
      <c r="A1141" s="24" t="n">
        <v>2936</v>
      </c>
      <c r="B1141" s="10" t="inlineStr">
        <is>
          <t>T220 Thạch Khê</t>
        </is>
      </c>
      <c r="C1141" s="10" t="inlineStr">
        <is>
          <t>TBA 220kV Thạch Khê</t>
        </is>
      </c>
      <c r="D1141" s="3" t="inlineStr">
        <is>
          <t>B18</t>
        </is>
      </c>
      <c r="E1141" s="9" t="n"/>
      <c r="F1141" s="15">
        <f>IF(E1141&lt;&gt;"","Đã VH","Quy hoạch điện VIII")</f>
        <v/>
      </c>
      <c r="G1141" s="16">
        <f>LEFT(B1141,FIND(" ",B1141,1)-1)</f>
        <v/>
      </c>
      <c r="H1141" s="16">
        <f>TRIM(RIGHT(B1141,LEN(B1141)-FIND(" ",B1141,1)))</f>
        <v/>
      </c>
      <c r="I1141" s="16">
        <f>_xlfn.XLOOKUP(Table2[[#This Row],[Type]],Table5[Type],Table5[Type2])</f>
        <v/>
      </c>
      <c r="J1141" s="16">
        <f>_xlfn.XLOOKUP(Table2[[#This Row],[Sym]],Zones!$A$2:$A$21,Zones!$B$2:$B$21)</f>
        <v/>
      </c>
      <c r="K1141" s="21" t="n"/>
    </row>
    <row r="1142">
      <c r="A1142" s="24" t="n">
        <v>2937</v>
      </c>
      <c r="B1142" s="10" t="inlineStr">
        <is>
          <t>T220 Can Lộc</t>
        </is>
      </c>
      <c r="C1142" s="10" t="inlineStr">
        <is>
          <t>TBA 220kV Can Lộc</t>
        </is>
      </c>
      <c r="D1142" s="3" t="inlineStr">
        <is>
          <t>B18</t>
        </is>
      </c>
      <c r="E1142" s="9" t="n"/>
      <c r="F1142" s="15">
        <f>IF(E1142&lt;&gt;"","Đã VH","Quy hoạch điện VIII")</f>
        <v/>
      </c>
      <c r="G1142" s="16">
        <f>LEFT(B1142,FIND(" ",B1142,1)-1)</f>
        <v/>
      </c>
      <c r="H1142" s="16">
        <f>TRIM(RIGHT(B1142,LEN(B1142)-FIND(" ",B1142,1)))</f>
        <v/>
      </c>
      <c r="I1142" s="16">
        <f>_xlfn.XLOOKUP(Table2[[#This Row],[Type]],Table5[Type],Table5[Type2])</f>
        <v/>
      </c>
      <c r="J1142" s="16">
        <f>_xlfn.XLOOKUP(Table2[[#This Row],[Sym]],Zones!$A$2:$A$21,Zones!$B$2:$B$21)</f>
        <v/>
      </c>
      <c r="K1142" s="21" t="n"/>
    </row>
    <row r="1143">
      <c r="A1143" s="24" t="n">
        <v>2938</v>
      </c>
      <c r="B1143" s="10" t="inlineStr">
        <is>
          <t>T220 Nghi Sơn 2</t>
        </is>
      </c>
      <c r="C1143" s="10" t="inlineStr">
        <is>
          <t>TBA 220kV Nghi Sơn 2</t>
        </is>
      </c>
      <c r="D1143" s="3" t="inlineStr">
        <is>
          <t>B18</t>
        </is>
      </c>
      <c r="E1143" s="9" t="n"/>
      <c r="F1143" s="15">
        <f>IF(E1143&lt;&gt;"","Đã VH","Quy hoạch điện VIII")</f>
        <v/>
      </c>
      <c r="G1143" s="16">
        <f>LEFT(B1143,FIND(" ",B1143,1)-1)</f>
        <v/>
      </c>
      <c r="H1143" s="16">
        <f>TRIM(RIGHT(B1143,LEN(B1143)-FIND(" ",B1143,1)))</f>
        <v/>
      </c>
      <c r="I1143" s="16">
        <f>_xlfn.XLOOKUP(Table2[[#This Row],[Type]],Table5[Type],Table5[Type2])</f>
        <v/>
      </c>
      <c r="J1143" s="16">
        <f>_xlfn.XLOOKUP(Table2[[#This Row],[Sym]],Zones!$A$2:$A$21,Zones!$B$2:$B$21)</f>
        <v/>
      </c>
      <c r="K1143" s="21" t="n"/>
    </row>
    <row r="1144">
      <c r="A1144" s="24" t="n">
        <v>2939</v>
      </c>
      <c r="B1144" s="10" t="inlineStr">
        <is>
          <t>T220 Hà Tĩnh 1</t>
        </is>
      </c>
      <c r="C1144" s="10" t="inlineStr">
        <is>
          <t>TBA 220kV Hà Tĩnh 1</t>
        </is>
      </c>
      <c r="D1144" s="3" t="inlineStr">
        <is>
          <t>B18</t>
        </is>
      </c>
      <c r="E1144" s="9" t="n"/>
      <c r="F1144" s="15">
        <f>IF(E1144&lt;&gt;"","Đã VH","Quy hoạch điện VIII")</f>
        <v/>
      </c>
      <c r="G1144" s="16">
        <f>LEFT(B1144,FIND(" ",B1144,1)-1)</f>
        <v/>
      </c>
      <c r="H1144" s="16">
        <f>TRIM(RIGHT(B1144,LEN(B1144)-FIND(" ",B1144,1)))</f>
        <v/>
      </c>
      <c r="I1144" s="16">
        <f>_xlfn.XLOOKUP(Table2[[#This Row],[Type]],Table5[Type],Table5[Type2])</f>
        <v/>
      </c>
      <c r="J1144" s="16">
        <f>_xlfn.XLOOKUP(Table2[[#This Row],[Sym]],Zones!$A$2:$A$21,Zones!$B$2:$B$21)</f>
        <v/>
      </c>
      <c r="K1144" s="21" t="n"/>
    </row>
    <row r="1145">
      <c r="A1145" s="24" t="n">
        <v>2940</v>
      </c>
      <c r="B1145" s="10" t="inlineStr">
        <is>
          <t>TĐ Ngàn Trươi</t>
        </is>
      </c>
      <c r="C1145" s="10" t="inlineStr">
        <is>
          <t>NM TĐN Ngàn Trươi</t>
        </is>
      </c>
      <c r="D1145" s="3" t="inlineStr">
        <is>
          <t>B18</t>
        </is>
      </c>
      <c r="E1145" s="9" t="inlineStr">
        <is>
          <t>A18.30</t>
        </is>
      </c>
      <c r="F1145" s="15">
        <f>IF(E1145&lt;&gt;"","Đã VH","Quy hoạch điện VIII")</f>
        <v/>
      </c>
      <c r="G1145" s="16">
        <f>LEFT(B1145,FIND(" ",B1145,1)-1)</f>
        <v/>
      </c>
      <c r="H1145" s="16">
        <f>TRIM(RIGHT(B1145,LEN(B1145)-FIND(" ",B1145,1)))</f>
        <v/>
      </c>
      <c r="I1145" s="16">
        <f>_xlfn.XLOOKUP(Table2[[#This Row],[Type]],Table5[Type],Table5[Type2])</f>
        <v/>
      </c>
      <c r="J1145" s="16">
        <f>_xlfn.XLOOKUP(Table2[[#This Row],[Sym]],Zones!$A$2:$A$21,Zones!$B$2:$B$21)</f>
        <v/>
      </c>
      <c r="K1145" s="21" t="n"/>
    </row>
    <row r="1146">
      <c r="A1146" s="24" t="n">
        <v>2941</v>
      </c>
      <c r="B1146" s="10" t="inlineStr">
        <is>
          <t>T110 Hà Tĩnh</t>
        </is>
      </c>
      <c r="C1146" s="10" t="inlineStr">
        <is>
          <t>TBA 110kV Hà Tĩnh</t>
        </is>
      </c>
      <c r="D1146" s="3" t="inlineStr">
        <is>
          <t>B18</t>
        </is>
      </c>
      <c r="E1146" s="9" t="inlineStr">
        <is>
          <t>E18.13</t>
        </is>
      </c>
      <c r="F1146" s="15">
        <f>IF(E1146&lt;&gt;"","Đã VH","Quy hoạch điện VIII")</f>
        <v/>
      </c>
      <c r="G1146" s="16">
        <f>LEFT(B1146,FIND(" ",B1146,1)-1)</f>
        <v/>
      </c>
      <c r="H1146" s="16">
        <f>TRIM(RIGHT(B1146,LEN(B1146)-FIND(" ",B1146,1)))</f>
        <v/>
      </c>
      <c r="I1146" s="16">
        <f>_xlfn.XLOOKUP(Table2[[#This Row],[Type]],Table5[Type],Table5[Type2])</f>
        <v/>
      </c>
      <c r="J1146" s="16">
        <f>_xlfn.XLOOKUP(Table2[[#This Row],[Sym]],Zones!$A$2:$A$21,Zones!$B$2:$B$21)</f>
        <v/>
      </c>
      <c r="K1146" s="21" t="n"/>
    </row>
    <row r="1147">
      <c r="A1147" s="24" t="n">
        <v>2942</v>
      </c>
      <c r="B1147" s="10" t="inlineStr">
        <is>
          <t>T110 Kỳ Anh 2</t>
        </is>
      </c>
      <c r="C1147" s="10" t="inlineStr">
        <is>
          <t>TBA 110kV Kỳ Anh 2</t>
        </is>
      </c>
      <c r="D1147" s="3" t="inlineStr">
        <is>
          <t>B18</t>
        </is>
      </c>
      <c r="E1147" s="9" t="inlineStr">
        <is>
          <t>E18.14</t>
        </is>
      </c>
      <c r="F1147" s="15">
        <f>IF(E1147&lt;&gt;"","Đã VH","Quy hoạch điện VIII")</f>
        <v/>
      </c>
      <c r="G1147" s="16">
        <f>LEFT(B1147,FIND(" ",B1147,1)-1)</f>
        <v/>
      </c>
      <c r="H1147" s="16">
        <f>TRIM(RIGHT(B1147,LEN(B1147)-FIND(" ",B1147,1)))</f>
        <v/>
      </c>
      <c r="I1147" s="16">
        <f>_xlfn.XLOOKUP(Table2[[#This Row],[Type]],Table5[Type],Table5[Type2])</f>
        <v/>
      </c>
      <c r="J1147" s="16">
        <f>_xlfn.XLOOKUP(Table2[[#This Row],[Sym]],Zones!$A$2:$A$21,Zones!$B$2:$B$21)</f>
        <v/>
      </c>
      <c r="K1147" s="21" t="n"/>
    </row>
    <row r="1148">
      <c r="A1148" s="24" t="n">
        <v>2943</v>
      </c>
      <c r="B1148" s="10" t="inlineStr">
        <is>
          <t xml:space="preserve">T110 Hồng Lĩnh </t>
        </is>
      </c>
      <c r="C1148" s="10" t="inlineStr">
        <is>
          <t>TBA 110kV Hồng Lĩnh</t>
        </is>
      </c>
      <c r="D1148" s="3" t="inlineStr">
        <is>
          <t>B18</t>
        </is>
      </c>
      <c r="E1148" s="9" t="inlineStr">
        <is>
          <t>E18.12</t>
        </is>
      </c>
      <c r="F1148" s="15">
        <f>IF(E1148&lt;&gt;"","Đã VH","Quy hoạch điện VIII")</f>
        <v/>
      </c>
      <c r="G1148" s="16">
        <f>LEFT(B1148,FIND(" ",B1148,1)-1)</f>
        <v/>
      </c>
      <c r="H1148" s="16">
        <f>TRIM(RIGHT(B1148,LEN(B1148)-FIND(" ",B1148,1)))</f>
        <v/>
      </c>
      <c r="I1148" s="16">
        <f>_xlfn.XLOOKUP(Table2[[#This Row],[Type]],Table5[Type],Table5[Type2])</f>
        <v/>
      </c>
      <c r="J1148" s="16">
        <f>_xlfn.XLOOKUP(Table2[[#This Row],[Sym]],Zones!$A$2:$A$21,Zones!$B$2:$B$21)</f>
        <v/>
      </c>
      <c r="K1148" s="21" t="n"/>
    </row>
    <row r="1149">
      <c r="A1149" s="24" t="n">
        <v>2944</v>
      </c>
      <c r="B1149" s="10" t="inlineStr">
        <is>
          <t>NĐ Formosa 2</t>
        </is>
      </c>
      <c r="C1149" s="10" t="inlineStr">
        <is>
          <t xml:space="preserve"> Formosa 2</t>
        </is>
      </c>
      <c r="D1149" s="3" t="inlineStr">
        <is>
          <t>B18</t>
        </is>
      </c>
      <c r="E1149" s="9" t="n"/>
      <c r="F1149" s="15">
        <f>IF(E1149&lt;&gt;"","Đã VH","Quy hoạch điện VIII")</f>
        <v/>
      </c>
      <c r="G1149" s="16">
        <f>LEFT(B1149,FIND(" ",B1149,1)-1)</f>
        <v/>
      </c>
      <c r="H1149" s="16">
        <f>TRIM(RIGHT(B1149,LEN(B1149)-FIND(" ",B1149,1)))</f>
        <v/>
      </c>
      <c r="I1149" s="16">
        <f>_xlfn.XLOOKUP(Table2[[#This Row],[Type]],Table5[Type],Table5[Type2])</f>
        <v/>
      </c>
      <c r="J1149" s="16">
        <f>_xlfn.XLOOKUP(Table2[[#This Row],[Sym]],Zones!$A$2:$A$21,Zones!$B$2:$B$21)</f>
        <v/>
      </c>
      <c r="K1149" s="21" t="n"/>
    </row>
    <row r="1150">
      <c r="A1150" s="24" t="n">
        <v>2945</v>
      </c>
      <c r="B1150" s="10" t="inlineStr">
        <is>
          <t>T220 Vũng Áng 2</t>
        </is>
      </c>
      <c r="C1150" s="10" t="inlineStr">
        <is>
          <t>TBA 220kV Vũng Áng 2</t>
        </is>
      </c>
      <c r="D1150" s="3" t="inlineStr">
        <is>
          <t>B18</t>
        </is>
      </c>
      <c r="E1150" s="9" t="n"/>
      <c r="F1150" s="15">
        <f>IF(E1150&lt;&gt;"","Đã VH","Quy hoạch điện VIII")</f>
        <v/>
      </c>
      <c r="G1150" s="16">
        <f>LEFT(B1150,FIND(" ",B1150,1)-1)</f>
        <v/>
      </c>
      <c r="H1150" s="16">
        <f>TRIM(RIGHT(B1150,LEN(B1150)-FIND(" ",B1150,1)))</f>
        <v/>
      </c>
      <c r="I1150" s="16">
        <f>_xlfn.XLOOKUP(Table2[[#This Row],[Type]],Table5[Type],Table5[Type2])</f>
        <v/>
      </c>
      <c r="J1150" s="16">
        <f>_xlfn.XLOOKUP(Table2[[#This Row],[Sym]],Zones!$A$2:$A$21,Zones!$B$2:$B$21)</f>
        <v/>
      </c>
      <c r="K1150" s="21" t="n"/>
    </row>
    <row r="1151">
      <c r="A1151" s="24" t="n">
        <v>2946</v>
      </c>
      <c r="B1151" s="10" t="inlineStr">
        <is>
          <t>ĐMT Cẩm Hòa</t>
        </is>
      </c>
      <c r="C1151" s="10" t="inlineStr">
        <is>
          <t xml:space="preserve"> Cẩm Hòa</t>
        </is>
      </c>
      <c r="D1151" s="3" t="inlineStr">
        <is>
          <t>B18</t>
        </is>
      </c>
      <c r="E1151" s="9" t="inlineStr">
        <is>
          <t>A18.20</t>
        </is>
      </c>
      <c r="F1151" s="15">
        <f>IF(E1151&lt;&gt;"","Đã VH","Quy hoạch điện VIII")</f>
        <v/>
      </c>
      <c r="G1151" s="16">
        <f>LEFT(B1151,FIND(" ",B1151,1)-1)</f>
        <v/>
      </c>
      <c r="H1151" s="16">
        <f>TRIM(RIGHT(B1151,LEN(B1151)-FIND(" ",B1151,1)))</f>
        <v/>
      </c>
      <c r="I1151" s="16">
        <f>_xlfn.XLOOKUP(Table2[[#This Row],[Type]],Table5[Type],Table5[Type2])</f>
        <v/>
      </c>
      <c r="J1151" s="16">
        <f>_xlfn.XLOOKUP(Table2[[#This Row],[Sym]],Zones!$A$2:$A$21,Zones!$B$2:$B$21)</f>
        <v/>
      </c>
      <c r="K1151" s="21" t="n"/>
    </row>
    <row r="1152">
      <c r="A1152" s="24" t="n">
        <v>2947</v>
      </c>
      <c r="B1152" s="10" t="inlineStr">
        <is>
          <t>TĐ Hương Sơn 2</t>
        </is>
      </c>
      <c r="C1152" s="10" t="inlineStr">
        <is>
          <t>NM TĐN Hương Sơn 2</t>
        </is>
      </c>
      <c r="D1152" s="3" t="inlineStr">
        <is>
          <t>B18</t>
        </is>
      </c>
      <c r="E1152" s="9" t="inlineStr">
        <is>
          <t>A18.6B</t>
        </is>
      </c>
      <c r="F1152" s="15">
        <f>IF(E1152&lt;&gt;"","Đã VH","Quy hoạch điện VIII")</f>
        <v/>
      </c>
      <c r="G1152" s="16">
        <f>LEFT(B1152,FIND(" ",B1152,1)-1)</f>
        <v/>
      </c>
      <c r="H1152" s="16">
        <f>TRIM(RIGHT(B1152,LEN(B1152)-FIND(" ",B1152,1)))</f>
        <v/>
      </c>
      <c r="I1152" s="16">
        <f>_xlfn.XLOOKUP(Table2[[#This Row],[Type]],Table5[Type],Table5[Type2])</f>
        <v/>
      </c>
      <c r="J1152" s="16">
        <f>_xlfn.XLOOKUP(Table2[[#This Row],[Sym]],Zones!$A$2:$A$21,Zones!$B$2:$B$21)</f>
        <v/>
      </c>
      <c r="K1152" s="21" t="n"/>
    </row>
    <row r="1153">
      <c r="A1153" s="24" t="n">
        <v>2948</v>
      </c>
      <c r="B1153" s="10" t="inlineStr">
        <is>
          <t>T110 HBRE Hà Tĩnh</t>
        </is>
      </c>
      <c r="C1153" s="10" t="inlineStr">
        <is>
          <t>TBA 110kV HBRE Hà Tĩnh</t>
        </is>
      </c>
      <c r="D1153" s="3" t="inlineStr">
        <is>
          <t>B18</t>
        </is>
      </c>
      <c r="E1153" s="9" t="n"/>
      <c r="F1153" s="15">
        <f>IF(E1153&lt;&gt;"","Đã VH","Quy hoạch điện VIII")</f>
        <v/>
      </c>
      <c r="G1153" s="16">
        <f>LEFT(B1153,FIND(" ",B1153,1)-1)</f>
        <v/>
      </c>
      <c r="H1153" s="16">
        <f>TRIM(RIGHT(B1153,LEN(B1153)-FIND(" ",B1153,1)))</f>
        <v/>
      </c>
      <c r="I1153" s="16">
        <f>_xlfn.XLOOKUP(Table2[[#This Row],[Type]],Table5[Type],Table5[Type2])</f>
        <v/>
      </c>
      <c r="J1153" s="16">
        <f>_xlfn.XLOOKUP(Table2[[#This Row],[Sym]],Zones!$A$2:$A$21,Zones!$B$2:$B$21)</f>
        <v/>
      </c>
      <c r="K1153" s="21" t="n"/>
    </row>
    <row r="1154">
      <c r="A1154" s="24" t="n">
        <v>2949</v>
      </c>
      <c r="B1154" s="10" t="inlineStr">
        <is>
          <t>ĐMT Hồng Lộc</t>
        </is>
      </c>
      <c r="C1154" s="10" t="inlineStr">
        <is>
          <t xml:space="preserve"> Hồng Lộc</t>
        </is>
      </c>
      <c r="D1154" s="3" t="inlineStr">
        <is>
          <t>B18</t>
        </is>
      </c>
      <c r="E1154" s="9" t="n"/>
      <c r="F1154" s="15">
        <f>IF(E1154&lt;&gt;"","Đã VH","Quy hoạch điện VIII")</f>
        <v/>
      </c>
      <c r="G1154" s="16">
        <f>LEFT(B1154,FIND(" ",B1154,1)-1)</f>
        <v/>
      </c>
      <c r="H1154" s="16">
        <f>TRIM(RIGHT(B1154,LEN(B1154)-FIND(" ",B1154,1)))</f>
        <v/>
      </c>
      <c r="I1154" s="16">
        <f>_xlfn.XLOOKUP(Table2[[#This Row],[Type]],Table5[Type],Table5[Type2])</f>
        <v/>
      </c>
      <c r="J1154" s="16">
        <f>_xlfn.XLOOKUP(Table2[[#This Row],[Sym]],Zones!$A$2:$A$21,Zones!$B$2:$B$21)</f>
        <v/>
      </c>
      <c r="K1154" s="21" t="n"/>
    </row>
    <row r="1155">
      <c r="A1155" s="24" t="n">
        <v>2950</v>
      </c>
      <c r="B1155" s="10" t="inlineStr">
        <is>
          <t>T110 Lộc Hà</t>
        </is>
      </c>
      <c r="C1155" s="10" t="inlineStr">
        <is>
          <t>TBA 110kV Lộc Hà</t>
        </is>
      </c>
      <c r="D1155" s="3" t="inlineStr">
        <is>
          <t>B18</t>
        </is>
      </c>
      <c r="E1155" s="9" t="inlineStr">
        <is>
          <t>E18.16</t>
        </is>
      </c>
      <c r="F1155" s="15">
        <f>IF(E1155&lt;&gt;"","Đã VH","Quy hoạch điện VIII")</f>
        <v/>
      </c>
      <c r="G1155" s="16">
        <f>LEFT(B1155,FIND(" ",B1155,1)-1)</f>
        <v/>
      </c>
      <c r="H1155" s="16">
        <f>TRIM(RIGHT(B1155,LEN(B1155)-FIND(" ",B1155,1)))</f>
        <v/>
      </c>
      <c r="I1155" s="16">
        <f>_xlfn.XLOOKUP(Table2[[#This Row],[Type]],Table5[Type],Table5[Type2])</f>
        <v/>
      </c>
      <c r="J1155" s="16">
        <f>_xlfn.XLOOKUP(Table2[[#This Row],[Sym]],Zones!$A$2:$A$21,Zones!$B$2:$B$21)</f>
        <v/>
      </c>
      <c r="K1155" s="21" t="n"/>
    </row>
    <row r="1156">
      <c r="A1156" s="24" t="n">
        <v>2951</v>
      </c>
      <c r="B1156" s="10" t="inlineStr">
        <is>
          <t>T110 Vũ Quang</t>
        </is>
      </c>
      <c r="C1156" s="10" t="inlineStr">
        <is>
          <t>TBA 110kV Vũ Quang</t>
        </is>
      </c>
      <c r="D1156" s="3" t="inlineStr">
        <is>
          <t>B18</t>
        </is>
      </c>
      <c r="E1156" s="9" t="n"/>
      <c r="F1156" s="15">
        <f>IF(E1156&lt;&gt;"","Đã VH","Quy hoạch điện VIII")</f>
        <v/>
      </c>
      <c r="G1156" s="16">
        <f>LEFT(B1156,FIND(" ",B1156,1)-1)</f>
        <v/>
      </c>
      <c r="H1156" s="16">
        <f>TRIM(RIGHT(B1156,LEN(B1156)-FIND(" ",B1156,1)))</f>
        <v/>
      </c>
      <c r="I1156" s="16">
        <f>_xlfn.XLOOKUP(Table2[[#This Row],[Type]],Table5[Type],Table5[Type2])</f>
        <v/>
      </c>
      <c r="J1156" s="16">
        <f>_xlfn.XLOOKUP(Table2[[#This Row],[Sym]],Zones!$A$2:$A$21,Zones!$B$2:$B$21)</f>
        <v/>
      </c>
      <c r="K1156" s="21" t="n"/>
    </row>
    <row r="1157">
      <c r="A1157" s="24" t="n">
        <v>2952</v>
      </c>
      <c r="B1157" s="10" t="inlineStr">
        <is>
          <t>T110 Thạch Hà</t>
        </is>
      </c>
      <c r="C1157" s="10" t="inlineStr">
        <is>
          <t>TBA 110kV Thạch Hà</t>
        </is>
      </c>
      <c r="D1157" s="3" t="inlineStr">
        <is>
          <t>B18</t>
        </is>
      </c>
      <c r="E1157" s="9" t="n"/>
      <c r="F1157" s="15">
        <f>IF(E1157&lt;&gt;"","Đã VH","Quy hoạch điện VIII")</f>
        <v/>
      </c>
      <c r="G1157" s="16">
        <f>LEFT(B1157,FIND(" ",B1157,1)-1)</f>
        <v/>
      </c>
      <c r="H1157" s="16">
        <f>TRIM(RIGHT(B1157,LEN(B1157)-FIND(" ",B1157,1)))</f>
        <v/>
      </c>
      <c r="I1157" s="16">
        <f>_xlfn.XLOOKUP(Table2[[#This Row],[Type]],Table5[Type],Table5[Type2])</f>
        <v/>
      </c>
      <c r="J1157" s="16">
        <f>_xlfn.XLOOKUP(Table2[[#This Row],[Sym]],Zones!$A$2:$A$21,Zones!$B$2:$B$21)</f>
        <v/>
      </c>
      <c r="K1157" s="21" t="n"/>
    </row>
    <row r="1158">
      <c r="A1158" s="24" t="n">
        <v>2953</v>
      </c>
      <c r="B1158" s="10" t="inlineStr">
        <is>
          <t>T110 Dak Tai</t>
        </is>
      </c>
      <c r="C1158" s="10" t="inlineStr">
        <is>
          <t>TBA 110kV Dak Tai</t>
        </is>
      </c>
      <c r="D1158" s="3" t="inlineStr">
        <is>
          <t>B18</t>
        </is>
      </c>
      <c r="E1158" s="9" t="n"/>
      <c r="F1158" s="15">
        <f>IF(E1158&lt;&gt;"","Đã VH","Quy hoạch điện VIII")</f>
        <v/>
      </c>
      <c r="G1158" s="16">
        <f>LEFT(B1158,FIND(" ",B1158,1)-1)</f>
        <v/>
      </c>
      <c r="H1158" s="16">
        <f>TRIM(RIGHT(B1158,LEN(B1158)-FIND(" ",B1158,1)))</f>
        <v/>
      </c>
      <c r="I1158" s="16">
        <f>_xlfn.XLOOKUP(Table2[[#This Row],[Type]],Table5[Type],Table5[Type2])</f>
        <v/>
      </c>
      <c r="J1158" s="16">
        <f>_xlfn.XLOOKUP(Table2[[#This Row],[Sym]],Zones!$A$2:$A$21,Zones!$B$2:$B$21)</f>
        <v/>
      </c>
      <c r="K1158" s="21" t="n"/>
    </row>
    <row r="1159">
      <c r="A1159" s="24" t="n">
        <v>2954</v>
      </c>
      <c r="B1159" s="10" t="inlineStr">
        <is>
          <t>T110 CN4, CN5 Vũng Áng</t>
        </is>
      </c>
      <c r="C1159" s="10" t="inlineStr">
        <is>
          <t>TBA 110kV CN4, CN5 Vũng Áng</t>
        </is>
      </c>
      <c r="D1159" s="3" t="inlineStr">
        <is>
          <t>B18</t>
        </is>
      </c>
      <c r="E1159" s="9" t="n"/>
      <c r="F1159" s="15">
        <f>IF(E1159&lt;&gt;"","Đã VH","Quy hoạch điện VIII")</f>
        <v/>
      </c>
      <c r="G1159" s="16">
        <f>LEFT(B1159,FIND(" ",B1159,1)-1)</f>
        <v/>
      </c>
      <c r="H1159" s="16">
        <f>TRIM(RIGHT(B1159,LEN(B1159)-FIND(" ",B1159,1)))</f>
        <v/>
      </c>
      <c r="I1159" s="16">
        <f>_xlfn.XLOOKUP(Table2[[#This Row],[Type]],Table5[Type],Table5[Type2])</f>
        <v/>
      </c>
      <c r="J1159" s="16">
        <f>_xlfn.XLOOKUP(Table2[[#This Row],[Sym]],Zones!$A$2:$A$21,Zones!$B$2:$B$21)</f>
        <v/>
      </c>
      <c r="K1159" s="21" t="n"/>
    </row>
    <row r="1160">
      <c r="A1160" s="24" t="n">
        <v>2955</v>
      </c>
      <c r="B1160" s="10" t="inlineStr">
        <is>
          <t>T110 KCN Nam Hồng Lĩnh - Bắc Can Lộc</t>
        </is>
      </c>
      <c r="C1160" s="10" t="inlineStr">
        <is>
          <t>TBA 110kV KCN Nam Hồng Lĩnh - Bắc Can Lộc</t>
        </is>
      </c>
      <c r="D1160" s="3" t="inlineStr">
        <is>
          <t>B18</t>
        </is>
      </c>
      <c r="E1160" s="9" t="n"/>
      <c r="F1160" s="15">
        <f>IF(E1160&lt;&gt;"","Đã VH","Quy hoạch điện VIII")</f>
        <v/>
      </c>
      <c r="G1160" s="16">
        <f>LEFT(B1160,FIND(" ",B1160,1)-1)</f>
        <v/>
      </c>
      <c r="H1160" s="16">
        <f>TRIM(RIGHT(B1160,LEN(B1160)-FIND(" ",B1160,1)))</f>
        <v/>
      </c>
      <c r="I1160" s="16">
        <f>_xlfn.XLOOKUP(Table2[[#This Row],[Type]],Table5[Type],Table5[Type2])</f>
        <v/>
      </c>
      <c r="J1160" s="16">
        <f>_xlfn.XLOOKUP(Table2[[#This Row],[Sym]],Zones!$A$2:$A$21,Zones!$B$2:$B$21)</f>
        <v/>
      </c>
      <c r="K1160" s="21" t="n"/>
    </row>
    <row r="1161">
      <c r="A1161" s="24" t="n">
        <v>2956</v>
      </c>
      <c r="B1161" s="10" t="inlineStr">
        <is>
          <t>T110 KCN phía Tây TP Hà Tĩnh</t>
        </is>
      </c>
      <c r="C1161" s="10" t="inlineStr">
        <is>
          <t>TBA 110kV KCN phía Tây TP Hà Tĩnh</t>
        </is>
      </c>
      <c r="D1161" s="3" t="inlineStr">
        <is>
          <t>B18</t>
        </is>
      </c>
      <c r="E1161" s="9" t="n"/>
      <c r="F1161" s="15">
        <f>IF(E1161&lt;&gt;"","Đã VH","Quy hoạch điện VIII")</f>
        <v/>
      </c>
      <c r="G1161" s="16">
        <f>LEFT(B1161,FIND(" ",B1161,1)-1)</f>
        <v/>
      </c>
      <c r="H1161" s="16">
        <f>TRIM(RIGHT(B1161,LEN(B1161)-FIND(" ",B1161,1)))</f>
        <v/>
      </c>
      <c r="I1161" s="16">
        <f>_xlfn.XLOOKUP(Table2[[#This Row],[Type]],Table5[Type],Table5[Type2])</f>
        <v/>
      </c>
      <c r="J1161" s="16">
        <f>_xlfn.XLOOKUP(Table2[[#This Row],[Sym]],Zones!$A$2:$A$21,Zones!$B$2:$B$21)</f>
        <v/>
      </c>
      <c r="K1161" s="21" t="n"/>
    </row>
    <row r="1162">
      <c r="A1162" s="24" t="n">
        <v>2957</v>
      </c>
      <c r="B1162" s="10" t="inlineStr">
        <is>
          <t>T110 Vũng Áng 3</t>
        </is>
      </c>
      <c r="C1162" s="10" t="inlineStr">
        <is>
          <t>TBA 110kV Vũng Áng 3</t>
        </is>
      </c>
      <c r="D1162" s="3" t="inlineStr">
        <is>
          <t>B18</t>
        </is>
      </c>
      <c r="E1162" s="9" t="n"/>
      <c r="F1162" s="15">
        <f>IF(E1162&lt;&gt;"","Đã VH","Quy hoạch điện VIII")</f>
        <v/>
      </c>
      <c r="G1162" s="16">
        <f>LEFT(B1162,FIND(" ",B1162,1)-1)</f>
        <v/>
      </c>
      <c r="H1162" s="16">
        <f>TRIM(RIGHT(B1162,LEN(B1162)-FIND(" ",B1162,1)))</f>
        <v/>
      </c>
      <c r="I1162" s="16">
        <f>_xlfn.XLOOKUP(Table2[[#This Row],[Type]],Table5[Type],Table5[Type2])</f>
        <v/>
      </c>
      <c r="J1162" s="16">
        <f>_xlfn.XLOOKUP(Table2[[#This Row],[Sym]],Zones!$A$2:$A$21,Zones!$B$2:$B$21)</f>
        <v/>
      </c>
      <c r="K1162" s="21" t="n"/>
    </row>
    <row r="1163">
      <c r="A1163" s="24" t="n">
        <v>2958</v>
      </c>
      <c r="B1163" s="10" t="inlineStr">
        <is>
          <t>T110 Vũng Áng 2</t>
        </is>
      </c>
      <c r="C1163" s="10" t="inlineStr">
        <is>
          <t>TBA 110kV Vũng Áng 2</t>
        </is>
      </c>
      <c r="D1163" s="3" t="inlineStr">
        <is>
          <t>B18</t>
        </is>
      </c>
      <c r="E1163" s="9" t="n"/>
      <c r="F1163" s="15">
        <f>IF(E1163&lt;&gt;"","Đã VH","Quy hoạch điện VIII")</f>
        <v/>
      </c>
      <c r="G1163" s="16">
        <f>LEFT(B1163,FIND(" ",B1163,1)-1)</f>
        <v/>
      </c>
      <c r="H1163" s="16">
        <f>TRIM(RIGHT(B1163,LEN(B1163)-FIND(" ",B1163,1)))</f>
        <v/>
      </c>
      <c r="I1163" s="16">
        <f>_xlfn.XLOOKUP(Table2[[#This Row],[Type]],Table5[Type],Table5[Type2])</f>
        <v/>
      </c>
      <c r="J1163" s="16">
        <f>_xlfn.XLOOKUP(Table2[[#This Row],[Sym]],Zones!$A$2:$A$21,Zones!$B$2:$B$21)</f>
        <v/>
      </c>
      <c r="K1163" s="21" t="n"/>
    </row>
    <row r="1164">
      <c r="A1164" s="24" t="n">
        <v>2959</v>
      </c>
      <c r="B1164" s="10" t="inlineStr">
        <is>
          <t>T110 Can Lộc 2</t>
        </is>
      </c>
      <c r="C1164" s="10" t="inlineStr">
        <is>
          <t>TBA 110kV Can Lộc 2</t>
        </is>
      </c>
      <c r="D1164" s="3" t="inlineStr">
        <is>
          <t>B18</t>
        </is>
      </c>
      <c r="E1164" s="9" t="n"/>
      <c r="F1164" s="15">
        <f>IF(E1164&lt;&gt;"","Đã VH","Quy hoạch điện VIII")</f>
        <v/>
      </c>
      <c r="G1164" s="16">
        <f>LEFT(B1164,FIND(" ",B1164,1)-1)</f>
        <v/>
      </c>
      <c r="H1164" s="16">
        <f>TRIM(RIGHT(B1164,LEN(B1164)-FIND(" ",B1164,1)))</f>
        <v/>
      </c>
      <c r="I1164" s="16">
        <f>_xlfn.XLOOKUP(Table2[[#This Row],[Type]],Table5[Type],Table5[Type2])</f>
        <v/>
      </c>
      <c r="J1164" s="16">
        <f>_xlfn.XLOOKUP(Table2[[#This Row],[Sym]],Zones!$A$2:$A$21,Zones!$B$2:$B$21)</f>
        <v/>
      </c>
      <c r="K1164" s="21" t="n"/>
    </row>
    <row r="1165">
      <c r="A1165" s="24" t="n">
        <v>2960</v>
      </c>
      <c r="B1165" s="10" t="inlineStr">
        <is>
          <t>T110 Cầu Treo</t>
        </is>
      </c>
      <c r="C1165" s="10" t="inlineStr">
        <is>
          <t>TBA 110kV Cầu Treo</t>
        </is>
      </c>
      <c r="D1165" s="3" t="inlineStr">
        <is>
          <t>B18</t>
        </is>
      </c>
      <c r="E1165" s="9" t="n"/>
      <c r="F1165" s="15">
        <f>IF(E1165&lt;&gt;"","Đã VH","Quy hoạch điện VIII")</f>
        <v/>
      </c>
      <c r="G1165" s="16">
        <f>LEFT(B1165,FIND(" ",B1165,1)-1)</f>
        <v/>
      </c>
      <c r="H1165" s="16">
        <f>TRIM(RIGHT(B1165,LEN(B1165)-FIND(" ",B1165,1)))</f>
        <v/>
      </c>
      <c r="I1165" s="16">
        <f>_xlfn.XLOOKUP(Table2[[#This Row],[Type]],Table5[Type],Table5[Type2])</f>
        <v/>
      </c>
      <c r="J1165" s="16">
        <f>_xlfn.XLOOKUP(Table2[[#This Row],[Sym]],Zones!$A$2:$A$21,Zones!$B$2:$B$21)</f>
        <v/>
      </c>
      <c r="K1165" s="21" t="n"/>
    </row>
    <row r="1166">
      <c r="A1166" s="24" t="n">
        <v>2961</v>
      </c>
      <c r="B1166" s="10" t="inlineStr">
        <is>
          <t>T110 Hương Sơn</t>
        </is>
      </c>
      <c r="C1166" s="10" t="inlineStr">
        <is>
          <t>TBA 110kV Hương Sơn</t>
        </is>
      </c>
      <c r="D1166" s="3" t="inlineStr">
        <is>
          <t>B18</t>
        </is>
      </c>
      <c r="E1166" s="9" t="n"/>
      <c r="F1166" s="15">
        <f>IF(E1166&lt;&gt;"","Đã VH","Quy hoạch điện VIII")</f>
        <v/>
      </c>
      <c r="G1166" s="16">
        <f>LEFT(B1166,FIND(" ",B1166,1)-1)</f>
        <v/>
      </c>
      <c r="H1166" s="16">
        <f>TRIM(RIGHT(B1166,LEN(B1166)-FIND(" ",B1166,1)))</f>
        <v/>
      </c>
      <c r="I1166" s="16">
        <f>_xlfn.XLOOKUP(Table2[[#This Row],[Type]],Table5[Type],Table5[Type2])</f>
        <v/>
      </c>
      <c r="J1166" s="16">
        <f>_xlfn.XLOOKUP(Table2[[#This Row],[Sym]],Zones!$A$2:$A$21,Zones!$B$2:$B$21)</f>
        <v/>
      </c>
      <c r="K1166" s="21" t="n"/>
    </row>
    <row r="1167">
      <c r="A1167" s="24" t="n">
        <v>3000</v>
      </c>
      <c r="B1167" s="10" t="inlineStr">
        <is>
          <t>T110 Lạc Sơn</t>
        </is>
      </c>
      <c r="C1167" s="10" t="inlineStr">
        <is>
          <t>TBA 110kV Lạc Sơn</t>
        </is>
      </c>
      <c r="D1167" s="3" t="inlineStr">
        <is>
          <t>B4</t>
        </is>
      </c>
      <c r="E1167" s="9" t="inlineStr">
        <is>
          <t>E19.1</t>
        </is>
      </c>
      <c r="F1167" s="15">
        <f>IF(E1167&lt;&gt;"","Đã VH","Quy hoạch điện VIII")</f>
        <v/>
      </c>
      <c r="G1167" s="16">
        <f>LEFT(B1167,FIND(" ",B1167,1)-1)</f>
        <v/>
      </c>
      <c r="H1167" s="16">
        <f>TRIM(RIGHT(B1167,LEN(B1167)-FIND(" ",B1167,1)))</f>
        <v/>
      </c>
      <c r="I1167" s="16">
        <f>_xlfn.XLOOKUP(Table2[[#This Row],[Type]],Table5[Type],Table5[Type2])</f>
        <v/>
      </c>
      <c r="J1167" s="16">
        <f>_xlfn.XLOOKUP(Table2[[#This Row],[Sym]],Zones!$A$2:$A$21,Zones!$B$2:$B$21)</f>
        <v/>
      </c>
      <c r="K1167" s="21" t="n"/>
    </row>
    <row r="1168">
      <c r="A1168" s="24" t="n">
        <v>3001</v>
      </c>
      <c r="B1168" s="10" t="inlineStr">
        <is>
          <t>T110 Lương Sơn</t>
        </is>
      </c>
      <c r="C1168" s="10" t="inlineStr">
        <is>
          <t>TBA 110kV Lương Sơn</t>
        </is>
      </c>
      <c r="D1168" s="3" t="inlineStr">
        <is>
          <t>B4</t>
        </is>
      </c>
      <c r="E1168" s="9" t="inlineStr">
        <is>
          <t>E19.2</t>
        </is>
      </c>
      <c r="F1168" s="15">
        <f>IF(E1168&lt;&gt;"","Đã VH","Quy hoạch điện VIII")</f>
        <v/>
      </c>
      <c r="G1168" s="16">
        <f>LEFT(B1168,FIND(" ",B1168,1)-1)</f>
        <v/>
      </c>
      <c r="H1168" s="16">
        <f>TRIM(RIGHT(B1168,LEN(B1168)-FIND(" ",B1168,1)))</f>
        <v/>
      </c>
      <c r="I1168" s="16">
        <f>_xlfn.XLOOKUP(Table2[[#This Row],[Type]],Table5[Type],Table5[Type2])</f>
        <v/>
      </c>
      <c r="J1168" s="16">
        <f>_xlfn.XLOOKUP(Table2[[#This Row],[Sym]],Zones!$A$2:$A$21,Zones!$B$2:$B$21)</f>
        <v/>
      </c>
      <c r="K1168" s="21" t="n"/>
    </row>
    <row r="1169">
      <c r="A1169" s="24" t="n">
        <v>3002</v>
      </c>
      <c r="B1169" s="10" t="inlineStr">
        <is>
          <t>T110 Thanh Nông</t>
        </is>
      </c>
      <c r="C1169" s="10" t="inlineStr">
        <is>
          <t>TBA 110kV Thanh Nông</t>
        </is>
      </c>
      <c r="D1169" s="3" t="inlineStr">
        <is>
          <t>B4</t>
        </is>
      </c>
      <c r="E1169" s="9" t="inlineStr">
        <is>
          <t>E19.3</t>
        </is>
      </c>
      <c r="F1169" s="15">
        <f>IF(E1169&lt;&gt;"","Đã VH","Quy hoạch điện VIII")</f>
        <v/>
      </c>
      <c r="G1169" s="16">
        <f>LEFT(B1169,FIND(" ",B1169,1)-1)</f>
        <v/>
      </c>
      <c r="H1169" s="16">
        <f>TRIM(RIGHT(B1169,LEN(B1169)-FIND(" ",B1169,1)))</f>
        <v/>
      </c>
      <c r="I1169" s="16">
        <f>_xlfn.XLOOKUP(Table2[[#This Row],[Type]],Table5[Type],Table5[Type2])</f>
        <v/>
      </c>
      <c r="J1169" s="16">
        <f>_xlfn.XLOOKUP(Table2[[#This Row],[Sym]],Zones!$A$2:$A$21,Zones!$B$2:$B$21)</f>
        <v/>
      </c>
      <c r="K1169" s="21" t="n"/>
    </row>
    <row r="1170">
      <c r="A1170" s="24" t="n">
        <v>3003</v>
      </c>
      <c r="B1170" s="10" t="inlineStr">
        <is>
          <t>T110 XM Hòa Bình</t>
        </is>
      </c>
      <c r="C1170" s="10" t="inlineStr">
        <is>
          <t>TBA 110kV XM Hòa Bình</t>
        </is>
      </c>
      <c r="D1170" s="3" t="inlineStr">
        <is>
          <t>B4</t>
        </is>
      </c>
      <c r="E1170" s="9" t="inlineStr">
        <is>
          <t>E19.4</t>
        </is>
      </c>
      <c r="F1170" s="15">
        <f>IF(E1170&lt;&gt;"","Đã VH","Quy hoạch điện VIII")</f>
        <v/>
      </c>
      <c r="G1170" s="16">
        <f>LEFT(B1170,FIND(" ",B1170,1)-1)</f>
        <v/>
      </c>
      <c r="H1170" s="16">
        <f>TRIM(RIGHT(B1170,LEN(B1170)-FIND(" ",B1170,1)))</f>
        <v/>
      </c>
      <c r="I1170" s="16">
        <f>_xlfn.XLOOKUP(Table2[[#This Row],[Type]],Table5[Type],Table5[Type2])</f>
        <v/>
      </c>
      <c r="J1170" s="16">
        <f>_xlfn.XLOOKUP(Table2[[#This Row],[Sym]],Zones!$A$2:$A$21,Zones!$B$2:$B$21)</f>
        <v/>
      </c>
      <c r="K1170" s="21" t="n"/>
    </row>
    <row r="1171">
      <c r="A1171" s="24" t="n">
        <v>3004</v>
      </c>
      <c r="B1171" s="10" t="inlineStr">
        <is>
          <t>T110 Trung Sơn</t>
        </is>
      </c>
      <c r="C1171" s="10" t="inlineStr">
        <is>
          <t>TBA 110kV Trung Sơn</t>
        </is>
      </c>
      <c r="D1171" s="3" t="inlineStr">
        <is>
          <t>B4</t>
        </is>
      </c>
      <c r="E1171" s="9" t="inlineStr">
        <is>
          <t>E19.5</t>
        </is>
      </c>
      <c r="F1171" s="15">
        <f>IF(E1171&lt;&gt;"","Đã VH","Quy hoạch điện VIII")</f>
        <v/>
      </c>
      <c r="G1171" s="16">
        <f>LEFT(B1171,FIND(" ",B1171,1)-1)</f>
        <v/>
      </c>
      <c r="H1171" s="16">
        <f>TRIM(RIGHT(B1171,LEN(B1171)-FIND(" ",B1171,1)))</f>
        <v/>
      </c>
      <c r="I1171" s="16">
        <f>_xlfn.XLOOKUP(Table2[[#This Row],[Type]],Table5[Type],Table5[Type2])</f>
        <v/>
      </c>
      <c r="J1171" s="16">
        <f>_xlfn.XLOOKUP(Table2[[#This Row],[Sym]],Zones!$A$2:$A$21,Zones!$B$2:$B$21)</f>
        <v/>
      </c>
      <c r="K1171" s="21" t="n"/>
    </row>
    <row r="1172">
      <c r="A1172" s="24" t="n">
        <v>3005</v>
      </c>
      <c r="B1172" s="10" t="inlineStr">
        <is>
          <t>T110 Mai Châu</t>
        </is>
      </c>
      <c r="C1172" s="10" t="inlineStr">
        <is>
          <t>TBA 110kV Mai Châu</t>
        </is>
      </c>
      <c r="D1172" s="3" t="inlineStr">
        <is>
          <t>B4</t>
        </is>
      </c>
      <c r="E1172" s="9" t="inlineStr">
        <is>
          <t>E19.6</t>
        </is>
      </c>
      <c r="F1172" s="15">
        <f>IF(E1172&lt;&gt;"","Đã VH","Quy hoạch điện VIII")</f>
        <v/>
      </c>
      <c r="G1172" s="16">
        <f>LEFT(B1172,FIND(" ",B1172,1)-1)</f>
        <v/>
      </c>
      <c r="H1172" s="16">
        <f>TRIM(RIGHT(B1172,LEN(B1172)-FIND(" ",B1172,1)))</f>
        <v/>
      </c>
      <c r="I1172" s="16">
        <f>_xlfn.XLOOKUP(Table2[[#This Row],[Type]],Table5[Type],Table5[Type2])</f>
        <v/>
      </c>
      <c r="J1172" s="16">
        <f>_xlfn.XLOOKUP(Table2[[#This Row],[Sym]],Zones!$A$2:$A$21,Zones!$B$2:$B$21)</f>
        <v/>
      </c>
      <c r="K1172" s="21" t="n"/>
    </row>
    <row r="1173">
      <c r="A1173" s="24" t="n">
        <v>3006</v>
      </c>
      <c r="B1173" s="10" t="inlineStr">
        <is>
          <t>T110 Hòa Bình TC</t>
        </is>
      </c>
      <c r="C1173" s="10" t="inlineStr">
        <is>
          <t>TBA 110kV Hòa Bình TC</t>
        </is>
      </c>
      <c r="D1173" s="3" t="inlineStr">
        <is>
          <t>B4</t>
        </is>
      </c>
      <c r="E1173" s="9" t="inlineStr">
        <is>
          <t>E10.1</t>
        </is>
      </c>
      <c r="F1173" s="15">
        <f>IF(E1173&lt;&gt;"","Đã VH","Quy hoạch điện VIII")</f>
        <v/>
      </c>
      <c r="G1173" s="16">
        <f>LEFT(B1173,FIND(" ",B1173,1)-1)</f>
        <v/>
      </c>
      <c r="H1173" s="16">
        <f>TRIM(RIGHT(B1173,LEN(B1173)-FIND(" ",B1173,1)))</f>
        <v/>
      </c>
      <c r="I1173" s="16">
        <f>_xlfn.XLOOKUP(Table2[[#This Row],[Type]],Table5[Type],Table5[Type2])</f>
        <v/>
      </c>
      <c r="J1173" s="16">
        <f>_xlfn.XLOOKUP(Table2[[#This Row],[Sym]],Zones!$A$2:$A$21,Zones!$B$2:$B$21)</f>
        <v/>
      </c>
      <c r="K1173" s="21" t="n"/>
    </row>
    <row r="1174">
      <c r="A1174" s="24" t="n">
        <v>3007</v>
      </c>
      <c r="B1174" s="10" t="inlineStr">
        <is>
          <t>TĐ Hòa Bình</t>
        </is>
      </c>
      <c r="C1174" s="10" t="inlineStr">
        <is>
          <t>NM TĐN Hòa Bình</t>
        </is>
      </c>
      <c r="D1174" s="3" t="inlineStr">
        <is>
          <t>B4</t>
        </is>
      </c>
      <c r="E1174" s="9" t="inlineStr">
        <is>
          <t>A100</t>
        </is>
      </c>
      <c r="F1174" s="15">
        <f>IF(E1174&lt;&gt;"","Đã VH","Quy hoạch điện VIII")</f>
        <v/>
      </c>
      <c r="G1174" s="16">
        <f>LEFT(B1174,FIND(" ",B1174,1)-1)</f>
        <v/>
      </c>
      <c r="H1174" s="16">
        <f>TRIM(RIGHT(B1174,LEN(B1174)-FIND(" ",B1174,1)))</f>
        <v/>
      </c>
      <c r="I1174" s="16">
        <f>_xlfn.XLOOKUP(Table2[[#This Row],[Type]],Table5[Type],Table5[Type2])</f>
        <v/>
      </c>
      <c r="J1174" s="16">
        <f>_xlfn.XLOOKUP(Table2[[#This Row],[Sym]],Zones!$A$2:$A$21,Zones!$B$2:$B$21)</f>
        <v/>
      </c>
      <c r="K1174" s="21" t="n"/>
    </row>
    <row r="1175">
      <c r="A1175" s="24" t="n">
        <v>3008</v>
      </c>
      <c r="B1175" s="10" t="inlineStr">
        <is>
          <t>T110 Kỳ Sơn</t>
        </is>
      </c>
      <c r="C1175" s="10" t="inlineStr">
        <is>
          <t>TBA 110kV Kỳ Sơn</t>
        </is>
      </c>
      <c r="D1175" s="3" t="inlineStr">
        <is>
          <t>B4</t>
        </is>
      </c>
      <c r="E1175" s="9" t="inlineStr">
        <is>
          <t>E19.7</t>
        </is>
      </c>
      <c r="F1175" s="15">
        <f>IF(E1175&lt;&gt;"","Đã VH","Quy hoạch điện VIII")</f>
        <v/>
      </c>
      <c r="G1175" s="16">
        <f>LEFT(B1175,FIND(" ",B1175,1)-1)</f>
        <v/>
      </c>
      <c r="H1175" s="16">
        <f>TRIM(RIGHT(B1175,LEN(B1175)-FIND(" ",B1175,1)))</f>
        <v/>
      </c>
      <c r="I1175" s="16">
        <f>_xlfn.XLOOKUP(Table2[[#This Row],[Type]],Table5[Type],Table5[Type2])</f>
        <v/>
      </c>
      <c r="J1175" s="16">
        <f>_xlfn.XLOOKUP(Table2[[#This Row],[Sym]],Zones!$A$2:$A$21,Zones!$B$2:$B$21)</f>
        <v/>
      </c>
      <c r="K1175" s="21" t="n"/>
    </row>
    <row r="1176">
      <c r="A1176" s="24" t="n">
        <v>3009</v>
      </c>
      <c r="B1176" s="10" t="inlineStr">
        <is>
          <t>T110 Yên Thủy</t>
        </is>
      </c>
      <c r="C1176" s="10" t="inlineStr">
        <is>
          <t>TBA 110kV Yên Thủy</t>
        </is>
      </c>
      <c r="D1176" s="3" t="inlineStr">
        <is>
          <t>B4</t>
        </is>
      </c>
      <c r="E1176" s="9" t="inlineStr">
        <is>
          <t>E19.8</t>
        </is>
      </c>
      <c r="F1176" s="15">
        <f>IF(E1176&lt;&gt;"","Đã VH","Quy hoạch điện VIII")</f>
        <v/>
      </c>
      <c r="G1176" s="16">
        <f>LEFT(B1176,FIND(" ",B1176,1)-1)</f>
        <v/>
      </c>
      <c r="H1176" s="16">
        <f>TRIM(RIGHT(B1176,LEN(B1176)-FIND(" ",B1176,1)))</f>
        <v/>
      </c>
      <c r="I1176" s="16">
        <f>_xlfn.XLOOKUP(Table2[[#This Row],[Type]],Table5[Type],Table5[Type2])</f>
        <v/>
      </c>
      <c r="J1176" s="16">
        <f>_xlfn.XLOOKUP(Table2[[#This Row],[Sym]],Zones!$A$2:$A$21,Zones!$B$2:$B$21)</f>
        <v/>
      </c>
      <c r="K1176" s="21" t="n"/>
    </row>
    <row r="1177">
      <c r="A1177" s="24" t="n">
        <v>3010</v>
      </c>
      <c r="B1177" s="10" t="inlineStr">
        <is>
          <t>T110 X18</t>
        </is>
      </c>
      <c r="C1177" s="10" t="inlineStr">
        <is>
          <t>TBA 110kV X18</t>
        </is>
      </c>
      <c r="D1177" s="3" t="inlineStr">
        <is>
          <t>B4</t>
        </is>
      </c>
      <c r="E1177" s="9" t="n"/>
      <c r="F1177" s="15">
        <f>IF(E1177&lt;&gt;"","Đã VH","Quy hoạch điện VIII")</f>
        <v/>
      </c>
      <c r="G1177" s="16">
        <f>LEFT(B1177,FIND(" ",B1177,1)-1)</f>
        <v/>
      </c>
      <c r="H1177" s="16">
        <f>TRIM(RIGHT(B1177,LEN(B1177)-FIND(" ",B1177,1)))</f>
        <v/>
      </c>
      <c r="I1177" s="16">
        <f>_xlfn.XLOOKUP(Table2[[#This Row],[Type]],Table5[Type],Table5[Type2])</f>
        <v/>
      </c>
      <c r="J1177" s="16">
        <f>_xlfn.XLOOKUP(Table2[[#This Row],[Sym]],Zones!$A$2:$A$21,Zones!$B$2:$B$21)</f>
        <v/>
      </c>
      <c r="K1177" s="21" t="n"/>
    </row>
    <row r="1178">
      <c r="A1178" s="24" t="n">
        <v>3011</v>
      </c>
      <c r="B1178" s="10" t="inlineStr">
        <is>
          <t>T110 Phú Minh</t>
        </is>
      </c>
      <c r="C1178" s="10" t="inlineStr">
        <is>
          <t>TBA 110kV Phú Minh</t>
        </is>
      </c>
      <c r="D1178" s="3" t="inlineStr">
        <is>
          <t>B4</t>
        </is>
      </c>
      <c r="E1178" s="9" t="n"/>
      <c r="F1178" s="15">
        <f>IF(E1178&lt;&gt;"","Đã VH","Quy hoạch điện VIII")</f>
        <v/>
      </c>
      <c r="G1178" s="16">
        <f>LEFT(B1178,FIND(" ",B1178,1)-1)</f>
        <v/>
      </c>
      <c r="H1178" s="16">
        <f>TRIM(RIGHT(B1178,LEN(B1178)-FIND(" ",B1178,1)))</f>
        <v/>
      </c>
      <c r="I1178" s="16">
        <f>_xlfn.XLOOKUP(Table2[[#This Row],[Type]],Table5[Type],Table5[Type2])</f>
        <v/>
      </c>
      <c r="J1178" s="16">
        <f>_xlfn.XLOOKUP(Table2[[#This Row],[Sym]],Zones!$A$2:$A$21,Zones!$B$2:$B$21)</f>
        <v/>
      </c>
      <c r="K1178" s="21" t="n"/>
    </row>
    <row r="1179">
      <c r="A1179" s="24" t="n">
        <v>3012</v>
      </c>
      <c r="B1179" s="10" t="inlineStr">
        <is>
          <t>T110 Yên Quang</t>
        </is>
      </c>
      <c r="C1179" s="10" t="inlineStr">
        <is>
          <t>TBA 110kV Yên Quang</t>
        </is>
      </c>
      <c r="D1179" s="3" t="inlineStr">
        <is>
          <t>B4</t>
        </is>
      </c>
      <c r="E1179" s="9" t="n"/>
      <c r="F1179" s="15">
        <f>IF(E1179&lt;&gt;"","Đã VH","Quy hoạch điện VIII")</f>
        <v/>
      </c>
      <c r="G1179" s="16">
        <f>LEFT(B1179,FIND(" ",B1179,1)-1)</f>
        <v/>
      </c>
      <c r="H1179" s="16">
        <f>TRIM(RIGHT(B1179,LEN(B1179)-FIND(" ",B1179,1)))</f>
        <v/>
      </c>
      <c r="I1179" s="16">
        <f>_xlfn.XLOOKUP(Table2[[#This Row],[Type]],Table5[Type],Table5[Type2])</f>
        <v/>
      </c>
      <c r="J1179" s="16">
        <f>_xlfn.XLOOKUP(Table2[[#This Row],[Sym]],Zones!$A$2:$A$21,Zones!$B$2:$B$21)</f>
        <v/>
      </c>
      <c r="K1179" s="21" t="n"/>
    </row>
    <row r="1180">
      <c r="A1180" s="24" t="n">
        <v>3013</v>
      </c>
      <c r="B1180" s="10" t="inlineStr">
        <is>
          <t>T110 Đà Bắc</t>
        </is>
      </c>
      <c r="C1180" s="10" t="inlineStr">
        <is>
          <t>TBA 110kV Đà Bắc</t>
        </is>
      </c>
      <c r="D1180" s="3" t="inlineStr">
        <is>
          <t>B4</t>
        </is>
      </c>
      <c r="E1180" s="9" t="n"/>
      <c r="F1180" s="15">
        <f>IF(E1180&lt;&gt;"","Đã VH","Quy hoạch điện VIII")</f>
        <v/>
      </c>
      <c r="G1180" s="16">
        <f>LEFT(B1180,FIND(" ",B1180,1)-1)</f>
        <v/>
      </c>
      <c r="H1180" s="16">
        <f>TRIM(RIGHT(B1180,LEN(B1180)-FIND(" ",B1180,1)))</f>
        <v/>
      </c>
      <c r="I1180" s="16">
        <f>_xlfn.XLOOKUP(Table2[[#This Row],[Type]],Table5[Type],Table5[Type2])</f>
        <v/>
      </c>
      <c r="J1180" s="16">
        <f>_xlfn.XLOOKUP(Table2[[#This Row],[Sym]],Zones!$A$2:$A$21,Zones!$B$2:$B$21)</f>
        <v/>
      </c>
      <c r="K1180" s="21" t="n"/>
    </row>
    <row r="1181">
      <c r="A1181" s="24" t="n">
        <v>3014</v>
      </c>
      <c r="B1181" s="10" t="inlineStr">
        <is>
          <t>T110 Chợ Bến</t>
        </is>
      </c>
      <c r="C1181" s="10" t="inlineStr">
        <is>
          <t>TBA 110kV Chợ Bến</t>
        </is>
      </c>
      <c r="D1181" s="3" t="inlineStr">
        <is>
          <t>B4</t>
        </is>
      </c>
      <c r="E1181" s="9" t="n"/>
      <c r="F1181" s="15">
        <f>IF(E1181&lt;&gt;"","Đã VH","Quy hoạch điện VIII")</f>
        <v/>
      </c>
      <c r="G1181" s="16">
        <f>LEFT(B1181,FIND(" ",B1181,1)-1)</f>
        <v/>
      </c>
      <c r="H1181" s="16">
        <f>TRIM(RIGHT(B1181,LEN(B1181)-FIND(" ",B1181,1)))</f>
        <v/>
      </c>
      <c r="I1181" s="16">
        <f>_xlfn.XLOOKUP(Table2[[#This Row],[Type]],Table5[Type],Table5[Type2])</f>
        <v/>
      </c>
      <c r="J1181" s="16">
        <f>_xlfn.XLOOKUP(Table2[[#This Row],[Sym]],Zones!$A$2:$A$21,Zones!$B$2:$B$21)</f>
        <v/>
      </c>
      <c r="K1181" s="21" t="n"/>
    </row>
    <row r="1182">
      <c r="A1182" s="24" t="n">
        <v>3015</v>
      </c>
      <c r="B1182" s="10" t="inlineStr">
        <is>
          <t>T220 Yên Thủy</t>
        </is>
      </c>
      <c r="C1182" s="10" t="inlineStr">
        <is>
          <t>TBA 220kV Yên Thủy</t>
        </is>
      </c>
      <c r="D1182" s="3" t="inlineStr">
        <is>
          <t>B4</t>
        </is>
      </c>
      <c r="E1182" s="9" t="inlineStr">
        <is>
          <t>E19.10</t>
        </is>
      </c>
      <c r="F1182" s="15">
        <f>IF(E1182&lt;&gt;"","Đã VH","Quy hoạch điện VIII")</f>
        <v/>
      </c>
      <c r="G1182" s="16">
        <f>LEFT(B1182,FIND(" ",B1182,1)-1)</f>
        <v/>
      </c>
      <c r="H1182" s="16">
        <f>TRIM(RIGHT(B1182,LEN(B1182)-FIND(" ",B1182,1)))</f>
        <v/>
      </c>
      <c r="I1182" s="16">
        <f>_xlfn.XLOOKUP(Table2[[#This Row],[Type]],Table5[Type],Table5[Type2])</f>
        <v/>
      </c>
      <c r="J1182" s="16">
        <f>_xlfn.XLOOKUP(Table2[[#This Row],[Sym]],Zones!$A$2:$A$21,Zones!$B$2:$B$21)</f>
        <v/>
      </c>
      <c r="K1182" s="21" t="n"/>
    </row>
    <row r="1183">
      <c r="A1183" s="24" t="n">
        <v>3016</v>
      </c>
      <c r="B1183" s="10" t="inlineStr">
        <is>
          <t>T110 Lạc Thủy</t>
        </is>
      </c>
      <c r="C1183" s="10" t="inlineStr">
        <is>
          <t>TBA 110kV Lạc Thủy</t>
        </is>
      </c>
      <c r="D1183" s="3" t="inlineStr">
        <is>
          <t>B4</t>
        </is>
      </c>
      <c r="E1183" s="9" t="n"/>
      <c r="F1183" s="15">
        <f>IF(E1183&lt;&gt;"","Đã VH","Quy hoạch điện VIII")</f>
        <v/>
      </c>
      <c r="G1183" s="16">
        <f>LEFT(B1183,FIND(" ",B1183,1)-1)</f>
        <v/>
      </c>
      <c r="H1183" s="16">
        <f>TRIM(RIGHT(B1183,LEN(B1183)-FIND(" ",B1183,1)))</f>
        <v/>
      </c>
      <c r="I1183" s="16">
        <f>_xlfn.XLOOKUP(Table2[[#This Row],[Type]],Table5[Type],Table5[Type2])</f>
        <v/>
      </c>
      <c r="J1183" s="16">
        <f>_xlfn.XLOOKUP(Table2[[#This Row],[Sym]],Zones!$A$2:$A$21,Zones!$B$2:$B$21)</f>
        <v/>
      </c>
      <c r="K1183" s="21" t="n"/>
    </row>
    <row r="1184">
      <c r="A1184" s="24" t="n">
        <v>3017</v>
      </c>
      <c r="B1184" s="10" t="inlineStr">
        <is>
          <t>T110 XM Xuân Sơn</t>
        </is>
      </c>
      <c r="C1184" s="10" t="inlineStr">
        <is>
          <t>TBA 110kV XM Xuân Sơn</t>
        </is>
      </c>
      <c r="D1184" s="3" t="inlineStr">
        <is>
          <t>B4</t>
        </is>
      </c>
      <c r="E1184" s="9" t="inlineStr">
        <is>
          <t>E19.9</t>
        </is>
      </c>
      <c r="F1184" s="15">
        <f>IF(E1184&lt;&gt;"","Đã VH","Quy hoạch điện VIII")</f>
        <v/>
      </c>
      <c r="G1184" s="16">
        <f>LEFT(B1184,FIND(" ",B1184,1)-1)</f>
        <v/>
      </c>
      <c r="H1184" s="16">
        <f>TRIM(RIGHT(B1184,LEN(B1184)-FIND(" ",B1184,1)))</f>
        <v/>
      </c>
      <c r="I1184" s="16">
        <f>_xlfn.XLOOKUP(Table2[[#This Row],[Type]],Table5[Type],Table5[Type2])</f>
        <v/>
      </c>
      <c r="J1184" s="16">
        <f>_xlfn.XLOOKUP(Table2[[#This Row],[Sym]],Zones!$A$2:$A$21,Zones!$B$2:$B$21)</f>
        <v/>
      </c>
      <c r="K1184" s="21" t="n"/>
    </row>
    <row r="1185">
      <c r="A1185" s="24" t="n">
        <v>3018</v>
      </c>
      <c r="B1185" s="10" t="inlineStr">
        <is>
          <t>T110 Xuân Thiện</t>
        </is>
      </c>
      <c r="C1185" s="10" t="inlineStr">
        <is>
          <t>TBA 110kV Xuân Thiện</t>
        </is>
      </c>
      <c r="D1185" s="3" t="inlineStr">
        <is>
          <t>B4</t>
        </is>
      </c>
      <c r="E1185" s="9" t="n"/>
      <c r="F1185" s="15">
        <f>IF(E1185&lt;&gt;"","Đã VH","Quy hoạch điện VIII")</f>
        <v/>
      </c>
      <c r="G1185" s="16">
        <f>LEFT(B1185,FIND(" ",B1185,1)-1)</f>
        <v/>
      </c>
      <c r="H1185" s="16">
        <f>TRIM(RIGHT(B1185,LEN(B1185)-FIND(" ",B1185,1)))</f>
        <v/>
      </c>
      <c r="I1185" s="16">
        <f>_xlfn.XLOOKUP(Table2[[#This Row],[Type]],Table5[Type],Table5[Type2])</f>
        <v/>
      </c>
      <c r="J1185" s="16">
        <f>_xlfn.XLOOKUP(Table2[[#This Row],[Sym]],Zones!$A$2:$A$21,Zones!$B$2:$B$21)</f>
        <v/>
      </c>
      <c r="K1185" s="21" t="n"/>
    </row>
    <row r="1186">
      <c r="A1186" s="24" t="n">
        <v>3019</v>
      </c>
      <c r="B1186" s="10" t="inlineStr">
        <is>
          <t>T110 XM Hoàng Long</t>
        </is>
      </c>
      <c r="C1186" s="10" t="inlineStr">
        <is>
          <t>TBA 110kV XM Hoàng Long</t>
        </is>
      </c>
      <c r="D1186" s="3" t="inlineStr">
        <is>
          <t>B4</t>
        </is>
      </c>
      <c r="E1186" s="9" t="n"/>
      <c r="F1186" s="15">
        <f>IF(E1186&lt;&gt;"","Đã VH","Quy hoạch điện VIII")</f>
        <v/>
      </c>
      <c r="G1186" s="16">
        <f>LEFT(B1186,FIND(" ",B1186,1)-1)</f>
        <v/>
      </c>
      <c r="H1186" s="16">
        <f>TRIM(RIGHT(B1186,LEN(B1186)-FIND(" ",B1186,1)))</f>
        <v/>
      </c>
      <c r="I1186" s="16">
        <f>_xlfn.XLOOKUP(Table2[[#This Row],[Type]],Table5[Type],Table5[Type2])</f>
        <v/>
      </c>
      <c r="J1186" s="16">
        <f>_xlfn.XLOOKUP(Table2[[#This Row],[Sym]],Zones!$A$2:$A$21,Zones!$B$2:$B$21)</f>
        <v/>
      </c>
      <c r="K1186" s="21" t="n"/>
    </row>
    <row r="1187">
      <c r="A1187" s="24" t="n">
        <v>3020</v>
      </c>
      <c r="B1187" s="10" t="inlineStr">
        <is>
          <t>T110 Kim Bôi</t>
        </is>
      </c>
      <c r="C1187" s="10" t="inlineStr">
        <is>
          <t>TBA 110kV Kim Bôi</t>
        </is>
      </c>
      <c r="D1187" s="3" t="inlineStr">
        <is>
          <t>B4</t>
        </is>
      </c>
      <c r="E1187" s="9" t="n"/>
      <c r="F1187" s="15">
        <f>IF(E1187&lt;&gt;"","Đã VH","Quy hoạch điện VIII")</f>
        <v/>
      </c>
      <c r="G1187" s="16">
        <f>LEFT(B1187,FIND(" ",B1187,1)-1)</f>
        <v/>
      </c>
      <c r="H1187" s="16">
        <f>TRIM(RIGHT(B1187,LEN(B1187)-FIND(" ",B1187,1)))</f>
        <v/>
      </c>
      <c r="I1187" s="16">
        <f>_xlfn.XLOOKUP(Table2[[#This Row],[Type]],Table5[Type],Table5[Type2])</f>
        <v/>
      </c>
      <c r="J1187" s="16">
        <f>_xlfn.XLOOKUP(Table2[[#This Row],[Sym]],Zones!$A$2:$A$21,Zones!$B$2:$B$21)</f>
        <v/>
      </c>
      <c r="K1187" s="21" t="n"/>
    </row>
    <row r="1188">
      <c r="A1188" s="24" t="n">
        <v>3021</v>
      </c>
      <c r="B1188" s="10" t="inlineStr">
        <is>
          <t>T110 XM Trung Sơn 2</t>
        </is>
      </c>
      <c r="C1188" s="10" t="inlineStr">
        <is>
          <t>TBA 110kV XM Trung Sơn 2</t>
        </is>
      </c>
      <c r="D1188" s="3" t="inlineStr">
        <is>
          <t>B4</t>
        </is>
      </c>
      <c r="E1188" s="9" t="n"/>
      <c r="F1188" s="15">
        <f>IF(E1188&lt;&gt;"","Đã VH","Quy hoạch điện VIII")</f>
        <v/>
      </c>
      <c r="G1188" s="16">
        <f>LEFT(B1188,FIND(" ",B1188,1)-1)</f>
        <v/>
      </c>
      <c r="H1188" s="16">
        <f>TRIM(RIGHT(B1188,LEN(B1188)-FIND(" ",B1188,1)))</f>
        <v/>
      </c>
      <c r="I1188" s="16">
        <f>_xlfn.XLOOKUP(Table2[[#This Row],[Type]],Table5[Type],Table5[Type2])</f>
        <v/>
      </c>
      <c r="J1188" s="16">
        <f>_xlfn.XLOOKUP(Table2[[#This Row],[Sym]],Zones!$A$2:$A$21,Zones!$B$2:$B$21)</f>
        <v/>
      </c>
      <c r="K1188" s="21" t="n"/>
    </row>
    <row r="1189">
      <c r="A1189" s="24" t="n">
        <v>3022</v>
      </c>
      <c r="B1189" s="10" t="inlineStr">
        <is>
          <t>T110 XM Trung Sơn 3</t>
        </is>
      </c>
      <c r="C1189" s="10" t="inlineStr">
        <is>
          <t>TBA 110kV XM Trung Sơn 3</t>
        </is>
      </c>
      <c r="D1189" s="3" t="inlineStr">
        <is>
          <t>B4</t>
        </is>
      </c>
      <c r="E1189" s="9" t="n"/>
      <c r="F1189" s="15">
        <f>IF(E1189&lt;&gt;"","Đã VH","Quy hoạch điện VIII")</f>
        <v/>
      </c>
      <c r="G1189" s="16">
        <f>LEFT(B1189,FIND(" ",B1189,1)-1)</f>
        <v/>
      </c>
      <c r="H1189" s="16">
        <f>TRIM(RIGHT(B1189,LEN(B1189)-FIND(" ",B1189,1)))</f>
        <v/>
      </c>
      <c r="I1189" s="16">
        <f>_xlfn.XLOOKUP(Table2[[#This Row],[Type]],Table5[Type],Table5[Type2])</f>
        <v/>
      </c>
      <c r="J1189" s="16">
        <f>_xlfn.XLOOKUP(Table2[[#This Row],[Sym]],Zones!$A$2:$A$21,Zones!$B$2:$B$21)</f>
        <v/>
      </c>
      <c r="K1189" s="21" t="n"/>
    </row>
    <row r="1190">
      <c r="A1190" s="24" t="n">
        <v>3023</v>
      </c>
      <c r="B1190" s="10" t="inlineStr">
        <is>
          <t>T110 Mông Hóa</t>
        </is>
      </c>
      <c r="C1190" s="10" t="inlineStr">
        <is>
          <t>TBA 110kV Mông Hóa</t>
        </is>
      </c>
      <c r="D1190" s="3" t="inlineStr">
        <is>
          <t>B4</t>
        </is>
      </c>
      <c r="E1190" s="9" t="n"/>
      <c r="F1190" s="15">
        <f>IF(E1190&lt;&gt;"","Đã VH","Quy hoạch điện VIII")</f>
        <v/>
      </c>
      <c r="G1190" s="16">
        <f>LEFT(B1190,FIND(" ",B1190,1)-1)</f>
        <v/>
      </c>
      <c r="H1190" s="16">
        <f>TRIM(RIGHT(B1190,LEN(B1190)-FIND(" ",B1190,1)))</f>
        <v/>
      </c>
      <c r="I1190" s="16">
        <f>_xlfn.XLOOKUP(Table2[[#This Row],[Type]],Table5[Type],Table5[Type2])</f>
        <v/>
      </c>
      <c r="J1190" s="16">
        <f>_xlfn.XLOOKUP(Table2[[#This Row],[Sym]],Zones!$A$2:$A$21,Zones!$B$2:$B$21)</f>
        <v/>
      </c>
      <c r="K1190" s="21" t="n"/>
    </row>
    <row r="1191">
      <c r="A1191" s="24" t="n">
        <v>3024</v>
      </c>
      <c r="B1191" s="10" t="inlineStr">
        <is>
          <t>T110 Nhuận Trạch</t>
        </is>
      </c>
      <c r="C1191" s="10" t="inlineStr">
        <is>
          <t>TBA 110kV Nhuận Trạch</t>
        </is>
      </c>
      <c r="D1191" s="3" t="inlineStr">
        <is>
          <t>B4</t>
        </is>
      </c>
      <c r="E1191" s="9" t="n"/>
      <c r="F1191" s="15">
        <f>IF(E1191&lt;&gt;"","Đã VH","Quy hoạch điện VIII")</f>
        <v/>
      </c>
      <c r="G1191" s="16">
        <f>LEFT(B1191,FIND(" ",B1191,1)-1)</f>
        <v/>
      </c>
      <c r="H1191" s="16">
        <f>TRIM(RIGHT(B1191,LEN(B1191)-FIND(" ",B1191,1)))</f>
        <v/>
      </c>
      <c r="I1191" s="16">
        <f>_xlfn.XLOOKUP(Table2[[#This Row],[Type]],Table5[Type],Table5[Type2])</f>
        <v/>
      </c>
      <c r="J1191" s="16">
        <f>_xlfn.XLOOKUP(Table2[[#This Row],[Sym]],Zones!$A$2:$A$21,Zones!$B$2:$B$21)</f>
        <v/>
      </c>
      <c r="K1191" s="21" t="n"/>
    </row>
    <row r="1192">
      <c r="A1192" s="24" t="n">
        <v>3025</v>
      </c>
      <c r="B1192" s="10" t="inlineStr">
        <is>
          <t>T110 Bờ trái sông Đà</t>
        </is>
      </c>
      <c r="C1192" s="10" t="inlineStr">
        <is>
          <t>TBA 110kV Bờ trái sông Đà</t>
        </is>
      </c>
      <c r="D1192" s="3" t="inlineStr">
        <is>
          <t>B4</t>
        </is>
      </c>
      <c r="E1192" s="9" t="n"/>
      <c r="F1192" s="15">
        <f>IF(E1192&lt;&gt;"","Đã VH","Quy hoạch điện VIII")</f>
        <v/>
      </c>
      <c r="G1192" s="16">
        <f>LEFT(B1192,FIND(" ",B1192,1)-1)</f>
        <v/>
      </c>
      <c r="H1192" s="16">
        <f>TRIM(RIGHT(B1192,LEN(B1192)-FIND(" ",B1192,1)))</f>
        <v/>
      </c>
      <c r="I1192" s="16">
        <f>_xlfn.XLOOKUP(Table2[[#This Row],[Type]],Table5[Type],Table5[Type2])</f>
        <v/>
      </c>
      <c r="J1192" s="16">
        <f>_xlfn.XLOOKUP(Table2[[#This Row],[Sym]],Zones!$A$2:$A$21,Zones!$B$2:$B$21)</f>
        <v/>
      </c>
      <c r="K1192" s="21" t="n"/>
    </row>
    <row r="1193">
      <c r="A1193" s="24" t="n">
        <v>3026</v>
      </c>
      <c r="B1193" s="10" t="inlineStr">
        <is>
          <t>T110 Thịnh Minh</t>
        </is>
      </c>
      <c r="C1193" s="10" t="inlineStr">
        <is>
          <t>TBA 110kV Thịnh Minh</t>
        </is>
      </c>
      <c r="D1193" s="3" t="inlineStr">
        <is>
          <t>B4</t>
        </is>
      </c>
      <c r="E1193" s="9" t="n"/>
      <c r="F1193" s="15">
        <f>IF(E1193&lt;&gt;"","Đã VH","Quy hoạch điện VIII")</f>
        <v/>
      </c>
      <c r="G1193" s="16">
        <f>LEFT(B1193,FIND(" ",B1193,1)-1)</f>
        <v/>
      </c>
      <c r="H1193" s="16">
        <f>TRIM(RIGHT(B1193,LEN(B1193)-FIND(" ",B1193,1)))</f>
        <v/>
      </c>
      <c r="I1193" s="16">
        <f>_xlfn.XLOOKUP(Table2[[#This Row],[Type]],Table5[Type],Table5[Type2])</f>
        <v/>
      </c>
      <c r="J1193" s="16">
        <f>_xlfn.XLOOKUP(Table2[[#This Row],[Sym]],Zones!$A$2:$A$21,Zones!$B$2:$B$21)</f>
        <v/>
      </c>
      <c r="K1193" s="21" t="n"/>
    </row>
    <row r="1194">
      <c r="A1194" s="24" t="n">
        <v>3027</v>
      </c>
      <c r="B1194" s="10" t="inlineStr">
        <is>
          <t>T110 Cao Sơn</t>
        </is>
      </c>
      <c r="C1194" s="10" t="inlineStr">
        <is>
          <t>TBA 110kV Cao Sơn</t>
        </is>
      </c>
      <c r="D1194" s="3" t="inlineStr">
        <is>
          <t>B4</t>
        </is>
      </c>
      <c r="E1194" s="9" t="n"/>
      <c r="F1194" s="15">
        <f>IF(E1194&lt;&gt;"","Đã VH","Quy hoạch điện VIII")</f>
        <v/>
      </c>
      <c r="G1194" s="16">
        <f>LEFT(B1194,FIND(" ",B1194,1)-1)</f>
        <v/>
      </c>
      <c r="H1194" s="16">
        <f>TRIM(RIGHT(B1194,LEN(B1194)-FIND(" ",B1194,1)))</f>
        <v/>
      </c>
      <c r="I1194" s="16">
        <f>_xlfn.XLOOKUP(Table2[[#This Row],[Type]],Table5[Type],Table5[Type2])</f>
        <v/>
      </c>
      <c r="J1194" s="16">
        <f>_xlfn.XLOOKUP(Table2[[#This Row],[Sym]],Zones!$A$2:$A$21,Zones!$B$2:$B$21)</f>
        <v/>
      </c>
      <c r="K1194" s="21" t="n"/>
    </row>
    <row r="1195">
      <c r="A1195" s="24" t="n">
        <v>3028</v>
      </c>
      <c r="B1195" s="10" t="inlineStr">
        <is>
          <t>T110 Tân Lạc</t>
        </is>
      </c>
      <c r="C1195" s="10" t="inlineStr">
        <is>
          <t>TBA 110kV Tân Lạc</t>
        </is>
      </c>
      <c r="D1195" s="3" t="inlineStr">
        <is>
          <t>B4</t>
        </is>
      </c>
      <c r="E1195" s="9" t="n"/>
      <c r="F1195" s="15">
        <f>IF(E1195&lt;&gt;"","Đã VH","Quy hoạch điện VIII")</f>
        <v/>
      </c>
      <c r="G1195" s="16">
        <f>LEFT(B1195,FIND(" ",B1195,1)-1)</f>
        <v/>
      </c>
      <c r="H1195" s="16">
        <f>TRIM(RIGHT(B1195,LEN(B1195)-FIND(" ",B1195,1)))</f>
        <v/>
      </c>
      <c r="I1195" s="16">
        <f>_xlfn.XLOOKUP(Table2[[#This Row],[Type]],Table5[Type],Table5[Type2])</f>
        <v/>
      </c>
      <c r="J1195" s="16">
        <f>_xlfn.XLOOKUP(Table2[[#This Row],[Sym]],Zones!$A$2:$A$21,Zones!$B$2:$B$21)</f>
        <v/>
      </c>
      <c r="K1195" s="21" t="n"/>
    </row>
    <row r="1196">
      <c r="A1196" s="24" t="n">
        <v>3029</v>
      </c>
      <c r="B1196" s="10" t="inlineStr">
        <is>
          <t>T110 Cao Phong</t>
        </is>
      </c>
      <c r="C1196" s="10" t="inlineStr">
        <is>
          <t>TBA 110kV Cao Phong</t>
        </is>
      </c>
      <c r="D1196" s="3" t="inlineStr">
        <is>
          <t>B4</t>
        </is>
      </c>
      <c r="E1196" s="9" t="n"/>
      <c r="F1196" s="15">
        <f>IF(E1196&lt;&gt;"","Đã VH","Quy hoạch điện VIII")</f>
        <v/>
      </c>
      <c r="G1196" s="16">
        <f>LEFT(B1196,FIND(" ",B1196,1)-1)</f>
        <v/>
      </c>
      <c r="H1196" s="16">
        <f>TRIM(RIGHT(B1196,LEN(B1196)-FIND(" ",B1196,1)))</f>
        <v/>
      </c>
      <c r="I1196" s="16">
        <f>_xlfn.XLOOKUP(Table2[[#This Row],[Type]],Table5[Type],Table5[Type2])</f>
        <v/>
      </c>
      <c r="J1196" s="16">
        <f>_xlfn.XLOOKUP(Table2[[#This Row],[Sym]],Zones!$A$2:$A$21,Zones!$B$2:$B$21)</f>
        <v/>
      </c>
      <c r="K1196" s="21" t="n"/>
    </row>
    <row r="1197">
      <c r="A1197" s="24" t="n">
        <v>3030</v>
      </c>
      <c r="B1197" s="10" t="inlineStr">
        <is>
          <t>T110 Suối Hoa</t>
        </is>
      </c>
      <c r="C1197" s="10" t="inlineStr">
        <is>
          <t>TBA 110kV Suối Hoa</t>
        </is>
      </c>
      <c r="D1197" s="3" t="inlineStr">
        <is>
          <t>B4</t>
        </is>
      </c>
      <c r="E1197" s="9" t="n"/>
      <c r="F1197" s="15">
        <f>IF(E1197&lt;&gt;"","Đã VH","Quy hoạch điện VIII")</f>
        <v/>
      </c>
      <c r="G1197" s="16">
        <f>LEFT(B1197,FIND(" ",B1197,1)-1)</f>
        <v/>
      </c>
      <c r="H1197" s="16">
        <f>TRIM(RIGHT(B1197,LEN(B1197)-FIND(" ",B1197,1)))</f>
        <v/>
      </c>
      <c r="I1197" s="16">
        <f>_xlfn.XLOOKUP(Table2[[#This Row],[Type]],Table5[Type],Table5[Type2])</f>
        <v/>
      </c>
      <c r="J1197" s="16">
        <f>_xlfn.XLOOKUP(Table2[[#This Row],[Sym]],Zones!$A$2:$A$21,Zones!$B$2:$B$21)</f>
        <v/>
      </c>
      <c r="K1197" s="21" t="n"/>
    </row>
    <row r="1198">
      <c r="A1198" s="24" t="n">
        <v>3031</v>
      </c>
      <c r="B1198" s="10" t="inlineStr">
        <is>
          <t>ĐSK Hòa Bình</t>
        </is>
      </c>
      <c r="C1198" s="10" t="inlineStr">
        <is>
          <t xml:space="preserve"> Hòa Bình</t>
        </is>
      </c>
      <c r="D1198" s="3" t="inlineStr">
        <is>
          <t>B4</t>
        </is>
      </c>
      <c r="E1198" s="9" t="n"/>
      <c r="F1198" s="15">
        <f>IF(E1198&lt;&gt;"","Đã VH","Quy hoạch điện VIII")</f>
        <v/>
      </c>
      <c r="G1198" s="16">
        <f>LEFT(B1198,FIND(" ",B1198,1)-1)</f>
        <v/>
      </c>
      <c r="H1198" s="16">
        <f>TRIM(RIGHT(B1198,LEN(B1198)-FIND(" ",B1198,1)))</f>
        <v/>
      </c>
      <c r="I1198" s="16">
        <f>_xlfn.XLOOKUP(Table2[[#This Row],[Type]],Table5[Type],Table5[Type2])</f>
        <v/>
      </c>
      <c r="J1198" s="16">
        <f>_xlfn.XLOOKUP(Table2[[#This Row],[Sym]],Zones!$A$2:$A$21,Zones!$B$2:$B$21)</f>
        <v/>
      </c>
      <c r="K1198" s="21" t="n"/>
    </row>
    <row r="1199">
      <c r="A1199" s="24" t="n">
        <v>3040</v>
      </c>
      <c r="B1199" s="10" t="inlineStr">
        <is>
          <t>T220 Tân Lạc</t>
        </is>
      </c>
      <c r="C1199" s="10" t="inlineStr">
        <is>
          <t>TBA 220kV Tân Lạc</t>
        </is>
      </c>
      <c r="D1199" s="3" t="inlineStr">
        <is>
          <t>B4</t>
        </is>
      </c>
      <c r="E1199" s="9" t="n"/>
      <c r="F1199" s="15">
        <f>IF(E1199&lt;&gt;"","Đã VH","Quy hoạch điện VIII")</f>
        <v/>
      </c>
      <c r="G1199" s="16">
        <f>LEFT(B1199,FIND(" ",B1199,1)-1)</f>
        <v/>
      </c>
      <c r="H1199" s="16">
        <f>TRIM(RIGHT(B1199,LEN(B1199)-FIND(" ",B1199,1)))</f>
        <v/>
      </c>
      <c r="I1199" s="16">
        <f>_xlfn.XLOOKUP(Table2[[#This Row],[Type]],Table5[Type],Table5[Type2])</f>
        <v/>
      </c>
      <c r="J1199" s="16">
        <f>_xlfn.XLOOKUP(Table2[[#This Row],[Sym]],Zones!$A$2:$A$21,Zones!$B$2:$B$21)</f>
        <v/>
      </c>
      <c r="K1199" s="21" t="n"/>
    </row>
    <row r="1200">
      <c r="A1200" s="24" t="n">
        <v>3080</v>
      </c>
      <c r="B1200" s="10" t="inlineStr">
        <is>
          <t>T110 Tằng Loỏng 1</t>
        </is>
      </c>
      <c r="C1200" s="10" t="inlineStr">
        <is>
          <t>TBA 110kV Tằng Loỏng 1</t>
        </is>
      </c>
      <c r="D1200" s="3" t="inlineStr">
        <is>
          <t>B20</t>
        </is>
      </c>
      <c r="E1200" s="9" t="inlineStr">
        <is>
          <t>E20.1</t>
        </is>
      </c>
      <c r="F1200" s="15">
        <f>IF(E1200&lt;&gt;"","Đã VH","Quy hoạch điện VIII")</f>
        <v/>
      </c>
      <c r="G1200" s="16">
        <f>LEFT(B1200,FIND(" ",B1200,1)-1)</f>
        <v/>
      </c>
      <c r="H1200" s="16">
        <f>TRIM(RIGHT(B1200,LEN(B1200)-FIND(" ",B1200,1)))</f>
        <v/>
      </c>
      <c r="I1200" s="16">
        <f>_xlfn.XLOOKUP(Table2[[#This Row],[Type]],Table5[Type],Table5[Type2])</f>
        <v/>
      </c>
      <c r="J1200" s="16">
        <f>_xlfn.XLOOKUP(Table2[[#This Row],[Sym]],Zones!$A$2:$A$21,Zones!$B$2:$B$21)</f>
        <v/>
      </c>
      <c r="K1200" s="21" t="n"/>
    </row>
    <row r="1201">
      <c r="A1201" s="24" t="n">
        <v>3081</v>
      </c>
      <c r="B1201" s="10" t="inlineStr">
        <is>
          <t>T110 Lào Cai</t>
        </is>
      </c>
      <c r="C1201" s="10" t="inlineStr">
        <is>
          <t>TBA 110kV Lào Cai</t>
        </is>
      </c>
      <c r="D1201" s="3" t="inlineStr">
        <is>
          <t>B20</t>
        </is>
      </c>
      <c r="E1201" s="9" t="inlineStr">
        <is>
          <t>E20.2</t>
        </is>
      </c>
      <c r="F1201" s="15">
        <f>IF(E1201&lt;&gt;"","Đã VH","Quy hoạch điện VIII")</f>
        <v/>
      </c>
      <c r="G1201" s="16">
        <f>LEFT(B1201,FIND(" ",B1201,1)-1)</f>
        <v/>
      </c>
      <c r="H1201" s="16">
        <f>TRIM(RIGHT(B1201,LEN(B1201)-FIND(" ",B1201,1)))</f>
        <v/>
      </c>
      <c r="I1201" s="16">
        <f>_xlfn.XLOOKUP(Table2[[#This Row],[Type]],Table5[Type],Table5[Type2])</f>
        <v/>
      </c>
      <c r="J1201" s="16">
        <f>_xlfn.XLOOKUP(Table2[[#This Row],[Sym]],Zones!$A$2:$A$21,Zones!$B$2:$B$21)</f>
        <v/>
      </c>
      <c r="K1201" s="21" t="n"/>
    </row>
    <row r="1202">
      <c r="A1202" s="24" t="n">
        <v>3082</v>
      </c>
      <c r="B1202" s="10" t="inlineStr">
        <is>
          <t>T220 Lào Cai</t>
        </is>
      </c>
      <c r="C1202" s="10" t="inlineStr">
        <is>
          <t>TBA 220kV Lào Cai</t>
        </is>
      </c>
      <c r="D1202" s="3" t="inlineStr">
        <is>
          <t>B20</t>
        </is>
      </c>
      <c r="E1202" s="9" t="inlineStr">
        <is>
          <t>E20.3</t>
        </is>
      </c>
      <c r="F1202" s="15">
        <f>IF(E1202&lt;&gt;"","Đã VH","Quy hoạch điện VIII")</f>
        <v/>
      </c>
      <c r="G1202" s="16">
        <f>LEFT(B1202,FIND(" ",B1202,1)-1)</f>
        <v/>
      </c>
      <c r="H1202" s="16">
        <f>TRIM(RIGHT(B1202,LEN(B1202)-FIND(" ",B1202,1)))</f>
        <v/>
      </c>
      <c r="I1202" s="16">
        <f>_xlfn.XLOOKUP(Table2[[#This Row],[Type]],Table5[Type],Table5[Type2])</f>
        <v/>
      </c>
      <c r="J1202" s="16">
        <f>_xlfn.XLOOKUP(Table2[[#This Row],[Sym]],Zones!$A$2:$A$21,Zones!$B$2:$B$21)</f>
        <v/>
      </c>
      <c r="K1202" s="21" t="n"/>
    </row>
    <row r="1203">
      <c r="A1203" s="24" t="n">
        <v>3083</v>
      </c>
      <c r="B1203" s="10" t="inlineStr">
        <is>
          <t>TĐ Ngòi Xan 1</t>
        </is>
      </c>
      <c r="C1203" s="10" t="inlineStr">
        <is>
          <t>NM TĐN Ngòi Xan 1</t>
        </is>
      </c>
      <c r="D1203" s="3" t="inlineStr">
        <is>
          <t>B20</t>
        </is>
      </c>
      <c r="E1203" s="9" t="inlineStr">
        <is>
          <t>A20.8</t>
        </is>
      </c>
      <c r="F1203" s="15">
        <f>IF(E1203&lt;&gt;"","Đã VH","Quy hoạch điện VIII")</f>
        <v/>
      </c>
      <c r="G1203" s="16">
        <f>LEFT(B1203,FIND(" ",B1203,1)-1)</f>
        <v/>
      </c>
      <c r="H1203" s="16">
        <f>TRIM(RIGHT(B1203,LEN(B1203)-FIND(" ",B1203,1)))</f>
        <v/>
      </c>
      <c r="I1203" s="16">
        <f>_xlfn.XLOOKUP(Table2[[#This Row],[Type]],Table5[Type],Table5[Type2])</f>
        <v/>
      </c>
      <c r="J1203" s="16">
        <f>_xlfn.XLOOKUP(Table2[[#This Row],[Sym]],Zones!$A$2:$A$21,Zones!$B$2:$B$21)</f>
        <v/>
      </c>
      <c r="K1203" s="21" t="n"/>
    </row>
    <row r="1204">
      <c r="A1204" s="24" t="n">
        <v>3084</v>
      </c>
      <c r="B1204" s="10" t="inlineStr">
        <is>
          <t>TĐ Ngòi Xan 2</t>
        </is>
      </c>
      <c r="C1204" s="10" t="inlineStr">
        <is>
          <t>NM TĐN Ngòi Xan 2</t>
        </is>
      </c>
      <c r="D1204" s="3" t="inlineStr">
        <is>
          <t>B20</t>
        </is>
      </c>
      <c r="E1204" s="9" t="inlineStr">
        <is>
          <t>A20.11</t>
        </is>
      </c>
      <c r="F1204" s="15">
        <f>IF(E1204&lt;&gt;"","Đã VH","Quy hoạch điện VIII")</f>
        <v/>
      </c>
      <c r="G1204" s="16">
        <f>LEFT(B1204,FIND(" ",B1204,1)-1)</f>
        <v/>
      </c>
      <c r="H1204" s="16">
        <f>TRIM(RIGHT(B1204,LEN(B1204)-FIND(" ",B1204,1)))</f>
        <v/>
      </c>
      <c r="I1204" s="16">
        <f>_xlfn.XLOOKUP(Table2[[#This Row],[Type]],Table5[Type],Table5[Type2])</f>
        <v/>
      </c>
      <c r="J1204" s="16">
        <f>_xlfn.XLOOKUP(Table2[[#This Row],[Sym]],Zones!$A$2:$A$21,Zones!$B$2:$B$21)</f>
        <v/>
      </c>
      <c r="K1204" s="21" t="n"/>
    </row>
    <row r="1205">
      <c r="A1205" s="24" t="n">
        <v>3085</v>
      </c>
      <c r="B1205" s="10" t="inlineStr">
        <is>
          <t>TĐ Mường Hum</t>
        </is>
      </c>
      <c r="C1205" s="32" t="inlineStr">
        <is>
          <t>NM TĐ Mường Hum</t>
        </is>
      </c>
      <c r="D1205" s="3" t="inlineStr">
        <is>
          <t>B20</t>
        </is>
      </c>
      <c r="E1205" s="9" t="inlineStr">
        <is>
          <t>A20.15</t>
        </is>
      </c>
      <c r="F1205" s="15">
        <f>IF(E1205&lt;&gt;"","Đã VH","Quy hoạch điện VIII")</f>
        <v/>
      </c>
      <c r="G1205" s="16">
        <f>LEFT(B1205,FIND(" ",B1205,1)-1)</f>
        <v/>
      </c>
      <c r="H1205" s="16">
        <f>TRIM(RIGHT(B1205,LEN(B1205)-FIND(" ",B1205,1)))</f>
        <v/>
      </c>
      <c r="I1205" s="16">
        <f>_xlfn.XLOOKUP(Table2[[#This Row],[Type]],Table5[Type],Table5[Type2])</f>
        <v/>
      </c>
      <c r="J1205" s="16">
        <f>_xlfn.XLOOKUP(Table2[[#This Row],[Sym]],Zones!$A$2:$A$21,Zones!$B$2:$B$21)</f>
        <v/>
      </c>
      <c r="K1205" s="21" t="n"/>
    </row>
    <row r="1206">
      <c r="A1206" s="24" t="n">
        <v>3086</v>
      </c>
      <c r="B1206" s="10" t="inlineStr">
        <is>
          <t>TĐ Nậm Khóa 3</t>
        </is>
      </c>
      <c r="C1206" s="10" t="inlineStr">
        <is>
          <t>NM TĐN Nậm Khóa 3</t>
        </is>
      </c>
      <c r="D1206" s="3" t="inlineStr">
        <is>
          <t>B20</t>
        </is>
      </c>
      <c r="E1206" s="9" t="inlineStr">
        <is>
          <t>A20.16</t>
        </is>
      </c>
      <c r="F1206" s="15">
        <f>IF(E1206&lt;&gt;"","Đã VH","Quy hoạch điện VIII")</f>
        <v/>
      </c>
      <c r="G1206" s="16">
        <f>LEFT(B1206,FIND(" ",B1206,1)-1)</f>
        <v/>
      </c>
      <c r="H1206" s="16">
        <f>TRIM(RIGHT(B1206,LEN(B1206)-FIND(" ",B1206,1)))</f>
        <v/>
      </c>
      <c r="I1206" s="16">
        <f>_xlfn.XLOOKUP(Table2[[#This Row],[Type]],Table5[Type],Table5[Type2])</f>
        <v/>
      </c>
      <c r="J1206" s="16">
        <f>_xlfn.XLOOKUP(Table2[[#This Row],[Sym]],Zones!$A$2:$A$21,Zones!$B$2:$B$21)</f>
        <v/>
      </c>
      <c r="K1206" s="21" t="n"/>
    </row>
    <row r="1207">
      <c r="A1207" s="24" t="n">
        <v>3087</v>
      </c>
      <c r="B1207" s="10" t="inlineStr">
        <is>
          <t>TĐ Vạn Hồ</t>
        </is>
      </c>
      <c r="C1207" s="10" t="inlineStr">
        <is>
          <t>NM TĐN Vạn Hồ</t>
        </is>
      </c>
      <c r="D1207" s="3" t="inlineStr">
        <is>
          <t>B20</t>
        </is>
      </c>
      <c r="E1207" s="9" t="inlineStr">
        <is>
          <t>A20.17</t>
        </is>
      </c>
      <c r="F1207" s="15">
        <f>IF(E1207&lt;&gt;"","Đã VH","Quy hoạch điện VIII")</f>
        <v/>
      </c>
      <c r="G1207" s="16">
        <f>LEFT(B1207,FIND(" ",B1207,1)-1)</f>
        <v/>
      </c>
      <c r="H1207" s="16">
        <f>TRIM(RIGHT(B1207,LEN(B1207)-FIND(" ",B1207,1)))</f>
        <v/>
      </c>
      <c r="I1207" s="16">
        <f>_xlfn.XLOOKUP(Table2[[#This Row],[Type]],Table5[Type],Table5[Type2])</f>
        <v/>
      </c>
      <c r="J1207" s="16">
        <f>_xlfn.XLOOKUP(Table2[[#This Row],[Sym]],Zones!$A$2:$A$21,Zones!$B$2:$B$21)</f>
        <v/>
      </c>
      <c r="K1207" s="21" t="n"/>
    </row>
    <row r="1208">
      <c r="A1208" s="24" t="n">
        <v>3088</v>
      </c>
      <c r="B1208" s="10" t="inlineStr">
        <is>
          <t>TĐ Nậm Khánh</t>
        </is>
      </c>
      <c r="C1208" s="10" t="inlineStr">
        <is>
          <t>NM TĐN Nậm Khánh</t>
        </is>
      </c>
      <c r="D1208" s="3" t="inlineStr">
        <is>
          <t>B20</t>
        </is>
      </c>
      <c r="E1208" s="9" t="inlineStr">
        <is>
          <t>A20.19</t>
        </is>
      </c>
      <c r="F1208" s="15">
        <f>IF(E1208&lt;&gt;"","Đã VH","Quy hoạch điện VIII")</f>
        <v/>
      </c>
      <c r="G1208" s="16">
        <f>LEFT(B1208,FIND(" ",B1208,1)-1)</f>
        <v/>
      </c>
      <c r="H1208" s="16">
        <f>TRIM(RIGHT(B1208,LEN(B1208)-FIND(" ",B1208,1)))</f>
        <v/>
      </c>
      <c r="I1208" s="16">
        <f>_xlfn.XLOOKUP(Table2[[#This Row],[Type]],Table5[Type],Table5[Type2])</f>
        <v/>
      </c>
      <c r="J1208" s="16">
        <f>_xlfn.XLOOKUP(Table2[[#This Row],[Sym]],Zones!$A$2:$A$21,Zones!$B$2:$B$21)</f>
        <v/>
      </c>
      <c r="K1208" s="21" t="n"/>
    </row>
    <row r="1209">
      <c r="A1209" s="24" t="n">
        <v>3089</v>
      </c>
      <c r="B1209" s="10" t="inlineStr">
        <is>
          <t>TĐ Sử Pán 2</t>
        </is>
      </c>
      <c r="C1209" s="10" t="inlineStr">
        <is>
          <t>NM TĐN Sử Pán 2</t>
        </is>
      </c>
      <c r="D1209" s="3" t="inlineStr">
        <is>
          <t>B20</t>
        </is>
      </c>
      <c r="E1209" s="9" t="inlineStr">
        <is>
          <t>A20.20</t>
        </is>
      </c>
      <c r="F1209" s="15">
        <f>IF(E1209&lt;&gt;"","Đã VH","Quy hoạch điện VIII")</f>
        <v/>
      </c>
      <c r="G1209" s="16">
        <f>LEFT(B1209,FIND(" ",B1209,1)-1)</f>
        <v/>
      </c>
      <c r="H1209" s="16">
        <f>TRIM(RIGHT(B1209,LEN(B1209)-FIND(" ",B1209,1)))</f>
        <v/>
      </c>
      <c r="I1209" s="16">
        <f>_xlfn.XLOOKUP(Table2[[#This Row],[Type]],Table5[Type],Table5[Type2])</f>
        <v/>
      </c>
      <c r="J1209" s="16">
        <f>_xlfn.XLOOKUP(Table2[[#This Row],[Sym]],Zones!$A$2:$A$21,Zones!$B$2:$B$21)</f>
        <v/>
      </c>
      <c r="K1209" s="21" t="n"/>
    </row>
    <row r="1210">
      <c r="A1210" s="24" t="n">
        <v>3090</v>
      </c>
      <c r="B1210" s="10" t="inlineStr">
        <is>
          <t>TĐ Nậm Pung</t>
        </is>
      </c>
      <c r="C1210" s="10" t="inlineStr">
        <is>
          <t>NM TĐN Nậm Pung</t>
        </is>
      </c>
      <c r="D1210" s="3" t="inlineStr">
        <is>
          <t>B20</t>
        </is>
      </c>
      <c r="E1210" s="9" t="inlineStr">
        <is>
          <t>A20.21</t>
        </is>
      </c>
      <c r="F1210" s="15">
        <f>IF(E1210&lt;&gt;"","Đã VH","Quy hoạch điện VIII")</f>
        <v/>
      </c>
      <c r="G1210" s="16">
        <f>LEFT(B1210,FIND(" ",B1210,1)-1)</f>
        <v/>
      </c>
      <c r="H1210" s="16">
        <f>TRIM(RIGHT(B1210,LEN(B1210)-FIND(" ",B1210,1)))</f>
        <v/>
      </c>
      <c r="I1210" s="16">
        <f>_xlfn.XLOOKUP(Table2[[#This Row],[Type]],Table5[Type],Table5[Type2])</f>
        <v/>
      </c>
      <c r="J1210" s="16">
        <f>_xlfn.XLOOKUP(Table2[[#This Row],[Sym]],Zones!$A$2:$A$21,Zones!$B$2:$B$21)</f>
        <v/>
      </c>
      <c r="K1210" s="21" t="n"/>
    </row>
    <row r="1211">
      <c r="A1211" s="24" t="n">
        <v>3091</v>
      </c>
      <c r="B1211" s="10" t="inlineStr">
        <is>
          <t>TĐ Nậm Phàng</t>
        </is>
      </c>
      <c r="C1211" s="10" t="inlineStr">
        <is>
          <t>NM TĐN Nậm Phàng</t>
        </is>
      </c>
      <c r="D1211" s="3" t="inlineStr">
        <is>
          <t>B20</t>
        </is>
      </c>
      <c r="E1211" s="9" t="inlineStr">
        <is>
          <t>A20.22</t>
        </is>
      </c>
      <c r="F1211" s="15">
        <f>IF(E1211&lt;&gt;"","Đã VH","Quy hoạch điện VIII")</f>
        <v/>
      </c>
      <c r="G1211" s="16">
        <f>LEFT(B1211,FIND(" ",B1211,1)-1)</f>
        <v/>
      </c>
      <c r="H1211" s="16">
        <f>TRIM(RIGHT(B1211,LEN(B1211)-FIND(" ",B1211,1)))</f>
        <v/>
      </c>
      <c r="I1211" s="16">
        <f>_xlfn.XLOOKUP(Table2[[#This Row],[Type]],Table5[Type],Table5[Type2])</f>
        <v/>
      </c>
      <c r="J1211" s="16">
        <f>_xlfn.XLOOKUP(Table2[[#This Row],[Sym]],Zones!$A$2:$A$21,Zones!$B$2:$B$21)</f>
        <v/>
      </c>
      <c r="K1211" s="21" t="n"/>
    </row>
    <row r="1212">
      <c r="A1212" s="24" t="n">
        <v>3092</v>
      </c>
      <c r="B1212" s="10" t="inlineStr">
        <is>
          <t>T220 Bảo Thắng</t>
        </is>
      </c>
      <c r="C1212" s="10" t="inlineStr">
        <is>
          <t>TBA 220kV Bảo Thắng</t>
        </is>
      </c>
      <c r="D1212" s="3" t="inlineStr">
        <is>
          <t>B20</t>
        </is>
      </c>
      <c r="E1212" s="9" t="inlineStr">
        <is>
          <t>E20.23</t>
        </is>
      </c>
      <c r="F1212" s="15">
        <f>IF(E1212&lt;&gt;"","Đã VH","Quy hoạch điện VIII")</f>
        <v/>
      </c>
      <c r="G1212" s="16">
        <f>LEFT(B1212,FIND(" ",B1212,1)-1)</f>
        <v/>
      </c>
      <c r="H1212" s="16">
        <f>TRIM(RIGHT(B1212,LEN(B1212)-FIND(" ",B1212,1)))</f>
        <v/>
      </c>
      <c r="I1212" s="16">
        <f>_xlfn.XLOOKUP(Table2[[#This Row],[Type]],Table5[Type],Table5[Type2])</f>
        <v/>
      </c>
      <c r="J1212" s="16">
        <f>_xlfn.XLOOKUP(Table2[[#This Row],[Sym]],Zones!$A$2:$A$21,Zones!$B$2:$B$21)</f>
        <v/>
      </c>
      <c r="K1212" s="21" t="n"/>
    </row>
    <row r="1213">
      <c r="A1213" s="24" t="n">
        <v>3093</v>
      </c>
      <c r="B1213" s="10" t="inlineStr">
        <is>
          <t>TĐ Séo Chong Hô</t>
        </is>
      </c>
      <c r="C1213" s="10" t="inlineStr">
        <is>
          <t>NM TĐN Séo Chong Hô</t>
        </is>
      </c>
      <c r="D1213" s="3" t="inlineStr">
        <is>
          <t>B20</t>
        </is>
      </c>
      <c r="E1213" s="9" t="inlineStr">
        <is>
          <t>A20.24</t>
        </is>
      </c>
      <c r="F1213" s="15">
        <f>IF(E1213&lt;&gt;"","Đã VH","Quy hoạch điện VIII")</f>
        <v/>
      </c>
      <c r="G1213" s="16">
        <f>LEFT(B1213,FIND(" ",B1213,1)-1)</f>
        <v/>
      </c>
      <c r="H1213" s="16">
        <f>TRIM(RIGHT(B1213,LEN(B1213)-FIND(" ",B1213,1)))</f>
        <v/>
      </c>
      <c r="I1213" s="16">
        <f>_xlfn.XLOOKUP(Table2[[#This Row],[Type]],Table5[Type],Table5[Type2])</f>
        <v/>
      </c>
      <c r="J1213" s="16">
        <f>_xlfn.XLOOKUP(Table2[[#This Row],[Sym]],Zones!$A$2:$A$21,Zones!$B$2:$B$21)</f>
        <v/>
      </c>
      <c r="K1213" s="21" t="n"/>
    </row>
    <row r="1214">
      <c r="A1214" s="24" t="n">
        <v>3094</v>
      </c>
      <c r="B1214" s="10" t="inlineStr">
        <is>
          <t>T110 GT Lào Cai</t>
        </is>
      </c>
      <c r="C1214" s="10" t="inlineStr">
        <is>
          <t>TBA 110kV GT Lào Cai</t>
        </is>
      </c>
      <c r="D1214" s="3" t="inlineStr">
        <is>
          <t>B20</t>
        </is>
      </c>
      <c r="E1214" s="9" t="inlineStr">
        <is>
          <t>E20.25</t>
        </is>
      </c>
      <c r="F1214" s="15">
        <f>IF(E1214&lt;&gt;"","Đã VH","Quy hoạch điện VIII")</f>
        <v/>
      </c>
      <c r="G1214" s="16">
        <f>LEFT(B1214,FIND(" ",B1214,1)-1)</f>
        <v/>
      </c>
      <c r="H1214" s="16">
        <f>TRIM(RIGHT(B1214,LEN(B1214)-FIND(" ",B1214,1)))</f>
        <v/>
      </c>
      <c r="I1214" s="16">
        <f>_xlfn.XLOOKUP(Table2[[#This Row],[Type]],Table5[Type],Table5[Type2])</f>
        <v/>
      </c>
      <c r="J1214" s="16">
        <f>_xlfn.XLOOKUP(Table2[[#This Row],[Sym]],Zones!$A$2:$A$21,Zones!$B$2:$B$21)</f>
        <v/>
      </c>
      <c r="K1214" s="21" t="n"/>
    </row>
    <row r="1215">
      <c r="A1215" s="24" t="n">
        <v>3095</v>
      </c>
      <c r="B1215" s="10" t="inlineStr">
        <is>
          <t>TĐ Tà Lơi 2</t>
        </is>
      </c>
      <c r="C1215" s="10" t="inlineStr">
        <is>
          <t>NM TĐN Tà Lơi 2</t>
        </is>
      </c>
      <c r="D1215" s="3" t="inlineStr">
        <is>
          <t>B20</t>
        </is>
      </c>
      <c r="E1215" s="9" t="inlineStr">
        <is>
          <t>A20.27</t>
        </is>
      </c>
      <c r="F1215" s="15">
        <f>IF(E1215&lt;&gt;"","Đã VH","Quy hoạch điện VIII")</f>
        <v/>
      </c>
      <c r="G1215" s="16">
        <f>LEFT(B1215,FIND(" ",B1215,1)-1)</f>
        <v/>
      </c>
      <c r="H1215" s="16">
        <f>TRIM(RIGHT(B1215,LEN(B1215)-FIND(" ",B1215,1)))</f>
        <v/>
      </c>
      <c r="I1215" s="16">
        <f>_xlfn.XLOOKUP(Table2[[#This Row],[Type]],Table5[Type],Table5[Type2])</f>
        <v/>
      </c>
      <c r="J1215" s="16">
        <f>_xlfn.XLOOKUP(Table2[[#This Row],[Sym]],Zones!$A$2:$A$21,Zones!$B$2:$B$21)</f>
        <v/>
      </c>
      <c r="K1215" s="21" t="n"/>
    </row>
    <row r="1216">
      <c r="A1216" s="24" t="n">
        <v>3096</v>
      </c>
      <c r="B1216" s="10" t="inlineStr">
        <is>
          <t>TĐ Bắc Nà</t>
        </is>
      </c>
      <c r="C1216" s="30" t="inlineStr">
        <is>
          <t>NM TĐN Bắc Nà</t>
        </is>
      </c>
      <c r="D1216" s="3" t="inlineStr">
        <is>
          <t>B20</t>
        </is>
      </c>
      <c r="E1216" s="9" t="inlineStr">
        <is>
          <t>A20.46</t>
        </is>
      </c>
      <c r="F1216" s="15">
        <f>IF(E1216&lt;&gt;"","Đã VH","Quy hoạch điện VIII")</f>
        <v/>
      </c>
      <c r="G1216" s="16">
        <f>LEFT(B1216,FIND(" ",B1216,1)-1)</f>
        <v/>
      </c>
      <c r="H1216" s="16">
        <f>TRIM(RIGHT(B1216,LEN(B1216)-FIND(" ",B1216,1)))</f>
        <v/>
      </c>
      <c r="I1216" s="16">
        <f>_xlfn.XLOOKUP(Table2[[#This Row],[Type]],Table5[Type],Table5[Type2])</f>
        <v/>
      </c>
      <c r="J1216" s="16">
        <f>_xlfn.XLOOKUP(Table2[[#This Row],[Sym]],Zones!$A$2:$A$21,Zones!$B$2:$B$21)</f>
        <v/>
      </c>
      <c r="K1216" s="21" t="n"/>
      <c r="R1216" t="inlineStr">
        <is>
          <t>Đã sửa từ dashboard (NM TĐN Bắc Nà ➔ NM TĐN Bắc Nà)</t>
        </is>
      </c>
    </row>
    <row r="1217">
      <c r="A1217" s="24" t="n">
        <v>3097</v>
      </c>
      <c r="B1217" s="10" t="inlineStr">
        <is>
          <t>T110 Ngòi Xan</t>
        </is>
      </c>
      <c r="C1217" s="10" t="inlineStr">
        <is>
          <t>TBA 110kV Ngòi Xan</t>
        </is>
      </c>
      <c r="D1217" s="3" t="inlineStr">
        <is>
          <t>B20</t>
        </is>
      </c>
      <c r="E1217" s="9" t="inlineStr">
        <is>
          <t>E20.29</t>
        </is>
      </c>
      <c r="F1217" s="15">
        <f>IF(E1217&lt;&gt;"","Đã VH","Quy hoạch điện VIII")</f>
        <v/>
      </c>
      <c r="G1217" s="16">
        <f>LEFT(B1217,FIND(" ",B1217,1)-1)</f>
        <v/>
      </c>
      <c r="H1217" s="16">
        <f>TRIM(RIGHT(B1217,LEN(B1217)-FIND(" ",B1217,1)))</f>
        <v/>
      </c>
      <c r="I1217" s="16">
        <f>_xlfn.XLOOKUP(Table2[[#This Row],[Type]],Table5[Type],Table5[Type2])</f>
        <v/>
      </c>
      <c r="J1217" s="16">
        <f>_xlfn.XLOOKUP(Table2[[#This Row],[Sym]],Zones!$A$2:$A$21,Zones!$B$2:$B$21)</f>
        <v/>
      </c>
      <c r="K1217" s="21" t="n"/>
    </row>
    <row r="1218">
      <c r="A1218" s="24" t="n">
        <v>3098</v>
      </c>
      <c r="B1218" s="10" t="inlineStr">
        <is>
          <t>TĐ Bắc Hà</t>
        </is>
      </c>
      <c r="C1218" s="10" t="inlineStr">
        <is>
          <t>NM TĐN Bắc Hà</t>
        </is>
      </c>
      <c r="D1218" s="3" t="inlineStr">
        <is>
          <t>B20</t>
        </is>
      </c>
      <c r="E1218" s="9" t="inlineStr">
        <is>
          <t>A20.30</t>
        </is>
      </c>
      <c r="F1218" s="15">
        <f>IF(E1218&lt;&gt;"","Đã VH","Quy hoạch điện VIII")</f>
        <v/>
      </c>
      <c r="G1218" s="16">
        <f>LEFT(B1218,FIND(" ",B1218,1)-1)</f>
        <v/>
      </c>
      <c r="H1218" s="16">
        <f>TRIM(RIGHT(B1218,LEN(B1218)-FIND(" ",B1218,1)))</f>
        <v/>
      </c>
      <c r="I1218" s="16">
        <f>_xlfn.XLOOKUP(Table2[[#This Row],[Type]],Table5[Type],Table5[Type2])</f>
        <v/>
      </c>
      <c r="J1218" s="16">
        <f>_xlfn.XLOOKUP(Table2[[#This Row],[Sym]],Zones!$A$2:$A$21,Zones!$B$2:$B$21)</f>
        <v/>
      </c>
      <c r="K1218" s="21" t="n"/>
    </row>
    <row r="1219">
      <c r="A1219" s="24" t="n">
        <v>3099</v>
      </c>
      <c r="B1219" s="10" t="inlineStr">
        <is>
          <t>TĐ Sùng Vui</t>
        </is>
      </c>
      <c r="C1219" s="10" t="inlineStr">
        <is>
          <t>NM TĐN Sùng Vui</t>
        </is>
      </c>
      <c r="D1219" s="3" t="inlineStr">
        <is>
          <t>B20</t>
        </is>
      </c>
      <c r="E1219" s="9" t="inlineStr">
        <is>
          <t>A20.31</t>
        </is>
      </c>
      <c r="F1219" s="15">
        <f>IF(E1219&lt;&gt;"","Đã VH","Quy hoạch điện VIII")</f>
        <v/>
      </c>
      <c r="G1219" s="16">
        <f>LEFT(B1219,FIND(" ",B1219,1)-1)</f>
        <v/>
      </c>
      <c r="H1219" s="16">
        <f>TRIM(RIGHT(B1219,LEN(B1219)-FIND(" ",B1219,1)))</f>
        <v/>
      </c>
      <c r="I1219" s="16">
        <f>_xlfn.XLOOKUP(Table2[[#This Row],[Type]],Table5[Type],Table5[Type2])</f>
        <v/>
      </c>
      <c r="J1219" s="16">
        <f>_xlfn.XLOOKUP(Table2[[#This Row],[Sym]],Zones!$A$2:$A$21,Zones!$B$2:$B$21)</f>
        <v/>
      </c>
      <c r="K1219" s="21" t="n"/>
    </row>
    <row r="1220">
      <c r="A1220" s="24" t="n">
        <v>3100</v>
      </c>
      <c r="B1220" s="10" t="inlineStr">
        <is>
          <t>TĐ Tà Thàng</t>
        </is>
      </c>
      <c r="C1220" s="10" t="inlineStr">
        <is>
          <t>NM TĐN Tà Thàng</t>
        </is>
      </c>
      <c r="D1220" s="3" t="inlineStr">
        <is>
          <t>B20</t>
        </is>
      </c>
      <c r="E1220" s="9" t="inlineStr">
        <is>
          <t>A20.32</t>
        </is>
      </c>
      <c r="F1220" s="15">
        <f>IF(E1220&lt;&gt;"","Đã VH","Quy hoạch điện VIII")</f>
        <v/>
      </c>
      <c r="G1220" s="16">
        <f>LEFT(B1220,FIND(" ",B1220,1)-1)</f>
        <v/>
      </c>
      <c r="H1220" s="16">
        <f>TRIM(RIGHT(B1220,LEN(B1220)-FIND(" ",B1220,1)))</f>
        <v/>
      </c>
      <c r="I1220" s="16">
        <f>_xlfn.XLOOKUP(Table2[[#This Row],[Type]],Table5[Type],Table5[Type2])</f>
        <v/>
      </c>
      <c r="J1220" s="16">
        <f>_xlfn.XLOOKUP(Table2[[#This Row],[Sym]],Zones!$A$2:$A$21,Zones!$B$2:$B$21)</f>
        <v/>
      </c>
      <c r="K1220" s="21" t="n"/>
    </row>
    <row r="1221">
      <c r="A1221" s="24" t="n">
        <v>3101</v>
      </c>
      <c r="B1221" s="10" t="inlineStr">
        <is>
          <t>T110 Nậm Tha</t>
        </is>
      </c>
      <c r="C1221" s="10" t="inlineStr">
        <is>
          <t>TBA 110kV Nậm Tha</t>
        </is>
      </c>
      <c r="D1221" s="3" t="inlineStr">
        <is>
          <t>B20</t>
        </is>
      </c>
      <c r="E1221" s="9" t="inlineStr">
        <is>
          <t>E20.33</t>
        </is>
      </c>
      <c r="F1221" s="15">
        <f>IF(E1221&lt;&gt;"","Đã VH","Quy hoạch điện VIII")</f>
        <v/>
      </c>
      <c r="G1221" s="16">
        <f>LEFT(B1221,FIND(" ",B1221,1)-1)</f>
        <v/>
      </c>
      <c r="H1221" s="16">
        <f>TRIM(RIGHT(B1221,LEN(B1221)-FIND(" ",B1221,1)))</f>
        <v/>
      </c>
      <c r="I1221" s="16">
        <f>_xlfn.XLOOKUP(Table2[[#This Row],[Type]],Table5[Type],Table5[Type2])</f>
        <v/>
      </c>
      <c r="J1221" s="16">
        <f>_xlfn.XLOOKUP(Table2[[#This Row],[Sym]],Zones!$A$2:$A$21,Zones!$B$2:$B$21)</f>
        <v/>
      </c>
      <c r="K1221" s="21" t="n"/>
    </row>
    <row r="1222">
      <c r="A1222" s="24" t="n">
        <v>3102</v>
      </c>
      <c r="B1222" s="10" t="inlineStr">
        <is>
          <t>TĐ Suối Chăn 2</t>
        </is>
      </c>
      <c r="C1222" s="10" t="inlineStr">
        <is>
          <t>NM TĐN Suối Chăn 2</t>
        </is>
      </c>
      <c r="D1222" s="3" t="inlineStr">
        <is>
          <t>B20</t>
        </is>
      </c>
      <c r="E1222" s="9" t="inlineStr">
        <is>
          <t>A20.42</t>
        </is>
      </c>
      <c r="F1222" s="15">
        <f>IF(E1222&lt;&gt;"","Đã VH","Quy hoạch điện VIII")</f>
        <v/>
      </c>
      <c r="G1222" s="16">
        <f>LEFT(B1222,FIND(" ",B1222,1)-1)</f>
        <v/>
      </c>
      <c r="H1222" s="16">
        <f>TRIM(RIGHT(B1222,LEN(B1222)-FIND(" ",B1222,1)))</f>
        <v/>
      </c>
      <c r="I1222" s="16">
        <f>_xlfn.XLOOKUP(Table2[[#This Row],[Type]],Table5[Type],Table5[Type2])</f>
        <v/>
      </c>
      <c r="J1222" s="16">
        <f>_xlfn.XLOOKUP(Table2[[#This Row],[Sym]],Zones!$A$2:$A$21,Zones!$B$2:$B$21)</f>
        <v/>
      </c>
      <c r="K1222" s="21" t="n"/>
    </row>
    <row r="1223">
      <c r="A1223" s="24" t="n">
        <v>3103</v>
      </c>
      <c r="B1223" s="10" t="inlineStr">
        <is>
          <t>T110 Nậm Xây Luông</t>
        </is>
      </c>
      <c r="C1223" s="10" t="inlineStr">
        <is>
          <t>TBA 110kV Nậm Xây Luông</t>
        </is>
      </c>
      <c r="D1223" s="3" t="inlineStr">
        <is>
          <t>B20</t>
        </is>
      </c>
      <c r="E1223" s="9" t="inlineStr">
        <is>
          <t>E20.48</t>
        </is>
      </c>
      <c r="F1223" s="15">
        <f>IF(E1223&lt;&gt;"","Đã VH","Quy hoạch điện VIII")</f>
        <v/>
      </c>
      <c r="G1223" s="16">
        <f>LEFT(B1223,FIND(" ",B1223,1)-1)</f>
        <v/>
      </c>
      <c r="H1223" s="16">
        <f>TRIM(RIGHT(B1223,LEN(B1223)-FIND(" ",B1223,1)))</f>
        <v/>
      </c>
      <c r="I1223" s="16">
        <f>_xlfn.XLOOKUP(Table2[[#This Row],[Type]],Table5[Type],Table5[Type2])</f>
        <v/>
      </c>
      <c r="J1223" s="16">
        <f>_xlfn.XLOOKUP(Table2[[#This Row],[Sym]],Zones!$A$2:$A$21,Zones!$B$2:$B$21)</f>
        <v/>
      </c>
      <c r="K1223" s="21" t="n"/>
    </row>
    <row r="1224">
      <c r="A1224" s="24" t="n">
        <v>3104</v>
      </c>
      <c r="B1224" s="10" t="inlineStr">
        <is>
          <t>T110 Tằng Loỏng 2</t>
        </is>
      </c>
      <c r="C1224" s="10" t="inlineStr">
        <is>
          <t>TBA 110kV Tằng Loỏng 2</t>
        </is>
      </c>
      <c r="D1224" s="3" t="inlineStr">
        <is>
          <t>B20</t>
        </is>
      </c>
      <c r="E1224" s="9" t="inlineStr">
        <is>
          <t>E20.37</t>
        </is>
      </c>
      <c r="F1224" s="15">
        <f>IF(E1224&lt;&gt;"","Đã VH","Quy hoạch điện VIII")</f>
        <v/>
      </c>
      <c r="G1224" s="16">
        <f>LEFT(B1224,FIND(" ",B1224,1)-1)</f>
        <v/>
      </c>
      <c r="H1224" s="16">
        <f>TRIM(RIGHT(B1224,LEN(B1224)-FIND(" ",B1224,1)))</f>
        <v/>
      </c>
      <c r="I1224" s="16">
        <f>_xlfn.XLOOKUP(Table2[[#This Row],[Type]],Table5[Type],Table5[Type2])</f>
        <v/>
      </c>
      <c r="J1224" s="16">
        <f>_xlfn.XLOOKUP(Table2[[#This Row],[Sym]],Zones!$A$2:$A$21,Zones!$B$2:$B$21)</f>
        <v/>
      </c>
      <c r="K1224" s="21" t="n"/>
    </row>
    <row r="1225">
      <c r="A1225" s="24" t="n">
        <v>3105</v>
      </c>
      <c r="B1225" s="10" t="inlineStr">
        <is>
          <t>TĐ Trung Hồ</t>
        </is>
      </c>
      <c r="C1225" s="10" t="inlineStr">
        <is>
          <t>NM TĐN Trung Hồ</t>
        </is>
      </c>
      <c r="D1225" s="3" t="inlineStr">
        <is>
          <t>B20</t>
        </is>
      </c>
      <c r="E1225" s="9" t="inlineStr">
        <is>
          <t>A20.38</t>
        </is>
      </c>
      <c r="F1225" s="15">
        <f>IF(E1225&lt;&gt;"","Đã VH","Quy hoạch điện VIII")</f>
        <v/>
      </c>
      <c r="G1225" s="16">
        <f>LEFT(B1225,FIND(" ",B1225,1)-1)</f>
        <v/>
      </c>
      <c r="H1225" s="16">
        <f>TRIM(RIGHT(B1225,LEN(B1225)-FIND(" ",B1225,1)))</f>
        <v/>
      </c>
      <c r="I1225" s="16">
        <f>_xlfn.XLOOKUP(Table2[[#This Row],[Type]],Table5[Type],Table5[Type2])</f>
        <v/>
      </c>
      <c r="J1225" s="16">
        <f>_xlfn.XLOOKUP(Table2[[#This Row],[Sym]],Zones!$A$2:$A$21,Zones!$B$2:$B$21)</f>
        <v/>
      </c>
      <c r="K1225" s="21" t="n"/>
    </row>
    <row r="1226">
      <c r="A1226" s="24" t="n">
        <v>3106</v>
      </c>
      <c r="B1226" s="10" t="inlineStr">
        <is>
          <t>TĐ Ngòi Phát</t>
        </is>
      </c>
      <c r="C1226" s="10" t="inlineStr">
        <is>
          <t>NM TĐN Ngòi Phát</t>
        </is>
      </c>
      <c r="D1226" s="3" t="inlineStr">
        <is>
          <t>B20</t>
        </is>
      </c>
      <c r="E1226" s="9" t="inlineStr">
        <is>
          <t>A20.39</t>
        </is>
      </c>
      <c r="F1226" s="15">
        <f>IF(E1226&lt;&gt;"","Đã VH","Quy hoạch điện VIII")</f>
        <v/>
      </c>
      <c r="G1226" s="16">
        <f>LEFT(B1226,FIND(" ",B1226,1)-1)</f>
        <v/>
      </c>
      <c r="H1226" s="16">
        <f>TRIM(RIGHT(B1226,LEN(B1226)-FIND(" ",B1226,1)))</f>
        <v/>
      </c>
      <c r="I1226" s="16">
        <f>_xlfn.XLOOKUP(Table2[[#This Row],[Type]],Table5[Type],Table5[Type2])</f>
        <v/>
      </c>
      <c r="J1226" s="16">
        <f>_xlfn.XLOOKUP(Table2[[#This Row],[Sym]],Zones!$A$2:$A$21,Zones!$B$2:$B$21)</f>
        <v/>
      </c>
      <c r="K1226" s="21" t="n"/>
    </row>
    <row r="1227">
      <c r="A1227" s="24" t="n">
        <v>3107</v>
      </c>
      <c r="B1227" s="10" t="inlineStr">
        <is>
          <t>T110 Văn Bàn</t>
        </is>
      </c>
      <c r="C1227" s="10" t="inlineStr">
        <is>
          <t>TBA 110kV Văn Bàn</t>
        </is>
      </c>
      <c r="D1227" s="3" t="inlineStr">
        <is>
          <t>B20</t>
        </is>
      </c>
      <c r="E1227" s="9" t="inlineStr">
        <is>
          <t>E20.40</t>
        </is>
      </c>
      <c r="F1227" s="15">
        <f>IF(E1227&lt;&gt;"","Đã VH","Quy hoạch điện VIII")</f>
        <v/>
      </c>
      <c r="G1227" s="16">
        <f>LEFT(B1227,FIND(" ",B1227,1)-1)</f>
        <v/>
      </c>
      <c r="H1227" s="16">
        <f>TRIM(RIGHT(B1227,LEN(B1227)-FIND(" ",B1227,1)))</f>
        <v/>
      </c>
      <c r="I1227" s="16">
        <f>_xlfn.XLOOKUP(Table2[[#This Row],[Type]],Table5[Type],Table5[Type2])</f>
        <v/>
      </c>
      <c r="J1227" s="16">
        <f>_xlfn.XLOOKUP(Table2[[#This Row],[Sym]],Zones!$A$2:$A$21,Zones!$B$2:$B$21)</f>
        <v/>
      </c>
      <c r="K1227" s="21" t="n"/>
    </row>
    <row r="1228">
      <c r="A1228" s="24" t="n">
        <v>3108</v>
      </c>
      <c r="B1228" s="10" t="inlineStr">
        <is>
          <t>TĐ Cốc San</t>
        </is>
      </c>
      <c r="C1228" s="10" t="inlineStr">
        <is>
          <t>NM TĐN Cốc San</t>
        </is>
      </c>
      <c r="D1228" s="3" t="inlineStr">
        <is>
          <t>B20</t>
        </is>
      </c>
      <c r="E1228" s="9" t="inlineStr">
        <is>
          <t>A20.41</t>
        </is>
      </c>
      <c r="F1228" s="15">
        <f>IF(E1228&lt;&gt;"","Đã VH","Quy hoạch điện VIII")</f>
        <v/>
      </c>
      <c r="G1228" s="16">
        <f>LEFT(B1228,FIND(" ",B1228,1)-1)</f>
        <v/>
      </c>
      <c r="H1228" s="16">
        <f>TRIM(RIGHT(B1228,LEN(B1228)-FIND(" ",B1228,1)))</f>
        <v/>
      </c>
      <c r="I1228" s="16">
        <f>_xlfn.XLOOKUP(Table2[[#This Row],[Type]],Table5[Type],Table5[Type2])</f>
        <v/>
      </c>
      <c r="J1228" s="16">
        <f>_xlfn.XLOOKUP(Table2[[#This Row],[Sym]],Zones!$A$2:$A$21,Zones!$B$2:$B$21)</f>
        <v/>
      </c>
      <c r="K1228" s="21" t="n"/>
    </row>
    <row r="1229">
      <c r="A1229" s="24" t="n">
        <v>3109</v>
      </c>
      <c r="B1229" s="10" t="inlineStr">
        <is>
          <t>TĐ Vĩnh Hà</t>
        </is>
      </c>
      <c r="C1229" s="10" t="inlineStr">
        <is>
          <t>NM TĐN Vĩnh Hà</t>
        </is>
      </c>
      <c r="D1229" s="3" t="inlineStr">
        <is>
          <t>B20</t>
        </is>
      </c>
      <c r="E1229" s="9" t="inlineStr">
        <is>
          <t>A20.43</t>
        </is>
      </c>
      <c r="F1229" s="15">
        <f>IF(E1229&lt;&gt;"","Đã VH","Quy hoạch điện VIII")</f>
        <v/>
      </c>
      <c r="G1229" s="16">
        <f>LEFT(B1229,FIND(" ",B1229,1)-1)</f>
        <v/>
      </c>
      <c r="H1229" s="16">
        <f>TRIM(RIGHT(B1229,LEN(B1229)-FIND(" ",B1229,1)))</f>
        <v/>
      </c>
      <c r="I1229" s="16">
        <f>_xlfn.XLOOKUP(Table2[[#This Row],[Type]],Table5[Type],Table5[Type2])</f>
        <v/>
      </c>
      <c r="J1229" s="16">
        <f>_xlfn.XLOOKUP(Table2[[#This Row],[Sym]],Zones!$A$2:$A$21,Zones!$B$2:$B$21)</f>
        <v/>
      </c>
      <c r="K1229" s="21" t="n"/>
    </row>
    <row r="1230">
      <c r="A1230" s="24" t="n">
        <v>3110</v>
      </c>
      <c r="B1230" s="10" t="inlineStr">
        <is>
          <t>TĐ Nậm Củn 2</t>
        </is>
      </c>
      <c r="C1230" s="10" t="inlineStr">
        <is>
          <t>NM TĐN Nậm Củn 2</t>
        </is>
      </c>
      <c r="D1230" s="3" t="inlineStr">
        <is>
          <t>B20</t>
        </is>
      </c>
      <c r="E1230" s="9" t="inlineStr">
        <is>
          <t>A20.52</t>
        </is>
      </c>
      <c r="F1230" s="15">
        <f>IF(E1230&lt;&gt;"","Đã VH","Quy hoạch điện VIII")</f>
        <v/>
      </c>
      <c r="G1230" s="16">
        <f>LEFT(B1230,FIND(" ",B1230,1)-1)</f>
        <v/>
      </c>
      <c r="H1230" s="16">
        <f>TRIM(RIGHT(B1230,LEN(B1230)-FIND(" ",B1230,1)))</f>
        <v/>
      </c>
      <c r="I1230" s="16">
        <f>_xlfn.XLOOKUP(Table2[[#This Row],[Type]],Table5[Type],Table5[Type2])</f>
        <v/>
      </c>
      <c r="J1230" s="16">
        <f>_xlfn.XLOOKUP(Table2[[#This Row],[Sym]],Zones!$A$2:$A$21,Zones!$B$2:$B$21)</f>
        <v/>
      </c>
      <c r="K1230" s="21" t="n"/>
    </row>
    <row r="1231">
      <c r="A1231" s="24" t="n">
        <v>3111</v>
      </c>
      <c r="B1231" s="10" t="inlineStr">
        <is>
          <t>T110 Tằng Loỏng 3</t>
        </is>
      </c>
      <c r="C1231" s="10" t="inlineStr">
        <is>
          <t>TBA 110kV Tằng Loỏng 3</t>
        </is>
      </c>
      <c r="D1231" s="3" t="inlineStr">
        <is>
          <t>B20</t>
        </is>
      </c>
      <c r="E1231" s="9" t="inlineStr">
        <is>
          <t>E20.45</t>
        </is>
      </c>
      <c r="F1231" s="15">
        <f>IF(E1231&lt;&gt;"","Đã VH","Quy hoạch điện VIII")</f>
        <v/>
      </c>
      <c r="G1231" s="16">
        <f>LEFT(B1231,FIND(" ",B1231,1)-1)</f>
        <v/>
      </c>
      <c r="H1231" s="16">
        <f>TRIM(RIGHT(B1231,LEN(B1231)-FIND(" ",B1231,1)))</f>
        <v/>
      </c>
      <c r="I1231" s="16">
        <f>_xlfn.XLOOKUP(Table2[[#This Row],[Type]],Table5[Type],Table5[Type2])</f>
        <v/>
      </c>
      <c r="J1231" s="16">
        <f>_xlfn.XLOOKUP(Table2[[#This Row],[Sym]],Zones!$A$2:$A$21,Zones!$B$2:$B$21)</f>
        <v/>
      </c>
      <c r="K1231" s="21" t="n"/>
    </row>
    <row r="1232">
      <c r="A1232" s="24" t="n">
        <v>3112</v>
      </c>
      <c r="B1232" s="10" t="inlineStr">
        <is>
          <t>TĐ Nậm Toóng</t>
        </is>
      </c>
      <c r="C1232" s="10" t="inlineStr">
        <is>
          <t>NM TĐN Nậm Toóng</t>
        </is>
      </c>
      <c r="D1232" s="3" t="inlineStr">
        <is>
          <t>B20</t>
        </is>
      </c>
      <c r="E1232" s="9" t="inlineStr">
        <is>
          <t>A20.47</t>
        </is>
      </c>
      <c r="F1232" s="15">
        <f>IF(E1232&lt;&gt;"","Đã VH","Quy hoạch điện VIII")</f>
        <v/>
      </c>
      <c r="G1232" s="16">
        <f>LEFT(B1232,FIND(" ",B1232,1)-1)</f>
        <v/>
      </c>
      <c r="H1232" s="16">
        <f>TRIM(RIGHT(B1232,LEN(B1232)-FIND(" ",B1232,1)))</f>
        <v/>
      </c>
      <c r="I1232" s="16">
        <f>_xlfn.XLOOKUP(Table2[[#This Row],[Type]],Table5[Type],Table5[Type2])</f>
        <v/>
      </c>
      <c r="J1232" s="16">
        <f>_xlfn.XLOOKUP(Table2[[#This Row],[Sym]],Zones!$A$2:$A$21,Zones!$B$2:$B$21)</f>
        <v/>
      </c>
      <c r="K1232" s="21" t="n"/>
    </row>
    <row r="1233">
      <c r="A1233" s="24" t="n">
        <v>3113</v>
      </c>
      <c r="B1233" s="10" t="inlineStr">
        <is>
          <t>T110 Minh Lương</t>
        </is>
      </c>
      <c r="C1233" s="10" t="inlineStr">
        <is>
          <t>TBA 110kV Minh Lương</t>
        </is>
      </c>
      <c r="D1233" s="3" t="inlineStr">
        <is>
          <t>B20</t>
        </is>
      </c>
      <c r="E1233" s="9" t="inlineStr">
        <is>
          <t>A20.50</t>
        </is>
      </c>
      <c r="F1233" s="15">
        <f>IF(E1233&lt;&gt;"","Đã VH","Quy hoạch điện VIII")</f>
        <v/>
      </c>
      <c r="G1233" s="16">
        <f>LEFT(B1233,FIND(" ",B1233,1)-1)</f>
        <v/>
      </c>
      <c r="H1233" s="16">
        <f>TRIM(RIGHT(B1233,LEN(B1233)-FIND(" ",B1233,1)))</f>
        <v/>
      </c>
      <c r="I1233" s="16">
        <f>_xlfn.XLOOKUP(Table2[[#This Row],[Type]],Table5[Type],Table5[Type2])</f>
        <v/>
      </c>
      <c r="J1233" s="16">
        <f>_xlfn.XLOOKUP(Table2[[#This Row],[Sym]],Zones!$A$2:$A$21,Zones!$B$2:$B$21)</f>
        <v/>
      </c>
      <c r="K1233" s="21" t="n"/>
    </row>
    <row r="1234">
      <c r="A1234" s="24" t="n">
        <v>3114</v>
      </c>
      <c r="B1234" s="10" t="inlineStr">
        <is>
          <t xml:space="preserve">TĐ Nậm Củn </t>
        </is>
      </c>
      <c r="C1234" s="10" t="inlineStr">
        <is>
          <t>NM TĐN Nậm Củn</t>
        </is>
      </c>
      <c r="D1234" s="3" t="inlineStr">
        <is>
          <t>B20</t>
        </is>
      </c>
      <c r="E1234" s="9" t="inlineStr">
        <is>
          <t>A20.53</t>
        </is>
      </c>
      <c r="F1234" s="15">
        <f>IF(E1234&lt;&gt;"","Đã VH","Quy hoạch điện VIII")</f>
        <v/>
      </c>
      <c r="G1234" s="16">
        <f>LEFT(B1234,FIND(" ",B1234,1)-1)</f>
        <v/>
      </c>
      <c r="H1234" s="16">
        <f>TRIM(RIGHT(B1234,LEN(B1234)-FIND(" ",B1234,1)))</f>
        <v/>
      </c>
      <c r="I1234" s="16">
        <f>_xlfn.XLOOKUP(Table2[[#This Row],[Type]],Table5[Type],Table5[Type2])</f>
        <v/>
      </c>
      <c r="J1234" s="16">
        <f>_xlfn.XLOOKUP(Table2[[#This Row],[Sym]],Zones!$A$2:$A$21,Zones!$B$2:$B$21)</f>
        <v/>
      </c>
      <c r="K1234" s="21" t="n"/>
    </row>
    <row r="1235">
      <c r="A1235" s="24" t="n">
        <v>3115</v>
      </c>
      <c r="B1235" s="10" t="inlineStr">
        <is>
          <t>T110 Sa Pa</t>
        </is>
      </c>
      <c r="C1235" s="10" t="inlineStr">
        <is>
          <t>TBA 110kV Sa Pa</t>
        </is>
      </c>
      <c r="D1235" s="3" t="inlineStr">
        <is>
          <t>B20</t>
        </is>
      </c>
      <c r="E1235" s="9" t="inlineStr">
        <is>
          <t>E20.54</t>
        </is>
      </c>
      <c r="F1235" s="15">
        <f>IF(E1235&lt;&gt;"","Đã VH","Quy hoạch điện VIII")</f>
        <v/>
      </c>
      <c r="G1235" s="16">
        <f>LEFT(B1235,FIND(" ",B1235,1)-1)</f>
        <v/>
      </c>
      <c r="H1235" s="16">
        <f>TRIM(RIGHT(B1235,LEN(B1235)-FIND(" ",B1235,1)))</f>
        <v/>
      </c>
      <c r="I1235" s="16">
        <f>_xlfn.XLOOKUP(Table2[[#This Row],[Type]],Table5[Type],Table5[Type2])</f>
        <v/>
      </c>
      <c r="J1235" s="16">
        <f>_xlfn.XLOOKUP(Table2[[#This Row],[Sym]],Zones!$A$2:$A$21,Zones!$B$2:$B$21)</f>
        <v/>
      </c>
      <c r="K1235" s="21" t="n"/>
    </row>
    <row r="1236">
      <c r="A1236" s="24" t="n">
        <v>3116</v>
      </c>
      <c r="B1236" s="10" t="inlineStr">
        <is>
          <t>TĐ Nậm Xây Nọi 2</t>
        </is>
      </c>
      <c r="C1236" s="10" t="inlineStr">
        <is>
          <t>NM TĐN Nậm Xây Nọi 2</t>
        </is>
      </c>
      <c r="D1236" s="3" t="inlineStr">
        <is>
          <t>B20</t>
        </is>
      </c>
      <c r="E1236" s="9" t="inlineStr">
        <is>
          <t>A20.55</t>
        </is>
      </c>
      <c r="F1236" s="15">
        <f>IF(E1236&lt;&gt;"","Đã VH","Quy hoạch điện VIII")</f>
        <v/>
      </c>
      <c r="G1236" s="16">
        <f>LEFT(B1236,FIND(" ",B1236,1)-1)</f>
        <v/>
      </c>
      <c r="H1236" s="16">
        <f>TRIM(RIGHT(B1236,LEN(B1236)-FIND(" ",B1236,1)))</f>
        <v/>
      </c>
      <c r="I1236" s="16">
        <f>_xlfn.XLOOKUP(Table2[[#This Row],[Type]],Table5[Type],Table5[Type2])</f>
        <v/>
      </c>
      <c r="J1236" s="16">
        <f>_xlfn.XLOOKUP(Table2[[#This Row],[Sym]],Zones!$A$2:$A$21,Zones!$B$2:$B$21)</f>
        <v/>
      </c>
      <c r="K1236" s="21" t="n"/>
    </row>
    <row r="1237">
      <c r="A1237" s="24" t="n">
        <v>3117</v>
      </c>
      <c r="B1237" s="10" t="inlineStr">
        <is>
          <t>TĐ Sử Pán 1</t>
        </is>
      </c>
      <c r="C1237" s="10" t="inlineStr">
        <is>
          <t>NM TĐN Sử Pán 1</t>
        </is>
      </c>
      <c r="D1237" s="3" t="inlineStr">
        <is>
          <t>B20</t>
        </is>
      </c>
      <c r="E1237" s="9" t="inlineStr">
        <is>
          <t>A20.57</t>
        </is>
      </c>
      <c r="F1237" s="15">
        <f>IF(E1237&lt;&gt;"","Đã VH","Quy hoạch điện VIII")</f>
        <v/>
      </c>
      <c r="G1237" s="16">
        <f>LEFT(B1237,FIND(" ",B1237,1)-1)</f>
        <v/>
      </c>
      <c r="H1237" s="16">
        <f>TRIM(RIGHT(B1237,LEN(B1237)-FIND(" ",B1237,1)))</f>
        <v/>
      </c>
      <c r="I1237" s="16">
        <f>_xlfn.XLOOKUP(Table2[[#This Row],[Type]],Table5[Type],Table5[Type2])</f>
        <v/>
      </c>
      <c r="J1237" s="16">
        <f>_xlfn.XLOOKUP(Table2[[#This Row],[Sym]],Zones!$A$2:$A$21,Zones!$B$2:$B$21)</f>
        <v/>
      </c>
      <c r="K1237" s="21" t="n"/>
    </row>
    <row r="1238">
      <c r="A1238" s="24" t="n">
        <v>3118</v>
      </c>
      <c r="B1238" s="10" t="inlineStr">
        <is>
          <t>T110 Bảo Yên</t>
        </is>
      </c>
      <c r="C1238" s="10" t="inlineStr">
        <is>
          <t>TBA 110kV Bảo Yên</t>
        </is>
      </c>
      <c r="D1238" s="3" t="inlineStr">
        <is>
          <t>B20</t>
        </is>
      </c>
      <c r="E1238" s="9" t="inlineStr">
        <is>
          <t>E20.65</t>
        </is>
      </c>
      <c r="F1238" s="15">
        <f>IF(E1238&lt;&gt;"","Đã VH","Quy hoạch điện VIII")</f>
        <v/>
      </c>
      <c r="G1238" s="16">
        <f>LEFT(B1238,FIND(" ",B1238,1)-1)</f>
        <v/>
      </c>
      <c r="H1238" s="16">
        <f>TRIM(RIGHT(B1238,LEN(B1238)-FIND(" ",B1238,1)))</f>
        <v/>
      </c>
      <c r="I1238" s="16">
        <f>_xlfn.XLOOKUP(Table2[[#This Row],[Type]],Table5[Type],Table5[Type2])</f>
        <v/>
      </c>
      <c r="J1238" s="16">
        <f>_xlfn.XLOOKUP(Table2[[#This Row],[Sym]],Zones!$A$2:$A$21,Zones!$B$2:$B$21)</f>
        <v/>
      </c>
      <c r="K1238" s="21" t="n"/>
    </row>
    <row r="1239">
      <c r="A1239" s="24" t="n">
        <v>3119</v>
      </c>
      <c r="B1239" s="10" t="inlineStr">
        <is>
          <t>TĐ Pa Ke</t>
        </is>
      </c>
      <c r="C1239" s="30" t="inlineStr">
        <is>
          <t>NM TĐN PaKe</t>
        </is>
      </c>
      <c r="D1239" s="3" t="inlineStr">
        <is>
          <t>B20</t>
        </is>
      </c>
      <c r="E1239" s="9" t="inlineStr">
        <is>
          <t>A20.63</t>
        </is>
      </c>
      <c r="F1239" s="15">
        <f>IF(E1239&lt;&gt;"","Đã VH","Quy hoạch điện VIII")</f>
        <v/>
      </c>
      <c r="G1239" s="16">
        <f>LEFT(B1239,FIND(" ",B1239,1)-1)</f>
        <v/>
      </c>
      <c r="H1239" s="16">
        <f>TRIM(RIGHT(B1239,LEN(B1239)-FIND(" ",B1239,1)))</f>
        <v/>
      </c>
      <c r="I1239" s="16">
        <f>_xlfn.XLOOKUP(Table2[[#This Row],[Type]],Table5[Type],Table5[Type2])</f>
        <v/>
      </c>
      <c r="J1239" s="16">
        <f>_xlfn.XLOOKUP(Table2[[#This Row],[Sym]],Zones!$A$2:$A$21,Zones!$B$2:$B$21)</f>
        <v/>
      </c>
      <c r="K1239" s="21" t="n"/>
      <c r="AB1239" t="inlineStr">
        <is>
          <t>Đã sửa từ dashboard (NM TĐN Pa Ke ➔ NM TĐN PaKe)</t>
        </is>
      </c>
    </row>
    <row r="1240">
      <c r="A1240" s="24" t="n">
        <v>3120</v>
      </c>
      <c r="B1240" s="10" t="inlineStr">
        <is>
          <t>TĐ Minh Lương Thượng</t>
        </is>
      </c>
      <c r="C1240" s="10" t="inlineStr">
        <is>
          <t>NM TĐN Minh Lương Thượng</t>
        </is>
      </c>
      <c r="D1240" s="3" t="inlineStr">
        <is>
          <t>B20</t>
        </is>
      </c>
      <c r="E1240" s="9" t="inlineStr">
        <is>
          <t>A20.66</t>
        </is>
      </c>
      <c r="F1240" s="15">
        <f>IF(E1240&lt;&gt;"","Đã VH","Quy hoạch điện VIII")</f>
        <v/>
      </c>
      <c r="G1240" s="16">
        <f>LEFT(B1240,FIND(" ",B1240,1)-1)</f>
        <v/>
      </c>
      <c r="H1240" s="16">
        <f>TRIM(RIGHT(B1240,LEN(B1240)-FIND(" ",B1240,1)))</f>
        <v/>
      </c>
      <c r="I1240" s="16">
        <f>_xlfn.XLOOKUP(Table2[[#This Row],[Type]],Table5[Type],Table5[Type2])</f>
        <v/>
      </c>
      <c r="J1240" s="16">
        <f>_xlfn.XLOOKUP(Table2[[#This Row],[Sym]],Zones!$A$2:$A$21,Zones!$B$2:$B$21)</f>
        <v/>
      </c>
      <c r="K1240" s="21" t="n"/>
    </row>
    <row r="1241">
      <c r="A1241" s="24" t="n">
        <v>3121</v>
      </c>
      <c r="B1241" s="10" t="inlineStr">
        <is>
          <t>TĐ Suối Chăn 1</t>
        </is>
      </c>
      <c r="C1241" s="10" t="inlineStr">
        <is>
          <t>NM TĐN Suối Chăn 1</t>
        </is>
      </c>
      <c r="D1241" s="3" t="inlineStr">
        <is>
          <t>B20</t>
        </is>
      </c>
      <c r="E1241" s="9" t="inlineStr">
        <is>
          <t>A20.69</t>
        </is>
      </c>
      <c r="F1241" s="15">
        <f>IF(E1241&lt;&gt;"","Đã VH","Quy hoạch điện VIII")</f>
        <v/>
      </c>
      <c r="G1241" s="16">
        <f>LEFT(B1241,FIND(" ",B1241,1)-1)</f>
        <v/>
      </c>
      <c r="H1241" s="16">
        <f>TRIM(RIGHT(B1241,LEN(B1241)-FIND(" ",B1241,1)))</f>
        <v/>
      </c>
      <c r="I1241" s="16">
        <f>_xlfn.XLOOKUP(Table2[[#This Row],[Type]],Table5[Type],Table5[Type2])</f>
        <v/>
      </c>
      <c r="J1241" s="16">
        <f>_xlfn.XLOOKUP(Table2[[#This Row],[Sym]],Zones!$A$2:$A$21,Zones!$B$2:$B$21)</f>
        <v/>
      </c>
      <c r="K1241" s="21" t="n"/>
    </row>
    <row r="1242">
      <c r="A1242" s="24" t="n">
        <v>3122</v>
      </c>
      <c r="B1242" s="10" t="inlineStr">
        <is>
          <t>TĐ Nậm Lúc</t>
        </is>
      </c>
      <c r="C1242" s="10" t="inlineStr">
        <is>
          <t>NM TĐN Nậm Lúc</t>
        </is>
      </c>
      <c r="D1242" s="3" t="inlineStr">
        <is>
          <t>B20</t>
        </is>
      </c>
      <c r="E1242" s="9" t="inlineStr">
        <is>
          <t>A20.68</t>
        </is>
      </c>
      <c r="F1242" s="15">
        <f>IF(E1242&lt;&gt;"","Đã VH","Quy hoạch điện VIII")</f>
        <v/>
      </c>
      <c r="G1242" s="16">
        <f>LEFT(B1242,FIND(" ",B1242,1)-1)</f>
        <v/>
      </c>
      <c r="H1242" s="16">
        <f>TRIM(RIGHT(B1242,LEN(B1242)-FIND(" ",B1242,1)))</f>
        <v/>
      </c>
      <c r="I1242" s="16">
        <f>_xlfn.XLOOKUP(Table2[[#This Row],[Type]],Table5[Type],Table5[Type2])</f>
        <v/>
      </c>
      <c r="J1242" s="16">
        <f>_xlfn.XLOOKUP(Table2[[#This Row],[Sym]],Zones!$A$2:$A$21,Zones!$B$2:$B$21)</f>
        <v/>
      </c>
      <c r="K1242" s="21" t="n"/>
    </row>
    <row r="1243">
      <c r="A1243" s="24" t="n">
        <v>3123</v>
      </c>
      <c r="B1243" s="10" t="inlineStr">
        <is>
          <t>TĐ Nậm Khóa 1-2</t>
        </is>
      </c>
      <c r="C1243" s="10" t="inlineStr">
        <is>
          <t>NM TĐN Nậm Khóa 1-2</t>
        </is>
      </c>
      <c r="D1243" s="3" t="inlineStr">
        <is>
          <t>B20</t>
        </is>
      </c>
      <c r="E1243" s="9" t="n"/>
      <c r="F1243" s="15">
        <f>IF(E1243&lt;&gt;"","Đã VH","Quy hoạch điện VIII")</f>
        <v/>
      </c>
      <c r="G1243" s="16">
        <f>LEFT(B1243,FIND(" ",B1243,1)-1)</f>
        <v/>
      </c>
      <c r="H1243" s="16">
        <f>TRIM(RIGHT(B1243,LEN(B1243)-FIND(" ",B1243,1)))</f>
        <v/>
      </c>
      <c r="I1243" s="16">
        <f>_xlfn.XLOOKUP(Table2[[#This Row],[Type]],Table5[Type],Table5[Type2])</f>
        <v/>
      </c>
      <c r="J1243" s="16">
        <f>_xlfn.XLOOKUP(Table2[[#This Row],[Sym]],Zones!$A$2:$A$21,Zones!$B$2:$B$21)</f>
        <v/>
      </c>
      <c r="K1243" s="21" t="n"/>
    </row>
    <row r="1244">
      <c r="A1244" s="24" t="n">
        <v>3124</v>
      </c>
      <c r="B1244" s="10" t="inlineStr">
        <is>
          <t>TĐ Pờ Hồ</t>
        </is>
      </c>
      <c r="C1244" s="10" t="inlineStr">
        <is>
          <t>NM TĐN Pờ Hồ</t>
        </is>
      </c>
      <c r="D1244" s="3" t="inlineStr">
        <is>
          <t>B20</t>
        </is>
      </c>
      <c r="E1244" s="9" t="inlineStr">
        <is>
          <t>A20.27B</t>
        </is>
      </c>
      <c r="F1244" s="15">
        <f>IF(E1244&lt;&gt;"","Đã VH","Quy hoạch điện VIII")</f>
        <v/>
      </c>
      <c r="G1244" s="16">
        <f>LEFT(B1244,FIND(" ",B1244,1)-1)</f>
        <v/>
      </c>
      <c r="H1244" s="16">
        <f>TRIM(RIGHT(B1244,LEN(B1244)-FIND(" ",B1244,1)))</f>
        <v/>
      </c>
      <c r="I1244" s="16">
        <f>_xlfn.XLOOKUP(Table2[[#This Row],[Type]],Table5[Type],Table5[Type2])</f>
        <v/>
      </c>
      <c r="J1244" s="16">
        <f>_xlfn.XLOOKUP(Table2[[#This Row],[Sym]],Zones!$A$2:$A$21,Zones!$B$2:$B$21)</f>
        <v/>
      </c>
      <c r="K1244" s="21" t="n"/>
    </row>
    <row r="1245">
      <c r="A1245" s="24" t="n">
        <v>3125</v>
      </c>
      <c r="B1245" s="10" t="inlineStr">
        <is>
          <t>TĐ Bản Hồ</t>
        </is>
      </c>
      <c r="C1245" s="10" t="inlineStr">
        <is>
          <t>NM TĐN Bản Hồ</t>
        </is>
      </c>
      <c r="D1245" s="3" t="inlineStr">
        <is>
          <t>B20</t>
        </is>
      </c>
      <c r="E1245" s="9" t="inlineStr">
        <is>
          <t>A20.61</t>
        </is>
      </c>
      <c r="F1245" s="15">
        <f>IF(E1245&lt;&gt;"","Đã VH","Quy hoạch điện VIII")</f>
        <v/>
      </c>
      <c r="G1245" s="16">
        <f>LEFT(B1245,FIND(" ",B1245,1)-1)</f>
        <v/>
      </c>
      <c r="H1245" s="16">
        <f>TRIM(RIGHT(B1245,LEN(B1245)-FIND(" ",B1245,1)))</f>
        <v/>
      </c>
      <c r="I1245" s="16">
        <f>_xlfn.XLOOKUP(Table2[[#This Row],[Type]],Table5[Type],Table5[Type2])</f>
        <v/>
      </c>
      <c r="J1245" s="16">
        <f>_xlfn.XLOOKUP(Table2[[#This Row],[Sym]],Zones!$A$2:$A$21,Zones!$B$2:$B$21)</f>
        <v/>
      </c>
      <c r="K1245" s="21" t="n"/>
    </row>
    <row r="1246">
      <c r="A1246" s="24" t="n">
        <v>3126</v>
      </c>
      <c r="B1246" s="10" t="inlineStr">
        <is>
          <t>T110 Luyện Đồng Lào Cai</t>
        </is>
      </c>
      <c r="C1246" s="10" t="inlineStr">
        <is>
          <t>TBA 110kV Luyện Đồng Lào Cai</t>
        </is>
      </c>
      <c r="D1246" s="3" t="inlineStr">
        <is>
          <t>B20</t>
        </is>
      </c>
      <c r="E1246" s="9" t="inlineStr">
        <is>
          <t>E20.64</t>
        </is>
      </c>
      <c r="F1246" s="15">
        <f>IF(E1246&lt;&gt;"","Đã VH","Quy hoạch điện VIII")</f>
        <v/>
      </c>
      <c r="G1246" s="16">
        <f>LEFT(B1246,FIND(" ",B1246,1)-1)</f>
        <v/>
      </c>
      <c r="H1246" s="16">
        <f>TRIM(RIGHT(B1246,LEN(B1246)-FIND(" ",B1246,1)))</f>
        <v/>
      </c>
      <c r="I1246" s="16">
        <f>_xlfn.XLOOKUP(Table2[[#This Row],[Type]],Table5[Type],Table5[Type2])</f>
        <v/>
      </c>
      <c r="J1246" s="16">
        <f>_xlfn.XLOOKUP(Table2[[#This Row],[Sym]],Zones!$A$2:$A$21,Zones!$B$2:$B$21)</f>
        <v/>
      </c>
      <c r="K1246" s="21" t="n"/>
    </row>
    <row r="1247">
      <c r="A1247" s="24" t="n">
        <v>3127</v>
      </c>
      <c r="B1247" s="10" t="inlineStr">
        <is>
          <t>T500 Lào Cai</t>
        </is>
      </c>
      <c r="C1247" s="10" t="inlineStr">
        <is>
          <t>TBA 500kV Lào Cai</t>
        </is>
      </c>
      <c r="D1247" s="3" t="inlineStr">
        <is>
          <t>B20</t>
        </is>
      </c>
      <c r="E1247" s="9" t="inlineStr">
        <is>
          <t>T500 Lào Cai</t>
        </is>
      </c>
      <c r="F1247" s="15">
        <f>IF(E1247&lt;&gt;"","Đã VH","Quy hoạch điện VIII")</f>
        <v/>
      </c>
      <c r="G1247" s="16">
        <f>LEFT(B1247,FIND(" ",B1247,1)-1)</f>
        <v/>
      </c>
      <c r="H1247" s="16">
        <f>TRIM(RIGHT(B1247,LEN(B1247)-FIND(" ",B1247,1)))</f>
        <v/>
      </c>
      <c r="I1247" s="16">
        <f>_xlfn.XLOOKUP(Table2[[#This Row],[Type]],Table5[Type],Table5[Type2])</f>
        <v/>
      </c>
      <c r="J1247" s="16">
        <f>_xlfn.XLOOKUP(Table2[[#This Row],[Sym]],Zones!$A$2:$A$21,Zones!$B$2:$B$21)</f>
        <v/>
      </c>
      <c r="K1247" s="21" t="n"/>
    </row>
    <row r="1248">
      <c r="A1248" s="24" t="n">
        <v>3128</v>
      </c>
      <c r="B1248" s="10" t="inlineStr">
        <is>
          <t>T220 Bát Xát</t>
        </is>
      </c>
      <c r="C1248" s="10" t="inlineStr">
        <is>
          <t>TBA 220kV Bát Xát</t>
        </is>
      </c>
      <c r="D1248" s="3" t="inlineStr">
        <is>
          <t>B20</t>
        </is>
      </c>
      <c r="E1248" s="9" t="inlineStr">
        <is>
          <t>A20.74A</t>
        </is>
      </c>
      <c r="F1248" s="15">
        <f>IF(E1248&lt;&gt;"","Đã VH","Quy hoạch điện VIII")</f>
        <v/>
      </c>
      <c r="G1248" s="16">
        <f>LEFT(B1248,FIND(" ",B1248,1)-1)</f>
        <v/>
      </c>
      <c r="H1248" s="16">
        <f>TRIM(RIGHT(B1248,LEN(B1248)-FIND(" ",B1248,1)))</f>
        <v/>
      </c>
      <c r="I1248" s="16">
        <f>_xlfn.XLOOKUP(Table2[[#This Row],[Type]],Table5[Type],Table5[Type2])</f>
        <v/>
      </c>
      <c r="J1248" s="16">
        <f>_xlfn.XLOOKUP(Table2[[#This Row],[Sym]],Zones!$A$2:$A$21,Zones!$B$2:$B$21)</f>
        <v/>
      </c>
      <c r="K1248" s="21" t="n"/>
    </row>
    <row r="1249">
      <c r="A1249" s="24" t="n">
        <v>3129</v>
      </c>
      <c r="B1249" s="10" t="inlineStr">
        <is>
          <t>TĐ Bảo Nhai 2</t>
        </is>
      </c>
      <c r="C1249" s="10" t="inlineStr">
        <is>
          <t>NM TĐN Bảo Nhai 2</t>
        </is>
      </c>
      <c r="D1249" s="3" t="inlineStr">
        <is>
          <t>B20</t>
        </is>
      </c>
      <c r="E1249" s="9" t="inlineStr">
        <is>
          <t>A20.74</t>
        </is>
      </c>
      <c r="F1249" s="15">
        <f>IF(E1249&lt;&gt;"","Đã VH","Quy hoạch điện VIII")</f>
        <v/>
      </c>
      <c r="G1249" s="16">
        <f>LEFT(B1249,FIND(" ",B1249,1)-1)</f>
        <v/>
      </c>
      <c r="H1249" s="16">
        <f>TRIM(RIGHT(B1249,LEN(B1249)-FIND(" ",B1249,1)))</f>
        <v/>
      </c>
      <c r="I1249" s="16">
        <f>_xlfn.XLOOKUP(Table2[[#This Row],[Type]],Table5[Type],Table5[Type2])</f>
        <v/>
      </c>
      <c r="J1249" s="16">
        <f>_xlfn.XLOOKUP(Table2[[#This Row],[Sym]],Zones!$A$2:$A$21,Zones!$B$2:$B$21)</f>
        <v/>
      </c>
      <c r="K1249" s="21" t="n"/>
    </row>
    <row r="1250">
      <c r="A1250" s="24" t="n">
        <v>3130</v>
      </c>
      <c r="B1250" s="10" t="inlineStr">
        <is>
          <t>T110 Lào Cai 2</t>
        </is>
      </c>
      <c r="C1250" s="10" t="inlineStr">
        <is>
          <t>TBA 110kV Lào Cai 2</t>
        </is>
      </c>
      <c r="D1250" s="3" t="inlineStr">
        <is>
          <t>B20</t>
        </is>
      </c>
      <c r="E1250" s="9" t="inlineStr">
        <is>
          <t>E20.77</t>
        </is>
      </c>
      <c r="F1250" s="15">
        <f>IF(E1250&lt;&gt;"","Đã VH","Quy hoạch điện VIII")</f>
        <v/>
      </c>
      <c r="G1250" s="16">
        <f>LEFT(B1250,FIND(" ",B1250,1)-1)</f>
        <v/>
      </c>
      <c r="H1250" s="16">
        <f>TRIM(RIGHT(B1250,LEN(B1250)-FIND(" ",B1250,1)))</f>
        <v/>
      </c>
      <c r="I1250" s="16">
        <f>_xlfn.XLOOKUP(Table2[[#This Row],[Type]],Table5[Type],Table5[Type2])</f>
        <v/>
      </c>
      <c r="J1250" s="16">
        <f>_xlfn.XLOOKUP(Table2[[#This Row],[Sym]],Zones!$A$2:$A$21,Zones!$B$2:$B$21)</f>
        <v/>
      </c>
      <c r="K1250" s="21" t="n"/>
    </row>
    <row r="1251">
      <c r="A1251" s="24" t="n">
        <v>3131</v>
      </c>
      <c r="B1251" s="10" t="inlineStr">
        <is>
          <t>TĐ Bảo Nhai 1</t>
        </is>
      </c>
      <c r="C1251" s="10" t="inlineStr">
        <is>
          <t>NM TĐN Bảo Nhai 1</t>
        </is>
      </c>
      <c r="D1251" s="3" t="inlineStr">
        <is>
          <t>B20</t>
        </is>
      </c>
      <c r="E1251" s="9" t="n"/>
      <c r="F1251" s="15">
        <f>IF(E1251&lt;&gt;"","Đã VH","Quy hoạch điện VIII")</f>
        <v/>
      </c>
      <c r="G1251" s="16">
        <f>LEFT(B1251,FIND(" ",B1251,1)-1)</f>
        <v/>
      </c>
      <c r="H1251" s="16">
        <f>TRIM(RIGHT(B1251,LEN(B1251)-FIND(" ",B1251,1)))</f>
        <v/>
      </c>
      <c r="I1251" s="16">
        <f>_xlfn.XLOOKUP(Table2[[#This Row],[Type]],Table5[Type],Table5[Type2])</f>
        <v/>
      </c>
      <c r="J1251" s="16">
        <f>_xlfn.XLOOKUP(Table2[[#This Row],[Sym]],Zones!$A$2:$A$21,Zones!$B$2:$B$21)</f>
        <v/>
      </c>
      <c r="K1251" s="21" t="n"/>
    </row>
    <row r="1252">
      <c r="A1252" s="24" t="n">
        <v>3132</v>
      </c>
      <c r="B1252" s="10" t="inlineStr">
        <is>
          <t>TĐ Phúc Long</t>
        </is>
      </c>
      <c r="C1252" s="10" t="inlineStr">
        <is>
          <t>NM TĐN Phúc Long</t>
        </is>
      </c>
      <c r="D1252" s="3" t="inlineStr">
        <is>
          <t>B20</t>
        </is>
      </c>
      <c r="E1252" s="9" t="inlineStr">
        <is>
          <t>A20.73</t>
        </is>
      </c>
      <c r="F1252" s="15">
        <f>IF(E1252&lt;&gt;"","Đã VH","Quy hoạch điện VIII")</f>
        <v/>
      </c>
      <c r="G1252" s="16">
        <f>LEFT(B1252,FIND(" ",B1252,1)-1)</f>
        <v/>
      </c>
      <c r="H1252" s="16">
        <f>TRIM(RIGHT(B1252,LEN(B1252)-FIND(" ",B1252,1)))</f>
        <v/>
      </c>
      <c r="I1252" s="16">
        <f>_xlfn.XLOOKUP(Table2[[#This Row],[Type]],Table5[Type],Table5[Type2])</f>
        <v/>
      </c>
      <c r="J1252" s="16">
        <f>_xlfn.XLOOKUP(Table2[[#This Row],[Sym]],Zones!$A$2:$A$21,Zones!$B$2:$B$21)</f>
        <v/>
      </c>
      <c r="K1252" s="21" t="n"/>
    </row>
    <row r="1253">
      <c r="A1253" s="24" t="n">
        <v>3133</v>
      </c>
      <c r="B1253" s="10" t="inlineStr">
        <is>
          <t>TĐ Yên Hà</t>
        </is>
      </c>
      <c r="C1253" s="10" t="inlineStr">
        <is>
          <t>NM TĐN Yên Hà</t>
        </is>
      </c>
      <c r="D1253" s="3" t="inlineStr">
        <is>
          <t>B20</t>
        </is>
      </c>
      <c r="E1253" s="9" t="n"/>
      <c r="F1253" s="15">
        <f>IF(E1253&lt;&gt;"","Đã VH","Quy hoạch điện VIII")</f>
        <v/>
      </c>
      <c r="G1253" s="16">
        <f>LEFT(B1253,FIND(" ",B1253,1)-1)</f>
        <v/>
      </c>
      <c r="H1253" s="16">
        <f>TRIM(RIGHT(B1253,LEN(B1253)-FIND(" ",B1253,1)))</f>
        <v/>
      </c>
      <c r="I1253" s="16">
        <f>_xlfn.XLOOKUP(Table2[[#This Row],[Type]],Table5[Type],Table5[Type2])</f>
        <v/>
      </c>
      <c r="J1253" s="16">
        <f>_xlfn.XLOOKUP(Table2[[#This Row],[Sym]],Zones!$A$2:$A$21,Zones!$B$2:$B$21)</f>
        <v/>
      </c>
      <c r="K1253" s="21" t="n"/>
    </row>
    <row r="1254">
      <c r="A1254" s="24" t="n">
        <v>3134</v>
      </c>
      <c r="B1254" s="10" t="inlineStr">
        <is>
          <t>TĐ Lán Bò</t>
        </is>
      </c>
      <c r="C1254" s="10" t="inlineStr">
        <is>
          <t>NM TĐN Lán Bò</t>
        </is>
      </c>
      <c r="D1254" s="3" t="inlineStr">
        <is>
          <t>B20</t>
        </is>
      </c>
      <c r="E1254" s="9" t="n"/>
      <c r="F1254" s="15">
        <f>IF(E1254&lt;&gt;"","Đã VH","Quy hoạch điện VIII")</f>
        <v/>
      </c>
      <c r="G1254" s="16">
        <f>LEFT(B1254,FIND(" ",B1254,1)-1)</f>
        <v/>
      </c>
      <c r="H1254" s="16">
        <f>TRIM(RIGHT(B1254,LEN(B1254)-FIND(" ",B1254,1)))</f>
        <v/>
      </c>
      <c r="I1254" s="16">
        <f>_xlfn.XLOOKUP(Table2[[#This Row],[Type]],Table5[Type],Table5[Type2])</f>
        <v/>
      </c>
      <c r="J1254" s="16">
        <f>_xlfn.XLOOKUP(Table2[[#This Row],[Sym]],Zones!$A$2:$A$21,Zones!$B$2:$B$21)</f>
        <v/>
      </c>
      <c r="K1254" s="21" t="n"/>
    </row>
    <row r="1255">
      <c r="A1255" s="24" t="n">
        <v>3135</v>
      </c>
      <c r="B1255" s="10" t="inlineStr">
        <is>
          <t>TĐ Hỏm Dưới</t>
        </is>
      </c>
      <c r="C1255" s="10" t="inlineStr">
        <is>
          <t>NM TĐN Hỏm Dưới</t>
        </is>
      </c>
      <c r="D1255" s="3" t="inlineStr">
        <is>
          <t>B20</t>
        </is>
      </c>
      <c r="E1255" s="9" t="n"/>
      <c r="F1255" s="15">
        <f>IF(E1255&lt;&gt;"","Đã VH","Quy hoạch điện VIII")</f>
        <v/>
      </c>
      <c r="G1255" s="16">
        <f>LEFT(B1255,FIND(" ",B1255,1)-1)</f>
        <v/>
      </c>
      <c r="H1255" s="16">
        <f>TRIM(RIGHT(B1255,LEN(B1255)-FIND(" ",B1255,1)))</f>
        <v/>
      </c>
      <c r="I1255" s="16">
        <f>_xlfn.XLOOKUP(Table2[[#This Row],[Type]],Table5[Type],Table5[Type2])</f>
        <v/>
      </c>
      <c r="J1255" s="16">
        <f>_xlfn.XLOOKUP(Table2[[#This Row],[Sym]],Zones!$A$2:$A$21,Zones!$B$2:$B$21)</f>
        <v/>
      </c>
      <c r="K1255" s="21" t="n"/>
    </row>
    <row r="1256">
      <c r="A1256" s="24" t="n">
        <v>3136</v>
      </c>
      <c r="B1256" s="10" t="inlineStr">
        <is>
          <t>TĐ Nậm Cang 1A</t>
        </is>
      </c>
      <c r="C1256" s="10" t="inlineStr">
        <is>
          <t>NM TĐN Nậm Cang 1A</t>
        </is>
      </c>
      <c r="D1256" s="3" t="inlineStr">
        <is>
          <t>B20</t>
        </is>
      </c>
      <c r="E1256" s="9" t="n"/>
      <c r="F1256" s="15">
        <f>IF(E1256&lt;&gt;"","Đã VH","Quy hoạch điện VIII")</f>
        <v/>
      </c>
      <c r="G1256" s="16">
        <f>LEFT(B1256,FIND(" ",B1256,1)-1)</f>
        <v/>
      </c>
      <c r="H1256" s="16">
        <f>TRIM(RIGHT(B1256,LEN(B1256)-FIND(" ",B1256,1)))</f>
        <v/>
      </c>
      <c r="I1256" s="16">
        <f>_xlfn.XLOOKUP(Table2[[#This Row],[Type]],Table5[Type],Table5[Type2])</f>
        <v/>
      </c>
      <c r="J1256" s="16">
        <f>_xlfn.XLOOKUP(Table2[[#This Row],[Sym]],Zones!$A$2:$A$21,Zones!$B$2:$B$21)</f>
        <v/>
      </c>
      <c r="K1256" s="21" t="n"/>
    </row>
    <row r="1257">
      <c r="A1257" s="24" t="n">
        <v>3137</v>
      </c>
      <c r="B1257" s="10" t="inlineStr">
        <is>
          <t>TĐ Nậm Trung Hồ 1</t>
        </is>
      </c>
      <c r="C1257" s="10" t="inlineStr">
        <is>
          <t>NM TĐN Nậm Trung Hồ 1</t>
        </is>
      </c>
      <c r="D1257" s="3" t="inlineStr">
        <is>
          <t>B20</t>
        </is>
      </c>
      <c r="E1257" s="9" t="n"/>
      <c r="F1257" s="15">
        <f>IF(E1257&lt;&gt;"","Đã VH","Quy hoạch điện VIII")</f>
        <v/>
      </c>
      <c r="G1257" s="16">
        <f>LEFT(B1257,FIND(" ",B1257,1)-1)</f>
        <v/>
      </c>
      <c r="H1257" s="16">
        <f>TRIM(RIGHT(B1257,LEN(B1257)-FIND(" ",B1257,1)))</f>
        <v/>
      </c>
      <c r="I1257" s="16">
        <f>_xlfn.XLOOKUP(Table2[[#This Row],[Type]],Table5[Type],Table5[Type2])</f>
        <v/>
      </c>
      <c r="J1257" s="16">
        <f>_xlfn.XLOOKUP(Table2[[#This Row],[Sym]],Zones!$A$2:$A$21,Zones!$B$2:$B$21)</f>
        <v/>
      </c>
      <c r="K1257" s="21" t="n"/>
    </row>
    <row r="1258">
      <c r="A1258" s="24" t="n">
        <v>3138</v>
      </c>
      <c r="B1258" s="10" t="inlineStr">
        <is>
          <t>T110 Nam Thành Phố</t>
        </is>
      </c>
      <c r="C1258" s="10" t="inlineStr">
        <is>
          <t>TBA 110kV Nam Thành Phố</t>
        </is>
      </c>
      <c r="D1258" s="3" t="inlineStr">
        <is>
          <t>B20</t>
        </is>
      </c>
      <c r="E1258" s="9" t="n"/>
      <c r="F1258" s="15">
        <f>IF(E1258&lt;&gt;"","Đã VH","Quy hoạch điện VIII")</f>
        <v/>
      </c>
      <c r="G1258" s="16">
        <f>LEFT(B1258,FIND(" ",B1258,1)-1)</f>
        <v/>
      </c>
      <c r="H1258" s="16">
        <f>TRIM(RIGHT(B1258,LEN(B1258)-FIND(" ",B1258,1)))</f>
        <v/>
      </c>
      <c r="I1258" s="16">
        <f>_xlfn.XLOOKUP(Table2[[#This Row],[Type]],Table5[Type],Table5[Type2])</f>
        <v/>
      </c>
      <c r="J1258" s="16">
        <f>_xlfn.XLOOKUP(Table2[[#This Row],[Sym]],Zones!$A$2:$A$21,Zones!$B$2:$B$21)</f>
        <v/>
      </c>
      <c r="K1258" s="21" t="n"/>
    </row>
    <row r="1259">
      <c r="A1259" s="24" t="n">
        <v>3139</v>
      </c>
      <c r="B1259" s="10" t="inlineStr">
        <is>
          <t>T110 Đồng Tuyền</t>
        </is>
      </c>
      <c r="C1259" s="10" t="inlineStr">
        <is>
          <t>TBA 110kV Đồng Tuyền</t>
        </is>
      </c>
      <c r="D1259" s="3" t="inlineStr">
        <is>
          <t>B20</t>
        </is>
      </c>
      <c r="E1259" s="9" t="n"/>
      <c r="F1259" s="15">
        <f>IF(E1259&lt;&gt;"","Đã VH","Quy hoạch điện VIII")</f>
        <v/>
      </c>
      <c r="G1259" s="16">
        <f>LEFT(B1259,FIND(" ",B1259,1)-1)</f>
        <v/>
      </c>
      <c r="H1259" s="16">
        <f>TRIM(RIGHT(B1259,LEN(B1259)-FIND(" ",B1259,1)))</f>
        <v/>
      </c>
      <c r="I1259" s="16">
        <f>_xlfn.XLOOKUP(Table2[[#This Row],[Type]],Table5[Type],Table5[Type2])</f>
        <v/>
      </c>
      <c r="J1259" s="16">
        <f>_xlfn.XLOOKUP(Table2[[#This Row],[Sym]],Zones!$A$2:$A$21,Zones!$B$2:$B$21)</f>
        <v/>
      </c>
      <c r="K1259" s="21" t="n"/>
    </row>
    <row r="1260">
      <c r="A1260" s="24" t="n">
        <v>3140</v>
      </c>
      <c r="B1260" s="10" t="inlineStr">
        <is>
          <t>T110 Trì Quang</t>
        </is>
      </c>
      <c r="C1260" s="10" t="inlineStr">
        <is>
          <t>TBA 110kV Trì Quang</t>
        </is>
      </c>
      <c r="D1260" s="3" t="inlineStr">
        <is>
          <t>B20</t>
        </is>
      </c>
      <c r="E1260" s="9" t="n"/>
      <c r="F1260" s="15">
        <f>IF(E1260&lt;&gt;"","Đã VH","Quy hoạch điện VIII")</f>
        <v/>
      </c>
      <c r="G1260" s="16">
        <f>LEFT(B1260,FIND(" ",B1260,1)-1)</f>
        <v/>
      </c>
      <c r="H1260" s="16">
        <f>TRIM(RIGHT(B1260,LEN(B1260)-FIND(" ",B1260,1)))</f>
        <v/>
      </c>
      <c r="I1260" s="16">
        <f>_xlfn.XLOOKUP(Table2[[#This Row],[Type]],Table5[Type],Table5[Type2])</f>
        <v/>
      </c>
      <c r="J1260" s="16">
        <f>_xlfn.XLOOKUP(Table2[[#This Row],[Sym]],Zones!$A$2:$A$21,Zones!$B$2:$B$21)</f>
        <v/>
      </c>
      <c r="K1260" s="21" t="n"/>
    </row>
    <row r="1261">
      <c r="A1261" s="24" t="n">
        <v>3141</v>
      </c>
      <c r="B1261" s="10" t="inlineStr">
        <is>
          <t>T110 Cam Cọn</t>
        </is>
      </c>
      <c r="C1261" s="10" t="inlineStr">
        <is>
          <t>TBA 110kV Cam Cọn</t>
        </is>
      </c>
      <c r="D1261" s="3" t="inlineStr">
        <is>
          <t>B20</t>
        </is>
      </c>
      <c r="E1261" s="9" t="n"/>
      <c r="F1261" s="15">
        <f>IF(E1261&lt;&gt;"","Đã VH","Quy hoạch điện VIII")</f>
        <v/>
      </c>
      <c r="G1261" s="16">
        <f>LEFT(B1261,FIND(" ",B1261,1)-1)</f>
        <v/>
      </c>
      <c r="H1261" s="16">
        <f>TRIM(RIGHT(B1261,LEN(B1261)-FIND(" ",B1261,1)))</f>
        <v/>
      </c>
      <c r="I1261" s="16">
        <f>_xlfn.XLOOKUP(Table2[[#This Row],[Type]],Table5[Type],Table5[Type2])</f>
        <v/>
      </c>
      <c r="J1261" s="16">
        <f>_xlfn.XLOOKUP(Table2[[#This Row],[Sym]],Zones!$A$2:$A$21,Zones!$B$2:$B$21)</f>
        <v/>
      </c>
      <c r="K1261" s="21" t="n"/>
    </row>
    <row r="1262">
      <c r="A1262" s="24" t="n">
        <v>3142</v>
      </c>
      <c r="B1262" s="10" t="inlineStr">
        <is>
          <t>T110 Bản Qua</t>
        </is>
      </c>
      <c r="C1262" s="10" t="inlineStr">
        <is>
          <t>TBA 110kV Bản Qua</t>
        </is>
      </c>
      <c r="D1262" s="3" t="inlineStr">
        <is>
          <t>B20</t>
        </is>
      </c>
      <c r="E1262" s="9" t="n"/>
      <c r="F1262" s="15">
        <f>IF(E1262&lt;&gt;"","Đã VH","Quy hoạch điện VIII")</f>
        <v/>
      </c>
      <c r="G1262" s="16">
        <f>LEFT(B1262,FIND(" ",B1262,1)-1)</f>
        <v/>
      </c>
      <c r="H1262" s="16">
        <f>TRIM(RIGHT(B1262,LEN(B1262)-FIND(" ",B1262,1)))</f>
        <v/>
      </c>
      <c r="I1262" s="16">
        <f>_xlfn.XLOOKUP(Table2[[#This Row],[Type]],Table5[Type],Table5[Type2])</f>
        <v/>
      </c>
      <c r="J1262" s="16">
        <f>_xlfn.XLOOKUP(Table2[[#This Row],[Sym]],Zones!$A$2:$A$21,Zones!$B$2:$B$21)</f>
        <v/>
      </c>
      <c r="K1262" s="21" t="n"/>
    </row>
    <row r="1263">
      <c r="A1263" s="24" t="n">
        <v>3143</v>
      </c>
      <c r="B1263" s="10" t="inlineStr">
        <is>
          <t>T110 Cốc Mỳ</t>
        </is>
      </c>
      <c r="C1263" s="10" t="inlineStr">
        <is>
          <t>TBA 110kV Cốc Mỳ</t>
        </is>
      </c>
      <c r="D1263" s="3" t="inlineStr">
        <is>
          <t>B20</t>
        </is>
      </c>
      <c r="E1263" s="9" t="n"/>
      <c r="F1263" s="15">
        <f>IF(E1263&lt;&gt;"","Đã VH","Quy hoạch điện VIII")</f>
        <v/>
      </c>
      <c r="G1263" s="16">
        <f>LEFT(B1263,FIND(" ",B1263,1)-1)</f>
        <v/>
      </c>
      <c r="H1263" s="16">
        <f>TRIM(RIGHT(B1263,LEN(B1263)-FIND(" ",B1263,1)))</f>
        <v/>
      </c>
      <c r="I1263" s="16">
        <f>_xlfn.XLOOKUP(Table2[[#This Row],[Type]],Table5[Type],Table5[Type2])</f>
        <v/>
      </c>
      <c r="J1263" s="16">
        <f>_xlfn.XLOOKUP(Table2[[#This Row],[Sym]],Zones!$A$2:$A$21,Zones!$B$2:$B$21)</f>
        <v/>
      </c>
      <c r="K1263" s="21" t="n"/>
    </row>
    <row r="1264">
      <c r="A1264" s="24" t="n">
        <v>3144</v>
      </c>
      <c r="B1264" s="10" t="inlineStr">
        <is>
          <t>T110 Nậm Chạc</t>
        </is>
      </c>
      <c r="C1264" s="10" t="inlineStr">
        <is>
          <t>TBA 110kV Nậm Chạc</t>
        </is>
      </c>
      <c r="D1264" s="3" t="inlineStr">
        <is>
          <t>B20</t>
        </is>
      </c>
      <c r="E1264" s="9" t="n"/>
      <c r="F1264" s="15">
        <f>IF(E1264&lt;&gt;"","Đã VH","Quy hoạch điện VIII")</f>
        <v/>
      </c>
      <c r="G1264" s="16">
        <f>LEFT(B1264,FIND(" ",B1264,1)-1)</f>
        <v/>
      </c>
      <c r="H1264" s="16">
        <f>TRIM(RIGHT(B1264,LEN(B1264)-FIND(" ",B1264,1)))</f>
        <v/>
      </c>
      <c r="I1264" s="16">
        <f>_xlfn.XLOOKUP(Table2[[#This Row],[Type]],Table5[Type],Table5[Type2])</f>
        <v/>
      </c>
      <c r="J1264" s="16">
        <f>_xlfn.XLOOKUP(Table2[[#This Row],[Sym]],Zones!$A$2:$A$21,Zones!$B$2:$B$21)</f>
        <v/>
      </c>
      <c r="K1264" s="21" t="n"/>
    </row>
    <row r="1265">
      <c r="A1265" s="24" t="n">
        <v>3145</v>
      </c>
      <c r="B1265" s="10" t="inlineStr">
        <is>
          <t>T110 Y Tý</t>
        </is>
      </c>
      <c r="C1265" s="10" t="inlineStr">
        <is>
          <t>TBA 110kV Y Tý</t>
        </is>
      </c>
      <c r="D1265" s="3" t="inlineStr">
        <is>
          <t>B20</t>
        </is>
      </c>
      <c r="E1265" s="9" t="n"/>
      <c r="F1265" s="15">
        <f>IF(E1265&lt;&gt;"","Đã VH","Quy hoạch điện VIII")</f>
        <v/>
      </c>
      <c r="G1265" s="16">
        <f>LEFT(B1265,FIND(" ",B1265,1)-1)</f>
        <v/>
      </c>
      <c r="H1265" s="16">
        <f>TRIM(RIGHT(B1265,LEN(B1265)-FIND(" ",B1265,1)))</f>
        <v/>
      </c>
      <c r="I1265" s="16">
        <f>_xlfn.XLOOKUP(Table2[[#This Row],[Type]],Table5[Type],Table5[Type2])</f>
        <v/>
      </c>
      <c r="J1265" s="16">
        <f>_xlfn.XLOOKUP(Table2[[#This Row],[Sym]],Zones!$A$2:$A$21,Zones!$B$2:$B$21)</f>
        <v/>
      </c>
      <c r="K1265" s="21" t="n"/>
    </row>
    <row r="1266">
      <c r="A1266" s="24" t="n">
        <v>3146</v>
      </c>
      <c r="B1266" s="10" t="inlineStr">
        <is>
          <t>T110 Tân Thượng</t>
        </is>
      </c>
      <c r="C1266" s="10" t="inlineStr">
        <is>
          <t>TBA 110kV Tân Thượng</t>
        </is>
      </c>
      <c r="D1266" s="3" t="inlineStr">
        <is>
          <t>B20</t>
        </is>
      </c>
      <c r="E1266" s="9" t="n"/>
      <c r="F1266" s="15">
        <f>IF(E1266&lt;&gt;"","Đã VH","Quy hoạch điện VIII")</f>
        <v/>
      </c>
      <c r="G1266" s="16">
        <f>LEFT(B1266,FIND(" ",B1266,1)-1)</f>
        <v/>
      </c>
      <c r="H1266" s="16">
        <f>TRIM(RIGHT(B1266,LEN(B1266)-FIND(" ",B1266,1)))</f>
        <v/>
      </c>
      <c r="I1266" s="16">
        <f>_xlfn.XLOOKUP(Table2[[#This Row],[Type]],Table5[Type],Table5[Type2])</f>
        <v/>
      </c>
      <c r="J1266" s="16">
        <f>_xlfn.XLOOKUP(Table2[[#This Row],[Sym]],Zones!$A$2:$A$21,Zones!$B$2:$B$21)</f>
        <v/>
      </c>
      <c r="K1266" s="21" t="n"/>
    </row>
    <row r="1267">
      <c r="A1267" s="24" t="n">
        <v>3147</v>
      </c>
      <c r="B1267" s="10" t="inlineStr">
        <is>
          <t>T110 Võ Lao</t>
        </is>
      </c>
      <c r="C1267" s="10" t="inlineStr">
        <is>
          <t>TBA 110kV Võ Lao</t>
        </is>
      </c>
      <c r="D1267" s="3" t="inlineStr">
        <is>
          <t>B20</t>
        </is>
      </c>
      <c r="E1267" s="9" t="n"/>
      <c r="F1267" s="15">
        <f>IF(E1267&lt;&gt;"","Đã VH","Quy hoạch điện VIII")</f>
        <v/>
      </c>
      <c r="G1267" s="16">
        <f>LEFT(B1267,FIND(" ",B1267,1)-1)</f>
        <v/>
      </c>
      <c r="H1267" s="16">
        <f>TRIM(RIGHT(B1267,LEN(B1267)-FIND(" ",B1267,1)))</f>
        <v/>
      </c>
      <c r="I1267" s="16">
        <f>_xlfn.XLOOKUP(Table2[[#This Row],[Type]],Table5[Type],Table5[Type2])</f>
        <v/>
      </c>
      <c r="J1267" s="16">
        <f>_xlfn.XLOOKUP(Table2[[#This Row],[Sym]],Zones!$A$2:$A$21,Zones!$B$2:$B$21)</f>
        <v/>
      </c>
      <c r="K1267" s="21" t="n"/>
    </row>
    <row r="1268">
      <c r="A1268" s="24" t="n">
        <v>3148</v>
      </c>
      <c r="B1268" s="10" t="inlineStr">
        <is>
          <t>T110 Bắc Hà</t>
        </is>
      </c>
      <c r="C1268" s="10" t="inlineStr">
        <is>
          <t>TBA 110kV Bắc Hà</t>
        </is>
      </c>
      <c r="D1268" s="3" t="inlineStr">
        <is>
          <t>B20</t>
        </is>
      </c>
      <c r="E1268" s="9" t="n"/>
      <c r="F1268" s="15">
        <f>IF(E1268&lt;&gt;"","Đã VH","Quy hoạch điện VIII")</f>
        <v/>
      </c>
      <c r="G1268" s="16">
        <f>LEFT(B1268,FIND(" ",B1268,1)-1)</f>
        <v/>
      </c>
      <c r="H1268" s="16">
        <f>TRIM(RIGHT(B1268,LEN(B1268)-FIND(" ",B1268,1)))</f>
        <v/>
      </c>
      <c r="I1268" s="16">
        <f>_xlfn.XLOOKUP(Table2[[#This Row],[Type]],Table5[Type],Table5[Type2])</f>
        <v/>
      </c>
      <c r="J1268" s="16">
        <f>_xlfn.XLOOKUP(Table2[[#This Row],[Sym]],Zones!$A$2:$A$21,Zones!$B$2:$B$21)</f>
        <v/>
      </c>
      <c r="K1268" s="21" t="n"/>
    </row>
    <row r="1269">
      <c r="A1269" s="24" t="n">
        <v>3149</v>
      </c>
      <c r="B1269" s="10" t="inlineStr">
        <is>
          <t>T110 Bắc Ngầm</t>
        </is>
      </c>
      <c r="C1269" s="10" t="inlineStr">
        <is>
          <t>TBA 110kV Bắc Ngầm</t>
        </is>
      </c>
      <c r="D1269" s="3" t="inlineStr">
        <is>
          <t>B20</t>
        </is>
      </c>
      <c r="E1269" s="9" t="n"/>
      <c r="F1269" s="15">
        <f>IF(E1269&lt;&gt;"","Đã VH","Quy hoạch điện VIII")</f>
        <v/>
      </c>
      <c r="G1269" s="16">
        <f>LEFT(B1269,FIND(" ",B1269,1)-1)</f>
        <v/>
      </c>
      <c r="H1269" s="16">
        <f>TRIM(RIGHT(B1269,LEN(B1269)-FIND(" ",B1269,1)))</f>
        <v/>
      </c>
      <c r="I1269" s="16">
        <f>_xlfn.XLOOKUP(Table2[[#This Row],[Type]],Table5[Type],Table5[Type2])</f>
        <v/>
      </c>
      <c r="J1269" s="16">
        <f>_xlfn.XLOOKUP(Table2[[#This Row],[Sym]],Zones!$A$2:$A$21,Zones!$B$2:$B$21)</f>
        <v/>
      </c>
      <c r="K1269" s="21" t="n"/>
    </row>
    <row r="1270">
      <c r="A1270" s="24" t="n">
        <v>3150</v>
      </c>
      <c r="B1270" s="10" t="inlineStr">
        <is>
          <t>T220 Văn Bàn</t>
        </is>
      </c>
      <c r="C1270" s="10" t="inlineStr">
        <is>
          <t>TBA 220kV Văn Bàn</t>
        </is>
      </c>
      <c r="D1270" s="3" t="inlineStr">
        <is>
          <t>B20</t>
        </is>
      </c>
      <c r="E1270" s="9" t="n"/>
      <c r="F1270" s="15">
        <f>IF(E1270&lt;&gt;"","Đã VH","Quy hoạch điện VIII")</f>
        <v/>
      </c>
      <c r="G1270" s="16">
        <f>LEFT(B1270,FIND(" ",B1270,1)-1)</f>
        <v/>
      </c>
      <c r="H1270" s="16">
        <f>TRIM(RIGHT(B1270,LEN(B1270)-FIND(" ",B1270,1)))</f>
        <v/>
      </c>
      <c r="I1270" s="16">
        <f>_xlfn.XLOOKUP(Table2[[#This Row],[Type]],Table5[Type],Table5[Type2])</f>
        <v/>
      </c>
      <c r="J1270" s="16">
        <f>_xlfn.XLOOKUP(Table2[[#This Row],[Sym]],Zones!$A$2:$A$21,Zones!$B$2:$B$21)</f>
        <v/>
      </c>
      <c r="K1270" s="21" t="n"/>
    </row>
    <row r="1271">
      <c r="A1271" s="24" t="n">
        <v>3151</v>
      </c>
      <c r="B1271" s="10" t="inlineStr">
        <is>
          <t>T220 Bắc Hà</t>
        </is>
      </c>
      <c r="C1271" s="10" t="inlineStr">
        <is>
          <t>TBA 220kV Bắc Hà</t>
        </is>
      </c>
      <c r="D1271" s="3" t="inlineStr">
        <is>
          <t>B20</t>
        </is>
      </c>
      <c r="E1271" s="9" t="n"/>
      <c r="F1271" s="15">
        <f>IF(E1271&lt;&gt;"","Đã VH","Quy hoạch điện VIII")</f>
        <v/>
      </c>
      <c r="G1271" s="16">
        <f>LEFT(B1271,FIND(" ",B1271,1)-1)</f>
        <v/>
      </c>
      <c r="H1271" s="16">
        <f>TRIM(RIGHT(B1271,LEN(B1271)-FIND(" ",B1271,1)))</f>
        <v/>
      </c>
      <c r="I1271" s="16">
        <f>_xlfn.XLOOKUP(Table2[[#This Row],[Type]],Table5[Type],Table5[Type2])</f>
        <v/>
      </c>
      <c r="J1271" s="16">
        <f>_xlfn.XLOOKUP(Table2[[#This Row],[Sym]],Zones!$A$2:$A$21,Zones!$B$2:$B$21)</f>
        <v/>
      </c>
      <c r="K1271" s="21" t="n"/>
    </row>
    <row r="1272">
      <c r="A1272" s="24" t="n">
        <v>3152</v>
      </c>
      <c r="B1272" s="10" t="inlineStr">
        <is>
          <t>T110 Mường Khương</t>
        </is>
      </c>
      <c r="C1272" s="10" t="inlineStr">
        <is>
          <t>TBA 110kV Mường Khương</t>
        </is>
      </c>
      <c r="D1272" s="3" t="inlineStr">
        <is>
          <t>B20</t>
        </is>
      </c>
      <c r="E1272" s="9" t="n"/>
      <c r="F1272" s="15">
        <f>IF(E1272&lt;&gt;"","Đã VH","Quy hoạch điện VIII")</f>
        <v/>
      </c>
      <c r="G1272" s="16">
        <f>LEFT(B1272,FIND(" ",B1272,1)-1)</f>
        <v/>
      </c>
      <c r="H1272" s="16">
        <f>TRIM(RIGHT(B1272,LEN(B1272)-FIND(" ",B1272,1)))</f>
        <v/>
      </c>
      <c r="I1272" s="16">
        <f>_xlfn.XLOOKUP(Table2[[#This Row],[Type]],Table5[Type],Table5[Type2])</f>
        <v/>
      </c>
      <c r="J1272" s="16">
        <f>_xlfn.XLOOKUP(Table2[[#This Row],[Sym]],Zones!$A$2:$A$21,Zones!$B$2:$B$21)</f>
        <v/>
      </c>
      <c r="K1272" s="21" t="n"/>
    </row>
    <row r="1273">
      <c r="A1273" s="24" t="n">
        <v>3153</v>
      </c>
      <c r="B1273" s="10" t="inlineStr">
        <is>
          <t>TĐ Si Ma Cai</t>
        </is>
      </c>
      <c r="C1273" s="10" t="inlineStr">
        <is>
          <t>NM TĐN Si Ma Cai</t>
        </is>
      </c>
      <c r="D1273" s="3" t="inlineStr">
        <is>
          <t>B20</t>
        </is>
      </c>
      <c r="E1273" s="9" t="n"/>
      <c r="F1273" s="15">
        <f>IF(E1273&lt;&gt;"","Đã VH","Quy hoạch điện VIII")</f>
        <v/>
      </c>
      <c r="G1273" s="16">
        <f>LEFT(B1273,FIND(" ",B1273,1)-1)</f>
        <v/>
      </c>
      <c r="H1273" s="16">
        <f>TRIM(RIGHT(B1273,LEN(B1273)-FIND(" ",B1273,1)))</f>
        <v/>
      </c>
      <c r="I1273" s="16">
        <f>_xlfn.XLOOKUP(Table2[[#This Row],[Type]],Table5[Type],Table5[Type2])</f>
        <v/>
      </c>
      <c r="J1273" s="16">
        <f>_xlfn.XLOOKUP(Table2[[#This Row],[Sym]],Zones!$A$2:$A$21,Zones!$B$2:$B$21)</f>
        <v/>
      </c>
      <c r="K1273" s="21" t="n"/>
    </row>
    <row r="1274">
      <c r="A1274" s="24" t="n">
        <v>3200</v>
      </c>
      <c r="B1274" s="10" t="inlineStr">
        <is>
          <t>T110 Tuần Giáo</t>
        </is>
      </c>
      <c r="C1274" s="10" t="inlineStr">
        <is>
          <t>TBA 110kV Tuần Giáo</t>
        </is>
      </c>
      <c r="D1274" s="3" t="inlineStr">
        <is>
          <t>B21</t>
        </is>
      </c>
      <c r="E1274" s="9" t="inlineStr">
        <is>
          <t>E21.1</t>
        </is>
      </c>
      <c r="F1274" s="15">
        <f>IF(E1274&lt;&gt;"","Đã VH","Quy hoạch điện VIII")</f>
        <v/>
      </c>
      <c r="G1274" s="16">
        <f>LEFT(B1274,FIND(" ",B1274,1)-1)</f>
        <v/>
      </c>
      <c r="H1274" s="16">
        <f>TRIM(RIGHT(B1274,LEN(B1274)-FIND(" ",B1274,1)))</f>
        <v/>
      </c>
      <c r="I1274" s="16">
        <f>_xlfn.XLOOKUP(Table2[[#This Row],[Type]],Table5[Type],Table5[Type2])</f>
        <v/>
      </c>
      <c r="J1274" s="16">
        <f>_xlfn.XLOOKUP(Table2[[#This Row],[Sym]],Zones!$A$2:$A$21,Zones!$B$2:$B$21)</f>
        <v/>
      </c>
      <c r="K1274" s="21" t="n"/>
    </row>
    <row r="1275">
      <c r="A1275" s="24" t="n">
        <v>3201</v>
      </c>
      <c r="B1275" s="10" t="inlineStr">
        <is>
          <t>T110 Điện Biên</t>
        </is>
      </c>
      <c r="C1275" s="10" t="inlineStr">
        <is>
          <t>TBA 110kV Điện Biên</t>
        </is>
      </c>
      <c r="D1275" s="3" t="inlineStr">
        <is>
          <t>B21</t>
        </is>
      </c>
      <c r="E1275" s="9" t="inlineStr">
        <is>
          <t>E21.2</t>
        </is>
      </c>
      <c r="F1275" s="15">
        <f>IF(E1275&lt;&gt;"","Đã VH","Quy hoạch điện VIII")</f>
        <v/>
      </c>
      <c r="G1275" s="16">
        <f>LEFT(B1275,FIND(" ",B1275,1)-1)</f>
        <v/>
      </c>
      <c r="H1275" s="16">
        <f>TRIM(RIGHT(B1275,LEN(B1275)-FIND(" ",B1275,1)))</f>
        <v/>
      </c>
      <c r="I1275" s="16">
        <f>_xlfn.XLOOKUP(Table2[[#This Row],[Type]],Table5[Type],Table5[Type2])</f>
        <v/>
      </c>
      <c r="J1275" s="16">
        <f>_xlfn.XLOOKUP(Table2[[#This Row],[Sym]],Zones!$A$2:$A$21,Zones!$B$2:$B$21)</f>
        <v/>
      </c>
      <c r="K1275" s="21" t="n"/>
    </row>
    <row r="1276">
      <c r="A1276" s="24" t="n">
        <v>3202</v>
      </c>
      <c r="B1276" s="10" t="inlineStr">
        <is>
          <t>T110 XM Điện Biên</t>
        </is>
      </c>
      <c r="C1276" s="10" t="inlineStr">
        <is>
          <t>TBA 110kV XM Điện Biên</t>
        </is>
      </c>
      <c r="D1276" s="3" t="inlineStr">
        <is>
          <t>B21</t>
        </is>
      </c>
      <c r="E1276" s="9" t="inlineStr">
        <is>
          <t>E21.4</t>
        </is>
      </c>
      <c r="F1276" s="15">
        <f>IF(E1276&lt;&gt;"","Đã VH","Quy hoạch điện VIII")</f>
        <v/>
      </c>
      <c r="G1276" s="16">
        <f>LEFT(B1276,FIND(" ",B1276,1)-1)</f>
        <v/>
      </c>
      <c r="H1276" s="16">
        <f>TRIM(RIGHT(B1276,LEN(B1276)-FIND(" ",B1276,1)))</f>
        <v/>
      </c>
      <c r="I1276" s="16">
        <f>_xlfn.XLOOKUP(Table2[[#This Row],[Type]],Table5[Type],Table5[Type2])</f>
        <v/>
      </c>
      <c r="J1276" s="16">
        <f>_xlfn.XLOOKUP(Table2[[#This Row],[Sym]],Zones!$A$2:$A$21,Zones!$B$2:$B$21)</f>
        <v/>
      </c>
      <c r="K1276" s="21" t="n"/>
    </row>
    <row r="1277">
      <c r="A1277" s="24" t="n">
        <v>3203</v>
      </c>
      <c r="B1277" s="10" t="inlineStr">
        <is>
          <t>TĐ Nậm He</t>
        </is>
      </c>
      <c r="C1277" s="10" t="inlineStr">
        <is>
          <t>NM TĐN Nậm He</t>
        </is>
      </c>
      <c r="D1277" s="3" t="inlineStr">
        <is>
          <t>B21</t>
        </is>
      </c>
      <c r="E1277" s="9" t="inlineStr">
        <is>
          <t>A21.10</t>
        </is>
      </c>
      <c r="F1277" s="15">
        <f>IF(E1277&lt;&gt;"","Đã VH","Quy hoạch điện VIII")</f>
        <v/>
      </c>
      <c r="G1277" s="16">
        <f>LEFT(B1277,FIND(" ",B1277,1)-1)</f>
        <v/>
      </c>
      <c r="H1277" s="16">
        <f>TRIM(RIGHT(B1277,LEN(B1277)-FIND(" ",B1277,1)))</f>
        <v/>
      </c>
      <c r="I1277" s="16">
        <f>_xlfn.XLOOKUP(Table2[[#This Row],[Type]],Table5[Type],Table5[Type2])</f>
        <v/>
      </c>
      <c r="J1277" s="16">
        <f>_xlfn.XLOOKUP(Table2[[#This Row],[Sym]],Zones!$A$2:$A$21,Zones!$B$2:$B$21)</f>
        <v/>
      </c>
      <c r="K1277" s="21" t="n"/>
    </row>
    <row r="1278">
      <c r="A1278" s="24" t="n">
        <v>3204</v>
      </c>
      <c r="B1278" s="10" t="inlineStr">
        <is>
          <t>TĐ Nậm Mức</t>
        </is>
      </c>
      <c r="C1278" s="10" t="inlineStr">
        <is>
          <t>NM TĐN Nậm Mức</t>
        </is>
      </c>
      <c r="D1278" s="3" t="inlineStr">
        <is>
          <t>B21</t>
        </is>
      </c>
      <c r="E1278" s="9" t="inlineStr">
        <is>
          <t>A21.15</t>
        </is>
      </c>
      <c r="F1278" s="15">
        <f>IF(E1278&lt;&gt;"","Đã VH","Quy hoạch điện VIII")</f>
        <v/>
      </c>
      <c r="G1278" s="16">
        <f>LEFT(B1278,FIND(" ",B1278,1)-1)</f>
        <v/>
      </c>
      <c r="H1278" s="16">
        <f>TRIM(RIGHT(B1278,LEN(B1278)-FIND(" ",B1278,1)))</f>
        <v/>
      </c>
      <c r="I1278" s="16">
        <f>_xlfn.XLOOKUP(Table2[[#This Row],[Type]],Table5[Type],Table5[Type2])</f>
        <v/>
      </c>
      <c r="J1278" s="16">
        <f>_xlfn.XLOOKUP(Table2[[#This Row],[Sym]],Zones!$A$2:$A$21,Zones!$B$2:$B$21)</f>
        <v/>
      </c>
      <c r="K1278" s="21" t="n"/>
    </row>
    <row r="1279">
      <c r="A1279" s="24" t="n">
        <v>3205</v>
      </c>
      <c r="B1279" s="10" t="inlineStr">
        <is>
          <t>TĐ Trung Thu</t>
        </is>
      </c>
      <c r="C1279" s="10" t="inlineStr">
        <is>
          <t>NM TĐN Trung Thu</t>
        </is>
      </c>
      <c r="D1279" s="3" t="inlineStr">
        <is>
          <t>B21</t>
        </is>
      </c>
      <c r="E1279" s="9" t="inlineStr">
        <is>
          <t>A21.11</t>
        </is>
      </c>
      <c r="F1279" s="15">
        <f>IF(E1279&lt;&gt;"","Đã VH","Quy hoạch điện VIII")</f>
        <v/>
      </c>
      <c r="G1279" s="16">
        <f>LEFT(B1279,FIND(" ",B1279,1)-1)</f>
        <v/>
      </c>
      <c r="H1279" s="16">
        <f>TRIM(RIGHT(B1279,LEN(B1279)-FIND(" ",B1279,1)))</f>
        <v/>
      </c>
      <c r="I1279" s="16">
        <f>_xlfn.XLOOKUP(Table2[[#This Row],[Type]],Table5[Type],Table5[Type2])</f>
        <v/>
      </c>
      <c r="J1279" s="16">
        <f>_xlfn.XLOOKUP(Table2[[#This Row],[Sym]],Zones!$A$2:$A$21,Zones!$B$2:$B$21)</f>
        <v/>
      </c>
      <c r="K1279" s="21" t="n"/>
    </row>
    <row r="1280">
      <c r="A1280" s="24" t="n">
        <v>3206</v>
      </c>
      <c r="B1280" s="10" t="inlineStr">
        <is>
          <t>TĐ Nậm Núa</t>
        </is>
      </c>
      <c r="C1280" s="30" t="inlineStr">
        <is>
          <t>NM TĐN Nậm  Núa</t>
        </is>
      </c>
      <c r="D1280" s="3" t="inlineStr">
        <is>
          <t>B21</t>
        </is>
      </c>
      <c r="E1280" s="9" t="inlineStr">
        <is>
          <t>A21.12</t>
        </is>
      </c>
      <c r="F1280" s="15">
        <f>IF(E1280&lt;&gt;"","Đã VH","Quy hoạch điện VIII")</f>
        <v/>
      </c>
      <c r="G1280" s="16">
        <f>LEFT(B1280,FIND(" ",B1280,1)-1)</f>
        <v/>
      </c>
      <c r="H1280" s="16">
        <f>TRIM(RIGHT(B1280,LEN(B1280)-FIND(" ",B1280,1)))</f>
        <v/>
      </c>
      <c r="I1280" s="16">
        <f>_xlfn.XLOOKUP(Table2[[#This Row],[Type]],Table5[Type],Table5[Type2])</f>
        <v/>
      </c>
      <c r="J1280" s="16">
        <f>_xlfn.XLOOKUP(Table2[[#This Row],[Sym]],Zones!$A$2:$A$21,Zones!$B$2:$B$21)</f>
        <v/>
      </c>
      <c r="K1280" s="21" t="n"/>
      <c r="AK1280" t="inlineStr">
        <is>
          <t>Đã sửa từ dashboard (NM TĐN Nậm Núa ➔ NM TĐN Nậm  Núa )</t>
        </is>
      </c>
    </row>
    <row r="1281">
      <c r="A1281" s="24" t="n">
        <v>3207</v>
      </c>
      <c r="B1281" s="10" t="inlineStr">
        <is>
          <t>TĐ Nậm Mu 2</t>
        </is>
      </c>
      <c r="C1281" s="10" t="inlineStr">
        <is>
          <t>NM TĐN Nậm Mu 2</t>
        </is>
      </c>
      <c r="D1281" s="3" t="inlineStr">
        <is>
          <t>B21</t>
        </is>
      </c>
      <c r="E1281" s="9" t="inlineStr">
        <is>
          <t>A21.13</t>
        </is>
      </c>
      <c r="F1281" s="15">
        <f>IF(E1281&lt;&gt;"","Đã VH","Quy hoạch điện VIII")</f>
        <v/>
      </c>
      <c r="G1281" s="16">
        <f>LEFT(B1281,FIND(" ",B1281,1)-1)</f>
        <v/>
      </c>
      <c r="H1281" s="16">
        <f>TRIM(RIGHT(B1281,LEN(B1281)-FIND(" ",B1281,1)))</f>
        <v/>
      </c>
      <c r="I1281" s="16">
        <f>_xlfn.XLOOKUP(Table2[[#This Row],[Type]],Table5[Type],Table5[Type2])</f>
        <v/>
      </c>
      <c r="J1281" s="16">
        <f>_xlfn.XLOOKUP(Table2[[#This Row],[Sym]],Zones!$A$2:$A$21,Zones!$B$2:$B$21)</f>
        <v/>
      </c>
      <c r="K1281" s="21" t="n"/>
    </row>
    <row r="1282">
      <c r="A1282" s="24" t="n">
        <v>3208</v>
      </c>
      <c r="B1282" s="10" t="inlineStr">
        <is>
          <t>T110 Điện Biên 2</t>
        </is>
      </c>
      <c r="C1282" s="10" t="inlineStr">
        <is>
          <t>TBA 110kV Điện Biên 2</t>
        </is>
      </c>
      <c r="D1282" s="3" t="inlineStr">
        <is>
          <t>B21</t>
        </is>
      </c>
      <c r="E1282" s="9" t="inlineStr">
        <is>
          <t>E21.6</t>
        </is>
      </c>
      <c r="F1282" s="15">
        <f>IF(E1282&lt;&gt;"","Đã VH","Quy hoạch điện VIII")</f>
        <v/>
      </c>
      <c r="G1282" s="16">
        <f>LEFT(B1282,FIND(" ",B1282,1)-1)</f>
        <v/>
      </c>
      <c r="H1282" s="16">
        <f>TRIM(RIGHT(B1282,LEN(B1282)-FIND(" ",B1282,1)))</f>
        <v/>
      </c>
      <c r="I1282" s="16">
        <f>_xlfn.XLOOKUP(Table2[[#This Row],[Type]],Table5[Type],Table5[Type2])</f>
        <v/>
      </c>
      <c r="J1282" s="16">
        <f>_xlfn.XLOOKUP(Table2[[#This Row],[Sym]],Zones!$A$2:$A$21,Zones!$B$2:$B$21)</f>
        <v/>
      </c>
      <c r="K1282" s="21" t="n"/>
    </row>
    <row r="1283">
      <c r="A1283" s="24" t="n">
        <v>3209</v>
      </c>
      <c r="B1283" s="10" t="inlineStr">
        <is>
          <t>TĐ Sông Mã 3</t>
        </is>
      </c>
      <c r="C1283" s="10" t="inlineStr">
        <is>
          <t>NM TĐN Sông Mã 3</t>
        </is>
      </c>
      <c r="D1283" s="3" t="inlineStr">
        <is>
          <t>B21</t>
        </is>
      </c>
      <c r="E1283" s="9" t="inlineStr">
        <is>
          <t>A21.18</t>
        </is>
      </c>
      <c r="F1283" s="15">
        <f>IF(E1283&lt;&gt;"","Đã VH","Quy hoạch điện VIII")</f>
        <v/>
      </c>
      <c r="G1283" s="16">
        <f>LEFT(B1283,FIND(" ",B1283,1)-1)</f>
        <v/>
      </c>
      <c r="H1283" s="16">
        <f>TRIM(RIGHT(B1283,LEN(B1283)-FIND(" ",B1283,1)))</f>
        <v/>
      </c>
      <c r="I1283" s="16">
        <f>_xlfn.XLOOKUP(Table2[[#This Row],[Type]],Table5[Type],Table5[Type2])</f>
        <v/>
      </c>
      <c r="J1283" s="16">
        <f>_xlfn.XLOOKUP(Table2[[#This Row],[Sym]],Zones!$A$2:$A$21,Zones!$B$2:$B$21)</f>
        <v/>
      </c>
      <c r="K1283" s="21" t="n"/>
    </row>
    <row r="1284">
      <c r="A1284" s="24" t="n">
        <v>3210</v>
      </c>
      <c r="B1284" s="10" t="inlineStr">
        <is>
          <t>TĐ Mường Luân 1</t>
        </is>
      </c>
      <c r="C1284" s="10" t="inlineStr">
        <is>
          <t>NM TĐN Mường Luân 1</t>
        </is>
      </c>
      <c r="D1284" s="3" t="inlineStr">
        <is>
          <t>B21</t>
        </is>
      </c>
      <c r="E1284" s="9" t="inlineStr">
        <is>
          <t>A21.21</t>
        </is>
      </c>
      <c r="F1284" s="15">
        <f>IF(E1284&lt;&gt;"","Đã VH","Quy hoạch điện VIII")</f>
        <v/>
      </c>
      <c r="G1284" s="16">
        <f>LEFT(B1284,FIND(" ",B1284,1)-1)</f>
        <v/>
      </c>
      <c r="H1284" s="16">
        <f>TRIM(RIGHT(B1284,LEN(B1284)-FIND(" ",B1284,1)))</f>
        <v/>
      </c>
      <c r="I1284" s="16">
        <f>_xlfn.XLOOKUP(Table2[[#This Row],[Type]],Table5[Type],Table5[Type2])</f>
        <v/>
      </c>
      <c r="J1284" s="16">
        <f>_xlfn.XLOOKUP(Table2[[#This Row],[Sym]],Zones!$A$2:$A$21,Zones!$B$2:$B$21)</f>
        <v/>
      </c>
      <c r="K1284" s="21" t="n"/>
    </row>
    <row r="1285">
      <c r="A1285" s="24" t="n">
        <v>3211</v>
      </c>
      <c r="B1285" s="10" t="inlineStr">
        <is>
          <t>TĐ Mường Mươn</t>
        </is>
      </c>
      <c r="C1285" s="10" t="inlineStr">
        <is>
          <t>NM TĐN Mường Mươn</t>
        </is>
      </c>
      <c r="D1285" s="3" t="inlineStr">
        <is>
          <t>B21</t>
        </is>
      </c>
      <c r="E1285" s="9" t="inlineStr">
        <is>
          <t>A21.24</t>
        </is>
      </c>
      <c r="F1285" s="15">
        <f>IF(E1285&lt;&gt;"","Đã VH","Quy hoạch điện VIII")</f>
        <v/>
      </c>
      <c r="G1285" s="16">
        <f>LEFT(B1285,FIND(" ",B1285,1)-1)</f>
        <v/>
      </c>
      <c r="H1285" s="16">
        <f>TRIM(RIGHT(B1285,LEN(B1285)-FIND(" ",B1285,1)))</f>
        <v/>
      </c>
      <c r="I1285" s="16">
        <f>_xlfn.XLOOKUP(Table2[[#This Row],[Type]],Table5[Type],Table5[Type2])</f>
        <v/>
      </c>
      <c r="J1285" s="16">
        <f>_xlfn.XLOOKUP(Table2[[#This Row],[Sym]],Zones!$A$2:$A$21,Zones!$B$2:$B$21)</f>
        <v/>
      </c>
      <c r="K1285" s="21" t="n"/>
    </row>
    <row r="1286">
      <c r="A1286" s="24" t="n">
        <v>3212</v>
      </c>
      <c r="B1286" s="10" t="inlineStr">
        <is>
          <t>TĐ Phi Lĩnh</t>
        </is>
      </c>
      <c r="C1286" s="10" t="inlineStr">
        <is>
          <t>NM TĐN Phi Lĩnh</t>
        </is>
      </c>
      <c r="D1286" s="3" t="inlineStr">
        <is>
          <t>B21</t>
        </is>
      </c>
      <c r="E1286" s="9" t="inlineStr">
        <is>
          <t>A21.22</t>
        </is>
      </c>
      <c r="F1286" s="15">
        <f>IF(E1286&lt;&gt;"","Đã VH","Quy hoạch điện VIII")</f>
        <v/>
      </c>
      <c r="G1286" s="16">
        <f>LEFT(B1286,FIND(" ",B1286,1)-1)</f>
        <v/>
      </c>
      <c r="H1286" s="16">
        <f>TRIM(RIGHT(B1286,LEN(B1286)-FIND(" ",B1286,1)))</f>
        <v/>
      </c>
      <c r="I1286" s="16">
        <f>_xlfn.XLOOKUP(Table2[[#This Row],[Type]],Table5[Type],Table5[Type2])</f>
        <v/>
      </c>
      <c r="J1286" s="16">
        <f>_xlfn.XLOOKUP(Table2[[#This Row],[Sym]],Zones!$A$2:$A$21,Zones!$B$2:$B$21)</f>
        <v/>
      </c>
      <c r="K1286" s="21" t="n"/>
    </row>
    <row r="1287">
      <c r="A1287" s="24" t="n">
        <v>3213</v>
      </c>
      <c r="B1287" s="10" t="inlineStr">
        <is>
          <t>TĐ Mường Tùng</t>
        </is>
      </c>
      <c r="C1287" s="10" t="inlineStr">
        <is>
          <t>NM TĐN Mường Tùng</t>
        </is>
      </c>
      <c r="D1287" s="3" t="inlineStr">
        <is>
          <t>B21</t>
        </is>
      </c>
      <c r="E1287" s="9" t="n"/>
      <c r="F1287" s="15">
        <f>IF(E1287&lt;&gt;"","Đã VH","Quy hoạch điện VIII")</f>
        <v/>
      </c>
      <c r="G1287" s="16">
        <f>LEFT(B1287,FIND(" ",B1287,1)-1)</f>
        <v/>
      </c>
      <c r="H1287" s="16">
        <f>TRIM(RIGHT(B1287,LEN(B1287)-FIND(" ",B1287,1)))</f>
        <v/>
      </c>
      <c r="I1287" s="16">
        <f>_xlfn.XLOOKUP(Table2[[#This Row],[Type]],Table5[Type],Table5[Type2])</f>
        <v/>
      </c>
      <c r="J1287" s="16">
        <f>_xlfn.XLOOKUP(Table2[[#This Row],[Sym]],Zones!$A$2:$A$21,Zones!$B$2:$B$21)</f>
        <v/>
      </c>
      <c r="K1287" s="21" t="n"/>
    </row>
    <row r="1288">
      <c r="A1288" s="24" t="n">
        <v>3214</v>
      </c>
      <c r="B1288" s="10" t="inlineStr">
        <is>
          <t>TĐ Nậm Núa 2</t>
        </is>
      </c>
      <c r="C1288" s="10" t="inlineStr">
        <is>
          <t>NM TĐN Nậm Núa 2</t>
        </is>
      </c>
      <c r="D1288" s="3" t="inlineStr">
        <is>
          <t>B21</t>
        </is>
      </c>
      <c r="E1288" s="9" t="inlineStr">
        <is>
          <t>A21.23</t>
        </is>
      </c>
      <c r="F1288" s="15">
        <f>IF(E1288&lt;&gt;"","Đã VH","Quy hoạch điện VIII")</f>
        <v/>
      </c>
      <c r="G1288" s="16">
        <f>LEFT(B1288,FIND(" ",B1288,1)-1)</f>
        <v/>
      </c>
      <c r="H1288" s="16">
        <f>TRIM(RIGHT(B1288,LEN(B1288)-FIND(" ",B1288,1)))</f>
        <v/>
      </c>
      <c r="I1288" s="16">
        <f>_xlfn.XLOOKUP(Table2[[#This Row],[Type]],Table5[Type],Table5[Type2])</f>
        <v/>
      </c>
      <c r="J1288" s="16">
        <f>_xlfn.XLOOKUP(Table2[[#This Row],[Sym]],Zones!$A$2:$A$21,Zones!$B$2:$B$21)</f>
        <v/>
      </c>
      <c r="K1288" s="21" t="n"/>
    </row>
    <row r="1289">
      <c r="A1289" s="24" t="n">
        <v>3215</v>
      </c>
      <c r="B1289" s="10" t="inlineStr">
        <is>
          <t>TĐ Huổi Vang</t>
        </is>
      </c>
      <c r="C1289" s="10" t="inlineStr">
        <is>
          <t>NM TĐN Huổi Vang</t>
        </is>
      </c>
      <c r="D1289" s="3" t="inlineStr">
        <is>
          <t>B21</t>
        </is>
      </c>
      <c r="E1289" s="9" t="inlineStr">
        <is>
          <t>A21.17</t>
        </is>
      </c>
      <c r="F1289" s="15">
        <f>IF(E1289&lt;&gt;"","Đã VH","Quy hoạch điện VIII")</f>
        <v/>
      </c>
      <c r="G1289" s="16">
        <f>LEFT(B1289,FIND(" ",B1289,1)-1)</f>
        <v/>
      </c>
      <c r="H1289" s="16">
        <f>TRIM(RIGHT(B1289,LEN(B1289)-FIND(" ",B1289,1)))</f>
        <v/>
      </c>
      <c r="I1289" s="16">
        <f>_xlfn.XLOOKUP(Table2[[#This Row],[Type]],Table5[Type],Table5[Type2])</f>
        <v/>
      </c>
      <c r="J1289" s="16">
        <f>_xlfn.XLOOKUP(Table2[[#This Row],[Sym]],Zones!$A$2:$A$21,Zones!$B$2:$B$21)</f>
        <v/>
      </c>
      <c r="K1289" s="21" t="n"/>
    </row>
    <row r="1290">
      <c r="A1290" s="24" t="n">
        <v>3216</v>
      </c>
      <c r="B1290" s="10" t="inlineStr">
        <is>
          <t>T110 Mường Chà</t>
        </is>
      </c>
      <c r="C1290" s="10" t="inlineStr">
        <is>
          <t>TBA 110kV Mường Chà</t>
        </is>
      </c>
      <c r="D1290" s="3" t="inlineStr">
        <is>
          <t>B21</t>
        </is>
      </c>
      <c r="E1290" s="9" t="inlineStr">
        <is>
          <t>E21.7</t>
        </is>
      </c>
      <c r="F1290" s="15">
        <f>IF(E1290&lt;&gt;"","Đã VH","Quy hoạch điện VIII")</f>
        <v/>
      </c>
      <c r="G1290" s="16">
        <f>LEFT(B1290,FIND(" ",B1290,1)-1)</f>
        <v/>
      </c>
      <c r="H1290" s="16">
        <f>TRIM(RIGHT(B1290,LEN(B1290)-FIND(" ",B1290,1)))</f>
        <v/>
      </c>
      <c r="I1290" s="16">
        <f>_xlfn.XLOOKUP(Table2[[#This Row],[Type]],Table5[Type],Table5[Type2])</f>
        <v/>
      </c>
      <c r="J1290" s="16">
        <f>_xlfn.XLOOKUP(Table2[[#This Row],[Sym]],Zones!$A$2:$A$21,Zones!$B$2:$B$21)</f>
        <v/>
      </c>
      <c r="K1290" s="21" t="n"/>
    </row>
    <row r="1291">
      <c r="A1291" s="24" t="n">
        <v>3217</v>
      </c>
      <c r="B1291" s="10" t="inlineStr">
        <is>
          <t>TĐ Ma Thì Hồ</t>
        </is>
      </c>
      <c r="C1291" s="10" t="inlineStr">
        <is>
          <t>NM TĐN Ma Thì Hồ</t>
        </is>
      </c>
      <c r="D1291" s="3" t="inlineStr">
        <is>
          <t>B21</t>
        </is>
      </c>
      <c r="E1291" s="9" t="n"/>
      <c r="F1291" s="15">
        <f>IF(E1291&lt;&gt;"","Đã VH","Quy hoạch điện VIII")</f>
        <v/>
      </c>
      <c r="G1291" s="16">
        <f>LEFT(B1291,FIND(" ",B1291,1)-1)</f>
        <v/>
      </c>
      <c r="H1291" s="16">
        <f>TRIM(RIGHT(B1291,LEN(B1291)-FIND(" ",B1291,1)))</f>
        <v/>
      </c>
      <c r="I1291" s="16">
        <f>_xlfn.XLOOKUP(Table2[[#This Row],[Type]],Table5[Type],Table5[Type2])</f>
        <v/>
      </c>
      <c r="J1291" s="16">
        <f>_xlfn.XLOOKUP(Table2[[#This Row],[Sym]],Zones!$A$2:$A$21,Zones!$B$2:$B$21)</f>
        <v/>
      </c>
      <c r="K1291" s="21" t="n"/>
    </row>
    <row r="1292">
      <c r="A1292" s="24" t="n">
        <v>3218</v>
      </c>
      <c r="B1292" s="10" t="inlineStr">
        <is>
          <t>TĐ Nậm He Thượng 2</t>
        </is>
      </c>
      <c r="C1292" s="10" t="inlineStr">
        <is>
          <t>NM TĐN Nậm He Thượng 2</t>
        </is>
      </c>
      <c r="D1292" s="3" t="inlineStr">
        <is>
          <t>B21</t>
        </is>
      </c>
      <c r="E1292" s="9" t="n"/>
      <c r="F1292" s="15">
        <f>IF(E1292&lt;&gt;"","Đã VH","Quy hoạch điện VIII")</f>
        <v/>
      </c>
      <c r="G1292" s="16">
        <f>LEFT(B1292,FIND(" ",B1292,1)-1)</f>
        <v/>
      </c>
      <c r="H1292" s="16">
        <f>TRIM(RIGHT(B1292,LEN(B1292)-FIND(" ",B1292,1)))</f>
        <v/>
      </c>
      <c r="I1292" s="16">
        <f>_xlfn.XLOOKUP(Table2[[#This Row],[Type]],Table5[Type],Table5[Type2])</f>
        <v/>
      </c>
      <c r="J1292" s="16">
        <f>_xlfn.XLOOKUP(Table2[[#This Row],[Sym]],Zones!$A$2:$A$21,Zones!$B$2:$B$21)</f>
        <v/>
      </c>
      <c r="K1292" s="21" t="n"/>
    </row>
    <row r="1293">
      <c r="A1293" s="24" t="n">
        <v>3219</v>
      </c>
      <c r="B1293" s="10" t="inlineStr">
        <is>
          <t>TĐ Chiềng Sơ 2</t>
        </is>
      </c>
      <c r="C1293" s="10" t="inlineStr">
        <is>
          <t>NM TĐN Chiềng Sơ 2</t>
        </is>
      </c>
      <c r="D1293" s="3" t="inlineStr">
        <is>
          <t>B21</t>
        </is>
      </c>
      <c r="E1293" s="9" t="n"/>
      <c r="F1293" s="15">
        <f>IF(E1293&lt;&gt;"","Đã VH","Quy hoạch điện VIII")</f>
        <v/>
      </c>
      <c r="G1293" s="16">
        <f>LEFT(B1293,FIND(" ",B1293,1)-1)</f>
        <v/>
      </c>
      <c r="H1293" s="16">
        <f>TRIM(RIGHT(B1293,LEN(B1293)-FIND(" ",B1293,1)))</f>
        <v/>
      </c>
      <c r="I1293" s="16">
        <f>_xlfn.XLOOKUP(Table2[[#This Row],[Type]],Table5[Type],Table5[Type2])</f>
        <v/>
      </c>
      <c r="J1293" s="16">
        <f>_xlfn.XLOOKUP(Table2[[#This Row],[Sym]],Zones!$A$2:$A$21,Zones!$B$2:$B$21)</f>
        <v/>
      </c>
      <c r="K1293" s="21" t="n"/>
    </row>
    <row r="1294">
      <c r="A1294" s="24" t="n">
        <v>3220</v>
      </c>
      <c r="B1294" s="10" t="inlineStr">
        <is>
          <t>TĐ Sông Mã 1</t>
        </is>
      </c>
      <c r="C1294" s="10" t="inlineStr">
        <is>
          <t>NM TĐN Sông Mã 1</t>
        </is>
      </c>
      <c r="D1294" s="3" t="inlineStr">
        <is>
          <t>B21</t>
        </is>
      </c>
      <c r="E1294" s="9" t="n"/>
      <c r="F1294" s="15">
        <f>IF(E1294&lt;&gt;"","Đã VH","Quy hoạch điện VIII")</f>
        <v/>
      </c>
      <c r="G1294" s="16">
        <f>LEFT(B1294,FIND(" ",B1294,1)-1)</f>
        <v/>
      </c>
      <c r="H1294" s="16">
        <f>TRIM(RIGHT(B1294,LEN(B1294)-FIND(" ",B1294,1)))</f>
        <v/>
      </c>
      <c r="I1294" s="16">
        <f>_xlfn.XLOOKUP(Table2[[#This Row],[Type]],Table5[Type],Table5[Type2])</f>
        <v/>
      </c>
      <c r="J1294" s="16">
        <f>_xlfn.XLOOKUP(Table2[[#This Row],[Sym]],Zones!$A$2:$A$21,Zones!$B$2:$B$21)</f>
        <v/>
      </c>
      <c r="K1294" s="21" t="n"/>
    </row>
    <row r="1295">
      <c r="A1295" s="24" t="n">
        <v>3221</v>
      </c>
      <c r="B1295" s="10" t="inlineStr">
        <is>
          <t>TĐ Sông Mã 2</t>
        </is>
      </c>
      <c r="C1295" s="10" t="inlineStr">
        <is>
          <t>NM TĐN Sông Mã 2</t>
        </is>
      </c>
      <c r="D1295" s="3" t="inlineStr">
        <is>
          <t>B21</t>
        </is>
      </c>
      <c r="E1295" s="9" t="n"/>
      <c r="F1295" s="15">
        <f>IF(E1295&lt;&gt;"","Đã VH","Quy hoạch điện VIII")</f>
        <v/>
      </c>
      <c r="G1295" s="16">
        <f>LEFT(B1295,FIND(" ",B1295,1)-1)</f>
        <v/>
      </c>
      <c r="H1295" s="16">
        <f>TRIM(RIGHT(B1295,LEN(B1295)-FIND(" ",B1295,1)))</f>
        <v/>
      </c>
      <c r="I1295" s="16">
        <f>_xlfn.XLOOKUP(Table2[[#This Row],[Type]],Table5[Type],Table5[Type2])</f>
        <v/>
      </c>
      <c r="J1295" s="16">
        <f>_xlfn.XLOOKUP(Table2[[#This Row],[Sym]],Zones!$A$2:$A$21,Zones!$B$2:$B$21)</f>
        <v/>
      </c>
      <c r="K1295" s="21" t="n"/>
    </row>
    <row r="1296">
      <c r="A1296" s="24" t="n">
        <v>3222</v>
      </c>
      <c r="B1296" s="10" t="inlineStr">
        <is>
          <t>TĐ Huổi Chan 1</t>
        </is>
      </c>
      <c r="C1296" s="10" t="inlineStr">
        <is>
          <t>NM TĐN Huổi Chan 1</t>
        </is>
      </c>
      <c r="D1296" s="3" t="inlineStr">
        <is>
          <t>B21</t>
        </is>
      </c>
      <c r="E1296" s="9" t="inlineStr">
        <is>
          <t>A21.19</t>
        </is>
      </c>
      <c r="F1296" s="15">
        <f>IF(E1296&lt;&gt;"","Đã VH","Quy hoạch điện VIII")</f>
        <v/>
      </c>
      <c r="G1296" s="16">
        <f>LEFT(B1296,FIND(" ",B1296,1)-1)</f>
        <v/>
      </c>
      <c r="H1296" s="16">
        <f>TRIM(RIGHT(B1296,LEN(B1296)-FIND(" ",B1296,1)))</f>
        <v/>
      </c>
      <c r="I1296" s="16">
        <f>_xlfn.XLOOKUP(Table2[[#This Row],[Type]],Table5[Type],Table5[Type2])</f>
        <v/>
      </c>
      <c r="J1296" s="16">
        <f>_xlfn.XLOOKUP(Table2[[#This Row],[Sym]],Zones!$A$2:$A$21,Zones!$B$2:$B$21)</f>
        <v/>
      </c>
      <c r="K1296" s="21" t="n"/>
    </row>
    <row r="1297">
      <c r="A1297" s="24" t="n">
        <v>3223</v>
      </c>
      <c r="B1297" s="10" t="inlineStr">
        <is>
          <t>T110 Mùn Chung</t>
        </is>
      </c>
      <c r="C1297" s="10" t="inlineStr">
        <is>
          <t>TBA 110kV Mùn Chung</t>
        </is>
      </c>
      <c r="D1297" s="3" t="inlineStr">
        <is>
          <t>B21</t>
        </is>
      </c>
      <c r="E1297" s="9" t="n"/>
      <c r="F1297" s="15">
        <f>IF(E1297&lt;&gt;"","Đã VH","Quy hoạch điện VIII")</f>
        <v/>
      </c>
      <c r="G1297" s="16">
        <f>LEFT(B1297,FIND(" ",B1297,1)-1)</f>
        <v/>
      </c>
      <c r="H1297" s="16">
        <f>TRIM(RIGHT(B1297,LEN(B1297)-FIND(" ",B1297,1)))</f>
        <v/>
      </c>
      <c r="I1297" s="16">
        <f>_xlfn.XLOOKUP(Table2[[#This Row],[Type]],Table5[Type],Table5[Type2])</f>
        <v/>
      </c>
      <c r="J1297" s="16">
        <f>_xlfn.XLOOKUP(Table2[[#This Row],[Sym]],Zones!$A$2:$A$21,Zones!$B$2:$B$21)</f>
        <v/>
      </c>
      <c r="K1297" s="21" t="n"/>
    </row>
    <row r="1298">
      <c r="A1298" s="24" t="n">
        <v>3224</v>
      </c>
      <c r="B1298" s="10" t="inlineStr">
        <is>
          <t>T110 Mường Ảng</t>
        </is>
      </c>
      <c r="C1298" s="10" t="inlineStr">
        <is>
          <t>TBA 110kV Mường Ảng</t>
        </is>
      </c>
      <c r="D1298" s="3" t="inlineStr">
        <is>
          <t>B21</t>
        </is>
      </c>
      <c r="E1298" s="9" t="n"/>
      <c r="F1298" s="15">
        <f>IF(E1298&lt;&gt;"","Đã VH","Quy hoạch điện VIII")</f>
        <v/>
      </c>
      <c r="G1298" s="16">
        <f>LEFT(B1298,FIND(" ",B1298,1)-1)</f>
        <v/>
      </c>
      <c r="H1298" s="16">
        <f>TRIM(RIGHT(B1298,LEN(B1298)-FIND(" ",B1298,1)))</f>
        <v/>
      </c>
      <c r="I1298" s="16">
        <f>_xlfn.XLOOKUP(Table2[[#This Row],[Type]],Table5[Type],Table5[Type2])</f>
        <v/>
      </c>
      <c r="J1298" s="16">
        <f>_xlfn.XLOOKUP(Table2[[#This Row],[Sym]],Zones!$A$2:$A$21,Zones!$B$2:$B$21)</f>
        <v/>
      </c>
      <c r="K1298" s="21" t="n"/>
    </row>
    <row r="1299">
      <c r="A1299" s="24" t="n">
        <v>3225</v>
      </c>
      <c r="B1299" s="10" t="inlineStr">
        <is>
          <t>T220 Điện Biên 1</t>
        </is>
      </c>
      <c r="C1299" s="10" t="inlineStr">
        <is>
          <t>TBA 220kV Điện Biên 1</t>
        </is>
      </c>
      <c r="D1299" s="3" t="inlineStr">
        <is>
          <t>B21</t>
        </is>
      </c>
      <c r="E1299" s="9" t="n"/>
      <c r="F1299" s="15">
        <f>IF(E1299&lt;&gt;"","Đã VH","Quy hoạch điện VIII")</f>
        <v/>
      </c>
      <c r="G1299" s="16">
        <f>LEFT(B1299,FIND(" ",B1299,1)-1)</f>
        <v/>
      </c>
      <c r="H1299" s="16">
        <f>TRIM(RIGHT(B1299,LEN(B1299)-FIND(" ",B1299,1)))</f>
        <v/>
      </c>
      <c r="I1299" s="16">
        <f>_xlfn.XLOOKUP(Table2[[#This Row],[Type]],Table5[Type],Table5[Type2])</f>
        <v/>
      </c>
      <c r="J1299" s="16">
        <f>_xlfn.XLOOKUP(Table2[[#This Row],[Sym]],Zones!$A$2:$A$21,Zones!$B$2:$B$21)</f>
        <v/>
      </c>
      <c r="K1299" s="21" t="n"/>
    </row>
    <row r="1300">
      <c r="A1300" s="24" t="n">
        <v>3226</v>
      </c>
      <c r="B1300" s="10" t="inlineStr">
        <is>
          <t>T110 Mường Nhé</t>
        </is>
      </c>
      <c r="C1300" s="10" t="inlineStr">
        <is>
          <t>TBA 110kV Mường Nhé</t>
        </is>
      </c>
      <c r="D1300" s="3" t="inlineStr">
        <is>
          <t>B21</t>
        </is>
      </c>
      <c r="E1300" s="9" t="n"/>
      <c r="F1300" s="15">
        <f>IF(E1300&lt;&gt;"","Đã VH","Quy hoạch điện VIII")</f>
        <v/>
      </c>
      <c r="G1300" s="16">
        <f>LEFT(B1300,FIND(" ",B1300,1)-1)</f>
        <v/>
      </c>
      <c r="H1300" s="16">
        <f>TRIM(RIGHT(B1300,LEN(B1300)-FIND(" ",B1300,1)))</f>
        <v/>
      </c>
      <c r="I1300" s="16">
        <f>_xlfn.XLOOKUP(Table2[[#This Row],[Type]],Table5[Type],Table5[Type2])</f>
        <v/>
      </c>
      <c r="J1300" s="16">
        <f>_xlfn.XLOOKUP(Table2[[#This Row],[Sym]],Zones!$A$2:$A$21,Zones!$B$2:$B$21)</f>
        <v/>
      </c>
      <c r="K1300" s="21" t="n"/>
    </row>
    <row r="1301">
      <c r="A1301" s="24" t="n">
        <v>3227</v>
      </c>
      <c r="B1301" s="10" t="inlineStr">
        <is>
          <t>T110 Nậm Pồ</t>
        </is>
      </c>
      <c r="C1301" s="10" t="inlineStr">
        <is>
          <t>TBA 110kV Nậm Pồ</t>
        </is>
      </c>
      <c r="D1301" s="3" t="inlineStr">
        <is>
          <t>B21</t>
        </is>
      </c>
      <c r="E1301" s="9" t="n"/>
      <c r="F1301" s="15">
        <f>IF(E1301&lt;&gt;"","Đã VH","Quy hoạch điện VIII")</f>
        <v/>
      </c>
      <c r="G1301" s="16">
        <f>LEFT(B1301,FIND(" ",B1301,1)-1)</f>
        <v/>
      </c>
      <c r="H1301" s="16">
        <f>TRIM(RIGHT(B1301,LEN(B1301)-FIND(" ",B1301,1)))</f>
        <v/>
      </c>
      <c r="I1301" s="16">
        <f>_xlfn.XLOOKUP(Table2[[#This Row],[Type]],Table5[Type],Table5[Type2])</f>
        <v/>
      </c>
      <c r="J1301" s="16">
        <f>_xlfn.XLOOKUP(Table2[[#This Row],[Sym]],Zones!$A$2:$A$21,Zones!$B$2:$B$21)</f>
        <v/>
      </c>
      <c r="K1301" s="21" t="n"/>
    </row>
    <row r="1302">
      <c r="A1302" s="24" t="n">
        <v>3228</v>
      </c>
      <c r="B1302" s="10" t="inlineStr">
        <is>
          <t>TĐ Nậm Pô 2</t>
        </is>
      </c>
      <c r="C1302" s="10" t="inlineStr">
        <is>
          <t>NM TĐN Nậm Pô 2</t>
        </is>
      </c>
      <c r="D1302" s="3" t="inlineStr">
        <is>
          <t>B21</t>
        </is>
      </c>
      <c r="E1302" s="9" t="n"/>
      <c r="F1302" s="15">
        <f>IF(E1302&lt;&gt;"","Đã VH","Quy hoạch điện VIII")</f>
        <v/>
      </c>
      <c r="G1302" s="16">
        <f>LEFT(B1302,FIND(" ",B1302,1)-1)</f>
        <v/>
      </c>
      <c r="H1302" s="16">
        <f>TRIM(RIGHT(B1302,LEN(B1302)-FIND(" ",B1302,1)))</f>
        <v/>
      </c>
      <c r="I1302" s="16">
        <f>_xlfn.XLOOKUP(Table2[[#This Row],[Type]],Table5[Type],Table5[Type2])</f>
        <v/>
      </c>
      <c r="J1302" s="16">
        <f>_xlfn.XLOOKUP(Table2[[#This Row],[Sym]],Zones!$A$2:$A$21,Zones!$B$2:$B$21)</f>
        <v/>
      </c>
      <c r="K1302" s="21" t="n"/>
    </row>
    <row r="1303">
      <c r="A1303" s="24" t="n">
        <v>3229</v>
      </c>
      <c r="B1303" s="10" t="inlineStr">
        <is>
          <t>TĐ Nậm Nhé 2B</t>
        </is>
      </c>
      <c r="C1303" s="10" t="inlineStr">
        <is>
          <t>NM TĐN Nậm Nhé 2B</t>
        </is>
      </c>
      <c r="D1303" s="3" t="inlineStr">
        <is>
          <t>B21</t>
        </is>
      </c>
      <c r="E1303" s="9" t="n"/>
      <c r="F1303" s="15">
        <f>IF(E1303&lt;&gt;"","Đã VH","Quy hoạch điện VIII")</f>
        <v/>
      </c>
      <c r="G1303" s="16">
        <f>LEFT(B1303,FIND(" ",B1303,1)-1)</f>
        <v/>
      </c>
      <c r="H1303" s="16">
        <f>TRIM(RIGHT(B1303,LEN(B1303)-FIND(" ",B1303,1)))</f>
        <v/>
      </c>
      <c r="I1303" s="16">
        <f>_xlfn.XLOOKUP(Table2[[#This Row],[Type]],Table5[Type],Table5[Type2])</f>
        <v/>
      </c>
      <c r="J1303" s="16">
        <f>_xlfn.XLOOKUP(Table2[[#This Row],[Sym]],Zones!$A$2:$A$21,Zones!$B$2:$B$21)</f>
        <v/>
      </c>
      <c r="K1303" s="21" t="n"/>
    </row>
    <row r="1304">
      <c r="A1304" s="24" t="n">
        <v>3230</v>
      </c>
      <c r="B1304" s="10" t="inlineStr">
        <is>
          <t>T220 Điện Biên</t>
        </is>
      </c>
      <c r="C1304" s="10" t="inlineStr">
        <is>
          <t>TBA 220kV Điện Biên</t>
        </is>
      </c>
      <c r="D1304" s="3" t="inlineStr">
        <is>
          <t>B21</t>
        </is>
      </c>
      <c r="E1304" s="9" t="n"/>
      <c r="F1304" s="15">
        <f>IF(E1304&lt;&gt;"","Đã VH","Quy hoạch điện VIII")</f>
        <v/>
      </c>
      <c r="G1304" s="16">
        <f>LEFT(B1304,FIND(" ",B1304,1)-1)</f>
        <v/>
      </c>
      <c r="H1304" s="16">
        <f>TRIM(RIGHT(B1304,LEN(B1304)-FIND(" ",B1304,1)))</f>
        <v/>
      </c>
      <c r="I1304" s="16">
        <f>_xlfn.XLOOKUP(Table2[[#This Row],[Type]],Table5[Type],Table5[Type2])</f>
        <v/>
      </c>
      <c r="J1304" s="16">
        <f>_xlfn.XLOOKUP(Table2[[#This Row],[Sym]],Zones!$A$2:$A$21,Zones!$B$2:$B$21)</f>
        <v/>
      </c>
      <c r="K1304" s="21" t="n"/>
    </row>
    <row r="1305">
      <c r="A1305" s="24" t="n">
        <v>3231</v>
      </c>
      <c r="B1305" s="10" t="inlineStr">
        <is>
          <t>TĐ Nậm Nhé 2C</t>
        </is>
      </c>
      <c r="C1305" s="10" t="inlineStr">
        <is>
          <t>NM TĐN Nậm Nhé 2C</t>
        </is>
      </c>
      <c r="D1305" s="3" t="inlineStr">
        <is>
          <t>B21</t>
        </is>
      </c>
      <c r="E1305" s="9" t="n"/>
      <c r="F1305" s="15">
        <f>IF(E1305&lt;&gt;"","Đã VH","Quy hoạch điện VIII")</f>
        <v/>
      </c>
      <c r="G1305" s="16">
        <f>LEFT(B1305,FIND(" ",B1305,1)-1)</f>
        <v/>
      </c>
      <c r="H1305" s="16">
        <f>TRIM(RIGHT(B1305,LEN(B1305)-FIND(" ",B1305,1)))</f>
        <v/>
      </c>
      <c r="I1305" s="16">
        <f>_xlfn.XLOOKUP(Table2[[#This Row],[Type]],Table5[Type],Table5[Type2])</f>
        <v/>
      </c>
      <c r="J1305" s="16">
        <f>_xlfn.XLOOKUP(Table2[[#This Row],[Sym]],Zones!$A$2:$A$21,Zones!$B$2:$B$21)</f>
        <v/>
      </c>
      <c r="K1305" s="21" t="n"/>
    </row>
    <row r="1306">
      <c r="A1306" s="24" t="n">
        <v>3232</v>
      </c>
      <c r="B1306" s="10" t="inlineStr">
        <is>
          <t>TĐ Nậm Pô 5A</t>
        </is>
      </c>
      <c r="C1306" s="10" t="inlineStr">
        <is>
          <t>NM TĐN Nậm Pô 5A</t>
        </is>
      </c>
      <c r="D1306" s="3" t="inlineStr">
        <is>
          <t>B21</t>
        </is>
      </c>
      <c r="E1306" s="9" t="n"/>
      <c r="F1306" s="15">
        <f>IF(E1306&lt;&gt;"","Đã VH","Quy hoạch điện VIII")</f>
        <v/>
      </c>
      <c r="G1306" s="16">
        <f>LEFT(B1306,FIND(" ",B1306,1)-1)</f>
        <v/>
      </c>
      <c r="H1306" s="16">
        <f>TRIM(RIGHT(B1306,LEN(B1306)-FIND(" ",B1306,1)))</f>
        <v/>
      </c>
      <c r="I1306" s="16">
        <f>_xlfn.XLOOKUP(Table2[[#This Row],[Type]],Table5[Type],Table5[Type2])</f>
        <v/>
      </c>
      <c r="J1306" s="16">
        <f>_xlfn.XLOOKUP(Table2[[#This Row],[Sym]],Zones!$A$2:$A$21,Zones!$B$2:$B$21)</f>
        <v/>
      </c>
      <c r="K1306" s="21" t="n"/>
    </row>
    <row r="1307">
      <c r="A1307" s="24" t="n">
        <v>3233</v>
      </c>
      <c r="B1307" s="10" t="inlineStr">
        <is>
          <t>TĐ Nậm Po 5B</t>
        </is>
      </c>
      <c r="C1307" s="10" t="inlineStr">
        <is>
          <t>NM TĐN Nậm Po 5B</t>
        </is>
      </c>
      <c r="D1307" s="3" t="inlineStr">
        <is>
          <t>B21</t>
        </is>
      </c>
      <c r="E1307" s="9" t="n"/>
      <c r="F1307" s="15">
        <f>IF(E1307&lt;&gt;"","Đã VH","Quy hoạch điện VIII")</f>
        <v/>
      </c>
      <c r="G1307" s="16">
        <f>LEFT(B1307,FIND(" ",B1307,1)-1)</f>
        <v/>
      </c>
      <c r="H1307" s="16">
        <f>TRIM(RIGHT(B1307,LEN(B1307)-FIND(" ",B1307,1)))</f>
        <v/>
      </c>
      <c r="I1307" s="16">
        <f>_xlfn.XLOOKUP(Table2[[#This Row],[Type]],Table5[Type],Table5[Type2])</f>
        <v/>
      </c>
      <c r="J1307" s="16">
        <f>_xlfn.XLOOKUP(Table2[[#This Row],[Sym]],Zones!$A$2:$A$21,Zones!$B$2:$B$21)</f>
        <v/>
      </c>
      <c r="K1307" s="21" t="n"/>
    </row>
    <row r="1308">
      <c r="A1308" s="24" t="n">
        <v>3234</v>
      </c>
      <c r="B1308" s="10" t="inlineStr">
        <is>
          <t>TĐ Nậm Chà 3</t>
        </is>
      </c>
      <c r="C1308" s="10" t="inlineStr">
        <is>
          <t>NM TĐN Nậm Chà 3</t>
        </is>
      </c>
      <c r="D1308" s="3" t="inlineStr">
        <is>
          <t>B21</t>
        </is>
      </c>
      <c r="E1308" s="9" t="n"/>
      <c r="F1308" s="15">
        <f>IF(E1308&lt;&gt;"","Đã VH","Quy hoạch điện VIII")</f>
        <v/>
      </c>
      <c r="G1308" s="16">
        <f>LEFT(B1308,FIND(" ",B1308,1)-1)</f>
        <v/>
      </c>
      <c r="H1308" s="16">
        <f>TRIM(RIGHT(B1308,LEN(B1308)-FIND(" ",B1308,1)))</f>
        <v/>
      </c>
      <c r="I1308" s="16">
        <f>_xlfn.XLOOKUP(Table2[[#This Row],[Type]],Table5[Type],Table5[Type2])</f>
        <v/>
      </c>
      <c r="J1308" s="16">
        <f>_xlfn.XLOOKUP(Table2[[#This Row],[Sym]],Zones!$A$2:$A$21,Zones!$B$2:$B$21)</f>
        <v/>
      </c>
      <c r="K1308" s="21" t="n"/>
    </row>
    <row r="1309">
      <c r="A1309" s="24" t="n">
        <v>3235</v>
      </c>
      <c r="B1309" s="10" t="inlineStr">
        <is>
          <t>TĐ Nậm Mức 2</t>
        </is>
      </c>
      <c r="C1309" s="10" t="inlineStr">
        <is>
          <t>NM TĐN Nậm Mức 2</t>
        </is>
      </c>
      <c r="D1309" s="3" t="inlineStr">
        <is>
          <t>B21</t>
        </is>
      </c>
      <c r="E1309" s="9" t="n"/>
      <c r="F1309" s="15">
        <f>IF(E1309&lt;&gt;"","Đã VH","Quy hoạch điện VIII")</f>
        <v/>
      </c>
      <c r="G1309" s="16">
        <f>LEFT(B1309,FIND(" ",B1309,1)-1)</f>
        <v/>
      </c>
      <c r="H1309" s="16">
        <f>TRIM(RIGHT(B1309,LEN(B1309)-FIND(" ",B1309,1)))</f>
        <v/>
      </c>
      <c r="I1309" s="16">
        <f>_xlfn.XLOOKUP(Table2[[#This Row],[Type]],Table5[Type],Table5[Type2])</f>
        <v/>
      </c>
      <c r="J1309" s="16">
        <f>_xlfn.XLOOKUP(Table2[[#This Row],[Sym]],Zones!$A$2:$A$21,Zones!$B$2:$B$21)</f>
        <v/>
      </c>
      <c r="K1309" s="21" t="n"/>
    </row>
    <row r="1310">
      <c r="A1310" s="24" t="n">
        <v>3236</v>
      </c>
      <c r="B1310" s="10" t="inlineStr">
        <is>
          <t>TĐ Na Sang</t>
        </is>
      </c>
      <c r="C1310" s="10" t="inlineStr">
        <is>
          <t>NM TĐN Na Sang</t>
        </is>
      </c>
      <c r="D1310" s="3" t="inlineStr">
        <is>
          <t>B21</t>
        </is>
      </c>
      <c r="E1310" s="9" t="n"/>
      <c r="F1310" s="15">
        <f>IF(E1310&lt;&gt;"","Đã VH","Quy hoạch điện VIII")</f>
        <v/>
      </c>
      <c r="G1310" s="16">
        <f>LEFT(B1310,FIND(" ",B1310,1)-1)</f>
        <v/>
      </c>
      <c r="H1310" s="16">
        <f>TRIM(RIGHT(B1310,LEN(B1310)-FIND(" ",B1310,1)))</f>
        <v/>
      </c>
      <c r="I1310" s="16">
        <f>_xlfn.XLOOKUP(Table2[[#This Row],[Type]],Table5[Type],Table5[Type2])</f>
        <v/>
      </c>
      <c r="J1310" s="16">
        <f>_xlfn.XLOOKUP(Table2[[#This Row],[Sym]],Zones!$A$2:$A$21,Zones!$B$2:$B$21)</f>
        <v/>
      </c>
      <c r="K1310" s="21" t="n"/>
    </row>
    <row r="1311">
      <c r="A1311" s="24" t="n">
        <v>3237</v>
      </c>
      <c r="B1311" s="10" t="inlineStr">
        <is>
          <t>TĐ Sính Phình</t>
        </is>
      </c>
      <c r="C1311" s="10" t="inlineStr">
        <is>
          <t>NM TĐN Sính Phình</t>
        </is>
      </c>
      <c r="D1311" s="3" t="inlineStr">
        <is>
          <t>B21</t>
        </is>
      </c>
      <c r="E1311" s="9" t="n"/>
      <c r="F1311" s="15">
        <f>IF(E1311&lt;&gt;"","Đã VH","Quy hoạch điện VIII")</f>
        <v/>
      </c>
      <c r="G1311" s="16">
        <f>LEFT(B1311,FIND(" ",B1311,1)-1)</f>
        <v/>
      </c>
      <c r="H1311" s="16">
        <f>TRIM(RIGHT(B1311,LEN(B1311)-FIND(" ",B1311,1)))</f>
        <v/>
      </c>
      <c r="I1311" s="16">
        <f>_xlfn.XLOOKUP(Table2[[#This Row],[Type]],Table5[Type],Table5[Type2])</f>
        <v/>
      </c>
      <c r="J1311" s="16">
        <f>_xlfn.XLOOKUP(Table2[[#This Row],[Sym]],Zones!$A$2:$A$21,Zones!$B$2:$B$21)</f>
        <v/>
      </c>
      <c r="K1311" s="21" t="n"/>
    </row>
    <row r="1312">
      <c r="A1312" s="24" t="n">
        <v>3238</v>
      </c>
      <c r="B1312" s="10" t="inlineStr">
        <is>
          <t>TĐ Xuân Lao</t>
        </is>
      </c>
      <c r="C1312" s="10" t="inlineStr">
        <is>
          <t>NM TĐN Xuân Lao</t>
        </is>
      </c>
      <c r="D1312" s="3" t="inlineStr">
        <is>
          <t>B21</t>
        </is>
      </c>
      <c r="E1312" s="9" t="n"/>
      <c r="F1312" s="15">
        <f>IF(E1312&lt;&gt;"","Đã VH","Quy hoạch điện VIII")</f>
        <v/>
      </c>
      <c r="G1312" s="16">
        <f>LEFT(B1312,FIND(" ",B1312,1)-1)</f>
        <v/>
      </c>
      <c r="H1312" s="16">
        <f>TRIM(RIGHT(B1312,LEN(B1312)-FIND(" ",B1312,1)))</f>
        <v/>
      </c>
      <c r="I1312" s="16">
        <f>_xlfn.XLOOKUP(Table2[[#This Row],[Type]],Table5[Type],Table5[Type2])</f>
        <v/>
      </c>
      <c r="J1312" s="16">
        <f>_xlfn.XLOOKUP(Table2[[#This Row],[Sym]],Zones!$A$2:$A$21,Zones!$B$2:$B$21)</f>
        <v/>
      </c>
      <c r="K1312" s="21" t="n"/>
    </row>
    <row r="1313">
      <c r="A1313" s="24" t="n">
        <v>3239</v>
      </c>
      <c r="B1313" s="10" t="inlineStr">
        <is>
          <t>TĐ Lê Bâu 3</t>
        </is>
      </c>
      <c r="C1313" s="10" t="inlineStr">
        <is>
          <t>NM TĐN Lê Bâu 3</t>
        </is>
      </c>
      <c r="D1313" s="3" t="inlineStr">
        <is>
          <t>B21</t>
        </is>
      </c>
      <c r="E1313" s="9" t="n"/>
      <c r="F1313" s="15">
        <f>IF(E1313&lt;&gt;"","Đã VH","Quy hoạch điện VIII")</f>
        <v/>
      </c>
      <c r="G1313" s="16">
        <f>LEFT(B1313,FIND(" ",B1313,1)-1)</f>
        <v/>
      </c>
      <c r="H1313" s="16">
        <f>TRIM(RIGHT(B1313,LEN(B1313)-FIND(" ",B1313,1)))</f>
        <v/>
      </c>
      <c r="I1313" s="16">
        <f>_xlfn.XLOOKUP(Table2[[#This Row],[Type]],Table5[Type],Table5[Type2])</f>
        <v/>
      </c>
      <c r="J1313" s="16">
        <f>_xlfn.XLOOKUP(Table2[[#This Row],[Sym]],Zones!$A$2:$A$21,Zones!$B$2:$B$21)</f>
        <v/>
      </c>
      <c r="K1313" s="21" t="n"/>
    </row>
    <row r="1314">
      <c r="A1314" s="24" t="n">
        <v>3240</v>
      </c>
      <c r="B1314" s="10" t="inlineStr">
        <is>
          <t>TĐ Mương Pồn</t>
        </is>
      </c>
      <c r="C1314" s="10" t="inlineStr">
        <is>
          <t>NM TĐN Mương Pồn</t>
        </is>
      </c>
      <c r="D1314" s="3" t="inlineStr">
        <is>
          <t>B21</t>
        </is>
      </c>
      <c r="E1314" s="9" t="n"/>
      <c r="F1314" s="15">
        <f>IF(E1314&lt;&gt;"","Đã VH","Quy hoạch điện VIII")</f>
        <v/>
      </c>
      <c r="G1314" s="16">
        <f>LEFT(B1314,FIND(" ",B1314,1)-1)</f>
        <v/>
      </c>
      <c r="H1314" s="16">
        <f>TRIM(RIGHT(B1314,LEN(B1314)-FIND(" ",B1314,1)))</f>
        <v/>
      </c>
      <c r="I1314" s="16">
        <f>_xlfn.XLOOKUP(Table2[[#This Row],[Type]],Table5[Type],Table5[Type2])</f>
        <v/>
      </c>
      <c r="J1314" s="16">
        <f>_xlfn.XLOOKUP(Table2[[#This Row],[Sym]],Zones!$A$2:$A$21,Zones!$B$2:$B$21)</f>
        <v/>
      </c>
      <c r="K1314" s="21" t="n"/>
    </row>
    <row r="1315">
      <c r="A1315" s="24" t="n">
        <v>3241</v>
      </c>
      <c r="B1315" s="10" t="inlineStr">
        <is>
          <t>TĐ Chung Chải</t>
        </is>
      </c>
      <c r="C1315" s="10" t="inlineStr">
        <is>
          <t>NM TĐN Chung Chải</t>
        </is>
      </c>
      <c r="D1315" s="3" t="inlineStr">
        <is>
          <t>B21</t>
        </is>
      </c>
      <c r="E1315" s="9" t="n"/>
      <c r="F1315" s="15">
        <f>IF(E1315&lt;&gt;"","Đã VH","Quy hoạch điện VIII")</f>
        <v/>
      </c>
      <c r="G1315" s="16">
        <f>LEFT(B1315,FIND(" ",B1315,1)-1)</f>
        <v/>
      </c>
      <c r="H1315" s="16">
        <f>TRIM(RIGHT(B1315,LEN(B1315)-FIND(" ",B1315,1)))</f>
        <v/>
      </c>
      <c r="I1315" s="16">
        <f>_xlfn.XLOOKUP(Table2[[#This Row],[Type]],Table5[Type],Table5[Type2])</f>
        <v/>
      </c>
      <c r="J1315" s="16">
        <f>_xlfn.XLOOKUP(Table2[[#This Row],[Sym]],Zones!$A$2:$A$21,Zones!$B$2:$B$21)</f>
        <v/>
      </c>
      <c r="K1315" s="21" t="n"/>
    </row>
    <row r="1316">
      <c r="A1316" s="24" t="n">
        <v>3242</v>
      </c>
      <c r="B1316" s="10" t="inlineStr">
        <is>
          <t>TĐ Nậm Mô Phí</t>
        </is>
      </c>
      <c r="C1316" s="10" t="inlineStr">
        <is>
          <t>NM TĐN Nậm Mô Phí</t>
        </is>
      </c>
      <c r="D1316" s="3" t="inlineStr">
        <is>
          <t>B21</t>
        </is>
      </c>
      <c r="E1316" s="9" t="n"/>
      <c r="F1316" s="15">
        <f>IF(E1316&lt;&gt;"","Đã VH","Quy hoạch điện VIII")</f>
        <v/>
      </c>
      <c r="G1316" s="16">
        <f>LEFT(B1316,FIND(" ",B1316,1)-1)</f>
        <v/>
      </c>
      <c r="H1316" s="16">
        <f>TRIM(RIGHT(B1316,LEN(B1316)-FIND(" ",B1316,1)))</f>
        <v/>
      </c>
      <c r="I1316" s="16">
        <f>_xlfn.XLOOKUP(Table2[[#This Row],[Type]],Table5[Type],Table5[Type2])</f>
        <v/>
      </c>
      <c r="J1316" s="16">
        <f>_xlfn.XLOOKUP(Table2[[#This Row],[Sym]],Zones!$A$2:$A$21,Zones!$B$2:$B$21)</f>
        <v/>
      </c>
      <c r="K1316" s="21" t="n"/>
    </row>
    <row r="1317">
      <c r="A1317" s="24" t="n">
        <v>3243</v>
      </c>
      <c r="B1317" s="10" t="inlineStr">
        <is>
          <t>TĐ Nà Khoa</t>
        </is>
      </c>
      <c r="C1317" s="10" t="inlineStr">
        <is>
          <t>NM TĐN Nà Khoa</t>
        </is>
      </c>
      <c r="D1317" s="3" t="inlineStr">
        <is>
          <t>B21</t>
        </is>
      </c>
      <c r="E1317" s="9" t="n"/>
      <c r="F1317" s="15">
        <f>IF(E1317&lt;&gt;"","Đã VH","Quy hoạch điện VIII")</f>
        <v/>
      </c>
      <c r="G1317" s="16">
        <f>LEFT(B1317,FIND(" ",B1317,1)-1)</f>
        <v/>
      </c>
      <c r="H1317" s="16">
        <f>TRIM(RIGHT(B1317,LEN(B1317)-FIND(" ",B1317,1)))</f>
        <v/>
      </c>
      <c r="I1317" s="16">
        <f>_xlfn.XLOOKUP(Table2[[#This Row],[Type]],Table5[Type],Table5[Type2])</f>
        <v/>
      </c>
      <c r="J1317" s="16">
        <f>_xlfn.XLOOKUP(Table2[[#This Row],[Sym]],Zones!$A$2:$A$21,Zones!$B$2:$B$21)</f>
        <v/>
      </c>
      <c r="K1317" s="21" t="n"/>
    </row>
    <row r="1318">
      <c r="A1318" s="24" t="n">
        <v>3244</v>
      </c>
      <c r="B1318" s="10" t="inlineStr">
        <is>
          <t>TĐ Nậm Pô 3</t>
        </is>
      </c>
      <c r="C1318" s="10" t="inlineStr">
        <is>
          <t>NM TĐN Nậm Pô 3</t>
        </is>
      </c>
      <c r="D1318" s="3" t="inlineStr">
        <is>
          <t>B21</t>
        </is>
      </c>
      <c r="E1318" s="9" t="n"/>
      <c r="F1318" s="15">
        <f>IF(E1318&lt;&gt;"","Đã VH","Quy hoạch điện VIII")</f>
        <v/>
      </c>
      <c r="G1318" s="16">
        <f>LEFT(B1318,FIND(" ",B1318,1)-1)</f>
        <v/>
      </c>
      <c r="H1318" s="16">
        <f>TRIM(RIGHT(B1318,LEN(B1318)-FIND(" ",B1318,1)))</f>
        <v/>
      </c>
      <c r="I1318" s="16">
        <f>_xlfn.XLOOKUP(Table2[[#This Row],[Type]],Table5[Type],Table5[Type2])</f>
        <v/>
      </c>
      <c r="J1318" s="16">
        <f>_xlfn.XLOOKUP(Table2[[#This Row],[Sym]],Zones!$A$2:$A$21,Zones!$B$2:$B$21)</f>
        <v/>
      </c>
      <c r="K1318" s="21" t="n"/>
    </row>
    <row r="1319">
      <c r="A1319" s="24" t="n">
        <v>3245</v>
      </c>
      <c r="B1319" s="10" t="inlineStr">
        <is>
          <t>TĐ Mùn Chung</t>
        </is>
      </c>
      <c r="C1319" s="10" t="inlineStr">
        <is>
          <t>NM TĐN Mùn Chung</t>
        </is>
      </c>
      <c r="D1319" s="3" t="inlineStr">
        <is>
          <t>B21</t>
        </is>
      </c>
      <c r="E1319" s="9" t="n"/>
      <c r="F1319" s="15">
        <f>IF(E1319&lt;&gt;"","Đã VH","Quy hoạch điện VIII")</f>
        <v/>
      </c>
      <c r="G1319" s="16">
        <f>LEFT(B1319,FIND(" ",B1319,1)-1)</f>
        <v/>
      </c>
      <c r="H1319" s="16">
        <f>TRIM(RIGHT(B1319,LEN(B1319)-FIND(" ",B1319,1)))</f>
        <v/>
      </c>
      <c r="I1319" s="16">
        <f>_xlfn.XLOOKUP(Table2[[#This Row],[Type]],Table5[Type],Table5[Type2])</f>
        <v/>
      </c>
      <c r="J1319" s="16">
        <f>_xlfn.XLOOKUP(Table2[[#This Row],[Sym]],Zones!$A$2:$A$21,Zones!$B$2:$B$21)</f>
        <v/>
      </c>
      <c r="K1319" s="21" t="n"/>
    </row>
    <row r="1320">
      <c r="A1320" s="24" t="n">
        <v>3246</v>
      </c>
      <c r="B1320" s="10" t="inlineStr">
        <is>
          <t>ĐSK Quài Cang</t>
        </is>
      </c>
      <c r="C1320" s="10" t="inlineStr">
        <is>
          <t xml:space="preserve"> Quài Cang</t>
        </is>
      </c>
      <c r="D1320" s="3" t="inlineStr">
        <is>
          <t>B21</t>
        </is>
      </c>
      <c r="E1320" s="9" t="n"/>
      <c r="F1320" s="15">
        <f>IF(E1320&lt;&gt;"","Đã VH","Quy hoạch điện VIII")</f>
        <v/>
      </c>
      <c r="G1320" s="16">
        <f>LEFT(B1320,FIND(" ",B1320,1)-1)</f>
        <v/>
      </c>
      <c r="H1320" s="16">
        <f>TRIM(RIGHT(B1320,LEN(B1320)-FIND(" ",B1320,1)))</f>
        <v/>
      </c>
      <c r="I1320" s="16">
        <f>_xlfn.XLOOKUP(Table2[[#This Row],[Type]],Table5[Type],Table5[Type2])</f>
        <v/>
      </c>
      <c r="J1320" s="16">
        <f>_xlfn.XLOOKUP(Table2[[#This Row],[Sym]],Zones!$A$2:$A$21,Zones!$B$2:$B$21)</f>
        <v/>
      </c>
      <c r="K1320" s="21" t="n"/>
    </row>
    <row r="1321">
      <c r="A1321" s="24" t="n">
        <v>3247</v>
      </c>
      <c r="B1321" s="10" t="inlineStr">
        <is>
          <t>ĐSK Mườn Mùn</t>
        </is>
      </c>
      <c r="C1321" s="10" t="inlineStr">
        <is>
          <t xml:space="preserve"> Mườn Mùn</t>
        </is>
      </c>
      <c r="D1321" s="3" t="inlineStr">
        <is>
          <t>B21</t>
        </is>
      </c>
      <c r="E1321" s="9" t="n"/>
      <c r="F1321" s="15">
        <f>IF(E1321&lt;&gt;"","Đã VH","Quy hoạch điện VIII")</f>
        <v/>
      </c>
      <c r="G1321" s="16">
        <f>LEFT(B1321,FIND(" ",B1321,1)-1)</f>
        <v/>
      </c>
      <c r="H1321" s="16">
        <f>TRIM(RIGHT(B1321,LEN(B1321)-FIND(" ",B1321,1)))</f>
        <v/>
      </c>
      <c r="I1321" s="16">
        <f>_xlfn.XLOOKUP(Table2[[#This Row],[Type]],Table5[Type],Table5[Type2])</f>
        <v/>
      </c>
      <c r="J1321" s="16">
        <f>_xlfn.XLOOKUP(Table2[[#This Row],[Sym]],Zones!$A$2:$A$21,Zones!$B$2:$B$21)</f>
        <v/>
      </c>
      <c r="K1321" s="21" t="n"/>
    </row>
    <row r="1322">
      <c r="A1322" s="24" t="n">
        <v>3248</v>
      </c>
      <c r="B1322" s="10" t="inlineStr">
        <is>
          <t>ĐSK Búng Lao</t>
        </is>
      </c>
      <c r="C1322" s="10" t="inlineStr">
        <is>
          <t xml:space="preserve"> Búng Lao</t>
        </is>
      </c>
      <c r="D1322" s="3" t="inlineStr">
        <is>
          <t>B21</t>
        </is>
      </c>
      <c r="E1322" s="9" t="n"/>
      <c r="F1322" s="15">
        <f>IF(E1322&lt;&gt;"","Đã VH","Quy hoạch điện VIII")</f>
        <v/>
      </c>
      <c r="G1322" s="16">
        <f>LEFT(B1322,FIND(" ",B1322,1)-1)</f>
        <v/>
      </c>
      <c r="H1322" s="16">
        <f>TRIM(RIGHT(B1322,LEN(B1322)-FIND(" ",B1322,1)))</f>
        <v/>
      </c>
      <c r="I1322" s="16">
        <f>_xlfn.XLOOKUP(Table2[[#This Row],[Type]],Table5[Type],Table5[Type2])</f>
        <v/>
      </c>
      <c r="J1322" s="16">
        <f>_xlfn.XLOOKUP(Table2[[#This Row],[Sym]],Zones!$A$2:$A$21,Zones!$B$2:$B$21)</f>
        <v/>
      </c>
      <c r="K1322" s="21" t="n"/>
    </row>
    <row r="1323">
      <c r="A1323" s="24" t="n">
        <v>3249</v>
      </c>
      <c r="B1323" s="10" t="inlineStr">
        <is>
          <t>ĐSK Mường Mươn</t>
        </is>
      </c>
      <c r="C1323" s="10" t="inlineStr">
        <is>
          <t xml:space="preserve"> Mường Mươn</t>
        </is>
      </c>
      <c r="D1323" s="3" t="inlineStr">
        <is>
          <t>B21</t>
        </is>
      </c>
      <c r="E1323" s="9" t="n"/>
      <c r="F1323" s="15">
        <f>IF(E1323&lt;&gt;"","Đã VH","Quy hoạch điện VIII")</f>
        <v/>
      </c>
      <c r="G1323" s="16">
        <f>LEFT(B1323,FIND(" ",B1323,1)-1)</f>
        <v/>
      </c>
      <c r="H1323" s="16">
        <f>TRIM(RIGHT(B1323,LEN(B1323)-FIND(" ",B1323,1)))</f>
        <v/>
      </c>
      <c r="I1323" s="16">
        <f>_xlfn.XLOOKUP(Table2[[#This Row],[Type]],Table5[Type],Table5[Type2])</f>
        <v/>
      </c>
      <c r="J1323" s="16">
        <f>_xlfn.XLOOKUP(Table2[[#This Row],[Sym]],Zones!$A$2:$A$21,Zones!$B$2:$B$21)</f>
        <v/>
      </c>
      <c r="K1323" s="21" t="n"/>
    </row>
    <row r="1324">
      <c r="A1324" s="24" t="n">
        <v>3250</v>
      </c>
      <c r="B1324" s="10" t="inlineStr">
        <is>
          <t>ĐSK Điện Biên</t>
        </is>
      </c>
      <c r="C1324" s="10" t="inlineStr">
        <is>
          <t xml:space="preserve"> Điện Biên</t>
        </is>
      </c>
      <c r="D1324" s="3" t="inlineStr">
        <is>
          <t>B21</t>
        </is>
      </c>
      <c r="E1324" s="9" t="n"/>
      <c r="F1324" s="15">
        <f>IF(E1324&lt;&gt;"","Đã VH","Quy hoạch điện VIII")</f>
        <v/>
      </c>
      <c r="G1324" s="16">
        <f>LEFT(B1324,FIND(" ",B1324,1)-1)</f>
        <v/>
      </c>
      <c r="H1324" s="16">
        <f>TRIM(RIGHT(B1324,LEN(B1324)-FIND(" ",B1324,1)))</f>
        <v/>
      </c>
      <c r="I1324" s="16">
        <f>_xlfn.XLOOKUP(Table2[[#This Row],[Type]],Table5[Type],Table5[Type2])</f>
        <v/>
      </c>
      <c r="J1324" s="16">
        <f>_xlfn.XLOOKUP(Table2[[#This Row],[Sym]],Zones!$A$2:$A$21,Zones!$B$2:$B$21)</f>
        <v/>
      </c>
      <c r="K1324" s="21" t="n"/>
    </row>
    <row r="1325">
      <c r="A1325" s="24" t="n">
        <v>3251</v>
      </c>
      <c r="B1325" s="10" t="inlineStr">
        <is>
          <t>ĐG Intracom Điện Biên</t>
        </is>
      </c>
      <c r="C1325" s="10" t="inlineStr">
        <is>
          <t xml:space="preserve"> Intracom Điện Biên</t>
        </is>
      </c>
      <c r="D1325" s="3" t="inlineStr">
        <is>
          <t>B21</t>
        </is>
      </c>
      <c r="E1325" s="9" t="n"/>
      <c r="F1325" s="15">
        <f>IF(E1325&lt;&gt;"","Đã VH","Quy hoạch điện VIII")</f>
        <v/>
      </c>
      <c r="G1325" s="16">
        <f>LEFT(B1325,FIND(" ",B1325,1)-1)</f>
        <v/>
      </c>
      <c r="H1325" s="16">
        <f>TRIM(RIGHT(B1325,LEN(B1325)-FIND(" ",B1325,1)))</f>
        <v/>
      </c>
      <c r="I1325" s="16">
        <f>_xlfn.XLOOKUP(Table2[[#This Row],[Type]],Table5[Type],Table5[Type2])</f>
        <v/>
      </c>
      <c r="J1325" s="16">
        <f>_xlfn.XLOOKUP(Table2[[#This Row],[Sym]],Zones!$A$2:$A$21,Zones!$B$2:$B$21)</f>
        <v/>
      </c>
      <c r="K1325" s="21" t="n"/>
    </row>
    <row r="1326">
      <c r="A1326" s="24" t="n">
        <v>3252</v>
      </c>
      <c r="B1326" s="10" t="inlineStr">
        <is>
          <t>TĐ Long Tạo</t>
        </is>
      </c>
      <c r="C1326" s="10" t="inlineStr">
        <is>
          <t>NM TĐN Long Tạo</t>
        </is>
      </c>
      <c r="D1326" s="3" t="inlineStr">
        <is>
          <t>B21</t>
        </is>
      </c>
      <c r="E1326" s="9" t="inlineStr">
        <is>
          <t>A21.16</t>
        </is>
      </c>
      <c r="F1326" s="15">
        <f>IF(E1326&lt;&gt;"","Đã VH","Quy hoạch điện VIII")</f>
        <v/>
      </c>
      <c r="G1326" s="16">
        <f>LEFT(B1326,FIND(" ",B1326,1)-1)</f>
        <v/>
      </c>
      <c r="H1326" s="16">
        <f>TRIM(RIGHT(B1326,LEN(B1326)-FIND(" ",B1326,1)))</f>
        <v/>
      </c>
      <c r="I1326" s="16">
        <f>_xlfn.XLOOKUP(Table2[[#This Row],[Type]],Table5[Type],Table5[Type2])</f>
        <v/>
      </c>
      <c r="J1326" s="16">
        <f>_xlfn.XLOOKUP(Table2[[#This Row],[Sym]],Zones!$A$2:$A$21,Zones!$B$2:$B$21)</f>
        <v/>
      </c>
      <c r="K1326" s="21" t="n"/>
    </row>
    <row r="1327">
      <c r="A1327" s="24" t="n">
        <v>3253</v>
      </c>
      <c r="B1327" s="10" t="inlineStr">
        <is>
          <t>ĐG Intracom Huổi Lèng</t>
        </is>
      </c>
      <c r="C1327" s="10" t="inlineStr">
        <is>
          <t xml:space="preserve"> Intracom Huổi Lèng</t>
        </is>
      </c>
      <c r="D1327" s="3" t="inlineStr">
        <is>
          <t>B21</t>
        </is>
      </c>
      <c r="E1327" s="9" t="n"/>
      <c r="F1327" s="15">
        <f>IF(E1327&lt;&gt;"","Đã VH","Quy hoạch điện VIII")</f>
        <v/>
      </c>
      <c r="G1327" s="16">
        <f>LEFT(B1327,FIND(" ",B1327,1)-1)</f>
        <v/>
      </c>
      <c r="H1327" s="16">
        <f>TRIM(RIGHT(B1327,LEN(B1327)-FIND(" ",B1327,1)))</f>
        <v/>
      </c>
      <c r="I1327" s="16">
        <f>_xlfn.XLOOKUP(Table2[[#This Row],[Type]],Table5[Type],Table5[Type2])</f>
        <v/>
      </c>
      <c r="J1327" s="16">
        <f>_xlfn.XLOOKUP(Table2[[#This Row],[Sym]],Zones!$A$2:$A$21,Zones!$B$2:$B$21)</f>
        <v/>
      </c>
      <c r="K1327" s="21" t="n"/>
    </row>
    <row r="1328">
      <c r="A1328" s="24" t="n">
        <v>3280</v>
      </c>
      <c r="B1328" s="10" t="inlineStr">
        <is>
          <t>T110 Hà Giang</t>
        </is>
      </c>
      <c r="C1328" s="10" t="inlineStr">
        <is>
          <t>TBA 110kV Hà Giang</t>
        </is>
      </c>
      <c r="D1328" s="3" t="inlineStr">
        <is>
          <t>B14</t>
        </is>
      </c>
      <c r="E1328" s="9" t="inlineStr">
        <is>
          <t>E22.1</t>
        </is>
      </c>
      <c r="F1328" s="15">
        <f>IF(E1328&lt;&gt;"","Đã VH","Quy hoạch điện VIII")</f>
        <v/>
      </c>
      <c r="G1328" s="16">
        <f>LEFT(B1328,FIND(" ",B1328,1)-1)</f>
        <v/>
      </c>
      <c r="H1328" s="16">
        <f>TRIM(RIGHT(B1328,LEN(B1328)-FIND(" ",B1328,1)))</f>
        <v/>
      </c>
      <c r="I1328" s="16">
        <f>_xlfn.XLOOKUP(Table2[[#This Row],[Type]],Table5[Type],Table5[Type2])</f>
        <v/>
      </c>
      <c r="J1328" s="16">
        <f>_xlfn.XLOOKUP(Table2[[#This Row],[Sym]],Zones!$A$2:$A$21,Zones!$B$2:$B$21)</f>
        <v/>
      </c>
      <c r="K1328" s="21" t="n"/>
    </row>
    <row r="1329">
      <c r="A1329" s="24" t="n">
        <v>3281</v>
      </c>
      <c r="B1329" s="10" t="inlineStr">
        <is>
          <t>TĐ Mận Thắng</t>
        </is>
      </c>
      <c r="C1329" s="10" t="inlineStr">
        <is>
          <t>NM TĐN Mận Thắng</t>
        </is>
      </c>
      <c r="D1329" s="3" t="inlineStr">
        <is>
          <t>B14</t>
        </is>
      </c>
      <c r="E1329" s="9" t="inlineStr">
        <is>
          <t>A22.42</t>
        </is>
      </c>
      <c r="F1329" s="15">
        <f>IF(E1329&lt;&gt;"","Đã VH","Quy hoạch điện VIII")</f>
        <v/>
      </c>
      <c r="G1329" s="16">
        <f>LEFT(B1329,FIND(" ",B1329,1)-1)</f>
        <v/>
      </c>
      <c r="H1329" s="16">
        <f>TRIM(RIGHT(B1329,LEN(B1329)-FIND(" ",B1329,1)))</f>
        <v/>
      </c>
      <c r="I1329" s="16">
        <f>_xlfn.XLOOKUP(Table2[[#This Row],[Type]],Table5[Type],Table5[Type2])</f>
        <v/>
      </c>
      <c r="J1329" s="16">
        <f>_xlfn.XLOOKUP(Table2[[#This Row],[Sym]],Zones!$A$2:$A$21,Zones!$B$2:$B$21)</f>
        <v/>
      </c>
      <c r="K1329" s="21" t="n"/>
    </row>
    <row r="1330">
      <c r="A1330" s="24" t="n">
        <v>3282</v>
      </c>
      <c r="B1330" s="10" t="inlineStr">
        <is>
          <t>T110 Bắc Quang</t>
        </is>
      </c>
      <c r="C1330" s="10" t="inlineStr">
        <is>
          <t>TBA 110kV Bắc Quang</t>
        </is>
      </c>
      <c r="D1330" s="3" t="inlineStr">
        <is>
          <t>B14</t>
        </is>
      </c>
      <c r="E1330" s="9" t="inlineStr">
        <is>
          <t>E22.3</t>
        </is>
      </c>
      <c r="F1330" s="15">
        <f>IF(E1330&lt;&gt;"","Đã VH","Quy hoạch điện VIII")</f>
        <v/>
      </c>
      <c r="G1330" s="16">
        <f>LEFT(B1330,FIND(" ",B1330,1)-1)</f>
        <v/>
      </c>
      <c r="H1330" s="16">
        <f>TRIM(RIGHT(B1330,LEN(B1330)-FIND(" ",B1330,1)))</f>
        <v/>
      </c>
      <c r="I1330" s="16">
        <f>_xlfn.XLOOKUP(Table2[[#This Row],[Type]],Table5[Type],Table5[Type2])</f>
        <v/>
      </c>
      <c r="J1330" s="16">
        <f>_xlfn.XLOOKUP(Table2[[#This Row],[Sym]],Zones!$A$2:$A$21,Zones!$B$2:$B$21)</f>
        <v/>
      </c>
      <c r="K1330" s="21" t="n"/>
    </row>
    <row r="1331">
      <c r="A1331" s="24" t="n">
        <v>3283</v>
      </c>
      <c r="B1331" s="10" t="inlineStr">
        <is>
          <t>T220 Hà Giang</t>
        </is>
      </c>
      <c r="C1331" s="10" t="inlineStr">
        <is>
          <t>TBA 220kV Hà Giang</t>
        </is>
      </c>
      <c r="D1331" s="3" t="inlineStr">
        <is>
          <t>B14</t>
        </is>
      </c>
      <c r="E1331" s="9" t="inlineStr">
        <is>
          <t>E22.4</t>
        </is>
      </c>
      <c r="F1331" s="15">
        <f>IF(E1331&lt;&gt;"","Đã VH","Quy hoạch điện VIII")</f>
        <v/>
      </c>
      <c r="G1331" s="16">
        <f>LEFT(B1331,FIND(" ",B1331,1)-1)</f>
        <v/>
      </c>
      <c r="H1331" s="16">
        <f>TRIM(RIGHT(B1331,LEN(B1331)-FIND(" ",B1331,1)))</f>
        <v/>
      </c>
      <c r="I1331" s="16">
        <f>_xlfn.XLOOKUP(Table2[[#This Row],[Type]],Table5[Type],Table5[Type2])</f>
        <v/>
      </c>
      <c r="J1331" s="16">
        <f>_xlfn.XLOOKUP(Table2[[#This Row],[Sym]],Zones!$A$2:$A$21,Zones!$B$2:$B$21)</f>
        <v/>
      </c>
      <c r="K1331" s="21" t="n"/>
    </row>
    <row r="1332">
      <c r="A1332" s="24" t="n">
        <v>3284</v>
      </c>
      <c r="B1332" s="10" t="inlineStr">
        <is>
          <t>TĐ Nậm Ngần</t>
        </is>
      </c>
      <c r="C1332" s="10" t="inlineStr">
        <is>
          <t>NM TĐN Nậm Ngần</t>
        </is>
      </c>
      <c r="D1332" s="3" t="inlineStr">
        <is>
          <t>B14</t>
        </is>
      </c>
      <c r="E1332" s="9" t="inlineStr">
        <is>
          <t>A22.5</t>
        </is>
      </c>
      <c r="F1332" s="15">
        <f>IF(E1332&lt;&gt;"","Đã VH","Quy hoạch điện VIII")</f>
        <v/>
      </c>
      <c r="G1332" s="16">
        <f>LEFT(B1332,FIND(" ",B1332,1)-1)</f>
        <v/>
      </c>
      <c r="H1332" s="16">
        <f>TRIM(RIGHT(B1332,LEN(B1332)-FIND(" ",B1332,1)))</f>
        <v/>
      </c>
      <c r="I1332" s="16">
        <f>_xlfn.XLOOKUP(Table2[[#This Row],[Type]],Table5[Type],Table5[Type2])</f>
        <v/>
      </c>
      <c r="J1332" s="16">
        <f>_xlfn.XLOOKUP(Table2[[#This Row],[Sym]],Zones!$A$2:$A$21,Zones!$B$2:$B$21)</f>
        <v/>
      </c>
      <c r="K1332" s="21" t="n"/>
    </row>
    <row r="1333">
      <c r="A1333" s="24" t="n">
        <v>3285</v>
      </c>
      <c r="B1333" s="10" t="inlineStr">
        <is>
          <t>T110 Yên Minh</t>
        </is>
      </c>
      <c r="C1333" s="10" t="inlineStr">
        <is>
          <t>TBA 110kV Yên Minh</t>
        </is>
      </c>
      <c r="D1333" s="3" t="inlineStr">
        <is>
          <t>B14</t>
        </is>
      </c>
      <c r="E1333" s="9" t="inlineStr">
        <is>
          <t>E22.7</t>
        </is>
      </c>
      <c r="F1333" s="15">
        <f>IF(E1333&lt;&gt;"","Đã VH","Quy hoạch điện VIII")</f>
        <v/>
      </c>
      <c r="G1333" s="16">
        <f>LEFT(B1333,FIND(" ",B1333,1)-1)</f>
        <v/>
      </c>
      <c r="H1333" s="16">
        <f>TRIM(RIGHT(B1333,LEN(B1333)-FIND(" ",B1333,1)))</f>
        <v/>
      </c>
      <c r="I1333" s="16">
        <f>_xlfn.XLOOKUP(Table2[[#This Row],[Type]],Table5[Type],Table5[Type2])</f>
        <v/>
      </c>
      <c r="J1333" s="16">
        <f>_xlfn.XLOOKUP(Table2[[#This Row],[Sym]],Zones!$A$2:$A$21,Zones!$B$2:$B$21)</f>
        <v/>
      </c>
      <c r="K1333" s="21" t="n"/>
    </row>
    <row r="1334">
      <c r="A1334" s="24" t="n">
        <v>3286</v>
      </c>
      <c r="B1334" s="10" t="inlineStr">
        <is>
          <t>TĐ Thái An</t>
        </is>
      </c>
      <c r="C1334" s="10" t="inlineStr">
        <is>
          <t>NM TĐN Thái An</t>
        </is>
      </c>
      <c r="D1334" s="3" t="inlineStr">
        <is>
          <t>B14</t>
        </is>
      </c>
      <c r="E1334" s="9" t="inlineStr">
        <is>
          <t>A22.10</t>
        </is>
      </c>
      <c r="F1334" s="15">
        <f>IF(E1334&lt;&gt;"","Đã VH","Quy hoạch điện VIII")</f>
        <v/>
      </c>
      <c r="G1334" s="16">
        <f>LEFT(B1334,FIND(" ",B1334,1)-1)</f>
        <v/>
      </c>
      <c r="H1334" s="16">
        <f>TRIM(RIGHT(B1334,LEN(B1334)-FIND(" ",B1334,1)))</f>
        <v/>
      </c>
      <c r="I1334" s="16">
        <f>_xlfn.XLOOKUP(Table2[[#This Row],[Type]],Table5[Type],Table5[Type2])</f>
        <v/>
      </c>
      <c r="J1334" s="16">
        <f>_xlfn.XLOOKUP(Table2[[#This Row],[Sym]],Zones!$A$2:$A$21,Zones!$B$2:$B$21)</f>
        <v/>
      </c>
      <c r="K1334" s="21" t="n"/>
    </row>
    <row r="1335">
      <c r="A1335" s="24" t="n">
        <v>3287</v>
      </c>
      <c r="B1335" s="10" t="inlineStr">
        <is>
          <t>TĐ Sông Chừng</t>
        </is>
      </c>
      <c r="C1335" s="10" t="inlineStr">
        <is>
          <t>NM TĐN Sông Chừng</t>
        </is>
      </c>
      <c r="D1335" s="3" t="inlineStr">
        <is>
          <t>B14</t>
        </is>
      </c>
      <c r="E1335" s="9" t="inlineStr">
        <is>
          <t>A22.15</t>
        </is>
      </c>
      <c r="F1335" s="15">
        <f>IF(E1335&lt;&gt;"","Đã VH","Quy hoạch điện VIII")</f>
        <v/>
      </c>
      <c r="G1335" s="16">
        <f>LEFT(B1335,FIND(" ",B1335,1)-1)</f>
        <v/>
      </c>
      <c r="H1335" s="16">
        <f>TRIM(RIGHT(B1335,LEN(B1335)-FIND(" ",B1335,1)))</f>
        <v/>
      </c>
      <c r="I1335" s="16">
        <f>_xlfn.XLOOKUP(Table2[[#This Row],[Type]],Table5[Type],Table5[Type2])</f>
        <v/>
      </c>
      <c r="J1335" s="16">
        <f>_xlfn.XLOOKUP(Table2[[#This Row],[Sym]],Zones!$A$2:$A$21,Zones!$B$2:$B$21)</f>
        <v/>
      </c>
      <c r="K1335" s="21" t="n"/>
    </row>
    <row r="1336">
      <c r="A1336" s="24" t="n">
        <v>3288</v>
      </c>
      <c r="B1336" s="10" t="inlineStr">
        <is>
          <t>TĐ Thanh Thủy</t>
        </is>
      </c>
      <c r="C1336" s="10" t="inlineStr">
        <is>
          <t>NM TĐN Thanh Thủy</t>
        </is>
      </c>
      <c r="D1336" s="3" t="inlineStr">
        <is>
          <t>B14</t>
        </is>
      </c>
      <c r="E1336" s="9" t="inlineStr">
        <is>
          <t>A22.16</t>
        </is>
      </c>
      <c r="F1336" s="15">
        <f>IF(E1336&lt;&gt;"","Đã VH","Quy hoạch điện VIII")</f>
        <v/>
      </c>
      <c r="G1336" s="16">
        <f>LEFT(B1336,FIND(" ",B1336,1)-1)</f>
        <v/>
      </c>
      <c r="H1336" s="16">
        <f>TRIM(RIGHT(B1336,LEN(B1336)-FIND(" ",B1336,1)))</f>
        <v/>
      </c>
      <c r="I1336" s="16">
        <f>_xlfn.XLOOKUP(Table2[[#This Row],[Type]],Table5[Type],Table5[Type2])</f>
        <v/>
      </c>
      <c r="J1336" s="16">
        <f>_xlfn.XLOOKUP(Table2[[#This Row],[Sym]],Zones!$A$2:$A$21,Zones!$B$2:$B$21)</f>
        <v/>
      </c>
      <c r="K1336" s="21" t="n"/>
    </row>
    <row r="1337">
      <c r="A1337" s="24" t="n">
        <v>3289</v>
      </c>
      <c r="B1337" s="10" t="inlineStr">
        <is>
          <t>TĐ Sông Miện 5</t>
        </is>
      </c>
      <c r="C1337" s="10" t="inlineStr">
        <is>
          <t>NM TĐN Sông Miện 5</t>
        </is>
      </c>
      <c r="D1337" s="3" t="inlineStr">
        <is>
          <t>B14</t>
        </is>
      </c>
      <c r="E1337" s="9" t="inlineStr">
        <is>
          <t>A22.17</t>
        </is>
      </c>
      <c r="F1337" s="15">
        <f>IF(E1337&lt;&gt;"","Đã VH","Quy hoạch điện VIII")</f>
        <v/>
      </c>
      <c r="G1337" s="16">
        <f>LEFT(B1337,FIND(" ",B1337,1)-1)</f>
        <v/>
      </c>
      <c r="H1337" s="16">
        <f>TRIM(RIGHT(B1337,LEN(B1337)-FIND(" ",B1337,1)))</f>
        <v/>
      </c>
      <c r="I1337" s="16">
        <f>_xlfn.XLOOKUP(Table2[[#This Row],[Type]],Table5[Type],Table5[Type2])</f>
        <v/>
      </c>
      <c r="J1337" s="16">
        <f>_xlfn.XLOOKUP(Table2[[#This Row],[Sym]],Zones!$A$2:$A$21,Zones!$B$2:$B$21)</f>
        <v/>
      </c>
      <c r="K1337" s="21" t="n"/>
    </row>
    <row r="1338">
      <c r="A1338" s="24" t="n">
        <v>3290</v>
      </c>
      <c r="B1338" s="10" t="inlineStr">
        <is>
          <t>TĐ Sông Miện 5A</t>
        </is>
      </c>
      <c r="C1338" s="10" t="inlineStr">
        <is>
          <t>NM TĐN Sông Miện 5A</t>
        </is>
      </c>
      <c r="D1338" s="3" t="inlineStr">
        <is>
          <t>B14</t>
        </is>
      </c>
      <c r="E1338" s="9" t="inlineStr">
        <is>
          <t>A22.18</t>
        </is>
      </c>
      <c r="F1338" s="15">
        <f>IF(E1338&lt;&gt;"","Đã VH","Quy hoạch điện VIII")</f>
        <v/>
      </c>
      <c r="G1338" s="16">
        <f>LEFT(B1338,FIND(" ",B1338,1)-1)</f>
        <v/>
      </c>
      <c r="H1338" s="16">
        <f>TRIM(RIGHT(B1338,LEN(B1338)-FIND(" ",B1338,1)))</f>
        <v/>
      </c>
      <c r="I1338" s="16">
        <f>_xlfn.XLOOKUP(Table2[[#This Row],[Type]],Table5[Type],Table5[Type2])</f>
        <v/>
      </c>
      <c r="J1338" s="16">
        <f>_xlfn.XLOOKUP(Table2[[#This Row],[Sym]],Zones!$A$2:$A$21,Zones!$B$2:$B$21)</f>
        <v/>
      </c>
      <c r="K1338" s="21" t="n"/>
    </row>
    <row r="1339">
      <c r="A1339" s="24" t="n">
        <v>3291</v>
      </c>
      <c r="B1339" s="10" t="inlineStr">
        <is>
          <t>T110 Bình Vàng</t>
        </is>
      </c>
      <c r="C1339" s="10" t="inlineStr">
        <is>
          <t>TBA 110kV Bình Vàng</t>
        </is>
      </c>
      <c r="D1339" s="3" t="inlineStr">
        <is>
          <t>B14</t>
        </is>
      </c>
      <c r="E1339" s="9" t="inlineStr">
        <is>
          <t>E22.27</t>
        </is>
      </c>
      <c r="F1339" s="15">
        <f>IF(E1339&lt;&gt;"","Đã VH","Quy hoạch điện VIII")</f>
        <v/>
      </c>
      <c r="G1339" s="16">
        <f>LEFT(B1339,FIND(" ",B1339,1)-1)</f>
        <v/>
      </c>
      <c r="H1339" s="16">
        <f>TRIM(RIGHT(B1339,LEN(B1339)-FIND(" ",B1339,1)))</f>
        <v/>
      </c>
      <c r="I1339" s="16">
        <f>_xlfn.XLOOKUP(Table2[[#This Row],[Type]],Table5[Type],Table5[Type2])</f>
        <v/>
      </c>
      <c r="J1339" s="16">
        <f>_xlfn.XLOOKUP(Table2[[#This Row],[Sym]],Zones!$A$2:$A$21,Zones!$B$2:$B$21)</f>
        <v/>
      </c>
      <c r="K1339" s="21" t="n"/>
    </row>
    <row r="1340">
      <c r="A1340" s="24" t="n">
        <v>3292</v>
      </c>
      <c r="B1340" s="10" t="inlineStr">
        <is>
          <t>TĐ Sông Bạc</t>
        </is>
      </c>
      <c r="C1340" s="10" t="inlineStr">
        <is>
          <t>NM TĐN Sông Bạc</t>
        </is>
      </c>
      <c r="D1340" s="3" t="inlineStr">
        <is>
          <t>B14</t>
        </is>
      </c>
      <c r="E1340" s="9" t="inlineStr">
        <is>
          <t>A22.28</t>
        </is>
      </c>
      <c r="F1340" s="15">
        <f>IF(E1340&lt;&gt;"","Đã VH","Quy hoạch điện VIII")</f>
        <v/>
      </c>
      <c r="G1340" s="16">
        <f>LEFT(B1340,FIND(" ",B1340,1)-1)</f>
        <v/>
      </c>
      <c r="H1340" s="16">
        <f>TRIM(RIGHT(B1340,LEN(B1340)-FIND(" ",B1340,1)))</f>
        <v/>
      </c>
      <c r="I1340" s="16">
        <f>_xlfn.XLOOKUP(Table2[[#This Row],[Type]],Table5[Type],Table5[Type2])</f>
        <v/>
      </c>
      <c r="J1340" s="16">
        <f>_xlfn.XLOOKUP(Table2[[#This Row],[Sym]],Zones!$A$2:$A$21,Zones!$B$2:$B$21)</f>
        <v/>
      </c>
      <c r="K1340" s="21" t="n"/>
    </row>
    <row r="1341">
      <c r="A1341" s="24" t="n">
        <v>3293</v>
      </c>
      <c r="B1341" s="10" t="inlineStr">
        <is>
          <t>TĐ Xuân Minh</t>
        </is>
      </c>
      <c r="C1341" s="10" t="inlineStr">
        <is>
          <t>NM TĐN Xuân Minh</t>
        </is>
      </c>
      <c r="D1341" s="3" t="inlineStr">
        <is>
          <t>B14</t>
        </is>
      </c>
      <c r="E1341" s="9" t="n"/>
      <c r="F1341" s="15">
        <f>IF(E1341&lt;&gt;"","Đã VH","Quy hoạch điện VIII")</f>
        <v/>
      </c>
      <c r="G1341" s="16">
        <f>LEFT(B1341,FIND(" ",B1341,1)-1)</f>
        <v/>
      </c>
      <c r="H1341" s="16">
        <f>TRIM(RIGHT(B1341,LEN(B1341)-FIND(" ",B1341,1)))</f>
        <v/>
      </c>
      <c r="I1341" s="16">
        <f>_xlfn.XLOOKUP(Table2[[#This Row],[Type]],Table5[Type],Table5[Type2])</f>
        <v/>
      </c>
      <c r="J1341" s="16">
        <f>_xlfn.XLOOKUP(Table2[[#This Row],[Sym]],Zones!$A$2:$A$21,Zones!$B$2:$B$21)</f>
        <v/>
      </c>
      <c r="K1341" s="21" t="n"/>
    </row>
    <row r="1342">
      <c r="A1342" s="24" t="n">
        <v>3294</v>
      </c>
      <c r="B1342" s="10" t="inlineStr">
        <is>
          <t>TĐ Thiên Hồ</t>
        </is>
      </c>
      <c r="C1342" s="10" t="inlineStr">
        <is>
          <t>NM TĐN Thiên Hồ</t>
        </is>
      </c>
      <c r="D1342" s="3" t="inlineStr">
        <is>
          <t>B14</t>
        </is>
      </c>
      <c r="E1342" s="9" t="n"/>
      <c r="F1342" s="15">
        <f>IF(E1342&lt;&gt;"","Đã VH","Quy hoạch điện VIII")</f>
        <v/>
      </c>
      <c r="G1342" s="16">
        <f>LEFT(B1342,FIND(" ",B1342,1)-1)</f>
        <v/>
      </c>
      <c r="H1342" s="16">
        <f>TRIM(RIGHT(B1342,LEN(B1342)-FIND(" ",B1342,1)))</f>
        <v/>
      </c>
      <c r="I1342" s="16">
        <f>_xlfn.XLOOKUP(Table2[[#This Row],[Type]],Table5[Type],Table5[Type2])</f>
        <v/>
      </c>
      <c r="J1342" s="16">
        <f>_xlfn.XLOOKUP(Table2[[#This Row],[Sym]],Zones!$A$2:$A$21,Zones!$B$2:$B$21)</f>
        <v/>
      </c>
      <c r="K1342" s="21" t="n"/>
    </row>
    <row r="1343">
      <c r="A1343" s="24" t="n">
        <v>3295</v>
      </c>
      <c r="B1343" s="10" t="inlineStr">
        <is>
          <t>TĐ Nho Quế 3</t>
        </is>
      </c>
      <c r="C1343" s="10" t="inlineStr">
        <is>
          <t>NM TĐN Nho Quế 3</t>
        </is>
      </c>
      <c r="D1343" s="3" t="inlineStr">
        <is>
          <t>B14</t>
        </is>
      </c>
      <c r="E1343" s="9" t="inlineStr">
        <is>
          <t>A22.30</t>
        </is>
      </c>
      <c r="F1343" s="15">
        <f>IF(E1343&lt;&gt;"","Đã VH","Quy hoạch điện VIII")</f>
        <v/>
      </c>
      <c r="G1343" s="16">
        <f>LEFT(B1343,FIND(" ",B1343,1)-1)</f>
        <v/>
      </c>
      <c r="H1343" s="16">
        <f>TRIM(RIGHT(B1343,LEN(B1343)-FIND(" ",B1343,1)))</f>
        <v/>
      </c>
      <c r="I1343" s="16">
        <f>_xlfn.XLOOKUP(Table2[[#This Row],[Type]],Table5[Type],Table5[Type2])</f>
        <v/>
      </c>
      <c r="J1343" s="16">
        <f>_xlfn.XLOOKUP(Table2[[#This Row],[Sym]],Zones!$A$2:$A$21,Zones!$B$2:$B$21)</f>
        <v/>
      </c>
      <c r="K1343" s="21" t="n"/>
    </row>
    <row r="1344">
      <c r="A1344" s="24" t="n">
        <v>3296</v>
      </c>
      <c r="B1344" s="10" t="inlineStr">
        <is>
          <t>TĐ Thuận Hòa</t>
        </is>
      </c>
      <c r="C1344" s="10" t="inlineStr">
        <is>
          <t>NM TĐN Thuận Hòa</t>
        </is>
      </c>
      <c r="D1344" s="3" t="inlineStr">
        <is>
          <t>B14</t>
        </is>
      </c>
      <c r="E1344" s="9" t="inlineStr">
        <is>
          <t>A22.10B</t>
        </is>
      </c>
      <c r="F1344" s="15">
        <f>IF(E1344&lt;&gt;"","Đã VH","Quy hoạch điện VIII")</f>
        <v/>
      </c>
      <c r="G1344" s="16">
        <f>LEFT(B1344,FIND(" ",B1344,1)-1)</f>
        <v/>
      </c>
      <c r="H1344" s="16">
        <f>TRIM(RIGHT(B1344,LEN(B1344)-FIND(" ",B1344,1)))</f>
        <v/>
      </c>
      <c r="I1344" s="16">
        <f>_xlfn.XLOOKUP(Table2[[#This Row],[Type]],Table5[Type],Table5[Type2])</f>
        <v/>
      </c>
      <c r="J1344" s="16">
        <f>_xlfn.XLOOKUP(Table2[[#This Row],[Sym]],Zones!$A$2:$A$21,Zones!$B$2:$B$21)</f>
        <v/>
      </c>
      <c r="K1344" s="21" t="n"/>
    </row>
    <row r="1345">
      <c r="A1345" s="24" t="n">
        <v>3297</v>
      </c>
      <c r="B1345" s="10" t="inlineStr">
        <is>
          <t>TĐ Nho Quế 2</t>
        </is>
      </c>
      <c r="C1345" s="10" t="inlineStr">
        <is>
          <t>NM TĐN Nho Quế 2</t>
        </is>
      </c>
      <c r="D1345" s="3" t="inlineStr">
        <is>
          <t>B14</t>
        </is>
      </c>
      <c r="E1345" s="9" t="inlineStr">
        <is>
          <t>A22.29</t>
        </is>
      </c>
      <c r="F1345" s="15">
        <f>IF(E1345&lt;&gt;"","Đã VH","Quy hoạch điện VIII")</f>
        <v/>
      </c>
      <c r="G1345" s="16">
        <f>LEFT(B1345,FIND(" ",B1345,1)-1)</f>
        <v/>
      </c>
      <c r="H1345" s="16">
        <f>TRIM(RIGHT(B1345,LEN(B1345)-FIND(" ",B1345,1)))</f>
        <v/>
      </c>
      <c r="I1345" s="16">
        <f>_xlfn.XLOOKUP(Table2[[#This Row],[Type]],Table5[Type],Table5[Type2])</f>
        <v/>
      </c>
      <c r="J1345" s="16">
        <f>_xlfn.XLOOKUP(Table2[[#This Row],[Sym]],Zones!$A$2:$A$21,Zones!$B$2:$B$21)</f>
        <v/>
      </c>
      <c r="K1345" s="21" t="n"/>
    </row>
    <row r="1346">
      <c r="A1346" s="24" t="n">
        <v>3298</v>
      </c>
      <c r="B1346" s="10" t="inlineStr">
        <is>
          <t>TĐ Nho Quế 1</t>
        </is>
      </c>
      <c r="C1346" s="10" t="inlineStr">
        <is>
          <t>NM TĐN Nho Quế 1</t>
        </is>
      </c>
      <c r="D1346" s="3" t="inlineStr">
        <is>
          <t>B14</t>
        </is>
      </c>
      <c r="E1346" s="9" t="inlineStr">
        <is>
          <t>A22.31</t>
        </is>
      </c>
      <c r="F1346" s="15">
        <f>IF(E1346&lt;&gt;"","Đã VH","Quy hoạch điện VIII")</f>
        <v/>
      </c>
      <c r="G1346" s="16">
        <f>LEFT(B1346,FIND(" ",B1346,1)-1)</f>
        <v/>
      </c>
      <c r="H1346" s="16">
        <f>TRIM(RIGHT(B1346,LEN(B1346)-FIND(" ",B1346,1)))</f>
        <v/>
      </c>
      <c r="I1346" s="16">
        <f>_xlfn.XLOOKUP(Table2[[#This Row],[Type]],Table5[Type],Table5[Type2])</f>
        <v/>
      </c>
      <c r="J1346" s="16">
        <f>_xlfn.XLOOKUP(Table2[[#This Row],[Sym]],Zones!$A$2:$A$21,Zones!$B$2:$B$21)</f>
        <v/>
      </c>
      <c r="K1346" s="21" t="n"/>
    </row>
    <row r="1347">
      <c r="A1347" s="24" t="n">
        <v>3299</v>
      </c>
      <c r="B1347" s="10" t="inlineStr">
        <is>
          <t>TĐ Sông Lô 2</t>
        </is>
      </c>
      <c r="C1347" s="10" t="inlineStr">
        <is>
          <t>NM TĐN Sông Lô 2</t>
        </is>
      </c>
      <c r="D1347" s="3" t="inlineStr">
        <is>
          <t>B14</t>
        </is>
      </c>
      <c r="E1347" s="9" t="inlineStr">
        <is>
          <t>A22.32</t>
        </is>
      </c>
      <c r="F1347" s="15">
        <f>IF(E1347&lt;&gt;"","Đã VH","Quy hoạch điện VIII")</f>
        <v/>
      </c>
      <c r="G1347" s="16">
        <f>LEFT(B1347,FIND(" ",B1347,1)-1)</f>
        <v/>
      </c>
      <c r="H1347" s="16">
        <f>TRIM(RIGHT(B1347,LEN(B1347)-FIND(" ",B1347,1)))</f>
        <v/>
      </c>
      <c r="I1347" s="16">
        <f>_xlfn.XLOOKUP(Table2[[#This Row],[Type]],Table5[Type],Table5[Type2])</f>
        <v/>
      </c>
      <c r="J1347" s="16">
        <f>_xlfn.XLOOKUP(Table2[[#This Row],[Sym]],Zones!$A$2:$A$21,Zones!$B$2:$B$21)</f>
        <v/>
      </c>
      <c r="K1347" s="21" t="n"/>
    </row>
    <row r="1348">
      <c r="A1348" s="24" t="n">
        <v>3300</v>
      </c>
      <c r="B1348" s="10" t="inlineStr">
        <is>
          <t>TĐ Sông Lô 4</t>
        </is>
      </c>
      <c r="C1348" s="30" t="inlineStr">
        <is>
          <t>NM TĐ Sông Lô 4</t>
        </is>
      </c>
      <c r="D1348" s="3" t="inlineStr">
        <is>
          <t>B14</t>
        </is>
      </c>
      <c r="E1348" s="9" t="inlineStr">
        <is>
          <t>A22.34</t>
        </is>
      </c>
      <c r="F1348" s="15">
        <f>IF(E1348&lt;&gt;"","Đã VH","Quy hoạch điện VIII")</f>
        <v/>
      </c>
      <c r="G1348" s="16">
        <f>LEFT(B1348,FIND(" ",B1348,1)-1)</f>
        <v/>
      </c>
      <c r="H1348" s="16">
        <f>TRIM(RIGHT(B1348,LEN(B1348)-FIND(" ",B1348,1)))</f>
        <v/>
      </c>
      <c r="I1348" s="16">
        <f>_xlfn.XLOOKUP(Table2[[#This Row],[Type]],Table5[Type],Table5[Type2])</f>
        <v/>
      </c>
      <c r="J1348" s="16">
        <f>_xlfn.XLOOKUP(Table2[[#This Row],[Sym]],Zones!$A$2:$A$21,Zones!$B$2:$B$21)</f>
        <v/>
      </c>
      <c r="K1348" s="21" t="n"/>
      <c r="AI1348" t="inlineStr">
        <is>
          <t>Đã sửa từ dashboard (NM TĐN Sông Lô 4 ➔ NM TĐ Sông Lô 4)</t>
        </is>
      </c>
    </row>
    <row r="1349">
      <c r="A1349" s="24" t="n">
        <v>3301</v>
      </c>
      <c r="B1349" s="10" t="inlineStr">
        <is>
          <t>TĐ Bắc Mê</t>
        </is>
      </c>
      <c r="C1349" s="10" t="inlineStr">
        <is>
          <t>NM TĐN Bắc Mê</t>
        </is>
      </c>
      <c r="D1349" s="3" t="inlineStr">
        <is>
          <t>B14</t>
        </is>
      </c>
      <c r="E1349" s="9" t="inlineStr">
        <is>
          <t>A22.33</t>
        </is>
      </c>
      <c r="F1349" s="15">
        <f>IF(E1349&lt;&gt;"","Đã VH","Quy hoạch điện VIII")</f>
        <v/>
      </c>
      <c r="G1349" s="16">
        <f>LEFT(B1349,FIND(" ",B1349,1)-1)</f>
        <v/>
      </c>
      <c r="H1349" s="16">
        <f>TRIM(RIGHT(B1349,LEN(B1349)-FIND(" ",B1349,1)))</f>
        <v/>
      </c>
      <c r="I1349" s="16">
        <f>_xlfn.XLOOKUP(Table2[[#This Row],[Type]],Table5[Type],Table5[Type2])</f>
        <v/>
      </c>
      <c r="J1349" s="16">
        <f>_xlfn.XLOOKUP(Table2[[#This Row],[Sym]],Zones!$A$2:$A$21,Zones!$B$2:$B$21)</f>
        <v/>
      </c>
      <c r="K1349" s="21" t="n"/>
    </row>
    <row r="1350">
      <c r="A1350" s="24" t="n">
        <v>3302</v>
      </c>
      <c r="B1350" s="10" t="inlineStr">
        <is>
          <t>TĐ Sông Chảy</t>
        </is>
      </c>
      <c r="C1350" s="10" t="inlineStr">
        <is>
          <t>NM TĐN Sông Chảy</t>
        </is>
      </c>
      <c r="D1350" s="3" t="inlineStr">
        <is>
          <t>B14</t>
        </is>
      </c>
      <c r="E1350" s="9" t="inlineStr">
        <is>
          <t>E22.36</t>
        </is>
      </c>
      <c r="F1350" s="15">
        <f>IF(E1350&lt;&gt;"","Đã VH","Quy hoạch điện VIII")</f>
        <v/>
      </c>
      <c r="G1350" s="16">
        <f>LEFT(B1350,FIND(" ",B1350,1)-1)</f>
        <v/>
      </c>
      <c r="H1350" s="16">
        <f>TRIM(RIGHT(B1350,LEN(B1350)-FIND(" ",B1350,1)))</f>
        <v/>
      </c>
      <c r="I1350" s="16">
        <f>_xlfn.XLOOKUP(Table2[[#This Row],[Type]],Table5[Type],Table5[Type2])</f>
        <v/>
      </c>
      <c r="J1350" s="16">
        <f>_xlfn.XLOOKUP(Table2[[#This Row],[Sym]],Zones!$A$2:$A$21,Zones!$B$2:$B$21)</f>
        <v/>
      </c>
      <c r="K1350" s="21" t="n"/>
    </row>
    <row r="1351">
      <c r="A1351" s="24" t="n">
        <v>3303</v>
      </c>
      <c r="B1351" s="10" t="inlineStr">
        <is>
          <t>TĐ Nậm Mạ 1</t>
        </is>
      </c>
      <c r="C1351" s="10" t="inlineStr">
        <is>
          <t>NM TĐN Nậm Mạ 1</t>
        </is>
      </c>
      <c r="D1351" s="3" t="inlineStr">
        <is>
          <t>B14</t>
        </is>
      </c>
      <c r="E1351" s="9" t="inlineStr">
        <is>
          <t>A22.21</t>
        </is>
      </c>
      <c r="F1351" s="15">
        <f>IF(E1351&lt;&gt;"","Đã VH","Quy hoạch điện VIII")</f>
        <v/>
      </c>
      <c r="G1351" s="16">
        <f>LEFT(B1351,FIND(" ",B1351,1)-1)</f>
        <v/>
      </c>
      <c r="H1351" s="16">
        <f>TRIM(RIGHT(B1351,LEN(B1351)-FIND(" ",B1351,1)))</f>
        <v/>
      </c>
      <c r="I1351" s="16">
        <f>_xlfn.XLOOKUP(Table2[[#This Row],[Type]],Table5[Type],Table5[Type2])</f>
        <v/>
      </c>
      <c r="J1351" s="16">
        <f>_xlfn.XLOOKUP(Table2[[#This Row],[Sym]],Zones!$A$2:$A$21,Zones!$B$2:$B$21)</f>
        <v/>
      </c>
      <c r="K1351" s="21" t="n"/>
    </row>
    <row r="1352">
      <c r="A1352" s="24" t="n">
        <v>3304</v>
      </c>
      <c r="B1352" s="10" t="inlineStr">
        <is>
          <t>TĐ Nậm Yên</t>
        </is>
      </c>
      <c r="C1352" s="10" t="inlineStr">
        <is>
          <t>NM TĐN Nậm Yên</t>
        </is>
      </c>
      <c r="D1352" s="3" t="inlineStr">
        <is>
          <t>B14</t>
        </is>
      </c>
      <c r="E1352" s="9" t="inlineStr">
        <is>
          <t>A22.37</t>
        </is>
      </c>
      <c r="F1352" s="15">
        <f>IF(E1352&lt;&gt;"","Đã VH","Quy hoạch điện VIII")</f>
        <v/>
      </c>
      <c r="G1352" s="16">
        <f>LEFT(B1352,FIND(" ",B1352,1)-1)</f>
        <v/>
      </c>
      <c r="H1352" s="16">
        <f>TRIM(RIGHT(B1352,LEN(B1352)-FIND(" ",B1352,1)))</f>
        <v/>
      </c>
      <c r="I1352" s="16">
        <f>_xlfn.XLOOKUP(Table2[[#This Row],[Type]],Table5[Type],Table5[Type2])</f>
        <v/>
      </c>
      <c r="J1352" s="16">
        <f>_xlfn.XLOOKUP(Table2[[#This Row],[Sym]],Zones!$A$2:$A$21,Zones!$B$2:$B$21)</f>
        <v/>
      </c>
      <c r="K1352" s="21" t="n"/>
    </row>
    <row r="1353">
      <c r="A1353" s="24" t="n">
        <v>3305</v>
      </c>
      <c r="B1353" s="10" t="inlineStr">
        <is>
          <t>TĐ Nậm Là</t>
        </is>
      </c>
      <c r="C1353" s="10" t="inlineStr">
        <is>
          <t>NM TĐN Nậm Là</t>
        </is>
      </c>
      <c r="D1353" s="3" t="inlineStr">
        <is>
          <t>B14</t>
        </is>
      </c>
      <c r="E1353" s="9" t="inlineStr">
        <is>
          <t>A22.41A</t>
        </is>
      </c>
      <c r="F1353" s="15">
        <f>IF(E1353&lt;&gt;"","Đã VH","Quy hoạch điện VIII")</f>
        <v/>
      </c>
      <c r="G1353" s="16">
        <f>LEFT(B1353,FIND(" ",B1353,1)-1)</f>
        <v/>
      </c>
      <c r="H1353" s="16">
        <f>TRIM(RIGHT(B1353,LEN(B1353)-FIND(" ",B1353,1)))</f>
        <v/>
      </c>
      <c r="I1353" s="16">
        <f>_xlfn.XLOOKUP(Table2[[#This Row],[Type]],Table5[Type],Table5[Type2])</f>
        <v/>
      </c>
      <c r="J1353" s="16">
        <f>_xlfn.XLOOKUP(Table2[[#This Row],[Sym]],Zones!$A$2:$A$21,Zones!$B$2:$B$21)</f>
        <v/>
      </c>
      <c r="K1353" s="21" t="n"/>
    </row>
    <row r="1354">
      <c r="A1354" s="24" t="n">
        <v>3306</v>
      </c>
      <c r="B1354" s="10" t="inlineStr">
        <is>
          <t>TĐ Sông Nhiệm 4</t>
        </is>
      </c>
      <c r="C1354" s="10" t="inlineStr">
        <is>
          <t>NM TĐN Sông Nhiệm 4</t>
        </is>
      </c>
      <c r="D1354" s="3" t="inlineStr">
        <is>
          <t>B14</t>
        </is>
      </c>
      <c r="E1354" s="9" t="inlineStr">
        <is>
          <t>A22.39</t>
        </is>
      </c>
      <c r="F1354" s="15">
        <f>IF(E1354&lt;&gt;"","Đã VH","Quy hoạch điện VIII")</f>
        <v/>
      </c>
      <c r="G1354" s="16">
        <f>LEFT(B1354,FIND(" ",B1354,1)-1)</f>
        <v/>
      </c>
      <c r="H1354" s="16">
        <f>TRIM(RIGHT(B1354,LEN(B1354)-FIND(" ",B1354,1)))</f>
        <v/>
      </c>
      <c r="I1354" s="16">
        <f>_xlfn.XLOOKUP(Table2[[#This Row],[Type]],Table5[Type],Table5[Type2])</f>
        <v/>
      </c>
      <c r="J1354" s="16">
        <f>_xlfn.XLOOKUP(Table2[[#This Row],[Sym]],Zones!$A$2:$A$21,Zones!$B$2:$B$21)</f>
        <v/>
      </c>
      <c r="K1354" s="21" t="n"/>
    </row>
    <row r="1355">
      <c r="A1355" s="24" t="n">
        <v>3307</v>
      </c>
      <c r="B1355" s="10" t="inlineStr">
        <is>
          <t>TĐ Mận Thắng 2</t>
        </is>
      </c>
      <c r="C1355" s="10" t="inlineStr">
        <is>
          <t>NM TĐN Mận Thắng 2</t>
        </is>
      </c>
      <c r="D1355" s="3" t="inlineStr">
        <is>
          <t>B14</t>
        </is>
      </c>
      <c r="E1355" s="9" t="inlineStr">
        <is>
          <t>A22.42B</t>
        </is>
      </c>
      <c r="F1355" s="15">
        <f>IF(E1355&lt;&gt;"","Đã VH","Quy hoạch điện VIII")</f>
        <v/>
      </c>
      <c r="G1355" s="16">
        <f>LEFT(B1355,FIND(" ",B1355,1)-1)</f>
        <v/>
      </c>
      <c r="H1355" s="16">
        <f>TRIM(RIGHT(B1355,LEN(B1355)-FIND(" ",B1355,1)))</f>
        <v/>
      </c>
      <c r="I1355" s="16">
        <f>_xlfn.XLOOKUP(Table2[[#This Row],[Type]],Table5[Type],Table5[Type2])</f>
        <v/>
      </c>
      <c r="J1355" s="16">
        <f>_xlfn.XLOOKUP(Table2[[#This Row],[Sym]],Zones!$A$2:$A$21,Zones!$B$2:$B$21)</f>
        <v/>
      </c>
      <c r="K1355" s="21" t="n"/>
    </row>
    <row r="1356">
      <c r="A1356" s="24" t="n">
        <v>3308</v>
      </c>
      <c r="B1356" s="10" t="inlineStr">
        <is>
          <t>TĐ Sông Lô 5</t>
        </is>
      </c>
      <c r="C1356" s="10" t="inlineStr">
        <is>
          <t>NM TĐN Sông Lô 5</t>
        </is>
      </c>
      <c r="D1356" s="3" t="inlineStr">
        <is>
          <t>B14</t>
        </is>
      </c>
      <c r="E1356" s="9" t="n"/>
      <c r="F1356" s="15">
        <f>IF(E1356&lt;&gt;"","Đã VH","Quy hoạch điện VIII")</f>
        <v/>
      </c>
      <c r="G1356" s="16">
        <f>LEFT(B1356,FIND(" ",B1356,1)-1)</f>
        <v/>
      </c>
      <c r="H1356" s="16">
        <f>TRIM(RIGHT(B1356,LEN(B1356)-FIND(" ",B1356,1)))</f>
        <v/>
      </c>
      <c r="I1356" s="16">
        <f>_xlfn.XLOOKUP(Table2[[#This Row],[Type]],Table5[Type],Table5[Type2])</f>
        <v/>
      </c>
      <c r="J1356" s="16">
        <f>_xlfn.XLOOKUP(Table2[[#This Row],[Sym]],Zones!$A$2:$A$21,Zones!$B$2:$B$21)</f>
        <v/>
      </c>
      <c r="K1356" s="21" t="n"/>
    </row>
    <row r="1357">
      <c r="A1357" s="24" t="n">
        <v>3309</v>
      </c>
      <c r="B1357" s="10" t="inlineStr">
        <is>
          <t>TĐ Sông Lô 3</t>
        </is>
      </c>
      <c r="C1357" s="10" t="inlineStr">
        <is>
          <t>NM TĐN Sông Lô 3</t>
        </is>
      </c>
      <c r="D1357" s="3" t="inlineStr">
        <is>
          <t>B14</t>
        </is>
      </c>
      <c r="E1357" s="9" t="n"/>
      <c r="F1357" s="15">
        <f>IF(E1357&lt;&gt;"","Đã VH","Quy hoạch điện VIII")</f>
        <v/>
      </c>
      <c r="G1357" s="16">
        <f>LEFT(B1357,FIND(" ",B1357,1)-1)</f>
        <v/>
      </c>
      <c r="H1357" s="16">
        <f>TRIM(RIGHT(B1357,LEN(B1357)-FIND(" ",B1357,1)))</f>
        <v/>
      </c>
      <c r="I1357" s="16">
        <f>_xlfn.XLOOKUP(Table2[[#This Row],[Type]],Table5[Type],Table5[Type2])</f>
        <v/>
      </c>
      <c r="J1357" s="16">
        <f>_xlfn.XLOOKUP(Table2[[#This Row],[Sym]],Zones!$A$2:$A$21,Zones!$B$2:$B$21)</f>
        <v/>
      </c>
      <c r="K1357" s="21" t="n"/>
    </row>
    <row r="1358">
      <c r="A1358" s="24" t="n">
        <v>3310</v>
      </c>
      <c r="B1358" s="10" t="inlineStr">
        <is>
          <t>T110 Thanh Thủy</t>
        </is>
      </c>
      <c r="C1358" s="10" t="inlineStr">
        <is>
          <t>TBA 110kV Thanh Thủy</t>
        </is>
      </c>
      <c r="D1358" s="3" t="inlineStr">
        <is>
          <t>B14</t>
        </is>
      </c>
      <c r="E1358" s="9" t="n"/>
      <c r="F1358" s="15">
        <f>IF(E1358&lt;&gt;"","Đã VH","Quy hoạch điện VIII")</f>
        <v/>
      </c>
      <c r="G1358" s="16">
        <f>LEFT(B1358,FIND(" ",B1358,1)-1)</f>
        <v/>
      </c>
      <c r="H1358" s="16">
        <f>TRIM(RIGHT(B1358,LEN(B1358)-FIND(" ",B1358,1)))</f>
        <v/>
      </c>
      <c r="I1358" s="16">
        <f>_xlfn.XLOOKUP(Table2[[#This Row],[Type]],Table5[Type],Table5[Type2])</f>
        <v/>
      </c>
      <c r="J1358" s="16">
        <f>_xlfn.XLOOKUP(Table2[[#This Row],[Sym]],Zones!$A$2:$A$21,Zones!$B$2:$B$21)</f>
        <v/>
      </c>
      <c r="K1358" s="21" t="n"/>
    </row>
    <row r="1359">
      <c r="A1359" s="24" t="n">
        <v>3311</v>
      </c>
      <c r="B1359" s="10" t="inlineStr">
        <is>
          <t>TĐ Sông Lô 6</t>
        </is>
      </c>
      <c r="C1359" s="10" t="inlineStr">
        <is>
          <t>NM TĐN Sông Lô 6</t>
        </is>
      </c>
      <c r="D1359" s="3" t="inlineStr">
        <is>
          <t>B14</t>
        </is>
      </c>
      <c r="E1359" s="9" t="inlineStr">
        <is>
          <t>A22.38</t>
        </is>
      </c>
      <c r="F1359" s="15">
        <f>IF(E1359&lt;&gt;"","Đã VH","Quy hoạch điện VIII")</f>
        <v/>
      </c>
      <c r="G1359" s="16">
        <f>LEFT(B1359,FIND(" ",B1359,1)-1)</f>
        <v/>
      </c>
      <c r="H1359" s="16">
        <f>TRIM(RIGHT(B1359,LEN(B1359)-FIND(" ",B1359,1)))</f>
        <v/>
      </c>
      <c r="I1359" s="16">
        <f>_xlfn.XLOOKUP(Table2[[#This Row],[Type]],Table5[Type],Table5[Type2])</f>
        <v/>
      </c>
      <c r="J1359" s="16">
        <f>_xlfn.XLOOKUP(Table2[[#This Row],[Sym]],Zones!$A$2:$A$21,Zones!$B$2:$B$21)</f>
        <v/>
      </c>
      <c r="K1359" s="21" t="n"/>
    </row>
    <row r="1360">
      <c r="A1360" s="24" t="n">
        <v>3312</v>
      </c>
      <c r="B1360" s="10" t="inlineStr">
        <is>
          <t>T110 Bắc Mê</t>
        </is>
      </c>
      <c r="C1360" s="10" t="inlineStr">
        <is>
          <t>TBA 110kV Bắc Mê</t>
        </is>
      </c>
      <c r="D1360" s="3" t="inlineStr">
        <is>
          <t>B14</t>
        </is>
      </c>
      <c r="E1360" s="9" t="n"/>
      <c r="F1360" s="15">
        <f>IF(E1360&lt;&gt;"","Đã VH","Quy hoạch điện VIII")</f>
        <v/>
      </c>
      <c r="G1360" s="16">
        <f>LEFT(B1360,FIND(" ",B1360,1)-1)</f>
        <v/>
      </c>
      <c r="H1360" s="16">
        <f>TRIM(RIGHT(B1360,LEN(B1360)-FIND(" ",B1360,1)))</f>
        <v/>
      </c>
      <c r="I1360" s="16">
        <f>_xlfn.XLOOKUP(Table2[[#This Row],[Type]],Table5[Type],Table5[Type2])</f>
        <v/>
      </c>
      <c r="J1360" s="16">
        <f>_xlfn.XLOOKUP(Table2[[#This Row],[Sym]],Zones!$A$2:$A$21,Zones!$B$2:$B$21)</f>
        <v/>
      </c>
      <c r="K1360" s="21" t="n"/>
    </row>
    <row r="1361">
      <c r="A1361" s="24" t="n">
        <v>3313</v>
      </c>
      <c r="B1361" s="10" t="inlineStr">
        <is>
          <t>T110 Việt Lâm</t>
        </is>
      </c>
      <c r="C1361" s="10" t="inlineStr">
        <is>
          <t>TBA 110kV Việt Lâm</t>
        </is>
      </c>
      <c r="D1361" s="3" t="inlineStr">
        <is>
          <t>B14</t>
        </is>
      </c>
      <c r="E1361" s="9" t="n"/>
      <c r="F1361" s="15">
        <f>IF(E1361&lt;&gt;"","Đã VH","Quy hoạch điện VIII")</f>
        <v/>
      </c>
      <c r="G1361" s="16">
        <f>LEFT(B1361,FIND(" ",B1361,1)-1)</f>
        <v/>
      </c>
      <c r="H1361" s="16">
        <f>TRIM(RIGHT(B1361,LEN(B1361)-FIND(" ",B1361,1)))</f>
        <v/>
      </c>
      <c r="I1361" s="16">
        <f>_xlfn.XLOOKUP(Table2[[#This Row],[Type]],Table5[Type],Table5[Type2])</f>
        <v/>
      </c>
      <c r="J1361" s="16">
        <f>_xlfn.XLOOKUP(Table2[[#This Row],[Sym]],Zones!$A$2:$A$21,Zones!$B$2:$B$21)</f>
        <v/>
      </c>
      <c r="K1361" s="21" t="n"/>
    </row>
    <row r="1362">
      <c r="A1362" s="24" t="n">
        <v>3314</v>
      </c>
      <c r="B1362" s="10" t="inlineStr">
        <is>
          <t>T110 Mèo Vạc</t>
        </is>
      </c>
      <c r="C1362" s="10" t="inlineStr">
        <is>
          <t>TBA 110kV Mèo Vạc</t>
        </is>
      </c>
      <c r="D1362" s="3" t="inlineStr">
        <is>
          <t>B14</t>
        </is>
      </c>
      <c r="E1362" s="9" t="n"/>
      <c r="F1362" s="15">
        <f>IF(E1362&lt;&gt;"","Đã VH","Quy hoạch điện VIII")</f>
        <v/>
      </c>
      <c r="G1362" s="16">
        <f>LEFT(B1362,FIND(" ",B1362,1)-1)</f>
        <v/>
      </c>
      <c r="H1362" s="16">
        <f>TRIM(RIGHT(B1362,LEN(B1362)-FIND(" ",B1362,1)))</f>
        <v/>
      </c>
      <c r="I1362" s="16">
        <f>_xlfn.XLOOKUP(Table2[[#This Row],[Type]],Table5[Type],Table5[Type2])</f>
        <v/>
      </c>
      <c r="J1362" s="16">
        <f>_xlfn.XLOOKUP(Table2[[#This Row],[Sym]],Zones!$A$2:$A$21,Zones!$B$2:$B$21)</f>
        <v/>
      </c>
      <c r="K1362" s="21" t="n"/>
    </row>
    <row r="1363">
      <c r="A1363" s="24" t="n">
        <v>3315</v>
      </c>
      <c r="B1363" s="10" t="inlineStr">
        <is>
          <t>T110 Quang Bình</t>
        </is>
      </c>
      <c r="C1363" s="10" t="inlineStr">
        <is>
          <t>TBA 110kV Quang Bình</t>
        </is>
      </c>
      <c r="D1363" s="3" t="inlineStr">
        <is>
          <t>B14</t>
        </is>
      </c>
      <c r="E1363" s="9" t="n"/>
      <c r="F1363" s="15">
        <f>IF(E1363&lt;&gt;"","Đã VH","Quy hoạch điện VIII")</f>
        <v/>
      </c>
      <c r="G1363" s="16">
        <f>LEFT(B1363,FIND(" ",B1363,1)-1)</f>
        <v/>
      </c>
      <c r="H1363" s="16">
        <f>TRIM(RIGHT(B1363,LEN(B1363)-FIND(" ",B1363,1)))</f>
        <v/>
      </c>
      <c r="I1363" s="16">
        <f>_xlfn.XLOOKUP(Table2[[#This Row],[Type]],Table5[Type],Table5[Type2])</f>
        <v/>
      </c>
      <c r="J1363" s="16">
        <f>_xlfn.XLOOKUP(Table2[[#This Row],[Sym]],Zones!$A$2:$A$21,Zones!$B$2:$B$21)</f>
        <v/>
      </c>
      <c r="K1363" s="21" t="n"/>
    </row>
    <row r="1364">
      <c r="A1364" s="24" t="n">
        <v>3316</v>
      </c>
      <c r="B1364" s="10" t="inlineStr">
        <is>
          <t>T110 Hoàng Su Phì</t>
        </is>
      </c>
      <c r="C1364" s="10" t="inlineStr">
        <is>
          <t>TBA 110kV Hoàng Su Phì</t>
        </is>
      </c>
      <c r="D1364" s="3" t="inlineStr">
        <is>
          <t>B14</t>
        </is>
      </c>
      <c r="E1364" s="9" t="n"/>
      <c r="F1364" s="15">
        <f>IF(E1364&lt;&gt;"","Đã VH","Quy hoạch điện VIII")</f>
        <v/>
      </c>
      <c r="G1364" s="16">
        <f>LEFT(B1364,FIND(" ",B1364,1)-1)</f>
        <v/>
      </c>
      <c r="H1364" s="16">
        <f>TRIM(RIGHT(B1364,LEN(B1364)-FIND(" ",B1364,1)))</f>
        <v/>
      </c>
      <c r="I1364" s="16">
        <f>_xlfn.XLOOKUP(Table2[[#This Row],[Type]],Table5[Type],Table5[Type2])</f>
        <v/>
      </c>
      <c r="J1364" s="16">
        <f>_xlfn.XLOOKUP(Table2[[#This Row],[Sym]],Zones!$A$2:$A$21,Zones!$B$2:$B$21)</f>
        <v/>
      </c>
      <c r="K1364" s="21" t="n"/>
    </row>
    <row r="1365">
      <c r="A1365" s="24" t="n">
        <v>3317</v>
      </c>
      <c r="B1365" s="10" t="inlineStr">
        <is>
          <t>T110 Tân Lập</t>
        </is>
      </c>
      <c r="C1365" s="10" t="inlineStr">
        <is>
          <t>TBA 110kV Tân Lập</t>
        </is>
      </c>
      <c r="D1365" s="3" t="inlineStr">
        <is>
          <t>B14</t>
        </is>
      </c>
      <c r="E1365" s="9" t="n"/>
      <c r="F1365" s="15">
        <f>IF(E1365&lt;&gt;"","Đã VH","Quy hoạch điện VIII")</f>
        <v/>
      </c>
      <c r="G1365" s="16">
        <f>LEFT(B1365,FIND(" ",B1365,1)-1)</f>
        <v/>
      </c>
      <c r="H1365" s="16">
        <f>TRIM(RIGHT(B1365,LEN(B1365)-FIND(" ",B1365,1)))</f>
        <v/>
      </c>
      <c r="I1365" s="16">
        <f>_xlfn.XLOOKUP(Table2[[#This Row],[Type]],Table5[Type],Table5[Type2])</f>
        <v/>
      </c>
      <c r="J1365" s="16">
        <f>_xlfn.XLOOKUP(Table2[[#This Row],[Sym]],Zones!$A$2:$A$21,Zones!$B$2:$B$21)</f>
        <v/>
      </c>
      <c r="K1365" s="21" t="n"/>
    </row>
    <row r="1366">
      <c r="A1366" s="24" t="n">
        <v>3368</v>
      </c>
      <c r="B1366" s="10" t="inlineStr">
        <is>
          <t>T220 Bắc Quang</t>
        </is>
      </c>
      <c r="C1366" s="10" t="inlineStr">
        <is>
          <t>TBA 220kV Bắc Quang</t>
        </is>
      </c>
      <c r="D1366" s="3" t="inlineStr">
        <is>
          <t>B14</t>
        </is>
      </c>
      <c r="E1366" s="9" t="inlineStr">
        <is>
          <t>E22.40</t>
        </is>
      </c>
      <c r="F1366" s="15">
        <f>IF(E1366&lt;&gt;"","Đã VH","Quy hoạch điện VIII")</f>
        <v/>
      </c>
      <c r="G1366" s="16">
        <f>LEFT(B1366,FIND(" ",B1366,1)-1)</f>
        <v/>
      </c>
      <c r="H1366" s="16">
        <f>TRIM(RIGHT(B1366,LEN(B1366)-FIND(" ",B1366,1)))</f>
        <v/>
      </c>
      <c r="I1366" s="16">
        <f>_xlfn.XLOOKUP(Table2[[#This Row],[Type]],Table5[Type],Table5[Type2])</f>
        <v/>
      </c>
      <c r="J1366" s="16">
        <f>_xlfn.XLOOKUP(Table2[[#This Row],[Sym]],Zones!$A$2:$A$21,Zones!$B$2:$B$21)</f>
        <v/>
      </c>
      <c r="K1366" s="21" t="n"/>
    </row>
    <row r="1367">
      <c r="A1367" s="24" t="n">
        <v>3369</v>
      </c>
      <c r="B1367" s="10" t="inlineStr">
        <is>
          <t>TĐ Nậm Hóp</t>
        </is>
      </c>
      <c r="C1367" s="10" t="inlineStr">
        <is>
          <t>NM TĐN Nậm Hóp</t>
        </is>
      </c>
      <c r="D1367" s="3" t="inlineStr">
        <is>
          <t>B14</t>
        </is>
      </c>
      <c r="E1367" s="9" t="n"/>
      <c r="F1367" s="15">
        <f>IF(E1367&lt;&gt;"","Đã VH","Quy hoạch điện VIII")</f>
        <v/>
      </c>
      <c r="G1367" s="16">
        <f>LEFT(B1367,FIND(" ",B1367,1)-1)</f>
        <v/>
      </c>
      <c r="H1367" s="16">
        <f>TRIM(RIGHT(B1367,LEN(B1367)-FIND(" ",B1367,1)))</f>
        <v/>
      </c>
      <c r="I1367" s="16">
        <f>_xlfn.XLOOKUP(Table2[[#This Row],[Type]],Table5[Type],Table5[Type2])</f>
        <v/>
      </c>
      <c r="J1367" s="16">
        <f>_xlfn.XLOOKUP(Table2[[#This Row],[Sym]],Zones!$A$2:$A$21,Zones!$B$2:$B$21)</f>
        <v/>
      </c>
      <c r="K1367" s="21" t="n"/>
    </row>
    <row r="1368">
      <c r="A1368" s="24" t="n">
        <v>3380</v>
      </c>
      <c r="B1368" s="10" t="inlineStr">
        <is>
          <t>T220 Ninh Bình</t>
        </is>
      </c>
      <c r="C1368" s="10" t="inlineStr">
        <is>
          <t>TBA 220kV Ninh Bình</t>
        </is>
      </c>
      <c r="D1368" s="3" t="inlineStr">
        <is>
          <t>B23</t>
        </is>
      </c>
      <c r="E1368" s="9" t="inlineStr">
        <is>
          <t>E23.1</t>
        </is>
      </c>
      <c r="F1368" s="15">
        <f>IF(E1368&lt;&gt;"","Đã VH","Quy hoạch điện VIII")</f>
        <v/>
      </c>
      <c r="G1368" s="16">
        <f>LEFT(B1368,FIND(" ",B1368,1)-1)</f>
        <v/>
      </c>
      <c r="H1368" s="16">
        <f>TRIM(RIGHT(B1368,LEN(B1368)-FIND(" ",B1368,1)))</f>
        <v/>
      </c>
      <c r="I1368" s="16">
        <f>_xlfn.XLOOKUP(Table2[[#This Row],[Type]],Table5[Type],Table5[Type2])</f>
        <v/>
      </c>
      <c r="J1368" s="16">
        <f>_xlfn.XLOOKUP(Table2[[#This Row],[Sym]],Zones!$A$2:$A$21,Zones!$B$2:$B$21)</f>
        <v/>
      </c>
      <c r="K1368" s="21" t="n"/>
    </row>
    <row r="1369">
      <c r="A1369" s="24" t="n">
        <v>3381</v>
      </c>
      <c r="B1369" s="10" t="inlineStr">
        <is>
          <t>T110 Nho Quan</t>
        </is>
      </c>
      <c r="C1369" s="10" t="inlineStr">
        <is>
          <t>TBA 110kV Nho Quan</t>
        </is>
      </c>
      <c r="D1369" s="3" t="inlineStr">
        <is>
          <t>B23</t>
        </is>
      </c>
      <c r="E1369" s="9" t="inlineStr">
        <is>
          <t>E23.2</t>
        </is>
      </c>
      <c r="F1369" s="15">
        <f>IF(E1369&lt;&gt;"","Đã VH","Quy hoạch điện VIII")</f>
        <v/>
      </c>
      <c r="G1369" s="16">
        <f>LEFT(B1369,FIND(" ",B1369,1)-1)</f>
        <v/>
      </c>
      <c r="H1369" s="16">
        <f>TRIM(RIGHT(B1369,LEN(B1369)-FIND(" ",B1369,1)))</f>
        <v/>
      </c>
      <c r="I1369" s="16">
        <f>_xlfn.XLOOKUP(Table2[[#This Row],[Type]],Table5[Type],Table5[Type2])</f>
        <v/>
      </c>
      <c r="J1369" s="16">
        <f>_xlfn.XLOOKUP(Table2[[#This Row],[Sym]],Zones!$A$2:$A$21,Zones!$B$2:$B$21)</f>
        <v/>
      </c>
      <c r="K1369" s="21" t="n"/>
    </row>
    <row r="1370">
      <c r="A1370" s="24" t="n">
        <v>3382</v>
      </c>
      <c r="B1370" s="10" t="inlineStr">
        <is>
          <t>T110 TP Ninh Bình</t>
        </is>
      </c>
      <c r="C1370" s="10" t="inlineStr">
        <is>
          <t>TBA 110kV TP Ninh Bình</t>
        </is>
      </c>
      <c r="D1370" s="3" t="inlineStr">
        <is>
          <t>B23</t>
        </is>
      </c>
      <c r="E1370" s="9" t="inlineStr">
        <is>
          <t>E23.3</t>
        </is>
      </c>
      <c r="F1370" s="15">
        <f>IF(E1370&lt;&gt;"","Đã VH","Quy hoạch điện VIII")</f>
        <v/>
      </c>
      <c r="G1370" s="16">
        <f>LEFT(B1370,FIND(" ",B1370,1)-1)</f>
        <v/>
      </c>
      <c r="H1370" s="16">
        <f>TRIM(RIGHT(B1370,LEN(B1370)-FIND(" ",B1370,1)))</f>
        <v/>
      </c>
      <c r="I1370" s="16">
        <f>_xlfn.XLOOKUP(Table2[[#This Row],[Type]],Table5[Type],Table5[Type2])</f>
        <v/>
      </c>
      <c r="J1370" s="16">
        <f>_xlfn.XLOOKUP(Table2[[#This Row],[Sym]],Zones!$A$2:$A$21,Zones!$B$2:$B$21)</f>
        <v/>
      </c>
      <c r="K1370" s="21" t="n"/>
    </row>
    <row r="1371">
      <c r="A1371" s="24" t="n">
        <v>3383</v>
      </c>
      <c r="B1371" s="10" t="inlineStr">
        <is>
          <t>T110 Kim Sơn</t>
        </is>
      </c>
      <c r="C1371" s="10" t="inlineStr">
        <is>
          <t>TBA 110kV Kim Sơn</t>
        </is>
      </c>
      <c r="D1371" s="3" t="inlineStr">
        <is>
          <t>B23</t>
        </is>
      </c>
      <c r="E1371" s="9" t="inlineStr">
        <is>
          <t>E23.4</t>
        </is>
      </c>
      <c r="F1371" s="15">
        <f>IF(E1371&lt;&gt;"","Đã VH","Quy hoạch điện VIII")</f>
        <v/>
      </c>
      <c r="G1371" s="16">
        <f>LEFT(B1371,FIND(" ",B1371,1)-1)</f>
        <v/>
      </c>
      <c r="H1371" s="16">
        <f>TRIM(RIGHT(B1371,LEN(B1371)-FIND(" ",B1371,1)))</f>
        <v/>
      </c>
      <c r="I1371" s="16">
        <f>_xlfn.XLOOKUP(Table2[[#This Row],[Type]],Table5[Type],Table5[Type2])</f>
        <v/>
      </c>
      <c r="J1371" s="16">
        <f>_xlfn.XLOOKUP(Table2[[#This Row],[Sym]],Zones!$A$2:$A$21,Zones!$B$2:$B$21)</f>
        <v/>
      </c>
      <c r="K1371" s="21" t="n"/>
    </row>
    <row r="1372">
      <c r="A1372" s="24" t="n">
        <v>3384</v>
      </c>
      <c r="B1372" s="10" t="inlineStr">
        <is>
          <t>T110 Tam Điệp</t>
        </is>
      </c>
      <c r="C1372" s="10" t="inlineStr">
        <is>
          <t>TBA 110kV Tam Điệp</t>
        </is>
      </c>
      <c r="D1372" s="3" t="inlineStr">
        <is>
          <t>B23</t>
        </is>
      </c>
      <c r="E1372" s="9" t="inlineStr">
        <is>
          <t>E23.5</t>
        </is>
      </c>
      <c r="F1372" s="15">
        <f>IF(E1372&lt;&gt;"","Đã VH","Quy hoạch điện VIII")</f>
        <v/>
      </c>
      <c r="G1372" s="16">
        <f>LEFT(B1372,FIND(" ",B1372,1)-1)</f>
        <v/>
      </c>
      <c r="H1372" s="16">
        <f>TRIM(RIGHT(B1372,LEN(B1372)-FIND(" ",B1372,1)))</f>
        <v/>
      </c>
      <c r="I1372" s="16">
        <f>_xlfn.XLOOKUP(Table2[[#This Row],[Type]],Table5[Type],Table5[Type2])</f>
        <v/>
      </c>
      <c r="J1372" s="16">
        <f>_xlfn.XLOOKUP(Table2[[#This Row],[Sym]],Zones!$A$2:$A$21,Zones!$B$2:$B$21)</f>
        <v/>
      </c>
      <c r="K1372" s="21" t="n"/>
    </row>
    <row r="1373">
      <c r="A1373" s="24" t="n">
        <v>3385</v>
      </c>
      <c r="B1373" s="10" t="inlineStr">
        <is>
          <t>T110 XM Tam Điệp</t>
        </is>
      </c>
      <c r="C1373" s="10" t="inlineStr">
        <is>
          <t>TBA 110kV XM Tam Điệp</t>
        </is>
      </c>
      <c r="D1373" s="3" t="inlineStr">
        <is>
          <t>B23</t>
        </is>
      </c>
      <c r="E1373" s="9" t="inlineStr">
        <is>
          <t>E23.6</t>
        </is>
      </c>
      <c r="F1373" s="15">
        <f>IF(E1373&lt;&gt;"","Đã VH","Quy hoạch điện VIII")</f>
        <v/>
      </c>
      <c r="G1373" s="16">
        <f>LEFT(B1373,FIND(" ",B1373,1)-1)</f>
        <v/>
      </c>
      <c r="H1373" s="16">
        <f>TRIM(RIGHT(B1373,LEN(B1373)-FIND(" ",B1373,1)))</f>
        <v/>
      </c>
      <c r="I1373" s="16">
        <f>_xlfn.XLOOKUP(Table2[[#This Row],[Type]],Table5[Type],Table5[Type2])</f>
        <v/>
      </c>
      <c r="J1373" s="16">
        <f>_xlfn.XLOOKUP(Table2[[#This Row],[Sym]],Zones!$A$2:$A$21,Zones!$B$2:$B$21)</f>
        <v/>
      </c>
      <c r="K1373" s="21" t="n"/>
    </row>
    <row r="1374">
      <c r="A1374" s="24" t="n">
        <v>3386</v>
      </c>
      <c r="B1374" s="10" t="inlineStr">
        <is>
          <t>T110 XM Vinakansai</t>
        </is>
      </c>
      <c r="C1374" s="10" t="inlineStr">
        <is>
          <t>TBA 110kV XM Vinakansai</t>
        </is>
      </c>
      <c r="D1374" s="3" t="inlineStr">
        <is>
          <t>B23</t>
        </is>
      </c>
      <c r="E1374" s="9" t="inlineStr">
        <is>
          <t>E23.7</t>
        </is>
      </c>
      <c r="F1374" s="15">
        <f>IF(E1374&lt;&gt;"","Đã VH","Quy hoạch điện VIII")</f>
        <v/>
      </c>
      <c r="G1374" s="16">
        <f>LEFT(B1374,FIND(" ",B1374,1)-1)</f>
        <v/>
      </c>
      <c r="H1374" s="16">
        <f>TRIM(RIGHT(B1374,LEN(B1374)-FIND(" ",B1374,1)))</f>
        <v/>
      </c>
      <c r="I1374" s="16">
        <f>_xlfn.XLOOKUP(Table2[[#This Row],[Type]],Table5[Type],Table5[Type2])</f>
        <v/>
      </c>
      <c r="J1374" s="16">
        <f>_xlfn.XLOOKUP(Table2[[#This Row],[Sym]],Zones!$A$2:$A$21,Zones!$B$2:$B$21)</f>
        <v/>
      </c>
      <c r="K1374" s="21" t="n"/>
    </row>
    <row r="1375">
      <c r="A1375" s="24" t="n">
        <v>3387</v>
      </c>
      <c r="B1375" s="10" t="inlineStr">
        <is>
          <t>T110 XM Pomihoa</t>
        </is>
      </c>
      <c r="C1375" s="10" t="inlineStr">
        <is>
          <t>TBA 110kV XM Pomihoa</t>
        </is>
      </c>
      <c r="D1375" s="3" t="inlineStr">
        <is>
          <t>B23</t>
        </is>
      </c>
      <c r="E1375" s="9" t="inlineStr">
        <is>
          <t>E23.8</t>
        </is>
      </c>
      <c r="F1375" s="15">
        <f>IF(E1375&lt;&gt;"","Đã VH","Quy hoạch điện VIII")</f>
        <v/>
      </c>
      <c r="G1375" s="16">
        <f>LEFT(B1375,FIND(" ",B1375,1)-1)</f>
        <v/>
      </c>
      <c r="H1375" s="16">
        <f>TRIM(RIGHT(B1375,LEN(B1375)-FIND(" ",B1375,1)))</f>
        <v/>
      </c>
      <c r="I1375" s="16">
        <f>_xlfn.XLOOKUP(Table2[[#This Row],[Type]],Table5[Type],Table5[Type2])</f>
        <v/>
      </c>
      <c r="J1375" s="16">
        <f>_xlfn.XLOOKUP(Table2[[#This Row],[Sym]],Zones!$A$2:$A$21,Zones!$B$2:$B$21)</f>
        <v/>
      </c>
      <c r="K1375" s="21" t="n"/>
    </row>
    <row r="1376">
      <c r="A1376" s="24" t="n">
        <v>3388</v>
      </c>
      <c r="B1376" s="10" t="inlineStr">
        <is>
          <t>T110 XM Duyên Hà</t>
        </is>
      </c>
      <c r="C1376" s="10" t="inlineStr">
        <is>
          <t>TBA 110kV XM Duyên Hà</t>
        </is>
      </c>
      <c r="D1376" s="3" t="inlineStr">
        <is>
          <t>B23</t>
        </is>
      </c>
      <c r="E1376" s="9" t="inlineStr">
        <is>
          <t>E23.9</t>
        </is>
      </c>
      <c r="F1376" s="15">
        <f>IF(E1376&lt;&gt;"","Đã VH","Quy hoạch điện VIII")</f>
        <v/>
      </c>
      <c r="G1376" s="16">
        <f>LEFT(B1376,FIND(" ",B1376,1)-1)</f>
        <v/>
      </c>
      <c r="H1376" s="16">
        <f>TRIM(RIGHT(B1376,LEN(B1376)-FIND(" ",B1376,1)))</f>
        <v/>
      </c>
      <c r="I1376" s="16">
        <f>_xlfn.XLOOKUP(Table2[[#This Row],[Type]],Table5[Type],Table5[Type2])</f>
        <v/>
      </c>
      <c r="J1376" s="16">
        <f>_xlfn.XLOOKUP(Table2[[#This Row],[Sym]],Zones!$A$2:$A$21,Zones!$B$2:$B$21)</f>
        <v/>
      </c>
      <c r="K1376" s="21" t="n"/>
    </row>
    <row r="1377">
      <c r="A1377" s="24" t="n">
        <v>3389</v>
      </c>
      <c r="B1377" s="10" t="inlineStr">
        <is>
          <t>T110 Vissai</t>
        </is>
      </c>
      <c r="C1377" s="10" t="inlineStr">
        <is>
          <t>TBA 110kV Vissai</t>
        </is>
      </c>
      <c r="D1377" s="3" t="inlineStr">
        <is>
          <t>B23</t>
        </is>
      </c>
      <c r="E1377" s="9" t="inlineStr">
        <is>
          <t>E23.10</t>
        </is>
      </c>
      <c r="F1377" s="15">
        <f>IF(E1377&lt;&gt;"","Đã VH","Quy hoạch điện VIII")</f>
        <v/>
      </c>
      <c r="G1377" s="16">
        <f>LEFT(B1377,FIND(" ",B1377,1)-1)</f>
        <v/>
      </c>
      <c r="H1377" s="16">
        <f>TRIM(RIGHT(B1377,LEN(B1377)-FIND(" ",B1377,1)))</f>
        <v/>
      </c>
      <c r="I1377" s="16">
        <f>_xlfn.XLOOKUP(Table2[[#This Row],[Type]],Table5[Type],Table5[Type2])</f>
        <v/>
      </c>
      <c r="J1377" s="16">
        <f>_xlfn.XLOOKUP(Table2[[#This Row],[Sym]],Zones!$A$2:$A$21,Zones!$B$2:$B$21)</f>
        <v/>
      </c>
      <c r="K1377" s="21" t="n"/>
    </row>
    <row r="1378">
      <c r="A1378" s="24" t="n">
        <v>3390</v>
      </c>
      <c r="B1378" s="10" t="inlineStr">
        <is>
          <t>T110 XM Hệ Dưỡng</t>
        </is>
      </c>
      <c r="C1378" s="10" t="inlineStr">
        <is>
          <t>TBA 110kV XM Hệ Dưỡng</t>
        </is>
      </c>
      <c r="D1378" s="3" t="inlineStr">
        <is>
          <t>B23</t>
        </is>
      </c>
      <c r="E1378" s="9" t="inlineStr">
        <is>
          <t>E23.11</t>
        </is>
      </c>
      <c r="F1378" s="15">
        <f>IF(E1378&lt;&gt;"","Đã VH","Quy hoạch điện VIII")</f>
        <v/>
      </c>
      <c r="G1378" s="16">
        <f>LEFT(B1378,FIND(" ",B1378,1)-1)</f>
        <v/>
      </c>
      <c r="H1378" s="16">
        <f>TRIM(RIGHT(B1378,LEN(B1378)-FIND(" ",B1378,1)))</f>
        <v/>
      </c>
      <c r="I1378" s="16">
        <f>_xlfn.XLOOKUP(Table2[[#This Row],[Type]],Table5[Type],Table5[Type2])</f>
        <v/>
      </c>
      <c r="J1378" s="16">
        <f>_xlfn.XLOOKUP(Table2[[#This Row],[Sym]],Zones!$A$2:$A$21,Zones!$B$2:$B$21)</f>
        <v/>
      </c>
      <c r="K1378" s="21" t="n"/>
    </row>
    <row r="1379">
      <c r="A1379" s="24" t="n">
        <v>3391</v>
      </c>
      <c r="B1379" s="10" t="inlineStr">
        <is>
          <t>T110 Ninh Phúc</t>
        </is>
      </c>
      <c r="C1379" s="10" t="inlineStr">
        <is>
          <t>TBA 110kV Ninh Phúc</t>
        </is>
      </c>
      <c r="D1379" s="3" t="inlineStr">
        <is>
          <t>B23</t>
        </is>
      </c>
      <c r="E1379" s="9" t="inlineStr">
        <is>
          <t>E23.12</t>
        </is>
      </c>
      <c r="F1379" s="15">
        <f>IF(E1379&lt;&gt;"","Đã VH","Quy hoạch điện VIII")</f>
        <v/>
      </c>
      <c r="G1379" s="16">
        <f>LEFT(B1379,FIND(" ",B1379,1)-1)</f>
        <v/>
      </c>
      <c r="H1379" s="16">
        <f>TRIM(RIGHT(B1379,LEN(B1379)-FIND(" ",B1379,1)))</f>
        <v/>
      </c>
      <c r="I1379" s="16">
        <f>_xlfn.XLOOKUP(Table2[[#This Row],[Type]],Table5[Type],Table5[Type2])</f>
        <v/>
      </c>
      <c r="J1379" s="16">
        <f>_xlfn.XLOOKUP(Table2[[#This Row],[Sym]],Zones!$A$2:$A$21,Zones!$B$2:$B$21)</f>
        <v/>
      </c>
      <c r="K1379" s="21" t="n"/>
    </row>
    <row r="1380">
      <c r="A1380" s="24" t="n">
        <v>3392</v>
      </c>
      <c r="B1380" s="10" t="inlineStr">
        <is>
          <t>T110 KCN X-18</t>
        </is>
      </c>
      <c r="C1380" s="10" t="inlineStr">
        <is>
          <t>TBA 110kV KCN X-18</t>
        </is>
      </c>
      <c r="D1380" s="3" t="inlineStr">
        <is>
          <t>B23</t>
        </is>
      </c>
      <c r="E1380" s="9" t="inlineStr">
        <is>
          <t>E23.13</t>
        </is>
      </c>
      <c r="F1380" s="15">
        <f>IF(E1380&lt;&gt;"","Đã VH","Quy hoạch điện VIII")</f>
        <v/>
      </c>
      <c r="G1380" s="16">
        <f>LEFT(B1380,FIND(" ",B1380,1)-1)</f>
        <v/>
      </c>
      <c r="H1380" s="16">
        <f>TRIM(RIGHT(B1380,LEN(B1380)-FIND(" ",B1380,1)))</f>
        <v/>
      </c>
      <c r="I1380" s="16">
        <f>_xlfn.XLOOKUP(Table2[[#This Row],[Type]],Table5[Type],Table5[Type2])</f>
        <v/>
      </c>
      <c r="J1380" s="16">
        <f>_xlfn.XLOOKUP(Table2[[#This Row],[Sym]],Zones!$A$2:$A$21,Zones!$B$2:$B$21)</f>
        <v/>
      </c>
      <c r="K1380" s="21" t="n"/>
    </row>
    <row r="1381">
      <c r="A1381" s="24" t="n">
        <v>3393</v>
      </c>
      <c r="B1381" s="10" t="inlineStr">
        <is>
          <t>T110 Gián Khẩu</t>
        </is>
      </c>
      <c r="C1381" s="10" t="inlineStr">
        <is>
          <t>TBA 110kV Gián Khẩu</t>
        </is>
      </c>
      <c r="D1381" s="3" t="inlineStr">
        <is>
          <t>B23</t>
        </is>
      </c>
      <c r="E1381" s="9" t="inlineStr">
        <is>
          <t>E23.14</t>
        </is>
      </c>
      <c r="F1381" s="15">
        <f>IF(E1381&lt;&gt;"","Đã VH","Quy hoạch điện VIII")</f>
        <v/>
      </c>
      <c r="G1381" s="16">
        <f>LEFT(B1381,FIND(" ",B1381,1)-1)</f>
        <v/>
      </c>
      <c r="H1381" s="16">
        <f>TRIM(RIGHT(B1381,LEN(B1381)-FIND(" ",B1381,1)))</f>
        <v/>
      </c>
      <c r="I1381" s="16">
        <f>_xlfn.XLOOKUP(Table2[[#This Row],[Type]],Table5[Type],Table5[Type2])</f>
        <v/>
      </c>
      <c r="J1381" s="16">
        <f>_xlfn.XLOOKUP(Table2[[#This Row],[Sym]],Zones!$A$2:$A$21,Zones!$B$2:$B$21)</f>
        <v/>
      </c>
      <c r="K1381" s="21" t="n"/>
    </row>
    <row r="1382">
      <c r="A1382" s="24" t="n">
        <v>3394</v>
      </c>
      <c r="B1382" s="10" t="inlineStr">
        <is>
          <t>T500 Nho Quan</t>
        </is>
      </c>
      <c r="C1382" s="10" t="inlineStr">
        <is>
          <t>TBA 500kV Nho Quan</t>
        </is>
      </c>
      <c r="D1382" s="3" t="inlineStr">
        <is>
          <t>B23</t>
        </is>
      </c>
      <c r="E1382" s="9" t="inlineStr">
        <is>
          <t>T500 Nho Quan</t>
        </is>
      </c>
      <c r="F1382" s="15">
        <f>IF(E1382&lt;&gt;"","Đã VH","Quy hoạch điện VIII")</f>
        <v/>
      </c>
      <c r="G1382" s="16">
        <f>LEFT(B1382,FIND(" ",B1382,1)-1)</f>
        <v/>
      </c>
      <c r="H1382" s="16">
        <f>TRIM(RIGHT(B1382,LEN(B1382)-FIND(" ",B1382,1)))</f>
        <v/>
      </c>
      <c r="I1382" s="16">
        <f>_xlfn.XLOOKUP(Table2[[#This Row],[Type]],Table5[Type],Table5[Type2])</f>
        <v/>
      </c>
      <c r="J1382" s="16">
        <f>_xlfn.XLOOKUP(Table2[[#This Row],[Sym]],Zones!$A$2:$A$21,Zones!$B$2:$B$21)</f>
        <v/>
      </c>
      <c r="K1382" s="21" t="n"/>
    </row>
    <row r="1383">
      <c r="A1383" s="24" t="n">
        <v>3395</v>
      </c>
      <c r="B1383" s="10" t="inlineStr">
        <is>
          <t>NĐ Ninh Bình</t>
        </is>
      </c>
      <c r="C1383" s="10" t="inlineStr">
        <is>
          <t xml:space="preserve"> Ninh Bình</t>
        </is>
      </c>
      <c r="D1383" s="3" t="inlineStr">
        <is>
          <t>B23</t>
        </is>
      </c>
      <c r="E1383" s="9" t="inlineStr">
        <is>
          <t>A37</t>
        </is>
      </c>
      <c r="F1383" s="15">
        <f>IF(E1383&lt;&gt;"","Đã VH","Quy hoạch điện VIII")</f>
        <v/>
      </c>
      <c r="G1383" s="16">
        <f>LEFT(B1383,FIND(" ",B1383,1)-1)</f>
        <v/>
      </c>
      <c r="H1383" s="16">
        <f>TRIM(RIGHT(B1383,LEN(B1383)-FIND(" ",B1383,1)))</f>
        <v/>
      </c>
      <c r="I1383" s="16">
        <f>_xlfn.XLOOKUP(Table2[[#This Row],[Type]],Table5[Type],Table5[Type2])</f>
        <v/>
      </c>
      <c r="J1383" s="16">
        <f>_xlfn.XLOOKUP(Table2[[#This Row],[Sym]],Zones!$A$2:$A$21,Zones!$B$2:$B$21)</f>
        <v/>
      </c>
      <c r="K1383" s="21" t="n"/>
    </row>
    <row r="1384">
      <c r="A1384" s="24" t="n">
        <v>3396</v>
      </c>
      <c r="B1384" s="10" t="inlineStr">
        <is>
          <t>T110 KCN Phúc Sơn</t>
        </is>
      </c>
      <c r="C1384" s="10" t="inlineStr">
        <is>
          <t>TBA 110kV KCN Phúc Sơn</t>
        </is>
      </c>
      <c r="D1384" s="3" t="inlineStr">
        <is>
          <t>B23</t>
        </is>
      </c>
      <c r="E1384" s="9" t="inlineStr">
        <is>
          <t>E23.17</t>
        </is>
      </c>
      <c r="F1384" s="15">
        <f>IF(E1384&lt;&gt;"","Đã VH","Quy hoạch điện VIII")</f>
        <v/>
      </c>
      <c r="G1384" s="16">
        <f>LEFT(B1384,FIND(" ",B1384,1)-1)</f>
        <v/>
      </c>
      <c r="H1384" s="16">
        <f>TRIM(RIGHT(B1384,LEN(B1384)-FIND(" ",B1384,1)))</f>
        <v/>
      </c>
      <c r="I1384" s="16">
        <f>_xlfn.XLOOKUP(Table2[[#This Row],[Type]],Table5[Type],Table5[Type2])</f>
        <v/>
      </c>
      <c r="J1384" s="16">
        <f>_xlfn.XLOOKUP(Table2[[#This Row],[Sym]],Zones!$A$2:$A$21,Zones!$B$2:$B$21)</f>
        <v/>
      </c>
      <c r="K1384" s="21" t="n"/>
    </row>
    <row r="1385">
      <c r="A1385" s="24" t="n">
        <v>3397</v>
      </c>
      <c r="B1385" s="10" t="inlineStr">
        <is>
          <t>T110 Khánh Cư</t>
        </is>
      </c>
      <c r="C1385" s="10" t="inlineStr">
        <is>
          <t>TBA 110kV Khánh Cư</t>
        </is>
      </c>
      <c r="D1385" s="3" t="inlineStr">
        <is>
          <t>B23</t>
        </is>
      </c>
      <c r="E1385" s="9" t="inlineStr">
        <is>
          <t>E23.16</t>
        </is>
      </c>
      <c r="F1385" s="15">
        <f>IF(E1385&lt;&gt;"","Đã VH","Quy hoạch điện VIII")</f>
        <v/>
      </c>
      <c r="G1385" s="16">
        <f>LEFT(B1385,FIND(" ",B1385,1)-1)</f>
        <v/>
      </c>
      <c r="H1385" s="16">
        <f>TRIM(RIGHT(B1385,LEN(B1385)-FIND(" ",B1385,1)))</f>
        <v/>
      </c>
      <c r="I1385" s="16">
        <f>_xlfn.XLOOKUP(Table2[[#This Row],[Type]],Table5[Type],Table5[Type2])</f>
        <v/>
      </c>
      <c r="J1385" s="16">
        <f>_xlfn.XLOOKUP(Table2[[#This Row],[Sym]],Zones!$A$2:$A$21,Zones!$B$2:$B$21)</f>
        <v/>
      </c>
      <c r="K1385" s="21" t="n"/>
    </row>
    <row r="1386">
      <c r="A1386" s="24" t="n">
        <v>3398</v>
      </c>
      <c r="B1386" s="10" t="inlineStr">
        <is>
          <t>T110 Yên Mô</t>
        </is>
      </c>
      <c r="C1386" s="10" t="inlineStr">
        <is>
          <t>TBA 110kV Yên Mô</t>
        </is>
      </c>
      <c r="D1386" s="3" t="inlineStr">
        <is>
          <t>B23</t>
        </is>
      </c>
      <c r="E1386" s="9" t="inlineStr">
        <is>
          <t>E23.18</t>
        </is>
      </c>
      <c r="F1386" s="15">
        <f>IF(E1386&lt;&gt;"","Đã VH","Quy hoạch điện VIII")</f>
        <v/>
      </c>
      <c r="G1386" s="16">
        <f>LEFT(B1386,FIND(" ",B1386,1)-1)</f>
        <v/>
      </c>
      <c r="H1386" s="16">
        <f>TRIM(RIGHT(B1386,LEN(B1386)-FIND(" ",B1386,1)))</f>
        <v/>
      </c>
      <c r="I1386" s="16">
        <f>_xlfn.XLOOKUP(Table2[[#This Row],[Type]],Table5[Type],Table5[Type2])</f>
        <v/>
      </c>
      <c r="J1386" s="16">
        <f>_xlfn.XLOOKUP(Table2[[#This Row],[Sym]],Zones!$A$2:$A$21,Zones!$B$2:$B$21)</f>
        <v/>
      </c>
      <c r="K1386" s="21" t="n"/>
    </row>
    <row r="1387">
      <c r="A1387" s="24" t="n">
        <v>3399</v>
      </c>
      <c r="B1387" s="10" t="inlineStr">
        <is>
          <t>T110 Yên Khánh</t>
        </is>
      </c>
      <c r="C1387" s="10" t="inlineStr">
        <is>
          <t>TBA 110kV Yên Khánh</t>
        </is>
      </c>
      <c r="D1387" s="3" t="inlineStr">
        <is>
          <t>B23</t>
        </is>
      </c>
      <c r="E1387" s="9" t="inlineStr">
        <is>
          <t>E23.19</t>
        </is>
      </c>
      <c r="F1387" s="15">
        <f>IF(E1387&lt;&gt;"","Đã VH","Quy hoạch điện VIII")</f>
        <v/>
      </c>
      <c r="G1387" s="16">
        <f>LEFT(B1387,FIND(" ",B1387,1)-1)</f>
        <v/>
      </c>
      <c r="H1387" s="16">
        <f>TRIM(RIGHT(B1387,LEN(B1387)-FIND(" ",B1387,1)))</f>
        <v/>
      </c>
      <c r="I1387" s="16">
        <f>_xlfn.XLOOKUP(Table2[[#This Row],[Type]],Table5[Type],Table5[Type2])</f>
        <v/>
      </c>
      <c r="J1387" s="16">
        <f>_xlfn.XLOOKUP(Table2[[#This Row],[Sym]],Zones!$A$2:$A$21,Zones!$B$2:$B$21)</f>
        <v/>
      </c>
      <c r="K1387" s="21" t="n"/>
    </row>
    <row r="1388">
      <c r="A1388" s="24" t="n">
        <v>3400</v>
      </c>
      <c r="B1388" s="10" t="inlineStr">
        <is>
          <t>T110 Thiên Tôn</t>
        </is>
      </c>
      <c r="C1388" s="10" t="inlineStr">
        <is>
          <t>TBA 110kV Thiên Tôn</t>
        </is>
      </c>
      <c r="D1388" s="3" t="inlineStr">
        <is>
          <t>B23</t>
        </is>
      </c>
      <c r="E1388" s="9" t="n"/>
      <c r="F1388" s="15">
        <f>IF(E1388&lt;&gt;"","Đã VH","Quy hoạch điện VIII")</f>
        <v/>
      </c>
      <c r="G1388" s="16">
        <f>LEFT(B1388,FIND(" ",B1388,1)-1)</f>
        <v/>
      </c>
      <c r="H1388" s="16">
        <f>TRIM(RIGHT(B1388,LEN(B1388)-FIND(" ",B1388,1)))</f>
        <v/>
      </c>
      <c r="I1388" s="16">
        <f>_xlfn.XLOOKUP(Table2[[#This Row],[Type]],Table5[Type],Table5[Type2])</f>
        <v/>
      </c>
      <c r="J1388" s="16">
        <f>_xlfn.XLOOKUP(Table2[[#This Row],[Sym]],Zones!$A$2:$A$21,Zones!$B$2:$B$21)</f>
        <v/>
      </c>
      <c r="K1388" s="21" t="n"/>
    </row>
    <row r="1389">
      <c r="A1389" s="24" t="n">
        <v>3401</v>
      </c>
      <c r="B1389" s="10" t="inlineStr">
        <is>
          <t>T110 KCN Tam Điệp 2</t>
        </is>
      </c>
      <c r="C1389" s="10" t="inlineStr">
        <is>
          <t>TBA 110kV KCN Tam Điệp 2</t>
        </is>
      </c>
      <c r="D1389" s="3" t="inlineStr">
        <is>
          <t>B23</t>
        </is>
      </c>
      <c r="E1389" s="9" t="n"/>
      <c r="F1389" s="15">
        <f>IF(E1389&lt;&gt;"","Đã VH","Quy hoạch điện VIII")</f>
        <v/>
      </c>
      <c r="G1389" s="16">
        <f>LEFT(B1389,FIND(" ",B1389,1)-1)</f>
        <v/>
      </c>
      <c r="H1389" s="16">
        <f>TRIM(RIGHT(B1389,LEN(B1389)-FIND(" ",B1389,1)))</f>
        <v/>
      </c>
      <c r="I1389" s="16">
        <f>_xlfn.XLOOKUP(Table2[[#This Row],[Type]],Table5[Type],Table5[Type2])</f>
        <v/>
      </c>
      <c r="J1389" s="16">
        <f>_xlfn.XLOOKUP(Table2[[#This Row],[Sym]],Zones!$A$2:$A$21,Zones!$B$2:$B$21)</f>
        <v/>
      </c>
      <c r="K1389" s="21" t="n"/>
    </row>
    <row r="1390">
      <c r="A1390" s="24" t="n">
        <v>3402</v>
      </c>
      <c r="B1390" s="10" t="inlineStr">
        <is>
          <t>T110 KCN Khánh Phú</t>
        </is>
      </c>
      <c r="C1390" s="10" t="inlineStr">
        <is>
          <t>TBA 110kV KCN Khánh Phú</t>
        </is>
      </c>
      <c r="D1390" s="3" t="inlineStr">
        <is>
          <t>B23</t>
        </is>
      </c>
      <c r="E1390" s="9" t="n"/>
      <c r="F1390" s="15">
        <f>IF(E1390&lt;&gt;"","Đã VH","Quy hoạch điện VIII")</f>
        <v/>
      </c>
      <c r="G1390" s="16">
        <f>LEFT(B1390,FIND(" ",B1390,1)-1)</f>
        <v/>
      </c>
      <c r="H1390" s="16">
        <f>TRIM(RIGHT(B1390,LEN(B1390)-FIND(" ",B1390,1)))</f>
        <v/>
      </c>
      <c r="I1390" s="16">
        <f>_xlfn.XLOOKUP(Table2[[#This Row],[Type]],Table5[Type],Table5[Type2])</f>
        <v/>
      </c>
      <c r="J1390" s="16">
        <f>_xlfn.XLOOKUP(Table2[[#This Row],[Sym]],Zones!$A$2:$A$21,Zones!$B$2:$B$21)</f>
        <v/>
      </c>
      <c r="K1390" s="21" t="n"/>
    </row>
    <row r="1391">
      <c r="A1391" s="24" t="n">
        <v>3403</v>
      </c>
      <c r="B1391" s="10" t="inlineStr">
        <is>
          <t>T110 Tam Điệp NC</t>
        </is>
      </c>
      <c r="C1391" s="10" t="inlineStr">
        <is>
          <t>TBA 110kV Tam Điệp NC</t>
        </is>
      </c>
      <c r="D1391" s="3" t="inlineStr">
        <is>
          <t>B23</t>
        </is>
      </c>
      <c r="E1391" s="9" t="n"/>
      <c r="F1391" s="15">
        <f>IF(E1391&lt;&gt;"","Đã VH","Quy hoạch điện VIII")</f>
        <v/>
      </c>
      <c r="G1391" s="16">
        <f>LEFT(B1391,FIND(" ",B1391,1)-1)</f>
        <v/>
      </c>
      <c r="H1391" s="16">
        <f>TRIM(RIGHT(B1391,LEN(B1391)-FIND(" ",B1391,1)))</f>
        <v/>
      </c>
      <c r="I1391" s="16">
        <f>_xlfn.XLOOKUP(Table2[[#This Row],[Type]],Table5[Type],Table5[Type2])</f>
        <v/>
      </c>
      <c r="J1391" s="16">
        <f>_xlfn.XLOOKUP(Table2[[#This Row],[Sym]],Zones!$A$2:$A$21,Zones!$B$2:$B$21)</f>
        <v/>
      </c>
      <c r="K1391" s="21" t="n"/>
    </row>
    <row r="1392">
      <c r="A1392" s="24" t="n">
        <v>3404</v>
      </c>
      <c r="B1392" s="10" t="inlineStr">
        <is>
          <t>T110 Ninh Bình 2 NC</t>
        </is>
      </c>
      <c r="C1392" s="10" t="inlineStr">
        <is>
          <t>TBA 110kV Ninh Bình 2 NC</t>
        </is>
      </c>
      <c r="D1392" s="3" t="inlineStr">
        <is>
          <t>B23</t>
        </is>
      </c>
      <c r="E1392" s="9" t="n"/>
      <c r="F1392" s="15">
        <f>IF(E1392&lt;&gt;"","Đã VH","Quy hoạch điện VIII")</f>
        <v/>
      </c>
      <c r="G1392" s="16">
        <f>LEFT(B1392,FIND(" ",B1392,1)-1)</f>
        <v/>
      </c>
      <c r="H1392" s="16">
        <f>TRIM(RIGHT(B1392,LEN(B1392)-FIND(" ",B1392,1)))</f>
        <v/>
      </c>
      <c r="I1392" s="16">
        <f>_xlfn.XLOOKUP(Table2[[#This Row],[Type]],Table5[Type],Table5[Type2])</f>
        <v/>
      </c>
      <c r="J1392" s="16">
        <f>_xlfn.XLOOKUP(Table2[[#This Row],[Sym]],Zones!$A$2:$A$21,Zones!$B$2:$B$21)</f>
        <v/>
      </c>
      <c r="K1392" s="21" t="n"/>
    </row>
    <row r="1393">
      <c r="A1393" s="24" t="n">
        <v>3405</v>
      </c>
      <c r="B1393" s="10" t="inlineStr">
        <is>
          <t>T110 Ninh Tiến</t>
        </is>
      </c>
      <c r="C1393" s="10" t="inlineStr">
        <is>
          <t>TBA 110kV Ninh Tiến</t>
        </is>
      </c>
      <c r="D1393" s="3" t="inlineStr">
        <is>
          <t>B23</t>
        </is>
      </c>
      <c r="E1393" s="9" t="n"/>
      <c r="F1393" s="15">
        <f>IF(E1393&lt;&gt;"","Đã VH","Quy hoạch điện VIII")</f>
        <v/>
      </c>
      <c r="G1393" s="16">
        <f>LEFT(B1393,FIND(" ",B1393,1)-1)</f>
        <v/>
      </c>
      <c r="H1393" s="16">
        <f>TRIM(RIGHT(B1393,LEN(B1393)-FIND(" ",B1393,1)))</f>
        <v/>
      </c>
      <c r="I1393" s="16">
        <f>_xlfn.XLOOKUP(Table2[[#This Row],[Type]],Table5[Type],Table5[Type2])</f>
        <v/>
      </c>
      <c r="J1393" s="16">
        <f>_xlfn.XLOOKUP(Table2[[#This Row],[Sym]],Zones!$A$2:$A$21,Zones!$B$2:$B$21)</f>
        <v/>
      </c>
      <c r="K1393" s="21" t="n"/>
    </row>
    <row r="1394">
      <c r="A1394" s="24" t="n">
        <v>3406</v>
      </c>
      <c r="B1394" s="10" t="inlineStr">
        <is>
          <t>T110 Ninh Vân</t>
        </is>
      </c>
      <c r="C1394" s="10" t="inlineStr">
        <is>
          <t>TBA 110kV Ninh Vân</t>
        </is>
      </c>
      <c r="D1394" s="3" t="inlineStr">
        <is>
          <t>B23</t>
        </is>
      </c>
      <c r="E1394" s="9" t="n"/>
      <c r="F1394" s="15">
        <f>IF(E1394&lt;&gt;"","Đã VH","Quy hoạch điện VIII")</f>
        <v/>
      </c>
      <c r="G1394" s="16">
        <f>LEFT(B1394,FIND(" ",B1394,1)-1)</f>
        <v/>
      </c>
      <c r="H1394" s="16">
        <f>TRIM(RIGHT(B1394,LEN(B1394)-FIND(" ",B1394,1)))</f>
        <v/>
      </c>
      <c r="I1394" s="16">
        <f>_xlfn.XLOOKUP(Table2[[#This Row],[Type]],Table5[Type],Table5[Type2])</f>
        <v/>
      </c>
      <c r="J1394" s="16">
        <f>_xlfn.XLOOKUP(Table2[[#This Row],[Sym]],Zones!$A$2:$A$21,Zones!$B$2:$B$21)</f>
        <v/>
      </c>
      <c r="K1394" s="21" t="n"/>
    </row>
    <row r="1395">
      <c r="A1395" s="24" t="n">
        <v>3407</v>
      </c>
      <c r="B1395" s="10" t="inlineStr">
        <is>
          <t>T110 Rịa</t>
        </is>
      </c>
      <c r="C1395" s="10" t="inlineStr">
        <is>
          <t>TBA 110kV Rịa</t>
        </is>
      </c>
      <c r="D1395" s="3" t="inlineStr">
        <is>
          <t>B23</t>
        </is>
      </c>
      <c r="E1395" s="9" t="inlineStr">
        <is>
          <t>E23.21</t>
        </is>
      </c>
      <c r="F1395" s="15">
        <f>IF(E1395&lt;&gt;"","Đã VH","Quy hoạch điện VIII")</f>
        <v/>
      </c>
      <c r="G1395" s="16">
        <f>LEFT(B1395,FIND(" ",B1395,1)-1)</f>
        <v/>
      </c>
      <c r="H1395" s="16">
        <f>TRIM(RIGHT(B1395,LEN(B1395)-FIND(" ",B1395,1)))</f>
        <v/>
      </c>
      <c r="I1395" s="16">
        <f>_xlfn.XLOOKUP(Table2[[#This Row],[Type]],Table5[Type],Table5[Type2])</f>
        <v/>
      </c>
      <c r="J1395" s="16">
        <f>_xlfn.XLOOKUP(Table2[[#This Row],[Sym]],Zones!$A$2:$A$21,Zones!$B$2:$B$21)</f>
        <v/>
      </c>
      <c r="K1395" s="21" t="n"/>
    </row>
    <row r="1396">
      <c r="A1396" s="24" t="n">
        <v>3408</v>
      </c>
      <c r="B1396" s="10" t="inlineStr">
        <is>
          <t>T110 CCN Phú Sơn</t>
        </is>
      </c>
      <c r="C1396" s="10" t="inlineStr">
        <is>
          <t>TBA 110kV CCN Phú Sơn</t>
        </is>
      </c>
      <c r="D1396" s="3" t="inlineStr">
        <is>
          <t>B23</t>
        </is>
      </c>
      <c r="E1396" s="9" t="n"/>
      <c r="F1396" s="15">
        <f>IF(E1396&lt;&gt;"","Đã VH","Quy hoạch điện VIII")</f>
        <v/>
      </c>
      <c r="G1396" s="16">
        <f>LEFT(B1396,FIND(" ",B1396,1)-1)</f>
        <v/>
      </c>
      <c r="H1396" s="16">
        <f>TRIM(RIGHT(B1396,LEN(B1396)-FIND(" ",B1396,1)))</f>
        <v/>
      </c>
      <c r="I1396" s="16">
        <f>_xlfn.XLOOKUP(Table2[[#This Row],[Type]],Table5[Type],Table5[Type2])</f>
        <v/>
      </c>
      <c r="J1396" s="16">
        <f>_xlfn.XLOOKUP(Table2[[#This Row],[Sym]],Zones!$A$2:$A$21,Zones!$B$2:$B$21)</f>
        <v/>
      </c>
      <c r="K1396" s="21" t="n"/>
    </row>
    <row r="1397">
      <c r="A1397" s="24" t="n">
        <v>3409</v>
      </c>
      <c r="B1397" s="10" t="inlineStr">
        <is>
          <t>T110 KCN Gián Khẩu 2</t>
        </is>
      </c>
      <c r="C1397" s="10" t="inlineStr">
        <is>
          <t>TBA 110kV KCN Gián Khẩu 2</t>
        </is>
      </c>
      <c r="D1397" s="3" t="inlineStr">
        <is>
          <t>B23</t>
        </is>
      </c>
      <c r="E1397" s="9" t="n"/>
      <c r="F1397" s="15">
        <f>IF(E1397&lt;&gt;"","Đã VH","Quy hoạch điện VIII")</f>
        <v/>
      </c>
      <c r="G1397" s="16">
        <f>LEFT(B1397,FIND(" ",B1397,1)-1)</f>
        <v/>
      </c>
      <c r="H1397" s="16">
        <f>TRIM(RIGHT(B1397,LEN(B1397)-FIND(" ",B1397,1)))</f>
        <v/>
      </c>
      <c r="I1397" s="16">
        <f>_xlfn.XLOOKUP(Table2[[#This Row],[Type]],Table5[Type],Table5[Type2])</f>
        <v/>
      </c>
      <c r="J1397" s="16">
        <f>_xlfn.XLOOKUP(Table2[[#This Row],[Sym]],Zones!$A$2:$A$21,Zones!$B$2:$B$21)</f>
        <v/>
      </c>
      <c r="K1397" s="21" t="n"/>
    </row>
    <row r="1398">
      <c r="A1398" s="24" t="n">
        <v>3410</v>
      </c>
      <c r="B1398" s="10" t="inlineStr">
        <is>
          <t>T220 Ninh Bình 2</t>
        </is>
      </c>
      <c r="C1398" s="10" t="inlineStr">
        <is>
          <t>TBA 220kV Ninh Bình 2</t>
        </is>
      </c>
      <c r="D1398" s="3" t="inlineStr">
        <is>
          <t>B23</t>
        </is>
      </c>
      <c r="E1398" s="9" t="n"/>
      <c r="F1398" s="15">
        <f>IF(E1398&lt;&gt;"","Đã VH","Quy hoạch điện VIII")</f>
        <v/>
      </c>
      <c r="G1398" s="16">
        <f>LEFT(B1398,FIND(" ",B1398,1)-1)</f>
        <v/>
      </c>
      <c r="H1398" s="16">
        <f>TRIM(RIGHT(B1398,LEN(B1398)-FIND(" ",B1398,1)))</f>
        <v/>
      </c>
      <c r="I1398" s="16">
        <f>_xlfn.XLOOKUP(Table2[[#This Row],[Type]],Table5[Type],Table5[Type2])</f>
        <v/>
      </c>
      <c r="J1398" s="16">
        <f>_xlfn.XLOOKUP(Table2[[#This Row],[Sym]],Zones!$A$2:$A$21,Zones!$B$2:$B$21)</f>
        <v/>
      </c>
      <c r="K1398" s="21" t="n"/>
    </row>
    <row r="1399">
      <c r="A1399" s="24" t="n">
        <v>3411</v>
      </c>
      <c r="B1399" s="10" t="inlineStr">
        <is>
          <t>T220 Tam Điệp</t>
        </is>
      </c>
      <c r="C1399" s="10" t="inlineStr">
        <is>
          <t>TBA 220kV Tam Điệp</t>
        </is>
      </c>
      <c r="D1399" s="3" t="inlineStr">
        <is>
          <t>B23</t>
        </is>
      </c>
      <c r="E1399" s="9" t="n"/>
      <c r="F1399" s="15">
        <f>IF(E1399&lt;&gt;"","Đã VH","Quy hoạch điện VIII")</f>
        <v/>
      </c>
      <c r="G1399" s="16">
        <f>LEFT(B1399,FIND(" ",B1399,1)-1)</f>
        <v/>
      </c>
      <c r="H1399" s="16">
        <f>TRIM(RIGHT(B1399,LEN(B1399)-FIND(" ",B1399,1)))</f>
        <v/>
      </c>
      <c r="I1399" s="16">
        <f>_xlfn.XLOOKUP(Table2[[#This Row],[Type]],Table5[Type],Table5[Type2])</f>
        <v/>
      </c>
      <c r="J1399" s="16">
        <f>_xlfn.XLOOKUP(Table2[[#This Row],[Sym]],Zones!$A$2:$A$21,Zones!$B$2:$B$21)</f>
        <v/>
      </c>
      <c r="K1399" s="21" t="n"/>
    </row>
    <row r="1400">
      <c r="A1400" s="24" t="n">
        <v>3412</v>
      </c>
      <c r="B1400" s="10" t="inlineStr">
        <is>
          <t>T220 Gia Viễn</t>
        </is>
      </c>
      <c r="C1400" s="10" t="inlineStr">
        <is>
          <t>TBA 220kV Gia Viễn</t>
        </is>
      </c>
      <c r="D1400" s="3" t="inlineStr">
        <is>
          <t>B23</t>
        </is>
      </c>
      <c r="E1400" s="9" t="n"/>
      <c r="F1400" s="15">
        <f>IF(E1400&lt;&gt;"","Đã VH","Quy hoạch điện VIII")</f>
        <v/>
      </c>
      <c r="G1400" s="16">
        <f>LEFT(B1400,FIND(" ",B1400,1)-1)</f>
        <v/>
      </c>
      <c r="H1400" s="16">
        <f>TRIM(RIGHT(B1400,LEN(B1400)-FIND(" ",B1400,1)))</f>
        <v/>
      </c>
      <c r="I1400" s="16">
        <f>_xlfn.XLOOKUP(Table2[[#This Row],[Type]],Table5[Type],Table5[Type2])</f>
        <v/>
      </c>
      <c r="J1400" s="16">
        <f>_xlfn.XLOOKUP(Table2[[#This Row],[Sym]],Zones!$A$2:$A$21,Zones!$B$2:$B$21)</f>
        <v/>
      </c>
      <c r="K1400" s="21" t="n"/>
    </row>
    <row r="1401">
      <c r="A1401" s="24" t="n">
        <v>3413</v>
      </c>
      <c r="B1401" s="10" t="inlineStr">
        <is>
          <t>T110 Gia Thịnh</t>
        </is>
      </c>
      <c r="C1401" s="10" t="inlineStr">
        <is>
          <t>TBA 110kV Gia Thịnh</t>
        </is>
      </c>
      <c r="D1401" s="3" t="inlineStr">
        <is>
          <t>B23</t>
        </is>
      </c>
      <c r="E1401" s="9" t="n"/>
      <c r="F1401" s="15">
        <f>IF(E1401&lt;&gt;"","Đã VH","Quy hoạch điện VIII")</f>
        <v/>
      </c>
      <c r="G1401" s="16">
        <f>LEFT(B1401,FIND(" ",B1401,1)-1)</f>
        <v/>
      </c>
      <c r="H1401" s="16">
        <f>TRIM(RIGHT(B1401,LEN(B1401)-FIND(" ",B1401,1)))</f>
        <v/>
      </c>
      <c r="I1401" s="16">
        <f>_xlfn.XLOOKUP(Table2[[#This Row],[Type]],Table5[Type],Table5[Type2])</f>
        <v/>
      </c>
      <c r="J1401" s="16">
        <f>_xlfn.XLOOKUP(Table2[[#This Row],[Sym]],Zones!$A$2:$A$21,Zones!$B$2:$B$21)</f>
        <v/>
      </c>
      <c r="K1401" s="21" t="n"/>
    </row>
    <row r="1402">
      <c r="A1402" s="24" t="n">
        <v>3414</v>
      </c>
      <c r="B1402" s="10" t="inlineStr">
        <is>
          <t>T110 KCN Xích Thổ</t>
        </is>
      </c>
      <c r="C1402" s="10" t="inlineStr">
        <is>
          <t>TBA 110kV KCN Xích Thổ</t>
        </is>
      </c>
      <c r="D1402" s="3" t="inlineStr">
        <is>
          <t>B23</t>
        </is>
      </c>
      <c r="E1402" s="9" t="n"/>
      <c r="F1402" s="15">
        <f>IF(E1402&lt;&gt;"","Đã VH","Quy hoạch điện VIII")</f>
        <v/>
      </c>
      <c r="G1402" s="16">
        <f>LEFT(B1402,FIND(" ",B1402,1)-1)</f>
        <v/>
      </c>
      <c r="H1402" s="16">
        <f>TRIM(RIGHT(B1402,LEN(B1402)-FIND(" ",B1402,1)))</f>
        <v/>
      </c>
      <c r="I1402" s="16">
        <f>_xlfn.XLOOKUP(Table2[[#This Row],[Type]],Table5[Type],Table5[Type2])</f>
        <v/>
      </c>
      <c r="J1402" s="16">
        <f>_xlfn.XLOOKUP(Table2[[#This Row],[Sym]],Zones!$A$2:$A$21,Zones!$B$2:$B$21)</f>
        <v/>
      </c>
      <c r="K1402" s="21" t="n"/>
    </row>
    <row r="1403">
      <c r="A1403" s="24" t="n">
        <v>3415</v>
      </c>
      <c r="B1403" s="10" t="inlineStr">
        <is>
          <t>T110 Gia Viễn NC</t>
        </is>
      </c>
      <c r="C1403" s="10" t="inlineStr">
        <is>
          <t>TBA 110kV Gia Viễn NC</t>
        </is>
      </c>
      <c r="D1403" s="3" t="inlineStr">
        <is>
          <t>B23</t>
        </is>
      </c>
      <c r="E1403" s="9" t="n"/>
      <c r="F1403" s="15">
        <f>IF(E1403&lt;&gt;"","Đã VH","Quy hoạch điện VIII")</f>
        <v/>
      </c>
      <c r="G1403" s="16">
        <f>LEFT(B1403,FIND(" ",B1403,1)-1)</f>
        <v/>
      </c>
      <c r="H1403" s="16">
        <f>TRIM(RIGHT(B1403,LEN(B1403)-FIND(" ",B1403,1)))</f>
        <v/>
      </c>
      <c r="I1403" s="16">
        <f>_xlfn.XLOOKUP(Table2[[#This Row],[Type]],Table5[Type],Table5[Type2])</f>
        <v/>
      </c>
      <c r="J1403" s="16">
        <f>_xlfn.XLOOKUP(Table2[[#This Row],[Sym]],Zones!$A$2:$A$21,Zones!$B$2:$B$21)</f>
        <v/>
      </c>
      <c r="K1403" s="21" t="n"/>
    </row>
    <row r="1404">
      <c r="A1404" s="24" t="n">
        <v>3416</v>
      </c>
      <c r="B1404" s="10" t="inlineStr">
        <is>
          <t>T110 Nho Quan 2</t>
        </is>
      </c>
      <c r="C1404" s="10" t="inlineStr">
        <is>
          <t>TBA 110kV Nho Quan 2</t>
        </is>
      </c>
      <c r="D1404" s="3" t="inlineStr">
        <is>
          <t>B23</t>
        </is>
      </c>
      <c r="E1404" s="9" t="n"/>
      <c r="F1404" s="15">
        <f>IF(E1404&lt;&gt;"","Đã VH","Quy hoạch điện VIII")</f>
        <v/>
      </c>
      <c r="G1404" s="16">
        <f>LEFT(B1404,FIND(" ",B1404,1)-1)</f>
        <v/>
      </c>
      <c r="H1404" s="16">
        <f>TRIM(RIGHT(B1404,LEN(B1404)-FIND(" ",B1404,1)))</f>
        <v/>
      </c>
      <c r="I1404" s="16">
        <f>_xlfn.XLOOKUP(Table2[[#This Row],[Type]],Table5[Type],Table5[Type2])</f>
        <v/>
      </c>
      <c r="J1404" s="16">
        <f>_xlfn.XLOOKUP(Table2[[#This Row],[Sym]],Zones!$A$2:$A$21,Zones!$B$2:$B$21)</f>
        <v/>
      </c>
      <c r="K1404" s="21" t="n"/>
    </row>
    <row r="1405">
      <c r="A1405" s="24" t="n">
        <v>3417</v>
      </c>
      <c r="B1405" s="10" t="inlineStr">
        <is>
          <t>T110 KCN Kim Sơn</t>
        </is>
      </c>
      <c r="C1405" s="10" t="inlineStr">
        <is>
          <t>TBA 110kV KCN Kim Sơn</t>
        </is>
      </c>
      <c r="D1405" s="3" t="inlineStr">
        <is>
          <t>B23</t>
        </is>
      </c>
      <c r="E1405" s="9" t="n"/>
      <c r="F1405" s="15">
        <f>IF(E1405&lt;&gt;"","Đã VH","Quy hoạch điện VIII")</f>
        <v/>
      </c>
      <c r="G1405" s="16">
        <f>LEFT(B1405,FIND(" ",B1405,1)-1)</f>
        <v/>
      </c>
      <c r="H1405" s="16">
        <f>TRIM(RIGHT(B1405,LEN(B1405)-FIND(" ",B1405,1)))</f>
        <v/>
      </c>
      <c r="I1405" s="16">
        <f>_xlfn.XLOOKUP(Table2[[#This Row],[Type]],Table5[Type],Table5[Type2])</f>
        <v/>
      </c>
      <c r="J1405" s="16">
        <f>_xlfn.XLOOKUP(Table2[[#This Row],[Sym]],Zones!$A$2:$A$21,Zones!$B$2:$B$21)</f>
        <v/>
      </c>
      <c r="K1405" s="21" t="n"/>
    </row>
    <row r="1406">
      <c r="A1406" s="24" t="n">
        <v>3418</v>
      </c>
      <c r="B1406" s="10" t="inlineStr">
        <is>
          <t>T110 Kim Sơn 2</t>
        </is>
      </c>
      <c r="C1406" s="10" t="inlineStr">
        <is>
          <t>TBA 110kV Kim Sơn 2</t>
        </is>
      </c>
      <c r="D1406" s="3" t="inlineStr">
        <is>
          <t>B23</t>
        </is>
      </c>
      <c r="E1406" s="9" t="n"/>
      <c r="F1406" s="15">
        <f>IF(E1406&lt;&gt;"","Đã VH","Quy hoạch điện VIII")</f>
        <v/>
      </c>
      <c r="G1406" s="16">
        <f>LEFT(B1406,FIND(" ",B1406,1)-1)</f>
        <v/>
      </c>
      <c r="H1406" s="16">
        <f>TRIM(RIGHT(B1406,LEN(B1406)-FIND(" ",B1406,1)))</f>
        <v/>
      </c>
      <c r="I1406" s="16">
        <f>_xlfn.XLOOKUP(Table2[[#This Row],[Type]],Table5[Type],Table5[Type2])</f>
        <v/>
      </c>
      <c r="J1406" s="16">
        <f>_xlfn.XLOOKUP(Table2[[#This Row],[Sym]],Zones!$A$2:$A$21,Zones!$B$2:$B$21)</f>
        <v/>
      </c>
      <c r="K1406" s="21" t="n"/>
    </row>
    <row r="1407">
      <c r="A1407" s="24" t="n">
        <v>3419</v>
      </c>
      <c r="B1407" s="10" t="inlineStr">
        <is>
          <t>T110 Yên Khánh 2</t>
        </is>
      </c>
      <c r="C1407" s="10" t="inlineStr">
        <is>
          <t>TBA 110kV Yên Khánh 2</t>
        </is>
      </c>
      <c r="D1407" s="3" t="inlineStr">
        <is>
          <t>B23</t>
        </is>
      </c>
      <c r="E1407" s="9" t="n"/>
      <c r="F1407" s="15">
        <f>IF(E1407&lt;&gt;"","Đã VH","Quy hoạch điện VIII")</f>
        <v/>
      </c>
      <c r="G1407" s="16">
        <f>LEFT(B1407,FIND(" ",B1407,1)-1)</f>
        <v/>
      </c>
      <c r="H1407" s="16">
        <f>TRIM(RIGHT(B1407,LEN(B1407)-FIND(" ",B1407,1)))</f>
        <v/>
      </c>
      <c r="I1407" s="16">
        <f>_xlfn.XLOOKUP(Table2[[#This Row],[Type]],Table5[Type],Table5[Type2])</f>
        <v/>
      </c>
      <c r="J1407" s="16">
        <f>_xlfn.XLOOKUP(Table2[[#This Row],[Sym]],Zones!$A$2:$A$21,Zones!$B$2:$B$21)</f>
        <v/>
      </c>
      <c r="K1407" s="21" t="n"/>
    </row>
    <row r="1408">
      <c r="A1408" s="24" t="n">
        <v>3420</v>
      </c>
      <c r="B1408" s="10" t="inlineStr">
        <is>
          <t>T110 Yên Mô 2</t>
        </is>
      </c>
      <c r="C1408" s="10" t="inlineStr">
        <is>
          <t>TBA 110kV Yên Mô 2</t>
        </is>
      </c>
      <c r="D1408" s="3" t="inlineStr">
        <is>
          <t>B23</t>
        </is>
      </c>
      <c r="E1408" s="9" t="n"/>
      <c r="F1408" s="15">
        <f>IF(E1408&lt;&gt;"","Đã VH","Quy hoạch điện VIII")</f>
        <v/>
      </c>
      <c r="G1408" s="16">
        <f>LEFT(B1408,FIND(" ",B1408,1)-1)</f>
        <v/>
      </c>
      <c r="H1408" s="16">
        <f>TRIM(RIGHT(B1408,LEN(B1408)-FIND(" ",B1408,1)))</f>
        <v/>
      </c>
      <c r="I1408" s="16">
        <f>_xlfn.XLOOKUP(Table2[[#This Row],[Type]],Table5[Type],Table5[Type2])</f>
        <v/>
      </c>
      <c r="J1408" s="16">
        <f>_xlfn.XLOOKUP(Table2[[#This Row],[Sym]],Zones!$A$2:$A$21,Zones!$B$2:$B$21)</f>
        <v/>
      </c>
      <c r="K1408" s="21" t="n"/>
    </row>
    <row r="1409">
      <c r="A1409" s="24" t="n">
        <v>3421</v>
      </c>
      <c r="B1409" s="10" t="inlineStr">
        <is>
          <t>T110 KCN Phú Long</t>
        </is>
      </c>
      <c r="C1409" s="10" t="inlineStr">
        <is>
          <t>TBA 110kV KCN Phú Long</t>
        </is>
      </c>
      <c r="D1409" s="3" t="inlineStr">
        <is>
          <t>B23</t>
        </is>
      </c>
      <c r="E1409" s="9" t="n"/>
      <c r="F1409" s="15">
        <f>IF(E1409&lt;&gt;"","Đã VH","Quy hoạch điện VIII")</f>
        <v/>
      </c>
      <c r="G1409" s="16">
        <f>LEFT(B1409,FIND(" ",B1409,1)-1)</f>
        <v/>
      </c>
      <c r="H1409" s="16">
        <f>TRIM(RIGHT(B1409,LEN(B1409)-FIND(" ",B1409,1)))</f>
        <v/>
      </c>
      <c r="I1409" s="16">
        <f>_xlfn.XLOOKUP(Table2[[#This Row],[Type]],Table5[Type],Table5[Type2])</f>
        <v/>
      </c>
      <c r="J1409" s="16">
        <f>_xlfn.XLOOKUP(Table2[[#This Row],[Sym]],Zones!$A$2:$A$21,Zones!$B$2:$B$21)</f>
        <v/>
      </c>
      <c r="K1409" s="21" t="n"/>
    </row>
    <row r="1410">
      <c r="A1410" s="24" t="n">
        <v>3422</v>
      </c>
      <c r="B1410" s="10" t="inlineStr">
        <is>
          <t>T110 XM Hệ Dưỡng 2</t>
        </is>
      </c>
      <c r="C1410" s="10" t="inlineStr">
        <is>
          <t>TBA 110kV XM Hệ Dưỡng 2</t>
        </is>
      </c>
      <c r="D1410" s="3" t="inlineStr">
        <is>
          <t>B23</t>
        </is>
      </c>
      <c r="E1410" s="9" t="n"/>
      <c r="F1410" s="15">
        <f>IF(E1410&lt;&gt;"","Đã VH","Quy hoạch điện VIII")</f>
        <v/>
      </c>
      <c r="G1410" s="16">
        <f>LEFT(B1410,FIND(" ",B1410,1)-1)</f>
        <v/>
      </c>
      <c r="H1410" s="16">
        <f>TRIM(RIGHT(B1410,LEN(B1410)-FIND(" ",B1410,1)))</f>
        <v/>
      </c>
      <c r="I1410" s="16">
        <f>_xlfn.XLOOKUP(Table2[[#This Row],[Type]],Table5[Type],Table5[Type2])</f>
        <v/>
      </c>
      <c r="J1410" s="16">
        <f>_xlfn.XLOOKUP(Table2[[#This Row],[Sym]],Zones!$A$2:$A$21,Zones!$B$2:$B$21)</f>
        <v/>
      </c>
      <c r="K1410" s="21" t="n"/>
    </row>
    <row r="1411">
      <c r="A1411" s="24" t="n">
        <v>3480</v>
      </c>
      <c r="B1411" s="10" t="inlineStr">
        <is>
          <t>T110 XM Bút Sơn 1</t>
        </is>
      </c>
      <c r="C1411" s="30" t="inlineStr">
        <is>
          <t>TBA 110kV Bút Sơn</t>
        </is>
      </c>
      <c r="D1411" s="3" t="inlineStr">
        <is>
          <t>B23</t>
        </is>
      </c>
      <c r="E1411" s="9" t="inlineStr">
        <is>
          <t>E24.1</t>
        </is>
      </c>
      <c r="F1411" s="15">
        <f>IF(E1411&lt;&gt;"","Đã VH","Quy hoạch điện VIII")</f>
        <v/>
      </c>
      <c r="G1411" s="16">
        <f>LEFT(B1411,FIND(" ",B1411,1)-1)</f>
        <v/>
      </c>
      <c r="H1411" s="16">
        <f>TRIM(RIGHT(B1411,LEN(B1411)-FIND(" ",B1411,1)))</f>
        <v/>
      </c>
      <c r="I1411" s="16">
        <f>_xlfn.XLOOKUP(Table2[[#This Row],[Type]],Table5[Type],Table5[Type2])</f>
        <v/>
      </c>
      <c r="J1411" s="16">
        <f>_xlfn.XLOOKUP(Table2[[#This Row],[Sym]],Zones!$A$2:$A$21,Zones!$B$2:$B$21)</f>
        <v/>
      </c>
      <c r="K1411" s="21" t="n"/>
      <c r="AM1411" t="inlineStr">
        <is>
          <t>Đã sửa từ dashboard (TBA 110kV XM Bút Sơn 1 ➔ TBA 110kV Bút Sơn)</t>
        </is>
      </c>
    </row>
    <row r="1412">
      <c r="A1412" s="24" t="n">
        <v>3481</v>
      </c>
      <c r="B1412" s="10" t="inlineStr">
        <is>
          <t>T110 Lý Nhân</t>
        </is>
      </c>
      <c r="C1412" s="10" t="inlineStr">
        <is>
          <t>TBA 110kV Lý Nhân</t>
        </is>
      </c>
      <c r="D1412" s="3" t="inlineStr">
        <is>
          <t>B23</t>
        </is>
      </c>
      <c r="E1412" s="9" t="inlineStr">
        <is>
          <t>E24.2</t>
        </is>
      </c>
      <c r="F1412" s="15">
        <f>IF(E1412&lt;&gt;"","Đã VH","Quy hoạch điện VIII")</f>
        <v/>
      </c>
      <c r="G1412" s="16">
        <f>LEFT(B1412,FIND(" ",B1412,1)-1)</f>
        <v/>
      </c>
      <c r="H1412" s="16">
        <f>TRIM(RIGHT(B1412,LEN(B1412)-FIND(" ",B1412,1)))</f>
        <v/>
      </c>
      <c r="I1412" s="16">
        <f>_xlfn.XLOOKUP(Table2[[#This Row],[Type]],Table5[Type],Table5[Type2])</f>
        <v/>
      </c>
      <c r="J1412" s="16">
        <f>_xlfn.XLOOKUP(Table2[[#This Row],[Sym]],Zones!$A$2:$A$21,Zones!$B$2:$B$21)</f>
        <v/>
      </c>
      <c r="K1412" s="21" t="n"/>
    </row>
    <row r="1413">
      <c r="A1413" s="24" t="n">
        <v>3482</v>
      </c>
      <c r="B1413" s="10" t="inlineStr">
        <is>
          <t>T110 Đồng Văn</t>
        </is>
      </c>
      <c r="C1413" s="10" t="inlineStr">
        <is>
          <t>TBA 110kV Đồng Văn</t>
        </is>
      </c>
      <c r="D1413" s="3" t="inlineStr">
        <is>
          <t>B23</t>
        </is>
      </c>
      <c r="E1413" s="9" t="inlineStr">
        <is>
          <t>E24.3</t>
        </is>
      </c>
      <c r="F1413" s="15">
        <f>IF(E1413&lt;&gt;"","Đã VH","Quy hoạch điện VIII")</f>
        <v/>
      </c>
      <c r="G1413" s="16">
        <f>LEFT(B1413,FIND(" ",B1413,1)-1)</f>
        <v/>
      </c>
      <c r="H1413" s="16">
        <f>TRIM(RIGHT(B1413,LEN(B1413)-FIND(" ",B1413,1)))</f>
        <v/>
      </c>
      <c r="I1413" s="16">
        <f>_xlfn.XLOOKUP(Table2[[#This Row],[Type]],Table5[Type],Table5[Type2])</f>
        <v/>
      </c>
      <c r="J1413" s="16">
        <f>_xlfn.XLOOKUP(Table2[[#This Row],[Sym]],Zones!$A$2:$A$21,Zones!$B$2:$B$21)</f>
        <v/>
      </c>
      <c r="K1413" s="21" t="n"/>
    </row>
    <row r="1414">
      <c r="A1414" s="24" t="n">
        <v>3483</v>
      </c>
      <c r="B1414" s="10" t="inlineStr">
        <is>
          <t>T220 Phủ Lý</t>
        </is>
      </c>
      <c r="C1414" s="10" t="inlineStr">
        <is>
          <t>TBA 220kV Phủ Lý</t>
        </is>
      </c>
      <c r="D1414" s="3" t="inlineStr">
        <is>
          <t>B23</t>
        </is>
      </c>
      <c r="E1414" s="9" t="inlineStr">
        <is>
          <t>E24.4</t>
        </is>
      </c>
      <c r="F1414" s="15">
        <f>IF(E1414&lt;&gt;"","Đã VH","Quy hoạch điện VIII")</f>
        <v/>
      </c>
      <c r="G1414" s="16">
        <f>LEFT(B1414,FIND(" ",B1414,1)-1)</f>
        <v/>
      </c>
      <c r="H1414" s="16">
        <f>TRIM(RIGHT(B1414,LEN(B1414)-FIND(" ",B1414,1)))</f>
        <v/>
      </c>
      <c r="I1414" s="16">
        <f>_xlfn.XLOOKUP(Table2[[#This Row],[Type]],Table5[Type],Table5[Type2])</f>
        <v/>
      </c>
      <c r="J1414" s="16">
        <f>_xlfn.XLOOKUP(Table2[[#This Row],[Sym]],Zones!$A$2:$A$21,Zones!$B$2:$B$21)</f>
        <v/>
      </c>
      <c r="K1414" s="21" t="n"/>
    </row>
    <row r="1415">
      <c r="A1415" s="24" t="n">
        <v>3484</v>
      </c>
      <c r="B1415" s="10" t="inlineStr">
        <is>
          <t>T110 XM Vissai 3</t>
        </is>
      </c>
      <c r="C1415" s="10" t="inlineStr">
        <is>
          <t>TBA 110kV XM Vissai 3</t>
        </is>
      </c>
      <c r="D1415" s="3" t="inlineStr">
        <is>
          <t>B23</t>
        </is>
      </c>
      <c r="E1415" s="9" t="inlineStr">
        <is>
          <t>E24.5</t>
        </is>
      </c>
      <c r="F1415" s="15">
        <f>IF(E1415&lt;&gt;"","Đã VH","Quy hoạch điện VIII")</f>
        <v/>
      </c>
      <c r="G1415" s="16">
        <f>LEFT(B1415,FIND(" ",B1415,1)-1)</f>
        <v/>
      </c>
      <c r="H1415" s="16">
        <f>TRIM(RIGHT(B1415,LEN(B1415)-FIND(" ",B1415,1)))</f>
        <v/>
      </c>
      <c r="I1415" s="16">
        <f>_xlfn.XLOOKUP(Table2[[#This Row],[Type]],Table5[Type],Table5[Type2])</f>
        <v/>
      </c>
      <c r="J1415" s="16">
        <f>_xlfn.XLOOKUP(Table2[[#This Row],[Sym]],Zones!$A$2:$A$21,Zones!$B$2:$B$21)</f>
        <v/>
      </c>
      <c r="K1415" s="21" t="n"/>
    </row>
    <row r="1416">
      <c r="A1416" s="24" t="n">
        <v>3485</v>
      </c>
      <c r="B1416" s="10" t="inlineStr">
        <is>
          <t>T110 XM Thành Thắng</t>
        </is>
      </c>
      <c r="C1416" s="10" t="inlineStr">
        <is>
          <t>TBA 110kV XM Thành Thắng</t>
        </is>
      </c>
      <c r="D1416" s="3" t="inlineStr">
        <is>
          <t>B23</t>
        </is>
      </c>
      <c r="E1416" s="9" t="inlineStr">
        <is>
          <t>E24.6</t>
        </is>
      </c>
      <c r="F1416" s="15">
        <f>IF(E1416&lt;&gt;"","Đã VH","Quy hoạch điện VIII")</f>
        <v/>
      </c>
      <c r="G1416" s="16">
        <f>LEFT(B1416,FIND(" ",B1416,1)-1)</f>
        <v/>
      </c>
      <c r="H1416" s="16">
        <f>TRIM(RIGHT(B1416,LEN(B1416)-FIND(" ",B1416,1)))</f>
        <v/>
      </c>
      <c r="I1416" s="16">
        <f>_xlfn.XLOOKUP(Table2[[#This Row],[Type]],Table5[Type],Table5[Type2])</f>
        <v/>
      </c>
      <c r="J1416" s="16">
        <f>_xlfn.XLOOKUP(Table2[[#This Row],[Sym]],Zones!$A$2:$A$21,Zones!$B$2:$B$21)</f>
        <v/>
      </c>
      <c r="K1416" s="21" t="n"/>
    </row>
    <row r="1417">
      <c r="A1417" s="24" t="n">
        <v>3486</v>
      </c>
      <c r="B1417" s="10" t="inlineStr">
        <is>
          <t>T110 Phủ Lý</t>
        </is>
      </c>
      <c r="C1417" s="10" t="inlineStr">
        <is>
          <t>TBA 110kV Phủ Lý</t>
        </is>
      </c>
      <c r="D1417" s="3" t="inlineStr">
        <is>
          <t>B23</t>
        </is>
      </c>
      <c r="E1417" s="9" t="inlineStr">
        <is>
          <t>E3.5</t>
        </is>
      </c>
      <c r="F1417" s="15">
        <f>IF(E1417&lt;&gt;"","Đã VH","Quy hoạch điện VIII")</f>
        <v/>
      </c>
      <c r="G1417" s="16">
        <f>LEFT(B1417,FIND(" ",B1417,1)-1)</f>
        <v/>
      </c>
      <c r="H1417" s="16">
        <f>TRIM(RIGHT(B1417,LEN(B1417)-FIND(" ",B1417,1)))</f>
        <v/>
      </c>
      <c r="I1417" s="16">
        <f>_xlfn.XLOOKUP(Table2[[#This Row],[Type]],Table5[Type],Table5[Type2])</f>
        <v/>
      </c>
      <c r="J1417" s="16">
        <f>_xlfn.XLOOKUP(Table2[[#This Row],[Sym]],Zones!$A$2:$A$21,Zones!$B$2:$B$21)</f>
        <v/>
      </c>
      <c r="K1417" s="21" t="n"/>
    </row>
    <row r="1418">
      <c r="A1418" s="24" t="n">
        <v>3487</v>
      </c>
      <c r="B1418" s="10" t="inlineStr">
        <is>
          <t>T110 Thanh Nghị</t>
        </is>
      </c>
      <c r="C1418" s="10" t="inlineStr">
        <is>
          <t>TBA 110kV Thanh Nghị</t>
        </is>
      </c>
      <c r="D1418" s="3" t="inlineStr">
        <is>
          <t>B23</t>
        </is>
      </c>
      <c r="E1418" s="9" t="inlineStr">
        <is>
          <t>E24.8</t>
        </is>
      </c>
      <c r="F1418" s="15">
        <f>IF(E1418&lt;&gt;"","Đã VH","Quy hoạch điện VIII")</f>
        <v/>
      </c>
      <c r="G1418" s="16">
        <f>LEFT(B1418,FIND(" ",B1418,1)-1)</f>
        <v/>
      </c>
      <c r="H1418" s="16">
        <f>TRIM(RIGHT(B1418,LEN(B1418)-FIND(" ",B1418,1)))</f>
        <v/>
      </c>
      <c r="I1418" s="16">
        <f>_xlfn.XLOOKUP(Table2[[#This Row],[Type]],Table5[Type],Table5[Type2])</f>
        <v/>
      </c>
      <c r="J1418" s="16">
        <f>_xlfn.XLOOKUP(Table2[[#This Row],[Sym]],Zones!$A$2:$A$21,Zones!$B$2:$B$21)</f>
        <v/>
      </c>
      <c r="K1418" s="21" t="n"/>
    </row>
    <row r="1419">
      <c r="A1419" s="24" t="n">
        <v>3488</v>
      </c>
      <c r="B1419" s="10" t="inlineStr">
        <is>
          <t>T110 XM Xuân Thành</t>
        </is>
      </c>
      <c r="C1419" s="10" t="inlineStr">
        <is>
          <t>TBA 110kV XM Xuân Thành</t>
        </is>
      </c>
      <c r="D1419" s="3" t="inlineStr">
        <is>
          <t>B23</t>
        </is>
      </c>
      <c r="E1419" s="9" t="inlineStr">
        <is>
          <t>E24.9</t>
        </is>
      </c>
      <c r="F1419" s="15">
        <f>IF(E1419&lt;&gt;"","Đã VH","Quy hoạch điện VIII")</f>
        <v/>
      </c>
      <c r="G1419" s="16">
        <f>LEFT(B1419,FIND(" ",B1419,1)-1)</f>
        <v/>
      </c>
      <c r="H1419" s="16">
        <f>TRIM(RIGHT(B1419,LEN(B1419)-FIND(" ",B1419,1)))</f>
        <v/>
      </c>
      <c r="I1419" s="16">
        <f>_xlfn.XLOOKUP(Table2[[#This Row],[Type]],Table5[Type],Table5[Type2])</f>
        <v/>
      </c>
      <c r="J1419" s="16">
        <f>_xlfn.XLOOKUP(Table2[[#This Row],[Sym]],Zones!$A$2:$A$21,Zones!$B$2:$B$21)</f>
        <v/>
      </c>
      <c r="K1419" s="21" t="n"/>
    </row>
    <row r="1420">
      <c r="A1420" s="24" t="n">
        <v>3489</v>
      </c>
      <c r="B1420" s="10" t="inlineStr">
        <is>
          <t>T110 Vissai Hà Nam</t>
        </is>
      </c>
      <c r="C1420" s="10" t="inlineStr">
        <is>
          <t>TBA 110kV Vissai Hà Nam</t>
        </is>
      </c>
      <c r="D1420" s="3" t="inlineStr">
        <is>
          <t>B23</t>
        </is>
      </c>
      <c r="E1420" s="9" t="inlineStr">
        <is>
          <t>E24.10</t>
        </is>
      </c>
      <c r="F1420" s="15">
        <f>IF(E1420&lt;&gt;"","Đã VH","Quy hoạch điện VIII")</f>
        <v/>
      </c>
      <c r="G1420" s="16">
        <f>LEFT(B1420,FIND(" ",B1420,1)-1)</f>
        <v/>
      </c>
      <c r="H1420" s="16">
        <f>TRIM(RIGHT(B1420,LEN(B1420)-FIND(" ",B1420,1)))</f>
        <v/>
      </c>
      <c r="I1420" s="16">
        <f>_xlfn.XLOOKUP(Table2[[#This Row],[Type]],Table5[Type],Table5[Type2])</f>
        <v/>
      </c>
      <c r="J1420" s="16">
        <f>_xlfn.XLOOKUP(Table2[[#This Row],[Sym]],Zones!$A$2:$A$21,Zones!$B$2:$B$21)</f>
        <v/>
      </c>
      <c r="K1420" s="21" t="n"/>
    </row>
    <row r="1421">
      <c r="A1421" s="24" t="n">
        <v>3490</v>
      </c>
      <c r="B1421" s="10" t="inlineStr">
        <is>
          <t>T110 Châu Sơn</t>
        </is>
      </c>
      <c r="C1421" s="10" t="inlineStr">
        <is>
          <t>TBA 110kV Châu Sơn</t>
        </is>
      </c>
      <c r="D1421" s="3" t="inlineStr">
        <is>
          <t>B23</t>
        </is>
      </c>
      <c r="E1421" s="9" t="inlineStr">
        <is>
          <t>E24.11</t>
        </is>
      </c>
      <c r="F1421" s="15">
        <f>IF(E1421&lt;&gt;"","Đã VH","Quy hoạch điện VIII")</f>
        <v/>
      </c>
      <c r="G1421" s="16">
        <f>LEFT(B1421,FIND(" ",B1421,1)-1)</f>
        <v/>
      </c>
      <c r="H1421" s="16">
        <f>TRIM(RIGHT(B1421,LEN(B1421)-FIND(" ",B1421,1)))</f>
        <v/>
      </c>
      <c r="I1421" s="16">
        <f>_xlfn.XLOOKUP(Table2[[#This Row],[Type]],Table5[Type],Table5[Type2])</f>
        <v/>
      </c>
      <c r="J1421" s="16">
        <f>_xlfn.XLOOKUP(Table2[[#This Row],[Sym]],Zones!$A$2:$A$21,Zones!$B$2:$B$21)</f>
        <v/>
      </c>
      <c r="K1421" s="21" t="n"/>
    </row>
    <row r="1422">
      <c r="A1422" s="24" t="n">
        <v>3491</v>
      </c>
      <c r="B1422" s="10" t="inlineStr">
        <is>
          <t>T110 Thạch Tổ</t>
        </is>
      </c>
      <c r="C1422" s="10" t="inlineStr">
        <is>
          <t>TBA 110kV Thạch Tổ</t>
        </is>
      </c>
      <c r="D1422" s="3" t="inlineStr">
        <is>
          <t>B23</t>
        </is>
      </c>
      <c r="E1422" s="9" t="inlineStr">
        <is>
          <t>E3.2</t>
        </is>
      </c>
      <c r="F1422" s="15">
        <f>IF(E1422&lt;&gt;"","Đã VH","Quy hoạch điện VIII")</f>
        <v/>
      </c>
      <c r="G1422" s="16">
        <f>LEFT(B1422,FIND(" ",B1422,1)-1)</f>
        <v/>
      </c>
      <c r="H1422" s="16">
        <f>TRIM(RIGHT(B1422,LEN(B1422)-FIND(" ",B1422,1)))</f>
        <v/>
      </c>
      <c r="I1422" s="16">
        <f>_xlfn.XLOOKUP(Table2[[#This Row],[Type]],Table5[Type],Table5[Type2])</f>
        <v/>
      </c>
      <c r="J1422" s="16">
        <f>_xlfn.XLOOKUP(Table2[[#This Row],[Sym]],Zones!$A$2:$A$21,Zones!$B$2:$B$21)</f>
        <v/>
      </c>
      <c r="K1422" s="21" t="n"/>
    </row>
    <row r="1423">
      <c r="A1423" s="24" t="n">
        <v>3492</v>
      </c>
      <c r="B1423" s="10" t="inlineStr">
        <is>
          <t>T110 Đồng Văn 3</t>
        </is>
      </c>
      <c r="C1423" s="10" t="inlineStr">
        <is>
          <t>TBA 110kV Đồng Văn 3</t>
        </is>
      </c>
      <c r="D1423" s="3" t="inlineStr">
        <is>
          <t>B23</t>
        </is>
      </c>
      <c r="E1423" s="9" t="inlineStr">
        <is>
          <t>E24.13</t>
        </is>
      </c>
      <c r="F1423" s="15">
        <f>IF(E1423&lt;&gt;"","Đã VH","Quy hoạch điện VIII")</f>
        <v/>
      </c>
      <c r="G1423" s="16">
        <f>LEFT(B1423,FIND(" ",B1423,1)-1)</f>
        <v/>
      </c>
      <c r="H1423" s="16">
        <f>TRIM(RIGHT(B1423,LEN(B1423)-FIND(" ",B1423,1)))</f>
        <v/>
      </c>
      <c r="I1423" s="16">
        <f>_xlfn.XLOOKUP(Table2[[#This Row],[Type]],Table5[Type],Table5[Type2])</f>
        <v/>
      </c>
      <c r="J1423" s="16">
        <f>_xlfn.XLOOKUP(Table2[[#This Row],[Sym]],Zones!$A$2:$A$21,Zones!$B$2:$B$21)</f>
        <v/>
      </c>
      <c r="K1423" s="21" t="n"/>
    </row>
    <row r="1424">
      <c r="A1424" s="24" t="n">
        <v>3493</v>
      </c>
      <c r="B1424" s="10" t="inlineStr">
        <is>
          <t>T110 XM Thành Thắng 3</t>
        </is>
      </c>
      <c r="C1424" s="10" t="inlineStr">
        <is>
          <t>TBA 110kV XM Thành Thắng 3</t>
        </is>
      </c>
      <c r="D1424" s="3" t="inlineStr">
        <is>
          <t>B23</t>
        </is>
      </c>
      <c r="E1424" s="9" t="inlineStr">
        <is>
          <t>E24.17</t>
        </is>
      </c>
      <c r="F1424" s="15">
        <f>IF(E1424&lt;&gt;"","Đã VH","Quy hoạch điện VIII")</f>
        <v/>
      </c>
      <c r="G1424" s="16">
        <f>LEFT(B1424,FIND(" ",B1424,1)-1)</f>
        <v/>
      </c>
      <c r="H1424" s="16">
        <f>TRIM(RIGHT(B1424,LEN(B1424)-FIND(" ",B1424,1)))</f>
        <v/>
      </c>
      <c r="I1424" s="16">
        <f>_xlfn.XLOOKUP(Table2[[#This Row],[Type]],Table5[Type],Table5[Type2])</f>
        <v/>
      </c>
      <c r="J1424" s="16">
        <f>_xlfn.XLOOKUP(Table2[[#This Row],[Sym]],Zones!$A$2:$A$21,Zones!$B$2:$B$21)</f>
        <v/>
      </c>
      <c r="K1424" s="21" t="n"/>
    </row>
    <row r="1425">
      <c r="A1425" s="24" t="n">
        <v>3494</v>
      </c>
      <c r="B1425" s="10" t="inlineStr">
        <is>
          <t>T110 Bình Lục</t>
        </is>
      </c>
      <c r="C1425" s="10" t="inlineStr">
        <is>
          <t>TBA 110kV Bình Lục</t>
        </is>
      </c>
      <c r="D1425" s="3" t="inlineStr">
        <is>
          <t>B23</t>
        </is>
      </c>
      <c r="E1425" s="9" t="inlineStr">
        <is>
          <t>E24.22</t>
        </is>
      </c>
      <c r="F1425" s="15">
        <f>IF(E1425&lt;&gt;"","Đã VH","Quy hoạch điện VIII")</f>
        <v/>
      </c>
      <c r="G1425" s="16">
        <f>LEFT(B1425,FIND(" ",B1425,1)-1)</f>
        <v/>
      </c>
      <c r="H1425" s="16">
        <f>TRIM(RIGHT(B1425,LEN(B1425)-FIND(" ",B1425,1)))</f>
        <v/>
      </c>
      <c r="I1425" s="16">
        <f>_xlfn.XLOOKUP(Table2[[#This Row],[Type]],Table5[Type],Table5[Type2])</f>
        <v/>
      </c>
      <c r="J1425" s="16">
        <f>_xlfn.XLOOKUP(Table2[[#This Row],[Sym]],Zones!$A$2:$A$21,Zones!$B$2:$B$21)</f>
        <v/>
      </c>
      <c r="K1425" s="21" t="n"/>
    </row>
    <row r="1426">
      <c r="A1426" s="24" t="n">
        <v>3495</v>
      </c>
      <c r="B1426" s="10" t="inlineStr">
        <is>
          <t>T110 XM Long Thành</t>
        </is>
      </c>
      <c r="C1426" s="10" t="inlineStr">
        <is>
          <t>TBA 110kV XM Long Thành</t>
        </is>
      </c>
      <c r="D1426" s="3" t="inlineStr">
        <is>
          <t>B23</t>
        </is>
      </c>
      <c r="E1426" s="9" t="inlineStr">
        <is>
          <t>E24.18</t>
        </is>
      </c>
      <c r="F1426" s="15">
        <f>IF(E1426&lt;&gt;"","Đã VH","Quy hoạch điện VIII")</f>
        <v/>
      </c>
      <c r="G1426" s="16">
        <f>LEFT(B1426,FIND(" ",B1426,1)-1)</f>
        <v/>
      </c>
      <c r="H1426" s="16">
        <f>TRIM(RIGHT(B1426,LEN(B1426)-FIND(" ",B1426,1)))</f>
        <v/>
      </c>
      <c r="I1426" s="16">
        <f>_xlfn.XLOOKUP(Table2[[#This Row],[Type]],Table5[Type],Table5[Type2])</f>
        <v/>
      </c>
      <c r="J1426" s="16">
        <f>_xlfn.XLOOKUP(Table2[[#This Row],[Sym]],Zones!$A$2:$A$21,Zones!$B$2:$B$21)</f>
        <v/>
      </c>
      <c r="K1426" s="21" t="n"/>
    </row>
    <row r="1427">
      <c r="A1427" s="24" t="n">
        <v>3496</v>
      </c>
      <c r="B1427" s="10" t="inlineStr">
        <is>
          <t>T110 Kim Bảng</t>
        </is>
      </c>
      <c r="C1427" s="10" t="inlineStr">
        <is>
          <t>TBA 110kV Kim Bảng</t>
        </is>
      </c>
      <c r="D1427" s="3" t="inlineStr">
        <is>
          <t>B23</t>
        </is>
      </c>
      <c r="E1427" s="9" t="inlineStr">
        <is>
          <t>E24.16</t>
        </is>
      </c>
      <c r="F1427" s="15">
        <f>IF(E1427&lt;&gt;"","Đã VH","Quy hoạch điện VIII")</f>
        <v/>
      </c>
      <c r="G1427" s="16">
        <f>LEFT(B1427,FIND(" ",B1427,1)-1)</f>
        <v/>
      </c>
      <c r="H1427" s="16">
        <f>TRIM(RIGHT(B1427,LEN(B1427)-FIND(" ",B1427,1)))</f>
        <v/>
      </c>
      <c r="I1427" s="16">
        <f>_xlfn.XLOOKUP(Table2[[#This Row],[Type]],Table5[Type],Table5[Type2])</f>
        <v/>
      </c>
      <c r="J1427" s="16">
        <f>_xlfn.XLOOKUP(Table2[[#This Row],[Sym]],Zones!$A$2:$A$21,Zones!$B$2:$B$21)</f>
        <v/>
      </c>
      <c r="K1427" s="21" t="n"/>
    </row>
    <row r="1428">
      <c r="A1428" s="24" t="n">
        <v>3497</v>
      </c>
      <c r="B1428" s="10" t="inlineStr">
        <is>
          <t>T110 Kiện Khê</t>
        </is>
      </c>
      <c r="C1428" s="10" t="inlineStr">
        <is>
          <t>TBA 110kV Kiện Khê</t>
        </is>
      </c>
      <c r="D1428" s="3" t="inlineStr">
        <is>
          <t>B23</t>
        </is>
      </c>
      <c r="E1428" s="9" t="inlineStr">
        <is>
          <t>E24.19</t>
        </is>
      </c>
      <c r="F1428" s="15">
        <f>IF(E1428&lt;&gt;"","Đã VH","Quy hoạch điện VIII")</f>
        <v/>
      </c>
      <c r="G1428" s="16">
        <f>LEFT(B1428,FIND(" ",B1428,1)-1)</f>
        <v/>
      </c>
      <c r="H1428" s="16">
        <f>TRIM(RIGHT(B1428,LEN(B1428)-FIND(" ",B1428,1)))</f>
        <v/>
      </c>
      <c r="I1428" s="16">
        <f>_xlfn.XLOOKUP(Table2[[#This Row],[Type]],Table5[Type],Table5[Type2])</f>
        <v/>
      </c>
      <c r="J1428" s="16">
        <f>_xlfn.XLOOKUP(Table2[[#This Row],[Sym]],Zones!$A$2:$A$21,Zones!$B$2:$B$21)</f>
        <v/>
      </c>
      <c r="K1428" s="21" t="n"/>
    </row>
    <row r="1429">
      <c r="A1429" s="24" t="n">
        <v>3498</v>
      </c>
      <c r="B1429" s="10" t="inlineStr">
        <is>
          <t>T110 XM Xuân Thành DC3</t>
        </is>
      </c>
      <c r="C1429" s="10" t="inlineStr">
        <is>
          <t>TBA 110kV XM Xuân Thành DC3</t>
        </is>
      </c>
      <c r="D1429" s="3" t="inlineStr">
        <is>
          <t>B23</t>
        </is>
      </c>
      <c r="E1429" s="9" t="inlineStr">
        <is>
          <t>E24.21</t>
        </is>
      </c>
      <c r="F1429" s="15">
        <f>IF(E1429&lt;&gt;"","Đã VH","Quy hoạch điện VIII")</f>
        <v/>
      </c>
      <c r="G1429" s="16">
        <f>LEFT(B1429,FIND(" ",B1429,1)-1)</f>
        <v/>
      </c>
      <c r="H1429" s="16">
        <f>TRIM(RIGHT(B1429,LEN(B1429)-FIND(" ",B1429,1)))</f>
        <v/>
      </c>
      <c r="I1429" s="16">
        <f>_xlfn.XLOOKUP(Table2[[#This Row],[Type]],Table5[Type],Table5[Type2])</f>
        <v/>
      </c>
      <c r="J1429" s="16">
        <f>_xlfn.XLOOKUP(Table2[[#This Row],[Sym]],Zones!$A$2:$A$21,Zones!$B$2:$B$21)</f>
        <v/>
      </c>
      <c r="K1429" s="21" t="n"/>
    </row>
    <row r="1430">
      <c r="A1430" s="24" t="n">
        <v>3499</v>
      </c>
      <c r="B1430" s="10" t="inlineStr">
        <is>
          <t>T110 Hòa Mạc</t>
        </is>
      </c>
      <c r="C1430" s="10" t="inlineStr">
        <is>
          <t>TBA 110kV Hòa Mạc</t>
        </is>
      </c>
      <c r="D1430" s="3" t="inlineStr">
        <is>
          <t>B23</t>
        </is>
      </c>
      <c r="E1430" s="9" t="inlineStr">
        <is>
          <t>E24.24</t>
        </is>
      </c>
      <c r="F1430" s="15">
        <f>IF(E1430&lt;&gt;"","Đã VH","Quy hoạch điện VIII")</f>
        <v/>
      </c>
      <c r="G1430" s="16">
        <f>LEFT(B1430,FIND(" ",B1430,1)-1)</f>
        <v/>
      </c>
      <c r="H1430" s="16">
        <f>TRIM(RIGHT(B1430,LEN(B1430)-FIND(" ",B1430,1)))</f>
        <v/>
      </c>
      <c r="I1430" s="16">
        <f>_xlfn.XLOOKUP(Table2[[#This Row],[Type]],Table5[Type],Table5[Type2])</f>
        <v/>
      </c>
      <c r="J1430" s="16">
        <f>_xlfn.XLOOKUP(Table2[[#This Row],[Sym]],Zones!$A$2:$A$21,Zones!$B$2:$B$21)</f>
        <v/>
      </c>
      <c r="K1430" s="21" t="n"/>
    </row>
    <row r="1431">
      <c r="A1431" s="24" t="n">
        <v>3500</v>
      </c>
      <c r="B1431" s="10" t="inlineStr">
        <is>
          <t>T110 Seoul</t>
        </is>
      </c>
      <c r="C1431" s="10" t="inlineStr">
        <is>
          <t>TBA 110kV Seoul</t>
        </is>
      </c>
      <c r="D1431" s="3" t="inlineStr">
        <is>
          <t>B23</t>
        </is>
      </c>
      <c r="E1431" s="9" t="inlineStr">
        <is>
          <t>E24.23</t>
        </is>
      </c>
      <c r="F1431" s="15">
        <f>IF(E1431&lt;&gt;"","Đã VH","Quy hoạch điện VIII")</f>
        <v/>
      </c>
      <c r="G1431" s="16">
        <f>LEFT(B1431,FIND(" ",B1431,1)-1)</f>
        <v/>
      </c>
      <c r="H1431" s="16">
        <f>TRIM(RIGHT(B1431,LEN(B1431)-FIND(" ",B1431,1)))</f>
        <v/>
      </c>
      <c r="I1431" s="16">
        <f>_xlfn.XLOOKUP(Table2[[#This Row],[Type]],Table5[Type],Table5[Type2])</f>
        <v/>
      </c>
      <c r="J1431" s="16">
        <f>_xlfn.XLOOKUP(Table2[[#This Row],[Sym]],Zones!$A$2:$A$21,Zones!$B$2:$B$21)</f>
        <v/>
      </c>
      <c r="K1431" s="21" t="n"/>
    </row>
    <row r="1432">
      <c r="A1432" s="24" t="n">
        <v>3501</v>
      </c>
      <c r="B1432" s="10" t="inlineStr">
        <is>
          <t>T110 Nhân Mỹ</t>
        </is>
      </c>
      <c r="C1432" s="10" t="inlineStr">
        <is>
          <t>TBA 110kV Nhân Mỹ</t>
        </is>
      </c>
      <c r="D1432" s="3" t="inlineStr">
        <is>
          <t>B23</t>
        </is>
      </c>
      <c r="E1432" s="9" t="inlineStr">
        <is>
          <t>E24.26</t>
        </is>
      </c>
      <c r="F1432" s="15">
        <f>IF(E1432&lt;&gt;"","Đã VH","Quy hoạch điện VIII")</f>
        <v/>
      </c>
      <c r="G1432" s="16">
        <f>LEFT(B1432,FIND(" ",B1432,1)-1)</f>
        <v/>
      </c>
      <c r="H1432" s="16">
        <f>TRIM(RIGHT(B1432,LEN(B1432)-FIND(" ",B1432,1)))</f>
        <v/>
      </c>
      <c r="I1432" s="16">
        <f>_xlfn.XLOOKUP(Table2[[#This Row],[Type]],Table5[Type],Table5[Type2])</f>
        <v/>
      </c>
      <c r="J1432" s="16">
        <f>_xlfn.XLOOKUP(Table2[[#This Row],[Sym]],Zones!$A$2:$A$21,Zones!$B$2:$B$21)</f>
        <v/>
      </c>
      <c r="K1432" s="21" t="n"/>
    </row>
    <row r="1433">
      <c r="A1433" s="24" t="n">
        <v>3502</v>
      </c>
      <c r="B1433" s="10" t="inlineStr">
        <is>
          <t>T110 XM Bút Sơn 2</t>
        </is>
      </c>
      <c r="C1433" s="10" t="inlineStr">
        <is>
          <t>TBA 110kV XM Bút Sơn 2</t>
        </is>
      </c>
      <c r="D1433" s="3" t="inlineStr">
        <is>
          <t>B23</t>
        </is>
      </c>
      <c r="E1433" s="9" t="inlineStr">
        <is>
          <t>E24.7</t>
        </is>
      </c>
      <c r="F1433" s="15">
        <f>IF(E1433&lt;&gt;"","Đã VH","Quy hoạch điện VIII")</f>
        <v/>
      </c>
      <c r="G1433" s="16">
        <f>LEFT(B1433,FIND(" ",B1433,1)-1)</f>
        <v/>
      </c>
      <c r="H1433" s="16">
        <f>TRIM(RIGHT(B1433,LEN(B1433)-FIND(" ",B1433,1)))</f>
        <v/>
      </c>
      <c r="I1433" s="16">
        <f>_xlfn.XLOOKUP(Table2[[#This Row],[Type]],Table5[Type],Table5[Type2])</f>
        <v/>
      </c>
      <c r="J1433" s="16">
        <f>_xlfn.XLOOKUP(Table2[[#This Row],[Sym]],Zones!$A$2:$A$21,Zones!$B$2:$B$21)</f>
        <v/>
      </c>
      <c r="K1433" s="21" t="n"/>
    </row>
    <row r="1434">
      <c r="A1434" s="24" t="n">
        <v>3503</v>
      </c>
      <c r="B1434" s="10" t="inlineStr">
        <is>
          <t>T110 Đồng Văn 4</t>
        </is>
      </c>
      <c r="C1434" s="10" t="inlineStr">
        <is>
          <t>TBA 110kV Đồng Văn 4</t>
        </is>
      </c>
      <c r="D1434" s="3" t="inlineStr">
        <is>
          <t>B23</t>
        </is>
      </c>
      <c r="E1434" s="9" t="inlineStr">
        <is>
          <t>E24.14</t>
        </is>
      </c>
      <c r="F1434" s="15">
        <f>IF(E1434&lt;&gt;"","Đã VH","Quy hoạch điện VIII")</f>
        <v/>
      </c>
      <c r="G1434" s="16">
        <f>LEFT(B1434,FIND(" ",B1434,1)-1)</f>
        <v/>
      </c>
      <c r="H1434" s="16">
        <f>TRIM(RIGHT(B1434,LEN(B1434)-FIND(" ",B1434,1)))</f>
        <v/>
      </c>
      <c r="I1434" s="16">
        <f>_xlfn.XLOOKUP(Table2[[#This Row],[Type]],Table5[Type],Table5[Type2])</f>
        <v/>
      </c>
      <c r="J1434" s="16">
        <f>_xlfn.XLOOKUP(Table2[[#This Row],[Sym]],Zones!$A$2:$A$21,Zones!$B$2:$B$21)</f>
        <v/>
      </c>
      <c r="K1434" s="21" t="n"/>
    </row>
    <row r="1435">
      <c r="A1435" s="24" t="n">
        <v>3504</v>
      </c>
      <c r="B1435" s="10" t="inlineStr">
        <is>
          <t>T110 XM Thành Thắng 2</t>
        </is>
      </c>
      <c r="C1435" s="10" t="inlineStr">
        <is>
          <t>TBA 110kV XM Thành Thắng 2</t>
        </is>
      </c>
      <c r="D1435" s="3" t="inlineStr">
        <is>
          <t>B23</t>
        </is>
      </c>
      <c r="E1435" s="9" t="inlineStr">
        <is>
          <t>E24.12</t>
        </is>
      </c>
      <c r="F1435" s="15">
        <f>IF(E1435&lt;&gt;"","Đã VH","Quy hoạch điện VIII")</f>
        <v/>
      </c>
      <c r="G1435" s="16">
        <f>LEFT(B1435,FIND(" ",B1435,1)-1)</f>
        <v/>
      </c>
      <c r="H1435" s="16">
        <f>TRIM(RIGHT(B1435,LEN(B1435)-FIND(" ",B1435,1)))</f>
        <v/>
      </c>
      <c r="I1435" s="16">
        <f>_xlfn.XLOOKUP(Table2[[#This Row],[Type]],Table5[Type],Table5[Type2])</f>
        <v/>
      </c>
      <c r="J1435" s="16">
        <f>_xlfn.XLOOKUP(Table2[[#This Row],[Sym]],Zones!$A$2:$A$21,Zones!$B$2:$B$21)</f>
        <v/>
      </c>
      <c r="K1435" s="21" t="n"/>
    </row>
    <row r="1436">
      <c r="A1436" s="24" t="n">
        <v>3505</v>
      </c>
      <c r="B1436" s="10" t="inlineStr">
        <is>
          <t>T220 Đồng Văn</t>
        </is>
      </c>
      <c r="C1436" s="10" t="inlineStr">
        <is>
          <t>TBA 220kV Đồng Văn</t>
        </is>
      </c>
      <c r="D1436" s="3" t="inlineStr">
        <is>
          <t>B23</t>
        </is>
      </c>
      <c r="E1436" s="9" t="n"/>
      <c r="F1436" s="15">
        <f>IF(E1436&lt;&gt;"","Đã VH","Quy hoạch điện VIII")</f>
        <v/>
      </c>
      <c r="G1436" s="16">
        <f>LEFT(B1436,FIND(" ",B1436,1)-1)</f>
        <v/>
      </c>
      <c r="H1436" s="16">
        <f>TRIM(RIGHT(B1436,LEN(B1436)-FIND(" ",B1436,1)))</f>
        <v/>
      </c>
      <c r="I1436" s="16">
        <f>_xlfn.XLOOKUP(Table2[[#This Row],[Type]],Table5[Type],Table5[Type2])</f>
        <v/>
      </c>
      <c r="J1436" s="16">
        <f>_xlfn.XLOOKUP(Table2[[#This Row],[Sym]],Zones!$A$2:$A$21,Zones!$B$2:$B$21)</f>
        <v/>
      </c>
      <c r="K1436" s="21" t="n"/>
    </row>
    <row r="1437">
      <c r="A1437" s="24" t="n">
        <v>3506</v>
      </c>
      <c r="B1437" s="10" t="inlineStr">
        <is>
          <t>T110 Châu Sơn 2</t>
        </is>
      </c>
      <c r="C1437" s="10" t="inlineStr">
        <is>
          <t>TBA 110kV Châu Sơn 2</t>
        </is>
      </c>
      <c r="D1437" s="3" t="inlineStr">
        <is>
          <t>B23</t>
        </is>
      </c>
      <c r="E1437" s="9" t="n"/>
      <c r="F1437" s="15">
        <f>IF(E1437&lt;&gt;"","Đã VH","Quy hoạch điện VIII")</f>
        <v/>
      </c>
      <c r="G1437" s="16">
        <f>LEFT(B1437,FIND(" ",B1437,1)-1)</f>
        <v/>
      </c>
      <c r="H1437" s="16">
        <f>TRIM(RIGHT(B1437,LEN(B1437)-FIND(" ",B1437,1)))</f>
        <v/>
      </c>
      <c r="I1437" s="16">
        <f>_xlfn.XLOOKUP(Table2[[#This Row],[Type]],Table5[Type],Table5[Type2])</f>
        <v/>
      </c>
      <c r="J1437" s="16">
        <f>_xlfn.XLOOKUP(Table2[[#This Row],[Sym]],Zones!$A$2:$A$21,Zones!$B$2:$B$21)</f>
        <v/>
      </c>
      <c r="K1437" s="21" t="n"/>
    </row>
    <row r="1438">
      <c r="A1438" s="24" t="n">
        <v>3507</v>
      </c>
      <c r="B1438" s="10" t="inlineStr">
        <is>
          <t>T110 XM Hoàng Long</t>
        </is>
      </c>
      <c r="C1438" s="10" t="inlineStr">
        <is>
          <t>TBA 110kV XM Hoàng Long</t>
        </is>
      </c>
      <c r="D1438" s="3" t="inlineStr">
        <is>
          <t>B23</t>
        </is>
      </c>
      <c r="E1438" s="9" t="n"/>
      <c r="F1438" s="15">
        <f>IF(E1438&lt;&gt;"","Đã VH","Quy hoạch điện VIII")</f>
        <v/>
      </c>
      <c r="G1438" s="16">
        <f>LEFT(B1438,FIND(" ",B1438,1)-1)</f>
        <v/>
      </c>
      <c r="H1438" s="16">
        <f>TRIM(RIGHT(B1438,LEN(B1438)-FIND(" ",B1438,1)))</f>
        <v/>
      </c>
      <c r="I1438" s="16">
        <f>_xlfn.XLOOKUP(Table2[[#This Row],[Type]],Table5[Type],Table5[Type2])</f>
        <v/>
      </c>
      <c r="J1438" s="16">
        <f>_xlfn.XLOOKUP(Table2[[#This Row],[Sym]],Zones!$A$2:$A$21,Zones!$B$2:$B$21)</f>
        <v/>
      </c>
      <c r="K1438" s="21" t="n"/>
    </row>
    <row r="1439">
      <c r="A1439" s="24" t="n">
        <v>3508</v>
      </c>
      <c r="B1439" s="10" t="inlineStr">
        <is>
          <t>T110 Tiên Hiệp</t>
        </is>
      </c>
      <c r="C1439" s="10" t="inlineStr">
        <is>
          <t>TBA 110kV Tiên Hiệp</t>
        </is>
      </c>
      <c r="D1439" s="3" t="inlineStr">
        <is>
          <t>B23</t>
        </is>
      </c>
      <c r="E1439" s="9" t="n"/>
      <c r="F1439" s="15">
        <f>IF(E1439&lt;&gt;"","Đã VH","Quy hoạch điện VIII")</f>
        <v/>
      </c>
      <c r="G1439" s="16">
        <f>LEFT(B1439,FIND(" ",B1439,1)-1)</f>
        <v/>
      </c>
      <c r="H1439" s="16">
        <f>TRIM(RIGHT(B1439,LEN(B1439)-FIND(" ",B1439,1)))</f>
        <v/>
      </c>
      <c r="I1439" s="16">
        <f>_xlfn.XLOOKUP(Table2[[#This Row],[Type]],Table5[Type],Table5[Type2])</f>
        <v/>
      </c>
      <c r="J1439" s="16">
        <f>_xlfn.XLOOKUP(Table2[[#This Row],[Sym]],Zones!$A$2:$A$21,Zones!$B$2:$B$21)</f>
        <v/>
      </c>
      <c r="K1439" s="21" t="n"/>
    </row>
    <row r="1440">
      <c r="A1440" s="24" t="n">
        <v>3509</v>
      </c>
      <c r="B1440" s="10" t="inlineStr">
        <is>
          <t>T110 Ba Sao</t>
        </is>
      </c>
      <c r="C1440" s="10" t="inlineStr">
        <is>
          <t>TBA 110kV Ba Sao</t>
        </is>
      </c>
      <c r="D1440" s="3" t="inlineStr">
        <is>
          <t>B23</t>
        </is>
      </c>
      <c r="E1440" s="9" t="n"/>
      <c r="F1440" s="15">
        <f>IF(E1440&lt;&gt;"","Đã VH","Quy hoạch điện VIII")</f>
        <v/>
      </c>
      <c r="G1440" s="16">
        <f>LEFT(B1440,FIND(" ",B1440,1)-1)</f>
        <v/>
      </c>
      <c r="H1440" s="16">
        <f>TRIM(RIGHT(B1440,LEN(B1440)-FIND(" ",B1440,1)))</f>
        <v/>
      </c>
      <c r="I1440" s="16">
        <f>_xlfn.XLOOKUP(Table2[[#This Row],[Type]],Table5[Type],Table5[Type2])</f>
        <v/>
      </c>
      <c r="J1440" s="16">
        <f>_xlfn.XLOOKUP(Table2[[#This Row],[Sym]],Zones!$A$2:$A$21,Zones!$B$2:$B$21)</f>
        <v/>
      </c>
      <c r="K1440" s="21" t="n"/>
    </row>
    <row r="1441">
      <c r="A1441" s="24" t="n">
        <v>3510</v>
      </c>
      <c r="B1441" s="10" t="inlineStr">
        <is>
          <t>T220 Thanh Nghị</t>
        </is>
      </c>
      <c r="C1441" s="10" t="inlineStr">
        <is>
          <t>TBA 220kV Thanh Nghị</t>
        </is>
      </c>
      <c r="D1441" s="3" t="inlineStr">
        <is>
          <t>B23</t>
        </is>
      </c>
      <c r="E1441" s="9" t="inlineStr">
        <is>
          <t>E24.15</t>
        </is>
      </c>
      <c r="F1441" s="15">
        <f>IF(E1441&lt;&gt;"","Đã VH","Quy hoạch điện VIII")</f>
        <v/>
      </c>
      <c r="G1441" s="16">
        <f>LEFT(B1441,FIND(" ",B1441,1)-1)</f>
        <v/>
      </c>
      <c r="H1441" s="16">
        <f>TRIM(RIGHT(B1441,LEN(B1441)-FIND(" ",B1441,1)))</f>
        <v/>
      </c>
      <c r="I1441" s="16">
        <f>_xlfn.XLOOKUP(Table2[[#This Row],[Type]],Table5[Type],Table5[Type2])</f>
        <v/>
      </c>
      <c r="J1441" s="16">
        <f>_xlfn.XLOOKUP(Table2[[#This Row],[Sym]],Zones!$A$2:$A$21,Zones!$B$2:$B$21)</f>
        <v/>
      </c>
      <c r="K1441" s="21" t="n"/>
    </row>
    <row r="1442">
      <c r="A1442" s="24" t="n">
        <v>3511</v>
      </c>
      <c r="B1442" s="10" t="inlineStr">
        <is>
          <t>T220 Lý Nhân</t>
        </is>
      </c>
      <c r="C1442" s="10" t="inlineStr">
        <is>
          <t>TBA 220kV Lý Nhân</t>
        </is>
      </c>
      <c r="D1442" s="3" t="inlineStr">
        <is>
          <t>B23</t>
        </is>
      </c>
      <c r="E1442" s="9" t="n"/>
      <c r="F1442" s="15">
        <f>IF(E1442&lt;&gt;"","Đã VH","Quy hoạch điện VIII")</f>
        <v/>
      </c>
      <c r="G1442" s="16">
        <f>LEFT(B1442,FIND(" ",B1442,1)-1)</f>
        <v/>
      </c>
      <c r="H1442" s="16">
        <f>TRIM(RIGHT(B1442,LEN(B1442)-FIND(" ",B1442,1)))</f>
        <v/>
      </c>
      <c r="I1442" s="16">
        <f>_xlfn.XLOOKUP(Table2[[#This Row],[Type]],Table5[Type],Table5[Type2])</f>
        <v/>
      </c>
      <c r="J1442" s="16">
        <f>_xlfn.XLOOKUP(Table2[[#This Row],[Sym]],Zones!$A$2:$A$21,Zones!$B$2:$B$21)</f>
        <v/>
      </c>
      <c r="K1442" s="21" t="n"/>
    </row>
    <row r="1443">
      <c r="A1443" s="24" t="n">
        <v>3512</v>
      </c>
      <c r="B1443" s="10" t="inlineStr">
        <is>
          <t>T110 Thái Hà</t>
        </is>
      </c>
      <c r="C1443" s="10" t="inlineStr">
        <is>
          <t>TBA 110kV Thái Hà</t>
        </is>
      </c>
      <c r="D1443" s="3" t="inlineStr">
        <is>
          <t>B23</t>
        </is>
      </c>
      <c r="E1443" s="9" t="n"/>
      <c r="F1443" s="15">
        <f>IF(E1443&lt;&gt;"","Đã VH","Quy hoạch điện VIII")</f>
        <v/>
      </c>
      <c r="G1443" s="16">
        <f>LEFT(B1443,FIND(" ",B1443,1)-1)</f>
        <v/>
      </c>
      <c r="H1443" s="16">
        <f>TRIM(RIGHT(B1443,LEN(B1443)-FIND(" ",B1443,1)))</f>
        <v/>
      </c>
      <c r="I1443" s="16">
        <f>_xlfn.XLOOKUP(Table2[[#This Row],[Type]],Table5[Type],Table5[Type2])</f>
        <v/>
      </c>
      <c r="J1443" s="16">
        <f>_xlfn.XLOOKUP(Table2[[#This Row],[Sym]],Zones!$A$2:$A$21,Zones!$B$2:$B$21)</f>
        <v/>
      </c>
      <c r="K1443" s="21" t="n"/>
    </row>
    <row r="1444">
      <c r="A1444" s="24" t="n">
        <v>3513</v>
      </c>
      <c r="B1444" s="10" t="inlineStr">
        <is>
          <t>T110 Đồng Văn 2</t>
        </is>
      </c>
      <c r="C1444" s="10" t="inlineStr">
        <is>
          <t>TBA 110kV Đồng Văn 2</t>
        </is>
      </c>
      <c r="D1444" s="3" t="inlineStr">
        <is>
          <t>B23</t>
        </is>
      </c>
      <c r="E1444" s="9" t="n"/>
      <c r="F1444" s="15">
        <f>IF(E1444&lt;&gt;"","Đã VH","Quy hoạch điện VIII")</f>
        <v/>
      </c>
      <c r="G1444" s="16">
        <f>LEFT(B1444,FIND(" ",B1444,1)-1)</f>
        <v/>
      </c>
      <c r="H1444" s="16">
        <f>TRIM(RIGHT(B1444,LEN(B1444)-FIND(" ",B1444,1)))</f>
        <v/>
      </c>
      <c r="I1444" s="16">
        <f>_xlfn.XLOOKUP(Table2[[#This Row],[Type]],Table5[Type],Table5[Type2])</f>
        <v/>
      </c>
      <c r="J1444" s="16">
        <f>_xlfn.XLOOKUP(Table2[[#This Row],[Sym]],Zones!$A$2:$A$21,Zones!$B$2:$B$21)</f>
        <v/>
      </c>
      <c r="K1444" s="21" t="n"/>
    </row>
    <row r="1445">
      <c r="A1445" s="24" t="n">
        <v>3514</v>
      </c>
      <c r="B1445" s="10" t="inlineStr">
        <is>
          <t>T110 Phủ Lý 2</t>
        </is>
      </c>
      <c r="C1445" s="10" t="inlineStr">
        <is>
          <t>TBA 110kV Phủ Lý 2</t>
        </is>
      </c>
      <c r="D1445" s="3" t="inlineStr">
        <is>
          <t>B23</t>
        </is>
      </c>
      <c r="E1445" s="9" t="n"/>
      <c r="F1445" s="15">
        <f>IF(E1445&lt;&gt;"","Đã VH","Quy hoạch điện VIII")</f>
        <v/>
      </c>
      <c r="G1445" s="16">
        <f>LEFT(B1445,FIND(" ",B1445,1)-1)</f>
        <v/>
      </c>
      <c r="H1445" s="16">
        <f>TRIM(RIGHT(B1445,LEN(B1445)-FIND(" ",B1445,1)))</f>
        <v/>
      </c>
      <c r="I1445" s="16">
        <f>_xlfn.XLOOKUP(Table2[[#This Row],[Type]],Table5[Type],Table5[Type2])</f>
        <v/>
      </c>
      <c r="J1445" s="16">
        <f>_xlfn.XLOOKUP(Table2[[#This Row],[Sym]],Zones!$A$2:$A$21,Zones!$B$2:$B$21)</f>
        <v/>
      </c>
      <c r="K1445" s="21" t="n"/>
    </row>
    <row r="1446">
      <c r="A1446" s="24" t="n">
        <v>3515</v>
      </c>
      <c r="B1446" s="10" t="inlineStr">
        <is>
          <t>T110 Phủ Lý 3</t>
        </is>
      </c>
      <c r="C1446" s="10" t="inlineStr">
        <is>
          <t>TBA 110kV Phủ Lý 3</t>
        </is>
      </c>
      <c r="D1446" s="3" t="inlineStr">
        <is>
          <t>B23</t>
        </is>
      </c>
      <c r="E1446" s="9" t="n"/>
      <c r="F1446" s="15">
        <f>IF(E1446&lt;&gt;"","Đã VH","Quy hoạch điện VIII")</f>
        <v/>
      </c>
      <c r="G1446" s="16">
        <f>LEFT(B1446,FIND(" ",B1446,1)-1)</f>
        <v/>
      </c>
      <c r="H1446" s="16">
        <f>TRIM(RIGHT(B1446,LEN(B1446)-FIND(" ",B1446,1)))</f>
        <v/>
      </c>
      <c r="I1446" s="16">
        <f>_xlfn.XLOOKUP(Table2[[#This Row],[Type]],Table5[Type],Table5[Type2])</f>
        <v/>
      </c>
      <c r="J1446" s="16">
        <f>_xlfn.XLOOKUP(Table2[[#This Row],[Sym]],Zones!$A$2:$A$21,Zones!$B$2:$B$21)</f>
        <v/>
      </c>
      <c r="K1446" s="21" t="n"/>
    </row>
    <row r="1447">
      <c r="A1447" s="24" t="n">
        <v>3516</v>
      </c>
      <c r="B1447" s="10" t="inlineStr">
        <is>
          <t>T110 Duy Tiên 2</t>
        </is>
      </c>
      <c r="C1447" s="10" t="inlineStr">
        <is>
          <t>TBA 110kV Duy Tiên 2</t>
        </is>
      </c>
      <c r="D1447" s="3" t="inlineStr">
        <is>
          <t>B23</t>
        </is>
      </c>
      <c r="E1447" s="9" t="n"/>
      <c r="F1447" s="15">
        <f>IF(E1447&lt;&gt;"","Đã VH","Quy hoạch điện VIII")</f>
        <v/>
      </c>
      <c r="G1447" s="16">
        <f>LEFT(B1447,FIND(" ",B1447,1)-1)</f>
        <v/>
      </c>
      <c r="H1447" s="16">
        <f>TRIM(RIGHT(B1447,LEN(B1447)-FIND(" ",B1447,1)))</f>
        <v/>
      </c>
      <c r="I1447" s="16">
        <f>_xlfn.XLOOKUP(Table2[[#This Row],[Type]],Table5[Type],Table5[Type2])</f>
        <v/>
      </c>
      <c r="J1447" s="16">
        <f>_xlfn.XLOOKUP(Table2[[#This Row],[Sym]],Zones!$A$2:$A$21,Zones!$B$2:$B$21)</f>
        <v/>
      </c>
      <c r="K1447" s="21" t="n"/>
    </row>
    <row r="1448">
      <c r="A1448" s="24" t="n">
        <v>3517</v>
      </c>
      <c r="B1448" s="10" t="inlineStr">
        <is>
          <t>T110 Lý Nhân 2</t>
        </is>
      </c>
      <c r="C1448" s="10" t="inlineStr">
        <is>
          <t>TBA 110kV Lý Nhân 2</t>
        </is>
      </c>
      <c r="D1448" s="3" t="inlineStr">
        <is>
          <t>B23</t>
        </is>
      </c>
      <c r="E1448" s="9" t="n"/>
      <c r="F1448" s="15">
        <f>IF(E1448&lt;&gt;"","Đã VH","Quy hoạch điện VIII")</f>
        <v/>
      </c>
      <c r="G1448" s="16">
        <f>LEFT(B1448,FIND(" ",B1448,1)-1)</f>
        <v/>
      </c>
      <c r="H1448" s="16">
        <f>TRIM(RIGHT(B1448,LEN(B1448)-FIND(" ",B1448,1)))</f>
        <v/>
      </c>
      <c r="I1448" s="16">
        <f>_xlfn.XLOOKUP(Table2[[#This Row],[Type]],Table5[Type],Table5[Type2])</f>
        <v/>
      </c>
      <c r="J1448" s="16">
        <f>_xlfn.XLOOKUP(Table2[[#This Row],[Sym]],Zones!$A$2:$A$21,Zones!$B$2:$B$21)</f>
        <v/>
      </c>
      <c r="K1448" s="21" t="n"/>
    </row>
    <row r="1449">
      <c r="A1449" s="24" t="n">
        <v>3518</v>
      </c>
      <c r="B1449" s="10" t="inlineStr">
        <is>
          <t>T110 Thanh Liêm</t>
        </is>
      </c>
      <c r="C1449" s="10" t="inlineStr">
        <is>
          <t>TBA 110kV Thanh Liêm</t>
        </is>
      </c>
      <c r="D1449" s="3" t="inlineStr">
        <is>
          <t>B23</t>
        </is>
      </c>
      <c r="E1449" s="9" t="n"/>
      <c r="F1449" s="15">
        <f>IF(E1449&lt;&gt;"","Đã VH","Quy hoạch điện VIII")</f>
        <v/>
      </c>
      <c r="G1449" s="16">
        <f>LEFT(B1449,FIND(" ",B1449,1)-1)</f>
        <v/>
      </c>
      <c r="H1449" s="16">
        <f>TRIM(RIGHT(B1449,LEN(B1449)-FIND(" ",B1449,1)))</f>
        <v/>
      </c>
      <c r="I1449" s="16">
        <f>_xlfn.XLOOKUP(Table2[[#This Row],[Type]],Table5[Type],Table5[Type2])</f>
        <v/>
      </c>
      <c r="J1449" s="16">
        <f>_xlfn.XLOOKUP(Table2[[#This Row],[Sym]],Zones!$A$2:$A$21,Zones!$B$2:$B$21)</f>
        <v/>
      </c>
      <c r="K1449" s="21" t="n"/>
    </row>
    <row r="1450">
      <c r="A1450" s="24" t="n">
        <v>3519</v>
      </c>
      <c r="B1450" s="10" t="inlineStr">
        <is>
          <t>T110 Kim Bảng 2</t>
        </is>
      </c>
      <c r="C1450" s="10" t="inlineStr">
        <is>
          <t>TBA 110kV Kim Bảng 2</t>
        </is>
      </c>
      <c r="D1450" s="3" t="inlineStr">
        <is>
          <t>B23</t>
        </is>
      </c>
      <c r="E1450" s="9" t="n"/>
      <c r="F1450" s="15">
        <f>IF(E1450&lt;&gt;"","Đã VH","Quy hoạch điện VIII")</f>
        <v/>
      </c>
      <c r="G1450" s="16">
        <f>LEFT(B1450,FIND(" ",B1450,1)-1)</f>
        <v/>
      </c>
      <c r="H1450" s="16">
        <f>TRIM(RIGHT(B1450,LEN(B1450)-FIND(" ",B1450,1)))</f>
        <v/>
      </c>
      <c r="I1450" s="16">
        <f>_xlfn.XLOOKUP(Table2[[#This Row],[Type]],Table5[Type],Table5[Type2])</f>
        <v/>
      </c>
      <c r="J1450" s="16">
        <f>_xlfn.XLOOKUP(Table2[[#This Row],[Sym]],Zones!$A$2:$A$21,Zones!$B$2:$B$21)</f>
        <v/>
      </c>
      <c r="K1450" s="21" t="n"/>
    </row>
    <row r="1451">
      <c r="A1451" s="24" t="n">
        <v>3520</v>
      </c>
      <c r="B1451" s="10" t="inlineStr">
        <is>
          <t>T110 Bình Lục 2</t>
        </is>
      </c>
      <c r="C1451" s="10" t="inlineStr">
        <is>
          <t>TBA 110kV Bình Lục 2</t>
        </is>
      </c>
      <c r="D1451" s="3" t="inlineStr">
        <is>
          <t>B23</t>
        </is>
      </c>
      <c r="E1451" s="9" t="n"/>
      <c r="F1451" s="15">
        <f>IF(E1451&lt;&gt;"","Đã VH","Quy hoạch điện VIII")</f>
        <v/>
      </c>
      <c r="G1451" s="16">
        <f>LEFT(B1451,FIND(" ",B1451,1)-1)</f>
        <v/>
      </c>
      <c r="H1451" s="16">
        <f>TRIM(RIGHT(B1451,LEN(B1451)-FIND(" ",B1451,1)))</f>
        <v/>
      </c>
      <c r="I1451" s="16">
        <f>_xlfn.XLOOKUP(Table2[[#This Row],[Type]],Table5[Type],Table5[Type2])</f>
        <v/>
      </c>
      <c r="J1451" s="16">
        <f>_xlfn.XLOOKUP(Table2[[#This Row],[Sym]],Zones!$A$2:$A$21,Zones!$B$2:$B$21)</f>
        <v/>
      </c>
      <c r="K1451" s="21" t="n"/>
    </row>
    <row r="1452">
      <c r="A1452" s="24" t="n">
        <v>3521</v>
      </c>
      <c r="B1452" s="10" t="inlineStr">
        <is>
          <t>T110 Bình Lục 3</t>
        </is>
      </c>
      <c r="C1452" s="10" t="inlineStr">
        <is>
          <t>TBA 110kV Bình Lục 3</t>
        </is>
      </c>
      <c r="D1452" s="3" t="inlineStr">
        <is>
          <t>B23</t>
        </is>
      </c>
      <c r="E1452" s="9" t="n"/>
      <c r="F1452" s="15">
        <f>IF(E1452&lt;&gt;"","Đã VH","Quy hoạch điện VIII")</f>
        <v/>
      </c>
      <c r="G1452" s="16">
        <f>LEFT(B1452,FIND(" ",B1452,1)-1)</f>
        <v/>
      </c>
      <c r="H1452" s="16">
        <f>TRIM(RIGHT(B1452,LEN(B1452)-FIND(" ",B1452,1)))</f>
        <v/>
      </c>
      <c r="I1452" s="16">
        <f>_xlfn.XLOOKUP(Table2[[#This Row],[Type]],Table5[Type],Table5[Type2])</f>
        <v/>
      </c>
      <c r="J1452" s="16">
        <f>_xlfn.XLOOKUP(Table2[[#This Row],[Sym]],Zones!$A$2:$A$21,Zones!$B$2:$B$21)</f>
        <v/>
      </c>
      <c r="K1452" s="21" t="n"/>
    </row>
    <row r="1453">
      <c r="A1453" s="24" t="n">
        <v>3522</v>
      </c>
      <c r="B1453" s="10" t="inlineStr">
        <is>
          <t>T110 Đồng Văn 5</t>
        </is>
      </c>
      <c r="C1453" s="10" t="inlineStr">
        <is>
          <t>TBA 110kV Đồng Văn 5</t>
        </is>
      </c>
      <c r="D1453" s="3" t="inlineStr">
        <is>
          <t>B23</t>
        </is>
      </c>
      <c r="E1453" s="9" t="n"/>
      <c r="F1453" s="15">
        <f>IF(E1453&lt;&gt;"","Đã VH","Quy hoạch điện VIII")</f>
        <v/>
      </c>
      <c r="G1453" s="16">
        <f>LEFT(B1453,FIND(" ",B1453,1)-1)</f>
        <v/>
      </c>
      <c r="H1453" s="16">
        <f>TRIM(RIGHT(B1453,LEN(B1453)-FIND(" ",B1453,1)))</f>
        <v/>
      </c>
      <c r="I1453" s="16">
        <f>_xlfn.XLOOKUP(Table2[[#This Row],[Type]],Table5[Type],Table5[Type2])</f>
        <v/>
      </c>
      <c r="J1453" s="16">
        <f>_xlfn.XLOOKUP(Table2[[#This Row],[Sym]],Zones!$A$2:$A$21,Zones!$B$2:$B$21)</f>
        <v/>
      </c>
      <c r="K1453" s="21" t="n"/>
    </row>
    <row r="1454">
      <c r="A1454" s="24" t="n">
        <v>3523</v>
      </c>
      <c r="B1454" s="10" t="inlineStr">
        <is>
          <t>T110 Hòa Mạc 2</t>
        </is>
      </c>
      <c r="C1454" s="10" t="inlineStr">
        <is>
          <t>TBA 110kV Hòa Mạc 2</t>
        </is>
      </c>
      <c r="D1454" s="3" t="inlineStr">
        <is>
          <t>B23</t>
        </is>
      </c>
      <c r="E1454" s="9" t="n"/>
      <c r="F1454" s="15">
        <f>IF(E1454&lt;&gt;"","Đã VH","Quy hoạch điện VIII")</f>
        <v/>
      </c>
      <c r="G1454" s="16">
        <f>LEFT(B1454,FIND(" ",B1454,1)-1)</f>
        <v/>
      </c>
      <c r="H1454" s="16">
        <f>TRIM(RIGHT(B1454,LEN(B1454)-FIND(" ",B1454,1)))</f>
        <v/>
      </c>
      <c r="I1454" s="16">
        <f>_xlfn.XLOOKUP(Table2[[#This Row],[Type]],Table5[Type],Table5[Type2])</f>
        <v/>
      </c>
      <c r="J1454" s="16">
        <f>_xlfn.XLOOKUP(Table2[[#This Row],[Sym]],Zones!$A$2:$A$21,Zones!$B$2:$B$21)</f>
        <v/>
      </c>
      <c r="K1454" s="21" t="n"/>
    </row>
    <row r="1455">
      <c r="A1455" s="24" t="n">
        <v>3524</v>
      </c>
      <c r="B1455" s="10" t="inlineStr">
        <is>
          <t>T110 Kim Bảng 3</t>
        </is>
      </c>
      <c r="C1455" s="10" t="inlineStr">
        <is>
          <t>TBA 110kV Kim Bảng 3</t>
        </is>
      </c>
      <c r="D1455" s="3" t="inlineStr">
        <is>
          <t>B23</t>
        </is>
      </c>
      <c r="E1455" s="9" t="n"/>
      <c r="F1455" s="15">
        <f>IF(E1455&lt;&gt;"","Đã VH","Quy hoạch điện VIII")</f>
        <v/>
      </c>
      <c r="G1455" s="16">
        <f>LEFT(B1455,FIND(" ",B1455,1)-1)</f>
        <v/>
      </c>
      <c r="H1455" s="16">
        <f>TRIM(RIGHT(B1455,LEN(B1455)-FIND(" ",B1455,1)))</f>
        <v/>
      </c>
      <c r="I1455" s="16">
        <f>_xlfn.XLOOKUP(Table2[[#This Row],[Type]],Table5[Type],Table5[Type2])</f>
        <v/>
      </c>
      <c r="J1455" s="16">
        <f>_xlfn.XLOOKUP(Table2[[#This Row],[Sym]],Zones!$A$2:$A$21,Zones!$B$2:$B$21)</f>
        <v/>
      </c>
      <c r="K1455" s="21" t="n"/>
    </row>
    <row r="1456">
      <c r="A1456" s="24" t="n">
        <v>3525</v>
      </c>
      <c r="B1456" s="10" t="inlineStr">
        <is>
          <t>T110 Kim Bảng 4</t>
        </is>
      </c>
      <c r="C1456" s="10" t="inlineStr">
        <is>
          <t>TBA 110kV Kim Bảng 4</t>
        </is>
      </c>
      <c r="D1456" s="3" t="inlineStr">
        <is>
          <t>B23</t>
        </is>
      </c>
      <c r="E1456" s="9" t="n"/>
      <c r="F1456" s="15">
        <f>IF(E1456&lt;&gt;"","Đã VH","Quy hoạch điện VIII")</f>
        <v/>
      </c>
      <c r="G1456" s="16">
        <f>LEFT(B1456,FIND(" ",B1456,1)-1)</f>
        <v/>
      </c>
      <c r="H1456" s="16">
        <f>TRIM(RIGHT(B1456,LEN(B1456)-FIND(" ",B1456,1)))</f>
        <v/>
      </c>
      <c r="I1456" s="16">
        <f>_xlfn.XLOOKUP(Table2[[#This Row],[Type]],Table5[Type],Table5[Type2])</f>
        <v/>
      </c>
      <c r="J1456" s="16">
        <f>_xlfn.XLOOKUP(Table2[[#This Row],[Sym]],Zones!$A$2:$A$21,Zones!$B$2:$B$21)</f>
        <v/>
      </c>
      <c r="K1456" s="21" t="n"/>
    </row>
    <row r="1457">
      <c r="A1457" s="24" t="n">
        <v>3526</v>
      </c>
      <c r="B1457" s="10" t="inlineStr">
        <is>
          <t>T110 Thái Hà 2</t>
        </is>
      </c>
      <c r="C1457" s="10" t="inlineStr">
        <is>
          <t>TBA 110kV Thái Hà 2</t>
        </is>
      </c>
      <c r="D1457" s="3" t="inlineStr">
        <is>
          <t>B23</t>
        </is>
      </c>
      <c r="E1457" s="9" t="n"/>
      <c r="F1457" s="15">
        <f>IF(E1457&lt;&gt;"","Đã VH","Quy hoạch điện VIII")</f>
        <v/>
      </c>
      <c r="G1457" s="16">
        <f>LEFT(B1457,FIND(" ",B1457,1)-1)</f>
        <v/>
      </c>
      <c r="H1457" s="16">
        <f>TRIM(RIGHT(B1457,LEN(B1457)-FIND(" ",B1457,1)))</f>
        <v/>
      </c>
      <c r="I1457" s="16">
        <f>_xlfn.XLOOKUP(Table2[[#This Row],[Type]],Table5[Type],Table5[Type2])</f>
        <v/>
      </c>
      <c r="J1457" s="16">
        <f>_xlfn.XLOOKUP(Table2[[#This Row],[Sym]],Zones!$A$2:$A$21,Zones!$B$2:$B$21)</f>
        <v/>
      </c>
      <c r="K1457" s="21" t="n"/>
    </row>
    <row r="1458">
      <c r="A1458" s="24" t="n">
        <v>3527</v>
      </c>
      <c r="B1458" s="10" t="inlineStr">
        <is>
          <t>T110 Thái Hà 3</t>
        </is>
      </c>
      <c r="C1458" s="10" t="inlineStr">
        <is>
          <t>TBA 110kV Thái Hà 3</t>
        </is>
      </c>
      <c r="D1458" s="3" t="inlineStr">
        <is>
          <t>B23</t>
        </is>
      </c>
      <c r="E1458" s="9" t="n"/>
      <c r="F1458" s="15">
        <f>IF(E1458&lt;&gt;"","Đã VH","Quy hoạch điện VIII")</f>
        <v/>
      </c>
      <c r="G1458" s="16">
        <f>LEFT(B1458,FIND(" ",B1458,1)-1)</f>
        <v/>
      </c>
      <c r="H1458" s="16">
        <f>TRIM(RIGHT(B1458,LEN(B1458)-FIND(" ",B1458,1)))</f>
        <v/>
      </c>
      <c r="I1458" s="16">
        <f>_xlfn.XLOOKUP(Table2[[#This Row],[Type]],Table5[Type],Table5[Type2])</f>
        <v/>
      </c>
      <c r="J1458" s="16">
        <f>_xlfn.XLOOKUP(Table2[[#This Row],[Sym]],Zones!$A$2:$A$21,Zones!$B$2:$B$21)</f>
        <v/>
      </c>
      <c r="K1458" s="21" t="n"/>
    </row>
    <row r="1459">
      <c r="A1459" s="24" t="n">
        <v>3528</v>
      </c>
      <c r="B1459" s="10" t="inlineStr">
        <is>
          <t>T110 Lý Nhân 3</t>
        </is>
      </c>
      <c r="C1459" s="10" t="inlineStr">
        <is>
          <t>TBA 110kV Lý Nhân 3</t>
        </is>
      </c>
      <c r="D1459" s="3" t="inlineStr">
        <is>
          <t>B23</t>
        </is>
      </c>
      <c r="E1459" s="9" t="n"/>
      <c r="F1459" s="15">
        <f>IF(E1459&lt;&gt;"","Đã VH","Quy hoạch điện VIII")</f>
        <v/>
      </c>
      <c r="G1459" s="16">
        <f>LEFT(B1459,FIND(" ",B1459,1)-1)</f>
        <v/>
      </c>
      <c r="H1459" s="16">
        <f>TRIM(RIGHT(B1459,LEN(B1459)-FIND(" ",B1459,1)))</f>
        <v/>
      </c>
      <c r="I1459" s="16">
        <f>_xlfn.XLOOKUP(Table2[[#This Row],[Type]],Table5[Type],Table5[Type2])</f>
        <v/>
      </c>
      <c r="J1459" s="16">
        <f>_xlfn.XLOOKUP(Table2[[#This Row],[Sym]],Zones!$A$2:$A$21,Zones!$B$2:$B$21)</f>
        <v/>
      </c>
      <c r="K1459" s="21" t="n"/>
    </row>
    <row r="1460">
      <c r="A1460" s="24" t="n">
        <v>3529</v>
      </c>
      <c r="B1460" s="10" t="inlineStr">
        <is>
          <t>T110 Bình Lục 4</t>
        </is>
      </c>
      <c r="C1460" s="10" t="inlineStr">
        <is>
          <t>TBA 110kV Bình Lục 4</t>
        </is>
      </c>
      <c r="D1460" s="3" t="inlineStr">
        <is>
          <t>B23</t>
        </is>
      </c>
      <c r="E1460" s="9" t="n"/>
      <c r="F1460" s="15">
        <f>IF(E1460&lt;&gt;"","Đã VH","Quy hoạch điện VIII")</f>
        <v/>
      </c>
      <c r="G1460" s="16">
        <f>LEFT(B1460,FIND(" ",B1460,1)-1)</f>
        <v/>
      </c>
      <c r="H1460" s="16">
        <f>TRIM(RIGHT(B1460,LEN(B1460)-FIND(" ",B1460,1)))</f>
        <v/>
      </c>
      <c r="I1460" s="16">
        <f>_xlfn.XLOOKUP(Table2[[#This Row],[Type]],Table5[Type],Table5[Type2])</f>
        <v/>
      </c>
      <c r="J1460" s="16">
        <f>_xlfn.XLOOKUP(Table2[[#This Row],[Sym]],Zones!$A$2:$A$21,Zones!$B$2:$B$21)</f>
        <v/>
      </c>
      <c r="K1460" s="21" t="n"/>
    </row>
    <row r="1461">
      <c r="A1461" s="24" t="n">
        <v>3530</v>
      </c>
      <c r="B1461" s="10" t="inlineStr">
        <is>
          <t>T110 Kiện Khê 2</t>
        </is>
      </c>
      <c r="C1461" s="10" t="inlineStr">
        <is>
          <t>TBA 110kV Kiện Khê 2</t>
        </is>
      </c>
      <c r="D1461" s="3" t="inlineStr">
        <is>
          <t>B23</t>
        </is>
      </c>
      <c r="E1461" s="9" t="n"/>
      <c r="F1461" s="15">
        <f>IF(E1461&lt;&gt;"","Đã VH","Quy hoạch điện VIII")</f>
        <v/>
      </c>
      <c r="G1461" s="16">
        <f>LEFT(B1461,FIND(" ",B1461,1)-1)</f>
        <v/>
      </c>
      <c r="H1461" s="16">
        <f>TRIM(RIGHT(B1461,LEN(B1461)-FIND(" ",B1461,1)))</f>
        <v/>
      </c>
      <c r="I1461" s="16">
        <f>_xlfn.XLOOKUP(Table2[[#This Row],[Type]],Table5[Type],Table5[Type2])</f>
        <v/>
      </c>
      <c r="J1461" s="16">
        <f>_xlfn.XLOOKUP(Table2[[#This Row],[Sym]],Zones!$A$2:$A$21,Zones!$B$2:$B$21)</f>
        <v/>
      </c>
      <c r="K1461" s="21" t="n"/>
    </row>
    <row r="1462">
      <c r="A1462" s="24" t="n">
        <v>3531</v>
      </c>
      <c r="B1462" s="10" t="inlineStr">
        <is>
          <t>T110 Thanh Bỉnh</t>
        </is>
      </c>
      <c r="C1462" s="10" t="inlineStr">
        <is>
          <t>TBA 110kV Thanh Bỉnh</t>
        </is>
      </c>
      <c r="D1462" s="3" t="inlineStr">
        <is>
          <t>B23</t>
        </is>
      </c>
      <c r="E1462" s="9" t="n"/>
      <c r="F1462" s="15">
        <f>IF(E1462&lt;&gt;"","Đã VH","Quy hoạch điện VIII")</f>
        <v/>
      </c>
      <c r="G1462" s="16">
        <f>LEFT(B1462,FIND(" ",B1462,1)-1)</f>
        <v/>
      </c>
      <c r="H1462" s="16">
        <f>TRIM(RIGHT(B1462,LEN(B1462)-FIND(" ",B1462,1)))</f>
        <v/>
      </c>
      <c r="I1462" s="16">
        <f>_xlfn.XLOOKUP(Table2[[#This Row],[Type]],Table5[Type],Table5[Type2])</f>
        <v/>
      </c>
      <c r="J1462" s="16">
        <f>_xlfn.XLOOKUP(Table2[[#This Row],[Sym]],Zones!$A$2:$A$21,Zones!$B$2:$B$21)</f>
        <v/>
      </c>
      <c r="K1462" s="21" t="n"/>
    </row>
    <row r="1463">
      <c r="A1463" s="24" t="n">
        <v>3532</v>
      </c>
      <c r="B1463" s="10" t="inlineStr">
        <is>
          <t>T110 Duy Tiên 3</t>
        </is>
      </c>
      <c r="C1463" s="10" t="inlineStr">
        <is>
          <t>TBA 110kV Duy Tiên 3</t>
        </is>
      </c>
      <c r="D1463" s="3" t="inlineStr">
        <is>
          <t>B23</t>
        </is>
      </c>
      <c r="E1463" s="9" t="n"/>
      <c r="F1463" s="15">
        <f>IF(E1463&lt;&gt;"","Đã VH","Quy hoạch điện VIII")</f>
        <v/>
      </c>
      <c r="G1463" s="16">
        <f>LEFT(B1463,FIND(" ",B1463,1)-1)</f>
        <v/>
      </c>
      <c r="H1463" s="16">
        <f>TRIM(RIGHT(B1463,LEN(B1463)-FIND(" ",B1463,1)))</f>
        <v/>
      </c>
      <c r="I1463" s="16">
        <f>_xlfn.XLOOKUP(Table2[[#This Row],[Type]],Table5[Type],Table5[Type2])</f>
        <v/>
      </c>
      <c r="J1463" s="16">
        <f>_xlfn.XLOOKUP(Table2[[#This Row],[Sym]],Zones!$A$2:$A$21,Zones!$B$2:$B$21)</f>
        <v/>
      </c>
      <c r="K1463" s="21" t="n"/>
    </row>
    <row r="1464">
      <c r="A1464" s="24" t="n">
        <v>3560</v>
      </c>
      <c r="B1464" s="10" t="inlineStr">
        <is>
          <t>T110 Phúc Yên</t>
        </is>
      </c>
      <c r="C1464" s="10" t="inlineStr">
        <is>
          <t>TBA 110kV Phúc Yên</t>
        </is>
      </c>
      <c r="D1464" s="3" t="inlineStr">
        <is>
          <t>B4</t>
        </is>
      </c>
      <c r="E1464" s="9" t="inlineStr">
        <is>
          <t>E25.1</t>
        </is>
      </c>
      <c r="F1464" s="15">
        <f>IF(E1464&lt;&gt;"","Đã VH","Quy hoạch điện VIII")</f>
        <v/>
      </c>
      <c r="G1464" s="16">
        <f>LEFT(B1464,FIND(" ",B1464,1)-1)</f>
        <v/>
      </c>
      <c r="H1464" s="16">
        <f>TRIM(RIGHT(B1464,LEN(B1464)-FIND(" ",B1464,1)))</f>
        <v/>
      </c>
      <c r="I1464" s="16">
        <f>_xlfn.XLOOKUP(Table2[[#This Row],[Type]],Table5[Type],Table5[Type2])</f>
        <v/>
      </c>
      <c r="J1464" s="16">
        <f>_xlfn.XLOOKUP(Table2[[#This Row],[Sym]],Zones!$A$2:$A$21,Zones!$B$2:$B$21)</f>
        <v/>
      </c>
      <c r="K1464" s="21" t="n"/>
    </row>
    <row r="1465">
      <c r="A1465" s="24" t="n">
        <v>3561</v>
      </c>
      <c r="B1465" s="10" t="inlineStr">
        <is>
          <t>T220 Vĩnh Yên</t>
        </is>
      </c>
      <c r="C1465" s="10" t="inlineStr">
        <is>
          <t>TBA 220kV Vĩnh Yên</t>
        </is>
      </c>
      <c r="D1465" s="3" t="inlineStr">
        <is>
          <t>B4</t>
        </is>
      </c>
      <c r="E1465" s="9" t="inlineStr">
        <is>
          <t>E25.2</t>
        </is>
      </c>
      <c r="F1465" s="15">
        <f>IF(E1465&lt;&gt;"","Đã VH","Quy hoạch điện VIII")</f>
        <v/>
      </c>
      <c r="G1465" s="16">
        <f>LEFT(B1465,FIND(" ",B1465,1)-1)</f>
        <v/>
      </c>
      <c r="H1465" s="16">
        <f>TRIM(RIGHT(B1465,LEN(B1465)-FIND(" ",B1465,1)))</f>
        <v/>
      </c>
      <c r="I1465" s="16">
        <f>_xlfn.XLOOKUP(Table2[[#This Row],[Type]],Table5[Type],Table5[Type2])</f>
        <v/>
      </c>
      <c r="J1465" s="16">
        <f>_xlfn.XLOOKUP(Table2[[#This Row],[Sym]],Zones!$A$2:$A$21,Zones!$B$2:$B$21)</f>
        <v/>
      </c>
      <c r="K1465" s="21" t="n"/>
    </row>
    <row r="1466">
      <c r="A1466" s="24" t="n">
        <v>3562</v>
      </c>
      <c r="B1466" s="10" t="inlineStr">
        <is>
          <t>T110 Lập Thạch</t>
        </is>
      </c>
      <c r="C1466" s="10" t="inlineStr">
        <is>
          <t>TBA 110kV Lập Thạch</t>
        </is>
      </c>
      <c r="D1466" s="3" t="inlineStr">
        <is>
          <t>B4</t>
        </is>
      </c>
      <c r="E1466" s="9" t="inlineStr">
        <is>
          <t>E25.3</t>
        </is>
      </c>
      <c r="F1466" s="15">
        <f>IF(E1466&lt;&gt;"","Đã VH","Quy hoạch điện VIII")</f>
        <v/>
      </c>
      <c r="G1466" s="16">
        <f>LEFT(B1466,FIND(" ",B1466,1)-1)</f>
        <v/>
      </c>
      <c r="H1466" s="16">
        <f>TRIM(RIGHT(B1466,LEN(B1466)-FIND(" ",B1466,1)))</f>
        <v/>
      </c>
      <c r="I1466" s="16">
        <f>_xlfn.XLOOKUP(Table2[[#This Row],[Type]],Table5[Type],Table5[Type2])</f>
        <v/>
      </c>
      <c r="J1466" s="16">
        <f>_xlfn.XLOOKUP(Table2[[#This Row],[Sym]],Zones!$A$2:$A$21,Zones!$B$2:$B$21)</f>
        <v/>
      </c>
      <c r="K1466" s="21" t="n"/>
    </row>
    <row r="1467">
      <c r="A1467" s="24" t="n">
        <v>3563</v>
      </c>
      <c r="B1467" s="10" t="inlineStr">
        <is>
          <t>T110 Thiện Kế</t>
        </is>
      </c>
      <c r="C1467" s="10" t="inlineStr">
        <is>
          <t>TBA 110kV Thiện Kế</t>
        </is>
      </c>
      <c r="D1467" s="3" t="inlineStr">
        <is>
          <t>B4</t>
        </is>
      </c>
      <c r="E1467" s="9" t="inlineStr">
        <is>
          <t>E25.4</t>
        </is>
      </c>
      <c r="F1467" s="15">
        <f>IF(E1467&lt;&gt;"","Đã VH","Quy hoạch điện VIII")</f>
        <v/>
      </c>
      <c r="G1467" s="16">
        <f>LEFT(B1467,FIND(" ",B1467,1)-1)</f>
        <v/>
      </c>
      <c r="H1467" s="16">
        <f>TRIM(RIGHT(B1467,LEN(B1467)-FIND(" ",B1467,1)))</f>
        <v/>
      </c>
      <c r="I1467" s="16">
        <f>_xlfn.XLOOKUP(Table2[[#This Row],[Type]],Table5[Type],Table5[Type2])</f>
        <v/>
      </c>
      <c r="J1467" s="16">
        <f>_xlfn.XLOOKUP(Table2[[#This Row],[Sym]],Zones!$A$2:$A$21,Zones!$B$2:$B$21)</f>
        <v/>
      </c>
      <c r="K1467" s="21" t="n"/>
    </row>
    <row r="1468">
      <c r="A1468" s="24" t="n">
        <v>3564</v>
      </c>
      <c r="B1468" s="10" t="inlineStr">
        <is>
          <t>T110 Vĩnh Tường</t>
        </is>
      </c>
      <c r="C1468" s="10" t="inlineStr">
        <is>
          <t>TBA 110kV Vĩnh Tường</t>
        </is>
      </c>
      <c r="D1468" s="3" t="inlineStr">
        <is>
          <t>B4</t>
        </is>
      </c>
      <c r="E1468" s="9" t="inlineStr">
        <is>
          <t>E25.5</t>
        </is>
      </c>
      <c r="F1468" s="15">
        <f>IF(E1468&lt;&gt;"","Đã VH","Quy hoạch điện VIII")</f>
        <v/>
      </c>
      <c r="G1468" s="16">
        <f>LEFT(B1468,FIND(" ",B1468,1)-1)</f>
        <v/>
      </c>
      <c r="H1468" s="16">
        <f>TRIM(RIGHT(B1468,LEN(B1468)-FIND(" ",B1468,1)))</f>
        <v/>
      </c>
      <c r="I1468" s="16">
        <f>_xlfn.XLOOKUP(Table2[[#This Row],[Type]],Table5[Type],Table5[Type2])</f>
        <v/>
      </c>
      <c r="J1468" s="16">
        <f>_xlfn.XLOOKUP(Table2[[#This Row],[Sym]],Zones!$A$2:$A$21,Zones!$B$2:$B$21)</f>
        <v/>
      </c>
      <c r="K1468" s="21" t="n"/>
    </row>
    <row r="1469">
      <c r="A1469" s="24" t="n">
        <v>3565</v>
      </c>
      <c r="B1469" s="10" t="inlineStr">
        <is>
          <t>T110 Hội Hợp</t>
        </is>
      </c>
      <c r="C1469" s="10" t="inlineStr">
        <is>
          <t>TBA 110kV Hội Hợp</t>
        </is>
      </c>
      <c r="D1469" s="3" t="inlineStr">
        <is>
          <t>B4</t>
        </is>
      </c>
      <c r="E1469" s="9" t="inlineStr">
        <is>
          <t>E25.6</t>
        </is>
      </c>
      <c r="F1469" s="15">
        <f>IF(E1469&lt;&gt;"","Đã VH","Quy hoạch điện VIII")</f>
        <v/>
      </c>
      <c r="G1469" s="16">
        <f>LEFT(B1469,FIND(" ",B1469,1)-1)</f>
        <v/>
      </c>
      <c r="H1469" s="16">
        <f>TRIM(RIGHT(B1469,LEN(B1469)-FIND(" ",B1469,1)))</f>
        <v/>
      </c>
      <c r="I1469" s="16">
        <f>_xlfn.XLOOKUP(Table2[[#This Row],[Type]],Table5[Type],Table5[Type2])</f>
        <v/>
      </c>
      <c r="J1469" s="16">
        <f>_xlfn.XLOOKUP(Table2[[#This Row],[Sym]],Zones!$A$2:$A$21,Zones!$B$2:$B$21)</f>
        <v/>
      </c>
      <c r="K1469" s="21" t="n"/>
    </row>
    <row r="1470">
      <c r="A1470" s="24" t="n">
        <v>3566</v>
      </c>
      <c r="B1470" s="10" t="inlineStr">
        <is>
          <t>T110 Vĩnh Yên 2</t>
        </is>
      </c>
      <c r="C1470" s="10" t="inlineStr">
        <is>
          <t>TBA 110kV Vĩnh Yên 2</t>
        </is>
      </c>
      <c r="D1470" s="3" t="inlineStr">
        <is>
          <t>B4</t>
        </is>
      </c>
      <c r="E1470" s="9" t="inlineStr">
        <is>
          <t>E25.7</t>
        </is>
      </c>
      <c r="F1470" s="15">
        <f>IF(E1470&lt;&gt;"","Đã VH","Quy hoạch điện VIII")</f>
        <v/>
      </c>
      <c r="G1470" s="16">
        <f>LEFT(B1470,FIND(" ",B1470,1)-1)</f>
        <v/>
      </c>
      <c r="H1470" s="16">
        <f>TRIM(RIGHT(B1470,LEN(B1470)-FIND(" ",B1470,1)))</f>
        <v/>
      </c>
      <c r="I1470" s="16">
        <f>_xlfn.XLOOKUP(Table2[[#This Row],[Type]],Table5[Type],Table5[Type2])</f>
        <v/>
      </c>
      <c r="J1470" s="16">
        <f>_xlfn.XLOOKUP(Table2[[#This Row],[Sym]],Zones!$A$2:$A$21,Zones!$B$2:$B$21)</f>
        <v/>
      </c>
      <c r="K1470" s="21" t="n"/>
    </row>
    <row r="1471">
      <c r="A1471" s="24" t="n">
        <v>3567</v>
      </c>
      <c r="B1471" s="10" t="inlineStr">
        <is>
          <t>T110 Vĩnh Yên</t>
        </is>
      </c>
      <c r="C1471" s="10" t="inlineStr">
        <is>
          <t>TBA 110kV Vĩnh Yên</t>
        </is>
      </c>
      <c r="D1471" s="3" t="inlineStr">
        <is>
          <t>B4</t>
        </is>
      </c>
      <c r="E1471" s="9" t="inlineStr">
        <is>
          <t>E4.3</t>
        </is>
      </c>
      <c r="F1471" s="15">
        <f>IF(E1471&lt;&gt;"","Đã VH","Quy hoạch điện VIII")</f>
        <v/>
      </c>
      <c r="G1471" s="16">
        <f>LEFT(B1471,FIND(" ",B1471,1)-1)</f>
        <v/>
      </c>
      <c r="H1471" s="16">
        <f>TRIM(RIGHT(B1471,LEN(B1471)-FIND(" ",B1471,1)))</f>
        <v/>
      </c>
      <c r="I1471" s="16">
        <f>_xlfn.XLOOKUP(Table2[[#This Row],[Type]],Table5[Type],Table5[Type2])</f>
        <v/>
      </c>
      <c r="J1471" s="16">
        <f>_xlfn.XLOOKUP(Table2[[#This Row],[Sym]],Zones!$A$2:$A$21,Zones!$B$2:$B$21)</f>
        <v/>
      </c>
      <c r="K1471" s="21" t="n"/>
    </row>
    <row r="1472">
      <c r="A1472" s="24" t="n">
        <v>3568</v>
      </c>
      <c r="B1472" s="10" t="inlineStr">
        <is>
          <t>T110 KCN Vĩnh Phúc</t>
        </is>
      </c>
      <c r="C1472" s="10" t="inlineStr">
        <is>
          <t>TBA 110kV KCN Vĩnh Phúc</t>
        </is>
      </c>
      <c r="D1472" s="3" t="inlineStr">
        <is>
          <t>B4</t>
        </is>
      </c>
      <c r="E1472" s="9" t="inlineStr">
        <is>
          <t>E25.8</t>
        </is>
      </c>
      <c r="F1472" s="15">
        <f>IF(E1472&lt;&gt;"","Đã VH","Quy hoạch điện VIII")</f>
        <v/>
      </c>
      <c r="G1472" s="16">
        <f>LEFT(B1472,FIND(" ",B1472,1)-1)</f>
        <v/>
      </c>
      <c r="H1472" s="16">
        <f>TRIM(RIGHT(B1472,LEN(B1472)-FIND(" ",B1472,1)))</f>
        <v/>
      </c>
      <c r="I1472" s="16">
        <f>_xlfn.XLOOKUP(Table2[[#This Row],[Type]],Table5[Type],Table5[Type2])</f>
        <v/>
      </c>
      <c r="J1472" s="16">
        <f>_xlfn.XLOOKUP(Table2[[#This Row],[Sym]],Zones!$A$2:$A$21,Zones!$B$2:$B$21)</f>
        <v/>
      </c>
      <c r="K1472" s="21" t="n"/>
    </row>
    <row r="1473">
      <c r="A1473" s="24" t="n">
        <v>3569</v>
      </c>
      <c r="B1473" s="10" t="inlineStr">
        <is>
          <t>T220 Vĩnh Tường</t>
        </is>
      </c>
      <c r="C1473" s="30" t="inlineStr">
        <is>
          <t>TBA 220kV Vĩnh Tường</t>
        </is>
      </c>
      <c r="D1473" s="3" t="inlineStr">
        <is>
          <t>B4</t>
        </is>
      </c>
      <c r="E1473" s="9" t="inlineStr">
        <is>
          <t>E25.10</t>
        </is>
      </c>
      <c r="F1473" s="15">
        <f>IF(E1473&lt;&gt;"","Đã VH","Quy hoạch điện VIII")</f>
        <v/>
      </c>
      <c r="G1473" s="16">
        <f>LEFT(B1473,FIND(" ",B1473,1)-1)</f>
        <v/>
      </c>
      <c r="H1473" s="16">
        <f>TRIM(RIGHT(B1473,LEN(B1473)-FIND(" ",B1473,1)))</f>
        <v/>
      </c>
      <c r="I1473" s="16">
        <f>_xlfn.XLOOKUP(Table2[[#This Row],[Type]],Table5[Type],Table5[Type2])</f>
        <v/>
      </c>
      <c r="J1473" s="16">
        <f>_xlfn.XLOOKUP(Table2[[#This Row],[Sym]],Zones!$A$2:$A$21,Zones!$B$2:$B$21)</f>
        <v/>
      </c>
      <c r="K1473" s="21" t="n"/>
      <c r="S1473" t="inlineStr">
        <is>
          <t>Đã sửa từ dashboard (TBA 220kV Vĩnh Tường ➔ TBA 220kV Vĩnh Tường)</t>
        </is>
      </c>
    </row>
    <row r="1474">
      <c r="A1474" s="24" t="n">
        <v>3570</v>
      </c>
      <c r="B1474" s="10" t="inlineStr">
        <is>
          <t>T110 Khai Quang</t>
        </is>
      </c>
      <c r="C1474" s="10" t="inlineStr">
        <is>
          <t>TBA 110kV Khai Quang</t>
        </is>
      </c>
      <c r="D1474" s="3" t="inlineStr">
        <is>
          <t>B4</t>
        </is>
      </c>
      <c r="E1474" s="9" t="inlineStr">
        <is>
          <t>E25.9</t>
        </is>
      </c>
      <c r="F1474" s="15">
        <f>IF(E1474&lt;&gt;"","Đã VH","Quy hoạch điện VIII")</f>
        <v/>
      </c>
      <c r="G1474" s="16">
        <f>LEFT(B1474,FIND(" ",B1474,1)-1)</f>
        <v/>
      </c>
      <c r="H1474" s="16">
        <f>TRIM(RIGHT(B1474,LEN(B1474)-FIND(" ",B1474,1)))</f>
        <v/>
      </c>
      <c r="I1474" s="16">
        <f>_xlfn.XLOOKUP(Table2[[#This Row],[Type]],Table5[Type],Table5[Type2])</f>
        <v/>
      </c>
      <c r="J1474" s="16">
        <f>_xlfn.XLOOKUP(Table2[[#This Row],[Sym]],Zones!$A$2:$A$21,Zones!$B$2:$B$21)</f>
        <v/>
      </c>
      <c r="K1474" s="21" t="n"/>
    </row>
    <row r="1475">
      <c r="A1475" s="24" t="n">
        <v>3571</v>
      </c>
      <c r="B1475" s="10" t="inlineStr">
        <is>
          <t>T110 Sơn Lôi</t>
        </is>
      </c>
      <c r="C1475" s="10" t="inlineStr">
        <is>
          <t>TBA 110kV Sơn Lôi</t>
        </is>
      </c>
      <c r="D1475" s="3" t="inlineStr">
        <is>
          <t>B4</t>
        </is>
      </c>
      <c r="E1475" s="9" t="n"/>
      <c r="F1475" s="15">
        <f>IF(E1475&lt;&gt;"","Đã VH","Quy hoạch điện VIII")</f>
        <v/>
      </c>
      <c r="G1475" s="16">
        <f>LEFT(B1475,FIND(" ",B1475,1)-1)</f>
        <v/>
      </c>
      <c r="H1475" s="16">
        <f>TRIM(RIGHT(B1475,LEN(B1475)-FIND(" ",B1475,1)))</f>
        <v/>
      </c>
      <c r="I1475" s="16">
        <f>_xlfn.XLOOKUP(Table2[[#This Row],[Type]],Table5[Type],Table5[Type2])</f>
        <v/>
      </c>
      <c r="J1475" s="16">
        <f>_xlfn.XLOOKUP(Table2[[#This Row],[Sym]],Zones!$A$2:$A$21,Zones!$B$2:$B$21)</f>
        <v/>
      </c>
      <c r="K1475" s="21" t="n"/>
    </row>
    <row r="1476">
      <c r="A1476" s="24" t="n">
        <v>3572</v>
      </c>
      <c r="B1476" s="10" t="inlineStr">
        <is>
          <t>T110 Tam Đảo</t>
        </is>
      </c>
      <c r="C1476" s="10" t="inlineStr">
        <is>
          <t>TBA 110kV Tam Đảo</t>
        </is>
      </c>
      <c r="D1476" s="3" t="inlineStr">
        <is>
          <t>B4</t>
        </is>
      </c>
      <c r="E1476" s="9" t="inlineStr">
        <is>
          <t>E25.11</t>
        </is>
      </c>
      <c r="F1476" s="15">
        <f>IF(E1476&lt;&gt;"","Đã VH","Quy hoạch điện VIII")</f>
        <v/>
      </c>
      <c r="G1476" s="16">
        <f>LEFT(B1476,FIND(" ",B1476,1)-1)</f>
        <v/>
      </c>
      <c r="H1476" s="16">
        <f>TRIM(RIGHT(B1476,LEN(B1476)-FIND(" ",B1476,1)))</f>
        <v/>
      </c>
      <c r="I1476" s="16">
        <f>_xlfn.XLOOKUP(Table2[[#This Row],[Type]],Table5[Type],Table5[Type2])</f>
        <v/>
      </c>
      <c r="J1476" s="16">
        <f>_xlfn.XLOOKUP(Table2[[#This Row],[Sym]],Zones!$A$2:$A$21,Zones!$B$2:$B$21)</f>
        <v/>
      </c>
      <c r="K1476" s="21" t="n"/>
    </row>
    <row r="1477">
      <c r="A1477" s="24" t="n">
        <v>3573</v>
      </c>
      <c r="B1477" s="10" t="inlineStr">
        <is>
          <t>T110 Bá Thiện</t>
        </is>
      </c>
      <c r="C1477" s="10" t="inlineStr">
        <is>
          <t>TBA 110kV Bá Thiện</t>
        </is>
      </c>
      <c r="D1477" s="3" t="inlineStr">
        <is>
          <t>B4</t>
        </is>
      </c>
      <c r="E1477" s="9" t="inlineStr">
        <is>
          <t>E25.13</t>
        </is>
      </c>
      <c r="F1477" s="15">
        <f>IF(E1477&lt;&gt;"","Đã VH","Quy hoạch điện VIII")</f>
        <v/>
      </c>
      <c r="G1477" s="16">
        <f>LEFT(B1477,FIND(" ",B1477,1)-1)</f>
        <v/>
      </c>
      <c r="H1477" s="16">
        <f>TRIM(RIGHT(B1477,LEN(B1477)-FIND(" ",B1477,1)))</f>
        <v/>
      </c>
      <c r="I1477" s="16">
        <f>_xlfn.XLOOKUP(Table2[[#This Row],[Type]],Table5[Type],Table5[Type2])</f>
        <v/>
      </c>
      <c r="J1477" s="16">
        <f>_xlfn.XLOOKUP(Table2[[#This Row],[Sym]],Zones!$A$2:$A$21,Zones!$B$2:$B$21)</f>
        <v/>
      </c>
      <c r="K1477" s="21" t="n"/>
    </row>
    <row r="1478">
      <c r="A1478" s="24" t="n">
        <v>3574</v>
      </c>
      <c r="B1478" s="10" t="inlineStr">
        <is>
          <t>T110 Đồng Sóc</t>
        </is>
      </c>
      <c r="C1478" s="10" t="inlineStr">
        <is>
          <t>TBA 110kV Đồng Sóc</t>
        </is>
      </c>
      <c r="D1478" s="3" t="inlineStr">
        <is>
          <t>B4</t>
        </is>
      </c>
      <c r="E1478" s="9" t="inlineStr">
        <is>
          <t>E25.14</t>
        </is>
      </c>
      <c r="F1478" s="15">
        <f>IF(E1478&lt;&gt;"","Đã VH","Quy hoạch điện VIII")</f>
        <v/>
      </c>
      <c r="G1478" s="16">
        <f>LEFT(B1478,FIND(" ",B1478,1)-1)</f>
        <v/>
      </c>
      <c r="H1478" s="16">
        <f>TRIM(RIGHT(B1478,LEN(B1478)-FIND(" ",B1478,1)))</f>
        <v/>
      </c>
      <c r="I1478" s="16">
        <f>_xlfn.XLOOKUP(Table2[[#This Row],[Type]],Table5[Type],Table5[Type2])</f>
        <v/>
      </c>
      <c r="J1478" s="16">
        <f>_xlfn.XLOOKUP(Table2[[#This Row],[Sym]],Zones!$A$2:$A$21,Zones!$B$2:$B$21)</f>
        <v/>
      </c>
      <c r="K1478" s="21" t="n"/>
    </row>
    <row r="1479">
      <c r="A1479" s="24" t="n">
        <v>3575</v>
      </c>
      <c r="B1479" s="10" t="inlineStr">
        <is>
          <t>T110 Nam Bình Xuyên</t>
        </is>
      </c>
      <c r="C1479" s="10" t="inlineStr">
        <is>
          <t>TBA 110kV Nam Bình Xuyên</t>
        </is>
      </c>
      <c r="D1479" s="3" t="inlineStr">
        <is>
          <t>B4</t>
        </is>
      </c>
      <c r="E1479" s="9" t="n"/>
      <c r="F1479" s="15">
        <f>IF(E1479&lt;&gt;"","Đã VH","Quy hoạch điện VIII")</f>
        <v/>
      </c>
      <c r="G1479" s="16">
        <f>LEFT(B1479,FIND(" ",B1479,1)-1)</f>
        <v/>
      </c>
      <c r="H1479" s="16">
        <f>TRIM(RIGHT(B1479,LEN(B1479)-FIND(" ",B1479,1)))</f>
        <v/>
      </c>
      <c r="I1479" s="16">
        <f>_xlfn.XLOOKUP(Table2[[#This Row],[Type]],Table5[Type],Table5[Type2])</f>
        <v/>
      </c>
      <c r="J1479" s="16">
        <f>_xlfn.XLOOKUP(Table2[[#This Row],[Sym]],Zones!$A$2:$A$21,Zones!$B$2:$B$21)</f>
        <v/>
      </c>
      <c r="K1479" s="21" t="n"/>
    </row>
    <row r="1480">
      <c r="A1480" s="24" t="n">
        <v>3576</v>
      </c>
      <c r="B1480" s="10" t="inlineStr">
        <is>
          <t>T110 Sông Lô</t>
        </is>
      </c>
      <c r="C1480" s="10" t="inlineStr">
        <is>
          <t>TBA 110kV Sông Lô</t>
        </is>
      </c>
      <c r="D1480" s="3" t="inlineStr">
        <is>
          <t>B4</t>
        </is>
      </c>
      <c r="E1480" s="9" t="inlineStr">
        <is>
          <t>E25.17</t>
        </is>
      </c>
      <c r="F1480" s="15">
        <f>IF(E1480&lt;&gt;"","Đã VH","Quy hoạch điện VIII")</f>
        <v/>
      </c>
      <c r="G1480" s="16">
        <f>LEFT(B1480,FIND(" ",B1480,1)-1)</f>
        <v/>
      </c>
      <c r="H1480" s="16">
        <f>TRIM(RIGHT(B1480,LEN(B1480)-FIND(" ",B1480,1)))</f>
        <v/>
      </c>
      <c r="I1480" s="16">
        <f>_xlfn.XLOOKUP(Table2[[#This Row],[Type]],Table5[Type],Table5[Type2])</f>
        <v/>
      </c>
      <c r="J1480" s="16">
        <f>_xlfn.XLOOKUP(Table2[[#This Row],[Sym]],Zones!$A$2:$A$21,Zones!$B$2:$B$21)</f>
        <v/>
      </c>
      <c r="K1480" s="21" t="n"/>
    </row>
    <row r="1481">
      <c r="A1481" s="24" t="n">
        <v>3577</v>
      </c>
      <c r="B1481" s="10" t="inlineStr">
        <is>
          <t>T110 Yên Lạc</t>
        </is>
      </c>
      <c r="C1481" s="10" t="inlineStr">
        <is>
          <t>TBA 110kV Yên Lạc</t>
        </is>
      </c>
      <c r="D1481" s="3" t="inlineStr">
        <is>
          <t>B4</t>
        </is>
      </c>
      <c r="E1481" s="9" t="inlineStr">
        <is>
          <t>E25.18</t>
        </is>
      </c>
      <c r="F1481" s="15">
        <f>IF(E1481&lt;&gt;"","Đã VH","Quy hoạch điện VIII")</f>
        <v/>
      </c>
      <c r="G1481" s="16">
        <f>LEFT(B1481,FIND(" ",B1481,1)-1)</f>
        <v/>
      </c>
      <c r="H1481" s="16">
        <f>TRIM(RIGHT(B1481,LEN(B1481)-FIND(" ",B1481,1)))</f>
        <v/>
      </c>
      <c r="I1481" s="16">
        <f>_xlfn.XLOOKUP(Table2[[#This Row],[Type]],Table5[Type],Table5[Type2])</f>
        <v/>
      </c>
      <c r="J1481" s="16">
        <f>_xlfn.XLOOKUP(Table2[[#This Row],[Sym]],Zones!$A$2:$A$21,Zones!$B$2:$B$21)</f>
        <v/>
      </c>
      <c r="K1481" s="21" t="n"/>
    </row>
    <row r="1482">
      <c r="A1482" s="24" t="n">
        <v>3578</v>
      </c>
      <c r="B1482" s="10" t="inlineStr">
        <is>
          <t>T110 Tam Dương</t>
        </is>
      </c>
      <c r="C1482" s="10" t="inlineStr">
        <is>
          <t>TBA 110kV Tam Dương</t>
        </is>
      </c>
      <c r="D1482" s="3" t="inlineStr">
        <is>
          <t>B4</t>
        </is>
      </c>
      <c r="E1482" s="9" t="inlineStr">
        <is>
          <t>E25.16</t>
        </is>
      </c>
      <c r="F1482" s="15">
        <f>IF(E1482&lt;&gt;"","Đã VH","Quy hoạch điện VIII")</f>
        <v/>
      </c>
      <c r="G1482" s="16">
        <f>LEFT(B1482,FIND(" ",B1482,1)-1)</f>
        <v/>
      </c>
      <c r="H1482" s="16">
        <f>TRIM(RIGHT(B1482,LEN(B1482)-FIND(" ",B1482,1)))</f>
        <v/>
      </c>
      <c r="I1482" s="16">
        <f>_xlfn.XLOOKUP(Table2[[#This Row],[Type]],Table5[Type],Table5[Type2])</f>
        <v/>
      </c>
      <c r="J1482" s="16">
        <f>_xlfn.XLOOKUP(Table2[[#This Row],[Sym]],Zones!$A$2:$A$21,Zones!$B$2:$B$21)</f>
        <v/>
      </c>
      <c r="K1482" s="21" t="n"/>
    </row>
    <row r="1483">
      <c r="A1483" s="24" t="n">
        <v>3579</v>
      </c>
      <c r="B1483" s="10" t="inlineStr">
        <is>
          <t>T110 Bá Thiện 2</t>
        </is>
      </c>
      <c r="C1483" s="10" t="inlineStr">
        <is>
          <t>TBA 110kV Bá Thiện 2</t>
        </is>
      </c>
      <c r="D1483" s="3" t="inlineStr">
        <is>
          <t>B4</t>
        </is>
      </c>
      <c r="E1483" s="9" t="n"/>
      <c r="F1483" s="15">
        <f>IF(E1483&lt;&gt;"","Đã VH","Quy hoạch điện VIII")</f>
        <v/>
      </c>
      <c r="G1483" s="16">
        <f>LEFT(B1483,FIND(" ",B1483,1)-1)</f>
        <v/>
      </c>
      <c r="H1483" s="16">
        <f>TRIM(RIGHT(B1483,LEN(B1483)-FIND(" ",B1483,1)))</f>
        <v/>
      </c>
      <c r="I1483" s="16">
        <f>_xlfn.XLOOKUP(Table2[[#This Row],[Type]],Table5[Type],Table5[Type2])</f>
        <v/>
      </c>
      <c r="J1483" s="16">
        <f>_xlfn.XLOOKUP(Table2[[#This Row],[Sym]],Zones!$A$2:$A$21,Zones!$B$2:$B$21)</f>
        <v/>
      </c>
      <c r="K1483" s="21" t="n"/>
    </row>
    <row r="1484">
      <c r="A1484" s="24" t="n">
        <v>3580</v>
      </c>
      <c r="B1484" s="10" t="inlineStr">
        <is>
          <t>T110 Sơn Lôi 2</t>
        </is>
      </c>
      <c r="C1484" s="10" t="inlineStr">
        <is>
          <t>TBA 110kV Sơn Lôi 2</t>
        </is>
      </c>
      <c r="D1484" s="3" t="inlineStr">
        <is>
          <t>B4</t>
        </is>
      </c>
      <c r="E1484" s="9" t="n"/>
      <c r="F1484" s="15">
        <f>IF(E1484&lt;&gt;"","Đã VH","Quy hoạch điện VIII")</f>
        <v/>
      </c>
      <c r="G1484" s="16">
        <f>LEFT(B1484,FIND(" ",B1484,1)-1)</f>
        <v/>
      </c>
      <c r="H1484" s="16">
        <f>TRIM(RIGHT(B1484,LEN(B1484)-FIND(" ",B1484,1)))</f>
        <v/>
      </c>
      <c r="I1484" s="16">
        <f>_xlfn.XLOOKUP(Table2[[#This Row],[Type]],Table5[Type],Table5[Type2])</f>
        <v/>
      </c>
      <c r="J1484" s="16">
        <f>_xlfn.XLOOKUP(Table2[[#This Row],[Sym]],Zones!$A$2:$A$21,Zones!$B$2:$B$21)</f>
        <v/>
      </c>
      <c r="K1484" s="21" t="n"/>
    </row>
    <row r="1485">
      <c r="A1485" s="24" t="n">
        <v>3581</v>
      </c>
      <c r="B1485" s="10" t="inlineStr">
        <is>
          <t>T110 Vĩnh Yên 3</t>
        </is>
      </c>
      <c r="C1485" s="10" t="inlineStr">
        <is>
          <t>TBA 110kV Vĩnh Yên 3</t>
        </is>
      </c>
      <c r="D1485" s="3" t="inlineStr">
        <is>
          <t>B4</t>
        </is>
      </c>
      <c r="E1485" s="9" t="n"/>
      <c r="F1485" s="15">
        <f>IF(E1485&lt;&gt;"","Đã VH","Quy hoạch điện VIII")</f>
        <v/>
      </c>
      <c r="G1485" s="16">
        <f>LEFT(B1485,FIND(" ",B1485,1)-1)</f>
        <v/>
      </c>
      <c r="H1485" s="16">
        <f>TRIM(RIGHT(B1485,LEN(B1485)-FIND(" ",B1485,1)))</f>
        <v/>
      </c>
      <c r="I1485" s="16">
        <f>_xlfn.XLOOKUP(Table2[[#This Row],[Type]],Table5[Type],Table5[Type2])</f>
        <v/>
      </c>
      <c r="J1485" s="16">
        <f>_xlfn.XLOOKUP(Table2[[#This Row],[Sym]],Zones!$A$2:$A$21,Zones!$B$2:$B$21)</f>
        <v/>
      </c>
      <c r="K1485" s="21" t="n"/>
    </row>
    <row r="1486">
      <c r="A1486" s="24" t="n">
        <v>3582</v>
      </c>
      <c r="B1486" s="10" t="inlineStr">
        <is>
          <t>T110 Nam Bình Xuyên 2</t>
        </is>
      </c>
      <c r="C1486" s="10" t="inlineStr">
        <is>
          <t>TBA 110kV Nam Bình Xuyên 2</t>
        </is>
      </c>
      <c r="D1486" s="3" t="inlineStr">
        <is>
          <t>B4</t>
        </is>
      </c>
      <c r="E1486" s="9" t="n"/>
      <c r="F1486" s="15">
        <f>IF(E1486&lt;&gt;"","Đã VH","Quy hoạch điện VIII")</f>
        <v/>
      </c>
      <c r="G1486" s="16">
        <f>LEFT(B1486,FIND(" ",B1486,1)-1)</f>
        <v/>
      </c>
      <c r="H1486" s="16">
        <f>TRIM(RIGHT(B1486,LEN(B1486)-FIND(" ",B1486,1)))</f>
        <v/>
      </c>
      <c r="I1486" s="16">
        <f>_xlfn.XLOOKUP(Table2[[#This Row],[Type]],Table5[Type],Table5[Type2])</f>
        <v/>
      </c>
      <c r="J1486" s="16">
        <f>_xlfn.XLOOKUP(Table2[[#This Row],[Sym]],Zones!$A$2:$A$21,Zones!$B$2:$B$21)</f>
        <v/>
      </c>
      <c r="K1486" s="21" t="n"/>
    </row>
    <row r="1487">
      <c r="A1487" s="24" t="n">
        <v>3583</v>
      </c>
      <c r="B1487" s="10" t="inlineStr">
        <is>
          <t>T110 Phúc Yên 2</t>
        </is>
      </c>
      <c r="C1487" s="10" t="inlineStr">
        <is>
          <t>TBA 110kV Phúc Yên 2</t>
        </is>
      </c>
      <c r="D1487" s="3" t="inlineStr">
        <is>
          <t>B4</t>
        </is>
      </c>
      <c r="E1487" s="9" t="n"/>
      <c r="F1487" s="15">
        <f>IF(E1487&lt;&gt;"","Đã VH","Quy hoạch điện VIII")</f>
        <v/>
      </c>
      <c r="G1487" s="16">
        <f>LEFT(B1487,FIND(" ",B1487,1)-1)</f>
        <v/>
      </c>
      <c r="H1487" s="16">
        <f>TRIM(RIGHT(B1487,LEN(B1487)-FIND(" ",B1487,1)))</f>
        <v/>
      </c>
      <c r="I1487" s="16">
        <f>_xlfn.XLOOKUP(Table2[[#This Row],[Type]],Table5[Type],Table5[Type2])</f>
        <v/>
      </c>
      <c r="J1487" s="16">
        <f>_xlfn.XLOOKUP(Table2[[#This Row],[Sym]],Zones!$A$2:$A$21,Zones!$B$2:$B$21)</f>
        <v/>
      </c>
      <c r="K1487" s="21" t="n"/>
    </row>
    <row r="1488">
      <c r="A1488" s="24" t="n">
        <v>3584</v>
      </c>
      <c r="B1488" s="10" t="inlineStr">
        <is>
          <t>T110 Xuân Hòa</t>
        </is>
      </c>
      <c r="C1488" s="10" t="inlineStr">
        <is>
          <t>TBA 110kV Xuân Hòa</t>
        </is>
      </c>
      <c r="D1488" s="3" t="inlineStr">
        <is>
          <t>B4</t>
        </is>
      </c>
      <c r="E1488" s="9" t="n"/>
      <c r="F1488" s="15">
        <f>IF(E1488&lt;&gt;"","Đã VH","Quy hoạch điện VIII")</f>
        <v/>
      </c>
      <c r="G1488" s="16">
        <f>LEFT(B1488,FIND(" ",B1488,1)-1)</f>
        <v/>
      </c>
      <c r="H1488" s="16">
        <f>TRIM(RIGHT(B1488,LEN(B1488)-FIND(" ",B1488,1)))</f>
        <v/>
      </c>
      <c r="I1488" s="16">
        <f>_xlfn.XLOOKUP(Table2[[#This Row],[Type]],Table5[Type],Table5[Type2])</f>
        <v/>
      </c>
      <c r="J1488" s="16">
        <f>_xlfn.XLOOKUP(Table2[[#This Row],[Sym]],Zones!$A$2:$A$21,Zones!$B$2:$B$21)</f>
        <v/>
      </c>
      <c r="K1488" s="21" t="n"/>
    </row>
    <row r="1489">
      <c r="A1489" s="24" t="n">
        <v>3585</v>
      </c>
      <c r="B1489" s="10" t="inlineStr">
        <is>
          <t>T110 Chấn Hưng</t>
        </is>
      </c>
      <c r="C1489" s="10" t="inlineStr">
        <is>
          <t>TBA 110kV Chấn Hưng</t>
        </is>
      </c>
      <c r="D1489" s="3" t="inlineStr">
        <is>
          <t>B4</t>
        </is>
      </c>
      <c r="E1489" s="9" t="n"/>
      <c r="F1489" s="15">
        <f>IF(E1489&lt;&gt;"","Đã VH","Quy hoạch điện VIII")</f>
        <v/>
      </c>
      <c r="G1489" s="16">
        <f>LEFT(B1489,FIND(" ",B1489,1)-1)</f>
        <v/>
      </c>
      <c r="H1489" s="16">
        <f>TRIM(RIGHT(B1489,LEN(B1489)-FIND(" ",B1489,1)))</f>
        <v/>
      </c>
      <c r="I1489" s="16">
        <f>_xlfn.XLOOKUP(Table2[[#This Row],[Type]],Table5[Type],Table5[Type2])</f>
        <v/>
      </c>
      <c r="J1489" s="16">
        <f>_xlfn.XLOOKUP(Table2[[#This Row],[Sym]],Zones!$A$2:$A$21,Zones!$B$2:$B$21)</f>
        <v/>
      </c>
      <c r="K1489" s="21" t="n"/>
    </row>
    <row r="1490">
      <c r="A1490" s="24" t="n">
        <v>3586</v>
      </c>
      <c r="B1490" s="10" t="inlineStr">
        <is>
          <t>T110 Yên Lạc 2</t>
        </is>
      </c>
      <c r="C1490" s="10" t="inlineStr">
        <is>
          <t>TBA 110kV Yên Lạc 2</t>
        </is>
      </c>
      <c r="D1490" s="3" t="inlineStr">
        <is>
          <t>B4</t>
        </is>
      </c>
      <c r="E1490" s="9" t="n"/>
      <c r="F1490" s="15">
        <f>IF(E1490&lt;&gt;"","Đã VH","Quy hoạch điện VIII")</f>
        <v/>
      </c>
      <c r="G1490" s="16">
        <f>LEFT(B1490,FIND(" ",B1490,1)-1)</f>
        <v/>
      </c>
      <c r="H1490" s="16">
        <f>TRIM(RIGHT(B1490,LEN(B1490)-FIND(" ",B1490,1)))</f>
        <v/>
      </c>
      <c r="I1490" s="16">
        <f>_xlfn.XLOOKUP(Table2[[#This Row],[Type]],Table5[Type],Table5[Type2])</f>
        <v/>
      </c>
      <c r="J1490" s="16">
        <f>_xlfn.XLOOKUP(Table2[[#This Row],[Sym]],Zones!$A$2:$A$21,Zones!$B$2:$B$21)</f>
        <v/>
      </c>
      <c r="K1490" s="21" t="n"/>
    </row>
    <row r="1491">
      <c r="A1491" s="24" t="n">
        <v>3587</v>
      </c>
      <c r="B1491" s="10" t="inlineStr">
        <is>
          <t>T110 Tam Dương 2</t>
        </is>
      </c>
      <c r="C1491" s="10" t="inlineStr">
        <is>
          <t>TBA 110kV Tam Dương 2</t>
        </is>
      </c>
      <c r="D1491" s="3" t="inlineStr">
        <is>
          <t>B4</t>
        </is>
      </c>
      <c r="E1491" s="9" t="n"/>
      <c r="F1491" s="15">
        <f>IF(E1491&lt;&gt;"","Đã VH","Quy hoạch điện VIII")</f>
        <v/>
      </c>
      <c r="G1491" s="16">
        <f>LEFT(B1491,FIND(" ",B1491,1)-1)</f>
        <v/>
      </c>
      <c r="H1491" s="16">
        <f>TRIM(RIGHT(B1491,LEN(B1491)-FIND(" ",B1491,1)))</f>
        <v/>
      </c>
      <c r="I1491" s="16">
        <f>_xlfn.XLOOKUP(Table2[[#This Row],[Type]],Table5[Type],Table5[Type2])</f>
        <v/>
      </c>
      <c r="J1491" s="16">
        <f>_xlfn.XLOOKUP(Table2[[#This Row],[Sym]],Zones!$A$2:$A$21,Zones!$B$2:$B$21)</f>
        <v/>
      </c>
      <c r="K1491" s="21" t="n"/>
    </row>
    <row r="1492">
      <c r="A1492" s="24" t="n">
        <v>3588</v>
      </c>
      <c r="B1492" s="10" t="inlineStr">
        <is>
          <t>T110 Thanh Vân</t>
        </is>
      </c>
      <c r="C1492" s="10" t="inlineStr">
        <is>
          <t>TBA 110kV Thanh Vân</t>
        </is>
      </c>
      <c r="D1492" s="3" t="inlineStr">
        <is>
          <t>B4</t>
        </is>
      </c>
      <c r="E1492" s="9" t="n"/>
      <c r="F1492" s="15">
        <f>IF(E1492&lt;&gt;"","Đã VH","Quy hoạch điện VIII")</f>
        <v/>
      </c>
      <c r="G1492" s="16">
        <f>LEFT(B1492,FIND(" ",B1492,1)-1)</f>
        <v/>
      </c>
      <c r="H1492" s="16">
        <f>TRIM(RIGHT(B1492,LEN(B1492)-FIND(" ",B1492,1)))</f>
        <v/>
      </c>
      <c r="I1492" s="16">
        <f>_xlfn.XLOOKUP(Table2[[#This Row],[Type]],Table5[Type],Table5[Type2])</f>
        <v/>
      </c>
      <c r="J1492" s="16">
        <f>_xlfn.XLOOKUP(Table2[[#This Row],[Sym]],Zones!$A$2:$A$21,Zones!$B$2:$B$21)</f>
        <v/>
      </c>
      <c r="K1492" s="21" t="n"/>
    </row>
    <row r="1493">
      <c r="A1493" s="24" t="n">
        <v>3589</v>
      </c>
      <c r="B1493" s="10" t="inlineStr">
        <is>
          <t>T110 Sông Lô 2</t>
        </is>
      </c>
      <c r="C1493" s="10" t="inlineStr">
        <is>
          <t>TBA 110kV Sông Lô 2</t>
        </is>
      </c>
      <c r="D1493" s="3" t="inlineStr">
        <is>
          <t>B4</t>
        </is>
      </c>
      <c r="E1493" s="9" t="n"/>
      <c r="F1493" s="15">
        <f>IF(E1493&lt;&gt;"","Đã VH","Quy hoạch điện VIII")</f>
        <v/>
      </c>
      <c r="G1493" s="16">
        <f>LEFT(B1493,FIND(" ",B1493,1)-1)</f>
        <v/>
      </c>
      <c r="H1493" s="16">
        <f>TRIM(RIGHT(B1493,LEN(B1493)-FIND(" ",B1493,1)))</f>
        <v/>
      </c>
      <c r="I1493" s="16">
        <f>_xlfn.XLOOKUP(Table2[[#This Row],[Type]],Table5[Type],Table5[Type2])</f>
        <v/>
      </c>
      <c r="J1493" s="16">
        <f>_xlfn.XLOOKUP(Table2[[#This Row],[Sym]],Zones!$A$2:$A$21,Zones!$B$2:$B$21)</f>
        <v/>
      </c>
      <c r="K1493" s="21" t="n"/>
    </row>
    <row r="1494">
      <c r="A1494" s="24" t="n">
        <v>3590</v>
      </c>
      <c r="B1494" s="10" t="inlineStr">
        <is>
          <t>T110 Sông Lô 3</t>
        </is>
      </c>
      <c r="C1494" s="10" t="inlineStr">
        <is>
          <t>TBA 110kV Sông Lô 3</t>
        </is>
      </c>
      <c r="D1494" s="3" t="inlineStr">
        <is>
          <t>B4</t>
        </is>
      </c>
      <c r="E1494" s="9" t="n"/>
      <c r="F1494" s="15">
        <f>IF(E1494&lt;&gt;"","Đã VH","Quy hoạch điện VIII")</f>
        <v/>
      </c>
      <c r="G1494" s="16">
        <f>LEFT(B1494,FIND(" ",B1494,1)-1)</f>
        <v/>
      </c>
      <c r="H1494" s="16">
        <f>TRIM(RIGHT(B1494,LEN(B1494)-FIND(" ",B1494,1)))</f>
        <v/>
      </c>
      <c r="I1494" s="16">
        <f>_xlfn.XLOOKUP(Table2[[#This Row],[Type]],Table5[Type],Table5[Type2])</f>
        <v/>
      </c>
      <c r="J1494" s="16">
        <f>_xlfn.XLOOKUP(Table2[[#This Row],[Sym]],Zones!$A$2:$A$21,Zones!$B$2:$B$21)</f>
        <v/>
      </c>
      <c r="K1494" s="21" t="n"/>
    </row>
    <row r="1495">
      <c r="A1495" s="24" t="n">
        <v>3591</v>
      </c>
      <c r="B1495" s="10" t="inlineStr">
        <is>
          <t>T110 Lập Thạch 2</t>
        </is>
      </c>
      <c r="C1495" s="10" t="inlineStr">
        <is>
          <t>TBA 110kV Lập Thạch 2</t>
        </is>
      </c>
      <c r="D1495" s="3" t="inlineStr">
        <is>
          <t>B4</t>
        </is>
      </c>
      <c r="E1495" s="9" t="n"/>
      <c r="F1495" s="15">
        <f>IF(E1495&lt;&gt;"","Đã VH","Quy hoạch điện VIII")</f>
        <v/>
      </c>
      <c r="G1495" s="16">
        <f>LEFT(B1495,FIND(" ",B1495,1)-1)</f>
        <v/>
      </c>
      <c r="H1495" s="16">
        <f>TRIM(RIGHT(B1495,LEN(B1495)-FIND(" ",B1495,1)))</f>
        <v/>
      </c>
      <c r="I1495" s="16">
        <f>_xlfn.XLOOKUP(Table2[[#This Row],[Type]],Table5[Type],Table5[Type2])</f>
        <v/>
      </c>
      <c r="J1495" s="16">
        <f>_xlfn.XLOOKUP(Table2[[#This Row],[Sym]],Zones!$A$2:$A$21,Zones!$B$2:$B$21)</f>
        <v/>
      </c>
      <c r="K1495" s="21" t="n"/>
    </row>
    <row r="1496">
      <c r="A1496" s="24" t="n">
        <v>3592</v>
      </c>
      <c r="B1496" s="10" t="inlineStr">
        <is>
          <t>T110 Lập Thạch 3</t>
        </is>
      </c>
      <c r="C1496" s="10" t="inlineStr">
        <is>
          <t>TBA 110kV Lập Thạch 3</t>
        </is>
      </c>
      <c r="D1496" s="3" t="inlineStr">
        <is>
          <t>B4</t>
        </is>
      </c>
      <c r="E1496" s="9" t="n"/>
      <c r="F1496" s="15">
        <f>IF(E1496&lt;&gt;"","Đã VH","Quy hoạch điện VIII")</f>
        <v/>
      </c>
      <c r="G1496" s="16">
        <f>LEFT(B1496,FIND(" ",B1496,1)-1)</f>
        <v/>
      </c>
      <c r="H1496" s="16">
        <f>TRIM(RIGHT(B1496,LEN(B1496)-FIND(" ",B1496,1)))</f>
        <v/>
      </c>
      <c r="I1496" s="16">
        <f>_xlfn.XLOOKUP(Table2[[#This Row],[Type]],Table5[Type],Table5[Type2])</f>
        <v/>
      </c>
      <c r="J1496" s="16">
        <f>_xlfn.XLOOKUP(Table2[[#This Row],[Sym]],Zones!$A$2:$A$21,Zones!$B$2:$B$21)</f>
        <v/>
      </c>
      <c r="K1496" s="21" t="n"/>
    </row>
    <row r="1497">
      <c r="A1497" s="24" t="n">
        <v>3593</v>
      </c>
      <c r="B1497" s="10" t="inlineStr">
        <is>
          <t>T110 Lập Thạch 4</t>
        </is>
      </c>
      <c r="C1497" s="10" t="inlineStr">
        <is>
          <t>TBA 110kV Lập Thạch 4</t>
        </is>
      </c>
      <c r="D1497" s="3" t="inlineStr">
        <is>
          <t>B4</t>
        </is>
      </c>
      <c r="E1497" s="9" t="n"/>
      <c r="F1497" s="15">
        <f>IF(E1497&lt;&gt;"","Đã VH","Quy hoạch điện VIII")</f>
        <v/>
      </c>
      <c r="G1497" s="16">
        <f>LEFT(B1497,FIND(" ",B1497,1)-1)</f>
        <v/>
      </c>
      <c r="H1497" s="16">
        <f>TRIM(RIGHT(B1497,LEN(B1497)-FIND(" ",B1497,1)))</f>
        <v/>
      </c>
      <c r="I1497" s="16">
        <f>_xlfn.XLOOKUP(Table2[[#This Row],[Type]],Table5[Type],Table5[Type2])</f>
        <v/>
      </c>
      <c r="J1497" s="16">
        <f>_xlfn.XLOOKUP(Table2[[#This Row],[Sym]],Zones!$A$2:$A$21,Zones!$B$2:$B$21)</f>
        <v/>
      </c>
      <c r="K1497" s="21" t="n"/>
    </row>
    <row r="1498">
      <c r="A1498" s="24" t="n">
        <v>3594</v>
      </c>
      <c r="B1498" s="10" t="inlineStr">
        <is>
          <t>T110 Lập Thạch 5</t>
        </is>
      </c>
      <c r="C1498" s="10" t="inlineStr">
        <is>
          <t>TBA 110kV Lập Thạch 5</t>
        </is>
      </c>
      <c r="D1498" s="3" t="inlineStr">
        <is>
          <t>B4</t>
        </is>
      </c>
      <c r="E1498" s="9" t="n"/>
      <c r="F1498" s="15">
        <f>IF(E1498&lt;&gt;"","Đã VH","Quy hoạch điện VIII")</f>
        <v/>
      </c>
      <c r="G1498" s="16">
        <f>LEFT(B1498,FIND(" ",B1498,1)-1)</f>
        <v/>
      </c>
      <c r="H1498" s="16">
        <f>TRIM(RIGHT(B1498,LEN(B1498)-FIND(" ",B1498,1)))</f>
        <v/>
      </c>
      <c r="I1498" s="16">
        <f>_xlfn.XLOOKUP(Table2[[#This Row],[Type]],Table5[Type],Table5[Type2])</f>
        <v/>
      </c>
      <c r="J1498" s="16">
        <f>_xlfn.XLOOKUP(Table2[[#This Row],[Sym]],Zones!$A$2:$A$21,Zones!$B$2:$B$21)</f>
        <v/>
      </c>
      <c r="K1498" s="21" t="n"/>
    </row>
    <row r="1499">
      <c r="A1499" s="24" t="n">
        <v>3595</v>
      </c>
      <c r="B1499" s="10" t="inlineStr">
        <is>
          <t>T110 Tam Đảo 2</t>
        </is>
      </c>
      <c r="C1499" s="10" t="inlineStr">
        <is>
          <t>TBA 110kV Tam Đảo 2</t>
        </is>
      </c>
      <c r="D1499" s="3" t="inlineStr">
        <is>
          <t>B4</t>
        </is>
      </c>
      <c r="E1499" s="9" t="n"/>
      <c r="F1499" s="15">
        <f>IF(E1499&lt;&gt;"","Đã VH","Quy hoạch điện VIII")</f>
        <v/>
      </c>
      <c r="G1499" s="16">
        <f>LEFT(B1499,FIND(" ",B1499,1)-1)</f>
        <v/>
      </c>
      <c r="H1499" s="16">
        <f>TRIM(RIGHT(B1499,LEN(B1499)-FIND(" ",B1499,1)))</f>
        <v/>
      </c>
      <c r="I1499" s="16">
        <f>_xlfn.XLOOKUP(Table2[[#This Row],[Type]],Table5[Type],Table5[Type2])</f>
        <v/>
      </c>
      <c r="J1499" s="16">
        <f>_xlfn.XLOOKUP(Table2[[#This Row],[Sym]],Zones!$A$2:$A$21,Zones!$B$2:$B$21)</f>
        <v/>
      </c>
      <c r="K1499" s="21" t="n"/>
    </row>
    <row r="1500">
      <c r="A1500" s="24" t="n">
        <v>3596</v>
      </c>
      <c r="B1500" s="10" t="inlineStr">
        <is>
          <t>T110 Đồng Cương</t>
        </is>
      </c>
      <c r="C1500" s="10" t="inlineStr">
        <is>
          <t>TBA 110kV Đồng Cương</t>
        </is>
      </c>
      <c r="D1500" s="3" t="inlineStr">
        <is>
          <t>B4</t>
        </is>
      </c>
      <c r="E1500" s="9" t="n"/>
      <c r="F1500" s="15">
        <f>IF(E1500&lt;&gt;"","Đã VH","Quy hoạch điện VIII")</f>
        <v/>
      </c>
      <c r="G1500" s="16">
        <f>LEFT(B1500,FIND(" ",B1500,1)-1)</f>
        <v/>
      </c>
      <c r="H1500" s="16">
        <f>TRIM(RIGHT(B1500,LEN(B1500)-FIND(" ",B1500,1)))</f>
        <v/>
      </c>
      <c r="I1500" s="16">
        <f>_xlfn.XLOOKUP(Table2[[#This Row],[Type]],Table5[Type],Table5[Type2])</f>
        <v/>
      </c>
      <c r="J1500" s="16">
        <f>_xlfn.XLOOKUP(Table2[[#This Row],[Sym]],Zones!$A$2:$A$21,Zones!$B$2:$B$21)</f>
        <v/>
      </c>
      <c r="K1500" s="21" t="n"/>
    </row>
    <row r="1501">
      <c r="A1501" s="24" t="n">
        <v>3600</v>
      </c>
      <c r="B1501" s="10" t="inlineStr">
        <is>
          <t>T500 Vĩnh Yên</t>
        </is>
      </c>
      <c r="C1501" s="10" t="inlineStr">
        <is>
          <t>TBA 500kV Vĩnh Yên</t>
        </is>
      </c>
      <c r="D1501" s="3" t="inlineStr">
        <is>
          <t>B4</t>
        </is>
      </c>
      <c r="E1501" s="9" t="n"/>
      <c r="F1501" s="15">
        <f>IF(E1501&lt;&gt;"","Đã VH","Quy hoạch điện VIII")</f>
        <v/>
      </c>
      <c r="G1501" s="16">
        <f>LEFT(B1501,FIND(" ",B1501,1)-1)</f>
        <v/>
      </c>
      <c r="H1501" s="16">
        <f>TRIM(RIGHT(B1501,LEN(B1501)-FIND(" ",B1501,1)))</f>
        <v/>
      </c>
      <c r="I1501" s="16">
        <f>_xlfn.XLOOKUP(Table2[[#This Row],[Type]],Table5[Type],Table5[Type2])</f>
        <v/>
      </c>
      <c r="J1501" s="16">
        <f>_xlfn.XLOOKUP(Table2[[#This Row],[Sym]],Zones!$A$2:$A$21,Zones!$B$2:$B$21)</f>
        <v/>
      </c>
      <c r="K1501" s="21" t="n"/>
    </row>
    <row r="1502">
      <c r="A1502" s="24" t="n">
        <v>3601</v>
      </c>
      <c r="B1502" s="10" t="inlineStr">
        <is>
          <t>T220 Bá Thiện</t>
        </is>
      </c>
      <c r="C1502" s="10" t="inlineStr">
        <is>
          <t>TBA 220kV Bá Thiện</t>
        </is>
      </c>
      <c r="D1502" s="3" t="inlineStr">
        <is>
          <t>B4</t>
        </is>
      </c>
      <c r="E1502" s="9" t="inlineStr">
        <is>
          <t>E25.15</t>
        </is>
      </c>
      <c r="F1502" s="15">
        <f>IF(E1502&lt;&gt;"","Đã VH","Quy hoạch điện VIII")</f>
        <v/>
      </c>
      <c r="G1502" s="16">
        <f>LEFT(B1502,FIND(" ",B1502,1)-1)</f>
        <v/>
      </c>
      <c r="H1502" s="16">
        <f>TRIM(RIGHT(B1502,LEN(B1502)-FIND(" ",B1502,1)))</f>
        <v/>
      </c>
      <c r="I1502" s="16">
        <f>_xlfn.XLOOKUP(Table2[[#This Row],[Type]],Table5[Type],Table5[Type2])</f>
        <v/>
      </c>
      <c r="J1502" s="16">
        <f>_xlfn.XLOOKUP(Table2[[#This Row],[Sym]],Zones!$A$2:$A$21,Zones!$B$2:$B$21)</f>
        <v/>
      </c>
      <c r="K1502" s="21" t="n"/>
    </row>
    <row r="1503">
      <c r="A1503" s="24" t="n">
        <v>3602</v>
      </c>
      <c r="B1503" s="10" t="inlineStr">
        <is>
          <t>T220 Tam Dương</t>
        </is>
      </c>
      <c r="C1503" s="10" t="inlineStr">
        <is>
          <t>TBA 220kV Tam Dương</t>
        </is>
      </c>
      <c r="D1503" s="3" t="inlineStr">
        <is>
          <t>B4</t>
        </is>
      </c>
      <c r="E1503" s="9" t="n"/>
      <c r="F1503" s="15">
        <f>IF(E1503&lt;&gt;"","Đã VH","Quy hoạch điện VIII")</f>
        <v/>
      </c>
      <c r="G1503" s="16">
        <f>LEFT(B1503,FIND(" ",B1503,1)-1)</f>
        <v/>
      </c>
      <c r="H1503" s="16">
        <f>TRIM(RIGHT(B1503,LEN(B1503)-FIND(" ",B1503,1)))</f>
        <v/>
      </c>
      <c r="I1503" s="16">
        <f>_xlfn.XLOOKUP(Table2[[#This Row],[Type]],Table5[Type],Table5[Type2])</f>
        <v/>
      </c>
      <c r="J1503" s="16">
        <f>_xlfn.XLOOKUP(Table2[[#This Row],[Sym]],Zones!$A$2:$A$21,Zones!$B$2:$B$21)</f>
        <v/>
      </c>
      <c r="K1503" s="21" t="n"/>
    </row>
    <row r="1504">
      <c r="A1504" s="24" t="n">
        <v>3605</v>
      </c>
      <c r="B1504" s="10" t="inlineStr">
        <is>
          <t>T220 Phúc Yên</t>
        </is>
      </c>
      <c r="C1504" s="10" t="inlineStr">
        <is>
          <t>TBA 220kV Phúc Yên</t>
        </is>
      </c>
      <c r="D1504" s="3" t="inlineStr">
        <is>
          <t>B4</t>
        </is>
      </c>
      <c r="E1504" s="9" t="n"/>
      <c r="F1504" s="15">
        <f>IF(E1504&lt;&gt;"","Đã VH","Quy hoạch điện VIII")</f>
        <v/>
      </c>
      <c r="G1504" s="16">
        <f>LEFT(B1504,FIND(" ",B1504,1)-1)</f>
        <v/>
      </c>
      <c r="H1504" s="16">
        <f>TRIM(RIGHT(B1504,LEN(B1504)-FIND(" ",B1504,1)))</f>
        <v/>
      </c>
      <c r="I1504" s="16">
        <f>_xlfn.XLOOKUP(Table2[[#This Row],[Type]],Table5[Type],Table5[Type2])</f>
        <v/>
      </c>
      <c r="J1504" s="16">
        <f>_xlfn.XLOOKUP(Table2[[#This Row],[Sym]],Zones!$A$2:$A$21,Zones!$B$2:$B$21)</f>
        <v/>
      </c>
      <c r="K1504" s="21" t="n"/>
    </row>
    <row r="1505">
      <c r="A1505" s="24" t="n">
        <v>3606</v>
      </c>
      <c r="B1505" s="10" t="inlineStr">
        <is>
          <t>T220 Chấn Hưng</t>
        </is>
      </c>
      <c r="C1505" s="10" t="inlineStr">
        <is>
          <t>TBA 220kV Chấn Hưng</t>
        </is>
      </c>
      <c r="D1505" s="3" t="inlineStr">
        <is>
          <t>B4</t>
        </is>
      </c>
      <c r="E1505" s="9" t="n"/>
      <c r="F1505" s="15">
        <f>IF(E1505&lt;&gt;"","Đã VH","Quy hoạch điện VIII")</f>
        <v/>
      </c>
      <c r="G1505" s="16">
        <f>LEFT(B1505,FIND(" ",B1505,1)-1)</f>
        <v/>
      </c>
      <c r="H1505" s="16">
        <f>TRIM(RIGHT(B1505,LEN(B1505)-FIND(" ",B1505,1)))</f>
        <v/>
      </c>
      <c r="I1505" s="16">
        <f>_xlfn.XLOOKUP(Table2[[#This Row],[Type]],Table5[Type],Table5[Type2])</f>
        <v/>
      </c>
      <c r="J1505" s="16">
        <f>_xlfn.XLOOKUP(Table2[[#This Row],[Sym]],Zones!$A$2:$A$21,Zones!$B$2:$B$21)</f>
        <v/>
      </c>
      <c r="K1505" s="21" t="n"/>
    </row>
    <row r="1506">
      <c r="A1506" s="24" t="n">
        <v>3660</v>
      </c>
      <c r="B1506" s="10" t="inlineStr">
        <is>
          <t>T110 Bắc Kạn</t>
        </is>
      </c>
      <c r="C1506" s="10" t="inlineStr">
        <is>
          <t>TBA 110kV Bắc Kạn</t>
        </is>
      </c>
      <c r="D1506" s="3" t="inlineStr">
        <is>
          <t>B6</t>
        </is>
      </c>
      <c r="E1506" s="9" t="inlineStr">
        <is>
          <t>E26.1</t>
        </is>
      </c>
      <c r="F1506" s="15">
        <f>IF(E1506&lt;&gt;"","Đã VH","Quy hoạch điện VIII")</f>
        <v/>
      </c>
      <c r="G1506" s="16">
        <f>LEFT(B1506,FIND(" ",B1506,1)-1)</f>
        <v/>
      </c>
      <c r="H1506" s="16">
        <f>TRIM(RIGHT(B1506,LEN(B1506)-FIND(" ",B1506,1)))</f>
        <v/>
      </c>
      <c r="I1506" s="16">
        <f>_xlfn.XLOOKUP(Table2[[#This Row],[Type]],Table5[Type],Table5[Type2])</f>
        <v/>
      </c>
      <c r="J1506" s="16">
        <f>_xlfn.XLOOKUP(Table2[[#This Row],[Sym]],Zones!$A$2:$A$21,Zones!$B$2:$B$21)</f>
        <v/>
      </c>
      <c r="K1506" s="21" t="n"/>
    </row>
    <row r="1507">
      <c r="A1507" s="24" t="n">
        <v>3661</v>
      </c>
      <c r="B1507" s="10" t="inlineStr">
        <is>
          <t>T110 Chợ Đồn</t>
        </is>
      </c>
      <c r="C1507" s="10" t="inlineStr">
        <is>
          <t>TBA 110kV Chợ Đồn</t>
        </is>
      </c>
      <c r="D1507" s="3" t="inlineStr">
        <is>
          <t>B6</t>
        </is>
      </c>
      <c r="E1507" s="9" t="inlineStr">
        <is>
          <t>E26.2</t>
        </is>
      </c>
      <c r="F1507" s="15">
        <f>IF(E1507&lt;&gt;"","Đã VH","Quy hoạch điện VIII")</f>
        <v/>
      </c>
      <c r="G1507" s="16">
        <f>LEFT(B1507,FIND(" ",B1507,1)-1)</f>
        <v/>
      </c>
      <c r="H1507" s="16">
        <f>TRIM(RIGHT(B1507,LEN(B1507)-FIND(" ",B1507,1)))</f>
        <v/>
      </c>
      <c r="I1507" s="16">
        <f>_xlfn.XLOOKUP(Table2[[#This Row],[Type]],Table5[Type],Table5[Type2])</f>
        <v/>
      </c>
      <c r="J1507" s="16">
        <f>_xlfn.XLOOKUP(Table2[[#This Row],[Sym]],Zones!$A$2:$A$21,Zones!$B$2:$B$21)</f>
        <v/>
      </c>
      <c r="K1507" s="21" t="n"/>
    </row>
    <row r="1508">
      <c r="A1508" s="24" t="n">
        <v>3662</v>
      </c>
      <c r="B1508" s="10" t="inlineStr">
        <is>
          <t>T220 Bắc Kạn</t>
        </is>
      </c>
      <c r="C1508" s="10" t="inlineStr">
        <is>
          <t>TBA 220kV Bắc Kạn</t>
        </is>
      </c>
      <c r="D1508" s="3" t="inlineStr">
        <is>
          <t>B6</t>
        </is>
      </c>
      <c r="E1508" s="9" t="inlineStr">
        <is>
          <t>E26.5</t>
        </is>
      </c>
      <c r="F1508" s="15">
        <f>IF(E1508&lt;&gt;"","Đã VH","Quy hoạch điện VIII")</f>
        <v/>
      </c>
      <c r="G1508" s="16">
        <f>LEFT(B1508,FIND(" ",B1508,1)-1)</f>
        <v/>
      </c>
      <c r="H1508" s="16">
        <f>TRIM(RIGHT(B1508,LEN(B1508)-FIND(" ",B1508,1)))</f>
        <v/>
      </c>
      <c r="I1508" s="16">
        <f>_xlfn.XLOOKUP(Table2[[#This Row],[Type]],Table5[Type],Table5[Type2])</f>
        <v/>
      </c>
      <c r="J1508" s="16">
        <f>_xlfn.XLOOKUP(Table2[[#This Row],[Sym]],Zones!$A$2:$A$21,Zones!$B$2:$B$21)</f>
        <v/>
      </c>
      <c r="K1508" s="21" t="n"/>
    </row>
    <row r="1509">
      <c r="A1509" s="24" t="n">
        <v>3663</v>
      </c>
      <c r="B1509" s="10" t="inlineStr">
        <is>
          <t>T110 Nà Phặc</t>
        </is>
      </c>
      <c r="C1509" s="10" t="inlineStr">
        <is>
          <t>TBA 110kV Nà Phặc</t>
        </is>
      </c>
      <c r="D1509" s="3" t="inlineStr">
        <is>
          <t>B6</t>
        </is>
      </c>
      <c r="E1509" s="9" t="inlineStr">
        <is>
          <t>E26.3</t>
        </is>
      </c>
      <c r="F1509" s="15">
        <f>IF(E1509&lt;&gt;"","Đã VH","Quy hoạch điện VIII")</f>
        <v/>
      </c>
      <c r="G1509" s="16">
        <f>LEFT(B1509,FIND(" ",B1509,1)-1)</f>
        <v/>
      </c>
      <c r="H1509" s="16">
        <f>TRIM(RIGHT(B1509,LEN(B1509)-FIND(" ",B1509,1)))</f>
        <v/>
      </c>
      <c r="I1509" s="16">
        <f>_xlfn.XLOOKUP(Table2[[#This Row],[Type]],Table5[Type],Table5[Type2])</f>
        <v/>
      </c>
      <c r="J1509" s="16">
        <f>_xlfn.XLOOKUP(Table2[[#This Row],[Sym]],Zones!$A$2:$A$21,Zones!$B$2:$B$21)</f>
        <v/>
      </c>
      <c r="K1509" s="21" t="n"/>
    </row>
    <row r="1510">
      <c r="A1510" s="24" t="n">
        <v>3664</v>
      </c>
      <c r="B1510" s="10" t="inlineStr">
        <is>
          <t>T110 Thanh Bình</t>
        </is>
      </c>
      <c r="C1510" s="10" t="inlineStr">
        <is>
          <t>TBA 110kV Thanh Bình</t>
        </is>
      </c>
      <c r="D1510" s="3" t="inlineStr">
        <is>
          <t>B6</t>
        </is>
      </c>
      <c r="E1510" s="9" t="n"/>
      <c r="F1510" s="15">
        <f>IF(E1510&lt;&gt;"","Đã VH","Quy hoạch điện VIII")</f>
        <v/>
      </c>
      <c r="G1510" s="16">
        <f>LEFT(B1510,FIND(" ",B1510,1)-1)</f>
        <v/>
      </c>
      <c r="H1510" s="16">
        <f>TRIM(RIGHT(B1510,LEN(B1510)-FIND(" ",B1510,1)))</f>
        <v/>
      </c>
      <c r="I1510" s="16">
        <f>_xlfn.XLOOKUP(Table2[[#This Row],[Type]],Table5[Type],Table5[Type2])</f>
        <v/>
      </c>
      <c r="J1510" s="16">
        <f>_xlfn.XLOOKUP(Table2[[#This Row],[Sym]],Zones!$A$2:$A$21,Zones!$B$2:$B$21)</f>
        <v/>
      </c>
      <c r="K1510" s="21" t="n"/>
    </row>
    <row r="1511">
      <c r="A1511" s="24" t="n">
        <v>3665</v>
      </c>
      <c r="B1511" s="10" t="inlineStr">
        <is>
          <t>T110 Na Rì</t>
        </is>
      </c>
      <c r="C1511" s="10" t="inlineStr">
        <is>
          <t>TBA 110kV Na Rì</t>
        </is>
      </c>
      <c r="D1511" s="3" t="inlineStr">
        <is>
          <t>B6</t>
        </is>
      </c>
      <c r="E1511" s="9" t="n"/>
      <c r="F1511" s="15">
        <f>IF(E1511&lt;&gt;"","Đã VH","Quy hoạch điện VIII")</f>
        <v/>
      </c>
      <c r="G1511" s="16">
        <f>LEFT(B1511,FIND(" ",B1511,1)-1)</f>
        <v/>
      </c>
      <c r="H1511" s="16">
        <f>TRIM(RIGHT(B1511,LEN(B1511)-FIND(" ",B1511,1)))</f>
        <v/>
      </c>
      <c r="I1511" s="16">
        <f>_xlfn.XLOOKUP(Table2[[#This Row],[Type]],Table5[Type],Table5[Type2])</f>
        <v/>
      </c>
      <c r="J1511" s="16">
        <f>_xlfn.XLOOKUP(Table2[[#This Row],[Sym]],Zones!$A$2:$A$21,Zones!$B$2:$B$21)</f>
        <v/>
      </c>
      <c r="K1511" s="21" t="n"/>
    </row>
    <row r="1512">
      <c r="A1512" s="24" t="n">
        <v>3666</v>
      </c>
      <c r="B1512" s="10" t="inlineStr">
        <is>
          <t>T110 Ba Bể</t>
        </is>
      </c>
      <c r="C1512" s="10" t="inlineStr">
        <is>
          <t>TBA 110kV Ba Bể</t>
        </is>
      </c>
      <c r="D1512" s="3" t="inlineStr">
        <is>
          <t>B6</t>
        </is>
      </c>
      <c r="E1512" s="9" t="n"/>
      <c r="F1512" s="15">
        <f>IF(E1512&lt;&gt;"","Đã VH","Quy hoạch điện VIII")</f>
        <v/>
      </c>
      <c r="G1512" s="16">
        <f>LEFT(B1512,FIND(" ",B1512,1)-1)</f>
        <v/>
      </c>
      <c r="H1512" s="16">
        <f>TRIM(RIGHT(B1512,LEN(B1512)-FIND(" ",B1512,1)))</f>
        <v/>
      </c>
      <c r="I1512" s="16">
        <f>_xlfn.XLOOKUP(Table2[[#This Row],[Type]],Table5[Type],Table5[Type2])</f>
        <v/>
      </c>
      <c r="J1512" s="16">
        <f>_xlfn.XLOOKUP(Table2[[#This Row],[Sym]],Zones!$A$2:$A$21,Zones!$B$2:$B$21)</f>
        <v/>
      </c>
      <c r="K1512" s="21" t="n"/>
    </row>
    <row r="1513">
      <c r="A1513" s="24" t="n">
        <v>3667</v>
      </c>
      <c r="B1513" s="10" t="inlineStr">
        <is>
          <t>T110 Ngọc Linh</t>
        </is>
      </c>
      <c r="C1513" s="10" t="inlineStr">
        <is>
          <t>TBA 110kV Ngọc Linh</t>
        </is>
      </c>
      <c r="D1513" s="3" t="inlineStr">
        <is>
          <t>B6</t>
        </is>
      </c>
      <c r="E1513" s="9" t="n"/>
      <c r="F1513" s="15">
        <f>IF(E1513&lt;&gt;"","Đã VH","Quy hoạch điện VIII")</f>
        <v/>
      </c>
      <c r="G1513" s="16">
        <f>LEFT(B1513,FIND(" ",B1513,1)-1)</f>
        <v/>
      </c>
      <c r="H1513" s="16">
        <f>TRIM(RIGHT(B1513,LEN(B1513)-FIND(" ",B1513,1)))</f>
        <v/>
      </c>
      <c r="I1513" s="16">
        <f>_xlfn.XLOOKUP(Table2[[#This Row],[Type]],Table5[Type],Table5[Type2])</f>
        <v/>
      </c>
      <c r="J1513" s="16">
        <f>_xlfn.XLOOKUP(Table2[[#This Row],[Sym]],Zones!$A$2:$A$21,Zones!$B$2:$B$21)</f>
        <v/>
      </c>
      <c r="K1513" s="21" t="n"/>
    </row>
    <row r="1514">
      <c r="A1514" s="24" t="n">
        <v>3668</v>
      </c>
      <c r="B1514" s="10" t="inlineStr">
        <is>
          <t>T110 Chợ Mới</t>
        </is>
      </c>
      <c r="C1514" s="10" t="inlineStr">
        <is>
          <t>TBA 110kV Chợ Mới</t>
        </is>
      </c>
      <c r="D1514" s="3" t="inlineStr">
        <is>
          <t>B6</t>
        </is>
      </c>
      <c r="E1514" s="9" t="n"/>
      <c r="F1514" s="15">
        <f>IF(E1514&lt;&gt;"","Đã VH","Quy hoạch điện VIII")</f>
        <v/>
      </c>
      <c r="G1514" s="16">
        <f>LEFT(B1514,FIND(" ",B1514,1)-1)</f>
        <v/>
      </c>
      <c r="H1514" s="16">
        <f>TRIM(RIGHT(B1514,LEN(B1514)-FIND(" ",B1514,1)))</f>
        <v/>
      </c>
      <c r="I1514" s="16">
        <f>_xlfn.XLOOKUP(Table2[[#This Row],[Type]],Table5[Type],Table5[Type2])</f>
        <v/>
      </c>
      <c r="J1514" s="16">
        <f>_xlfn.XLOOKUP(Table2[[#This Row],[Sym]],Zones!$A$2:$A$21,Zones!$B$2:$B$21)</f>
        <v/>
      </c>
      <c r="K1514" s="21" t="n"/>
    </row>
    <row r="1515">
      <c r="A1515" s="24" t="n">
        <v>3669</v>
      </c>
      <c r="B1515" s="10" t="inlineStr">
        <is>
          <t>T110 Pác Nặm</t>
        </is>
      </c>
      <c r="C1515" s="10" t="inlineStr">
        <is>
          <t>TBA 110kV Pác Nặm</t>
        </is>
      </c>
      <c r="D1515" s="3" t="inlineStr">
        <is>
          <t>B6</t>
        </is>
      </c>
      <c r="E1515" s="9" t="n"/>
      <c r="F1515" s="15">
        <f>IF(E1515&lt;&gt;"","Đã VH","Quy hoạch điện VIII")</f>
        <v/>
      </c>
      <c r="G1515" s="16">
        <f>LEFT(B1515,FIND(" ",B1515,1)-1)</f>
        <v/>
      </c>
      <c r="H1515" s="16">
        <f>TRIM(RIGHT(B1515,LEN(B1515)-FIND(" ",B1515,1)))</f>
        <v/>
      </c>
      <c r="I1515" s="16">
        <f>_xlfn.XLOOKUP(Table2[[#This Row],[Type]],Table5[Type],Table5[Type2])</f>
        <v/>
      </c>
      <c r="J1515" s="16">
        <f>_xlfn.XLOOKUP(Table2[[#This Row],[Sym]],Zones!$A$2:$A$21,Zones!$B$2:$B$21)</f>
        <v/>
      </c>
      <c r="K1515" s="21" t="n"/>
    </row>
    <row r="1516">
      <c r="A1516" s="24" t="n">
        <v>3670</v>
      </c>
      <c r="B1516" s="10" t="inlineStr">
        <is>
          <t>T110 CN Cẩm Giàng</t>
        </is>
      </c>
      <c r="C1516" s="10" t="inlineStr">
        <is>
          <t>TBA 110kV CN Cẩm Giàng</t>
        </is>
      </c>
      <c r="D1516" s="3" t="inlineStr">
        <is>
          <t>B6</t>
        </is>
      </c>
      <c r="E1516" s="9" t="n"/>
      <c r="F1516" s="15">
        <f>IF(E1516&lt;&gt;"","Đã VH","Quy hoạch điện VIII")</f>
        <v/>
      </c>
      <c r="G1516" s="16">
        <f>LEFT(B1516,FIND(" ",B1516,1)-1)</f>
        <v/>
      </c>
      <c r="H1516" s="16">
        <f>TRIM(RIGHT(B1516,LEN(B1516)-FIND(" ",B1516,1)))</f>
        <v/>
      </c>
      <c r="I1516" s="16">
        <f>_xlfn.XLOOKUP(Table2[[#This Row],[Type]],Table5[Type],Table5[Type2])</f>
        <v/>
      </c>
      <c r="J1516" s="16">
        <f>_xlfn.XLOOKUP(Table2[[#This Row],[Sym]],Zones!$A$2:$A$21,Zones!$B$2:$B$21)</f>
        <v/>
      </c>
      <c r="K1516" s="21" t="n"/>
    </row>
    <row r="1517">
      <c r="A1517" s="24" t="n">
        <v>3671</v>
      </c>
      <c r="B1517" s="10" t="inlineStr">
        <is>
          <t>ĐG Yên Hạ</t>
        </is>
      </c>
      <c r="C1517" s="10" t="inlineStr">
        <is>
          <t xml:space="preserve"> Yên Hạ</t>
        </is>
      </c>
      <c r="D1517" s="3" t="inlineStr">
        <is>
          <t>B6</t>
        </is>
      </c>
      <c r="E1517" s="9" t="n"/>
      <c r="F1517" s="15">
        <f>IF(E1517&lt;&gt;"","Đã VH","Quy hoạch điện VIII")</f>
        <v/>
      </c>
      <c r="G1517" s="16">
        <f>LEFT(B1517,FIND(" ",B1517,1)-1)</f>
        <v/>
      </c>
      <c r="H1517" s="16">
        <f>TRIM(RIGHT(B1517,LEN(B1517)-FIND(" ",B1517,1)))</f>
        <v/>
      </c>
      <c r="I1517" s="16">
        <f>_xlfn.XLOOKUP(Table2[[#This Row],[Type]],Table5[Type],Table5[Type2])</f>
        <v/>
      </c>
      <c r="J1517" s="16">
        <f>_xlfn.XLOOKUP(Table2[[#This Row],[Sym]],Zones!$A$2:$A$21,Zones!$B$2:$B$21)</f>
        <v/>
      </c>
      <c r="K1517" s="21" t="n"/>
    </row>
    <row r="1518">
      <c r="A1518" s="24" t="n">
        <v>3672</v>
      </c>
      <c r="B1518" s="10" t="inlineStr">
        <is>
          <t>ĐG SD Chợ Mới 1</t>
        </is>
      </c>
      <c r="C1518" s="10" t="inlineStr">
        <is>
          <t xml:space="preserve"> SD Chợ Mới 1</t>
        </is>
      </c>
      <c r="D1518" s="3" t="inlineStr">
        <is>
          <t>B6</t>
        </is>
      </c>
      <c r="E1518" s="9" t="n"/>
      <c r="F1518" s="15">
        <f>IF(E1518&lt;&gt;"","Đã VH","Quy hoạch điện VIII")</f>
        <v/>
      </c>
      <c r="G1518" s="16">
        <f>LEFT(B1518,FIND(" ",B1518,1)-1)</f>
        <v/>
      </c>
      <c r="H1518" s="16">
        <f>TRIM(RIGHT(B1518,LEN(B1518)-FIND(" ",B1518,1)))</f>
        <v/>
      </c>
      <c r="I1518" s="16">
        <f>_xlfn.XLOOKUP(Table2[[#This Row],[Type]],Table5[Type],Table5[Type2])</f>
        <v/>
      </c>
      <c r="J1518" s="16">
        <f>_xlfn.XLOOKUP(Table2[[#This Row],[Sym]],Zones!$A$2:$A$21,Zones!$B$2:$B$21)</f>
        <v/>
      </c>
      <c r="K1518" s="21" t="n"/>
    </row>
    <row r="1519">
      <c r="A1519" s="24" t="n">
        <v>3673</v>
      </c>
      <c r="B1519" s="10" t="inlineStr">
        <is>
          <t>ĐG SD Chợ Mới 2</t>
        </is>
      </c>
      <c r="C1519" s="10" t="inlineStr">
        <is>
          <t xml:space="preserve"> SD Chợ Mới 2</t>
        </is>
      </c>
      <c r="D1519" s="3" t="inlineStr">
        <is>
          <t>B6</t>
        </is>
      </c>
      <c r="E1519" s="9" t="n"/>
      <c r="F1519" s="15">
        <f>IF(E1519&lt;&gt;"","Đã VH","Quy hoạch điện VIII")</f>
        <v/>
      </c>
      <c r="G1519" s="16">
        <f>LEFT(B1519,FIND(" ",B1519,1)-1)</f>
        <v/>
      </c>
      <c r="H1519" s="16">
        <f>TRIM(RIGHT(B1519,LEN(B1519)-FIND(" ",B1519,1)))</f>
        <v/>
      </c>
      <c r="I1519" s="16">
        <f>_xlfn.XLOOKUP(Table2[[#This Row],[Type]],Table5[Type],Table5[Type2])</f>
        <v/>
      </c>
      <c r="J1519" s="16">
        <f>_xlfn.XLOOKUP(Table2[[#This Row],[Sym]],Zones!$A$2:$A$21,Zones!$B$2:$B$21)</f>
        <v/>
      </c>
      <c r="K1519" s="21" t="n"/>
    </row>
    <row r="1520">
      <c r="A1520" s="24" t="n">
        <v>3674</v>
      </c>
      <c r="B1520" s="10" t="inlineStr">
        <is>
          <t>ĐSK Chợ Kạn 1</t>
        </is>
      </c>
      <c r="C1520" s="10" t="inlineStr">
        <is>
          <t xml:space="preserve"> Chợ Kạn 1</t>
        </is>
      </c>
      <c r="D1520" s="3" t="inlineStr">
        <is>
          <t>B6</t>
        </is>
      </c>
      <c r="E1520" s="9" t="n"/>
      <c r="F1520" s="15">
        <f>IF(E1520&lt;&gt;"","Đã VH","Quy hoạch điện VIII")</f>
        <v/>
      </c>
      <c r="G1520" s="16">
        <f>LEFT(B1520,FIND(" ",B1520,1)-1)</f>
        <v/>
      </c>
      <c r="H1520" s="16">
        <f>TRIM(RIGHT(B1520,LEN(B1520)-FIND(" ",B1520,1)))</f>
        <v/>
      </c>
      <c r="I1520" s="16">
        <f>_xlfn.XLOOKUP(Table2[[#This Row],[Type]],Table5[Type],Table5[Type2])</f>
        <v/>
      </c>
      <c r="J1520" s="16">
        <f>_xlfn.XLOOKUP(Table2[[#This Row],[Sym]],Zones!$A$2:$A$21,Zones!$B$2:$B$21)</f>
        <v/>
      </c>
      <c r="K1520" s="21" t="n"/>
    </row>
    <row r="1521">
      <c r="A1521" s="24" t="n">
        <v>3675</v>
      </c>
      <c r="B1521" s="10" t="inlineStr">
        <is>
          <t>ĐG Thiên Long - Chợ Mới 3</t>
        </is>
      </c>
      <c r="C1521" s="10" t="inlineStr">
        <is>
          <t xml:space="preserve"> Thiên Long - Chợ Mới 3</t>
        </is>
      </c>
      <c r="D1521" s="3" t="inlineStr">
        <is>
          <t>B6</t>
        </is>
      </c>
      <c r="E1521" s="9" t="n"/>
      <c r="F1521" s="15">
        <f>IF(E1521&lt;&gt;"","Đã VH","Quy hoạch điện VIII")</f>
        <v/>
      </c>
      <c r="G1521" s="16">
        <f>LEFT(B1521,FIND(" ",B1521,1)-1)</f>
        <v/>
      </c>
      <c r="H1521" s="16">
        <f>TRIM(RIGHT(B1521,LEN(B1521)-FIND(" ",B1521,1)))</f>
        <v/>
      </c>
      <c r="I1521" s="16">
        <f>_xlfn.XLOOKUP(Table2[[#This Row],[Type]],Table5[Type],Table5[Type2])</f>
        <v/>
      </c>
      <c r="J1521" s="16">
        <f>_xlfn.XLOOKUP(Table2[[#This Row],[Sym]],Zones!$A$2:$A$21,Zones!$B$2:$B$21)</f>
        <v/>
      </c>
      <c r="K1521" s="21" t="n"/>
    </row>
    <row r="1522">
      <c r="A1522" s="24" t="n">
        <v>3676</v>
      </c>
      <c r="B1522" s="10" t="inlineStr">
        <is>
          <t>ĐG Thiên Long - Na Rì</t>
        </is>
      </c>
      <c r="C1522" s="10" t="inlineStr">
        <is>
          <t xml:space="preserve"> Thiên Long - Na Rì</t>
        </is>
      </c>
      <c r="D1522" s="3" t="inlineStr">
        <is>
          <t>B6</t>
        </is>
      </c>
      <c r="E1522" s="9" t="n"/>
      <c r="F1522" s="15">
        <f>IF(E1522&lt;&gt;"","Đã VH","Quy hoạch điện VIII")</f>
        <v/>
      </c>
      <c r="G1522" s="16">
        <f>LEFT(B1522,FIND(" ",B1522,1)-1)</f>
        <v/>
      </c>
      <c r="H1522" s="16">
        <f>TRIM(RIGHT(B1522,LEN(B1522)-FIND(" ",B1522,1)))</f>
        <v/>
      </c>
      <c r="I1522" s="16">
        <f>_xlfn.XLOOKUP(Table2[[#This Row],[Type]],Table5[Type],Table5[Type2])</f>
        <v/>
      </c>
      <c r="J1522" s="16">
        <f>_xlfn.XLOOKUP(Table2[[#This Row],[Sym]],Zones!$A$2:$A$21,Zones!$B$2:$B$21)</f>
        <v/>
      </c>
      <c r="K1522" s="21" t="n"/>
    </row>
    <row r="1523">
      <c r="A1523" s="24" t="n">
        <v>3677</v>
      </c>
      <c r="B1523" s="10" t="inlineStr">
        <is>
          <t>ĐG Ngân Sơn</t>
        </is>
      </c>
      <c r="C1523" s="10" t="inlineStr">
        <is>
          <t xml:space="preserve"> Ngân Sơn</t>
        </is>
      </c>
      <c r="D1523" s="3" t="inlineStr">
        <is>
          <t>B6</t>
        </is>
      </c>
      <c r="E1523" s="9" t="n"/>
      <c r="F1523" s="15">
        <f>IF(E1523&lt;&gt;"","Đã VH","Quy hoạch điện VIII")</f>
        <v/>
      </c>
      <c r="G1523" s="16">
        <f>LEFT(B1523,FIND(" ",B1523,1)-1)</f>
        <v/>
      </c>
      <c r="H1523" s="16">
        <f>TRIM(RIGHT(B1523,LEN(B1523)-FIND(" ",B1523,1)))</f>
        <v/>
      </c>
      <c r="I1523" s="16">
        <f>_xlfn.XLOOKUP(Table2[[#This Row],[Type]],Table5[Type],Table5[Type2])</f>
        <v/>
      </c>
      <c r="J1523" s="16">
        <f>_xlfn.XLOOKUP(Table2[[#This Row],[Sym]],Zones!$A$2:$A$21,Zones!$B$2:$B$21)</f>
        <v/>
      </c>
      <c r="K1523" s="21" t="n"/>
    </row>
    <row r="1524">
      <c r="A1524" s="24" t="n">
        <v>3678</v>
      </c>
      <c r="B1524" s="10" t="inlineStr">
        <is>
          <t>ĐG TTP Ngân Sơn</t>
        </is>
      </c>
      <c r="C1524" s="10" t="inlineStr">
        <is>
          <t xml:space="preserve"> TTP Ngân Sơn</t>
        </is>
      </c>
      <c r="D1524" s="3" t="inlineStr">
        <is>
          <t>B6</t>
        </is>
      </c>
      <c r="E1524" s="9" t="n"/>
      <c r="F1524" s="15">
        <f>IF(E1524&lt;&gt;"","Đã VH","Quy hoạch điện VIII")</f>
        <v/>
      </c>
      <c r="G1524" s="16">
        <f>LEFT(B1524,FIND(" ",B1524,1)-1)</f>
        <v/>
      </c>
      <c r="H1524" s="16">
        <f>TRIM(RIGHT(B1524,LEN(B1524)-FIND(" ",B1524,1)))</f>
        <v/>
      </c>
      <c r="I1524" s="16">
        <f>_xlfn.XLOOKUP(Table2[[#This Row],[Type]],Table5[Type],Table5[Type2])</f>
        <v/>
      </c>
      <c r="J1524" s="16">
        <f>_xlfn.XLOOKUP(Table2[[#This Row],[Sym]],Zones!$A$2:$A$21,Zones!$B$2:$B$21)</f>
        <v/>
      </c>
      <c r="K1524" s="21" t="n"/>
    </row>
    <row r="1525">
      <c r="A1525" s="24" t="n">
        <v>3720</v>
      </c>
      <c r="B1525" s="10" t="inlineStr">
        <is>
          <t>T110 Tiên Sơn</t>
        </is>
      </c>
      <c r="C1525" s="10" t="inlineStr">
        <is>
          <t>TBA 110kV Tiên Sơn</t>
        </is>
      </c>
      <c r="D1525" s="3" t="inlineStr">
        <is>
          <t>B27</t>
        </is>
      </c>
      <c r="E1525" s="9" t="inlineStr">
        <is>
          <t>E27.1</t>
        </is>
      </c>
      <c r="F1525" s="15">
        <f>IF(E1525&lt;&gt;"","Đã VH","Quy hoạch điện VIII")</f>
        <v/>
      </c>
      <c r="G1525" s="16">
        <f>LEFT(B1525,FIND(" ",B1525,1)-1)</f>
        <v/>
      </c>
      <c r="H1525" s="16">
        <f>TRIM(RIGHT(B1525,LEN(B1525)-FIND(" ",B1525,1)))</f>
        <v/>
      </c>
      <c r="I1525" s="16">
        <f>_xlfn.XLOOKUP(Table2[[#This Row],[Type]],Table5[Type],Table5[Type2])</f>
        <v/>
      </c>
      <c r="J1525" s="16">
        <f>_xlfn.XLOOKUP(Table2[[#This Row],[Sym]],Zones!$A$2:$A$21,Zones!$B$2:$B$21)</f>
        <v/>
      </c>
      <c r="K1525" s="21" t="n"/>
    </row>
    <row r="1526">
      <c r="A1526" s="24" t="n">
        <v>3721</v>
      </c>
      <c r="B1526" s="10" t="inlineStr">
        <is>
          <t>T110 Gia Lương</t>
        </is>
      </c>
      <c r="C1526" s="10" t="inlineStr">
        <is>
          <t>TBA 110kV Gia Lương</t>
        </is>
      </c>
      <c r="D1526" s="3" t="inlineStr">
        <is>
          <t>B27</t>
        </is>
      </c>
      <c r="E1526" s="9" t="inlineStr">
        <is>
          <t>E27.2</t>
        </is>
      </c>
      <c r="F1526" s="15">
        <f>IF(E1526&lt;&gt;"","Đã VH","Quy hoạch điện VIII")</f>
        <v/>
      </c>
      <c r="G1526" s="16">
        <f>LEFT(B1526,FIND(" ",B1526,1)-1)</f>
        <v/>
      </c>
      <c r="H1526" s="16">
        <f>TRIM(RIGHT(B1526,LEN(B1526)-FIND(" ",B1526,1)))</f>
        <v/>
      </c>
      <c r="I1526" s="16">
        <f>_xlfn.XLOOKUP(Table2[[#This Row],[Type]],Table5[Type],Table5[Type2])</f>
        <v/>
      </c>
      <c r="J1526" s="16">
        <f>_xlfn.XLOOKUP(Table2[[#This Row],[Sym]],Zones!$A$2:$A$21,Zones!$B$2:$B$21)</f>
        <v/>
      </c>
      <c r="K1526" s="21" t="n"/>
    </row>
    <row r="1527">
      <c r="A1527" s="24" t="n">
        <v>3722</v>
      </c>
      <c r="B1527" s="10" t="inlineStr">
        <is>
          <t>T110 Châu Khê</t>
        </is>
      </c>
      <c r="C1527" s="10" t="inlineStr">
        <is>
          <t>TBA 110kV Châu Khê</t>
        </is>
      </c>
      <c r="D1527" s="3" t="inlineStr">
        <is>
          <t>B27</t>
        </is>
      </c>
      <c r="E1527" s="9" t="inlineStr">
        <is>
          <t>E27.3</t>
        </is>
      </c>
      <c r="F1527" s="15">
        <f>IF(E1527&lt;&gt;"","Đã VH","Quy hoạch điện VIII")</f>
        <v/>
      </c>
      <c r="G1527" s="16">
        <f>LEFT(B1527,FIND(" ",B1527,1)-1)</f>
        <v/>
      </c>
      <c r="H1527" s="16">
        <f>TRIM(RIGHT(B1527,LEN(B1527)-FIND(" ",B1527,1)))</f>
        <v/>
      </c>
      <c r="I1527" s="16">
        <f>_xlfn.XLOOKUP(Table2[[#This Row],[Type]],Table5[Type],Table5[Type2])</f>
        <v/>
      </c>
      <c r="J1527" s="16">
        <f>_xlfn.XLOOKUP(Table2[[#This Row],[Sym]],Zones!$A$2:$A$21,Zones!$B$2:$B$21)</f>
        <v/>
      </c>
      <c r="K1527" s="21" t="n"/>
    </row>
    <row r="1528">
      <c r="A1528" s="24" t="n">
        <v>3723</v>
      </c>
      <c r="B1528" s="10" t="inlineStr">
        <is>
          <t>T110 Bình Định</t>
        </is>
      </c>
      <c r="C1528" s="10" t="inlineStr">
        <is>
          <t>TBA 110kV Bình Định</t>
        </is>
      </c>
      <c r="D1528" s="3" t="inlineStr">
        <is>
          <t>B27</t>
        </is>
      </c>
      <c r="E1528" s="9" t="inlineStr">
        <is>
          <t>E27.4</t>
        </is>
      </c>
      <c r="F1528" s="15">
        <f>IF(E1528&lt;&gt;"","Đã VH","Quy hoạch điện VIII")</f>
        <v/>
      </c>
      <c r="G1528" s="16">
        <f>LEFT(B1528,FIND(" ",B1528,1)-1)</f>
        <v/>
      </c>
      <c r="H1528" s="16">
        <f>TRIM(RIGHT(B1528,LEN(B1528)-FIND(" ",B1528,1)))</f>
        <v/>
      </c>
      <c r="I1528" s="16">
        <f>_xlfn.XLOOKUP(Table2[[#This Row],[Type]],Table5[Type],Table5[Type2])</f>
        <v/>
      </c>
      <c r="J1528" s="16">
        <f>_xlfn.XLOOKUP(Table2[[#This Row],[Sym]],Zones!$A$2:$A$21,Zones!$B$2:$B$21)</f>
        <v/>
      </c>
      <c r="K1528" s="21" t="n"/>
    </row>
    <row r="1529">
      <c r="A1529" s="24" t="n">
        <v>3724</v>
      </c>
      <c r="B1529" s="10" t="inlineStr">
        <is>
          <t>T110 Quế Võ</t>
        </is>
      </c>
      <c r="C1529" s="10" t="inlineStr">
        <is>
          <t>TBA 110kV Quế Võ</t>
        </is>
      </c>
      <c r="D1529" s="3" t="inlineStr">
        <is>
          <t>B27</t>
        </is>
      </c>
      <c r="E1529" s="9" t="inlineStr">
        <is>
          <t>E27.5</t>
        </is>
      </c>
      <c r="F1529" s="15">
        <f>IF(E1529&lt;&gt;"","Đã VH","Quy hoạch điện VIII")</f>
        <v/>
      </c>
      <c r="G1529" s="16">
        <f>LEFT(B1529,FIND(" ",B1529,1)-1)</f>
        <v/>
      </c>
      <c r="H1529" s="16">
        <f>TRIM(RIGHT(B1529,LEN(B1529)-FIND(" ",B1529,1)))</f>
        <v/>
      </c>
      <c r="I1529" s="16">
        <f>_xlfn.XLOOKUP(Table2[[#This Row],[Type]],Table5[Type],Table5[Type2])</f>
        <v/>
      </c>
      <c r="J1529" s="16">
        <f>_xlfn.XLOOKUP(Table2[[#This Row],[Sym]],Zones!$A$2:$A$21,Zones!$B$2:$B$21)</f>
        <v/>
      </c>
      <c r="K1529" s="21" t="n"/>
    </row>
    <row r="1530">
      <c r="A1530" s="24" t="n">
        <v>3725</v>
      </c>
      <c r="B1530" s="10" t="inlineStr">
        <is>
          <t>T220 Bắc Ninh</t>
        </is>
      </c>
      <c r="C1530" s="10" t="inlineStr">
        <is>
          <t>TBA 220kV Bắc Ninh</t>
        </is>
      </c>
      <c r="D1530" s="3" t="inlineStr">
        <is>
          <t>B27</t>
        </is>
      </c>
      <c r="E1530" s="9" t="inlineStr">
        <is>
          <t>E27.6</t>
        </is>
      </c>
      <c r="F1530" s="15">
        <f>IF(E1530&lt;&gt;"","Đã VH","Quy hoạch điện VIII")</f>
        <v/>
      </c>
      <c r="G1530" s="16">
        <f>LEFT(B1530,FIND(" ",B1530,1)-1)</f>
        <v/>
      </c>
      <c r="H1530" s="16">
        <f>TRIM(RIGHT(B1530,LEN(B1530)-FIND(" ",B1530,1)))</f>
        <v/>
      </c>
      <c r="I1530" s="16">
        <f>_xlfn.XLOOKUP(Table2[[#This Row],[Type]],Table5[Type],Table5[Type2])</f>
        <v/>
      </c>
      <c r="J1530" s="16">
        <f>_xlfn.XLOOKUP(Table2[[#This Row],[Sym]],Zones!$A$2:$A$21,Zones!$B$2:$B$21)</f>
        <v/>
      </c>
      <c r="K1530" s="21" t="n"/>
    </row>
    <row r="1531">
      <c r="A1531" s="24" t="n">
        <v>3726</v>
      </c>
      <c r="B1531" s="10" t="inlineStr">
        <is>
          <t>T110 Yên Phong</t>
        </is>
      </c>
      <c r="C1531" s="10" t="inlineStr">
        <is>
          <t>TBA 110kV Yên Phong</t>
        </is>
      </c>
      <c r="D1531" s="3" t="inlineStr">
        <is>
          <t>B27</t>
        </is>
      </c>
      <c r="E1531" s="9" t="inlineStr">
        <is>
          <t>E27.7</t>
        </is>
      </c>
      <c r="F1531" s="15">
        <f>IF(E1531&lt;&gt;"","Đã VH","Quy hoạch điện VIII")</f>
        <v/>
      </c>
      <c r="G1531" s="16">
        <f>LEFT(B1531,FIND(" ",B1531,1)-1)</f>
        <v/>
      </c>
      <c r="H1531" s="16">
        <f>TRIM(RIGHT(B1531,LEN(B1531)-FIND(" ",B1531,1)))</f>
        <v/>
      </c>
      <c r="I1531" s="16">
        <f>_xlfn.XLOOKUP(Table2[[#This Row],[Type]],Table5[Type],Table5[Type2])</f>
        <v/>
      </c>
      <c r="J1531" s="16">
        <f>_xlfn.XLOOKUP(Table2[[#This Row],[Sym]],Zones!$A$2:$A$21,Zones!$B$2:$B$21)</f>
        <v/>
      </c>
      <c r="K1531" s="21" t="n"/>
    </row>
    <row r="1532">
      <c r="A1532" s="24" t="n">
        <v>3727</v>
      </c>
      <c r="B1532" s="10" t="inlineStr">
        <is>
          <t>T110 Phù Chẩn</t>
        </is>
      </c>
      <c r="C1532" s="10" t="inlineStr">
        <is>
          <t>TBA 110kV Phù Chẩn</t>
        </is>
      </c>
      <c r="D1532" s="3" t="inlineStr">
        <is>
          <t>B27</t>
        </is>
      </c>
      <c r="E1532" s="9" t="inlineStr">
        <is>
          <t>E27.8</t>
        </is>
      </c>
      <c r="F1532" s="15">
        <f>IF(E1532&lt;&gt;"","Đã VH","Quy hoạch điện VIII")</f>
        <v/>
      </c>
      <c r="G1532" s="16">
        <f>LEFT(B1532,FIND(" ",B1532,1)-1)</f>
        <v/>
      </c>
      <c r="H1532" s="16">
        <f>TRIM(RIGHT(B1532,LEN(B1532)-FIND(" ",B1532,1)))</f>
        <v/>
      </c>
      <c r="I1532" s="16">
        <f>_xlfn.XLOOKUP(Table2[[#This Row],[Type]],Table5[Type],Table5[Type2])</f>
        <v/>
      </c>
      <c r="J1532" s="16">
        <f>_xlfn.XLOOKUP(Table2[[#This Row],[Sym]],Zones!$A$2:$A$21,Zones!$B$2:$B$21)</f>
        <v/>
      </c>
      <c r="K1532" s="21" t="n"/>
    </row>
    <row r="1533">
      <c r="A1533" s="24" t="n">
        <v>3728</v>
      </c>
      <c r="B1533" s="10" t="inlineStr">
        <is>
          <t>T110 Thuận Thành</t>
        </is>
      </c>
      <c r="C1533" s="10" t="inlineStr">
        <is>
          <t>TBA 110kV Thuận Thành</t>
        </is>
      </c>
      <c r="D1533" s="3" t="inlineStr">
        <is>
          <t>B27</t>
        </is>
      </c>
      <c r="E1533" s="9" t="inlineStr">
        <is>
          <t>E27.9</t>
        </is>
      </c>
      <c r="F1533" s="15">
        <f>IF(E1533&lt;&gt;"","Đã VH","Quy hoạch điện VIII")</f>
        <v/>
      </c>
      <c r="G1533" s="16">
        <f>LEFT(B1533,FIND(" ",B1533,1)-1)</f>
        <v/>
      </c>
      <c r="H1533" s="16">
        <f>TRIM(RIGHT(B1533,LEN(B1533)-FIND(" ",B1533,1)))</f>
        <v/>
      </c>
      <c r="I1533" s="16">
        <f>_xlfn.XLOOKUP(Table2[[#This Row],[Type]],Table5[Type],Table5[Type2])</f>
        <v/>
      </c>
      <c r="J1533" s="16">
        <f>_xlfn.XLOOKUP(Table2[[#This Row],[Sym]],Zones!$A$2:$A$21,Zones!$B$2:$B$21)</f>
        <v/>
      </c>
      <c r="K1533" s="21" t="n"/>
    </row>
    <row r="1534">
      <c r="A1534" s="24" t="n">
        <v>3729</v>
      </c>
      <c r="B1534" s="10" t="inlineStr">
        <is>
          <t>T220 Bắc Ninh 2</t>
        </is>
      </c>
      <c r="C1534" s="10" t="inlineStr">
        <is>
          <t>TBA 220kV Bắc Ninh 2</t>
        </is>
      </c>
      <c r="D1534" s="3" t="inlineStr">
        <is>
          <t>B27</t>
        </is>
      </c>
      <c r="E1534" s="9" t="inlineStr">
        <is>
          <t>E27.10</t>
        </is>
      </c>
      <c r="F1534" s="15">
        <f>IF(E1534&lt;&gt;"","Đã VH","Quy hoạch điện VIII")</f>
        <v/>
      </c>
      <c r="G1534" s="16">
        <f>LEFT(B1534,FIND(" ",B1534,1)-1)</f>
        <v/>
      </c>
      <c r="H1534" s="16">
        <f>TRIM(RIGHT(B1534,LEN(B1534)-FIND(" ",B1534,1)))</f>
        <v/>
      </c>
      <c r="I1534" s="16">
        <f>_xlfn.XLOOKUP(Table2[[#This Row],[Type]],Table5[Type],Table5[Type2])</f>
        <v/>
      </c>
      <c r="J1534" s="16">
        <f>_xlfn.XLOOKUP(Table2[[#This Row],[Sym]],Zones!$A$2:$A$21,Zones!$B$2:$B$21)</f>
        <v/>
      </c>
      <c r="K1534" s="21" t="n"/>
    </row>
    <row r="1535">
      <c r="A1535" s="24" t="n">
        <v>3730</v>
      </c>
      <c r="B1535" s="10" t="inlineStr">
        <is>
          <t>T110 Châu Khê 2</t>
        </is>
      </c>
      <c r="C1535" s="10" t="inlineStr">
        <is>
          <t>TBA 110kV Châu Khê 2</t>
        </is>
      </c>
      <c r="D1535" s="3" t="inlineStr">
        <is>
          <t>B27</t>
        </is>
      </c>
      <c r="E1535" s="9" t="inlineStr">
        <is>
          <t>E27.11</t>
        </is>
      </c>
      <c r="F1535" s="15">
        <f>IF(E1535&lt;&gt;"","Đã VH","Quy hoạch điện VIII")</f>
        <v/>
      </c>
      <c r="G1535" s="16">
        <f>LEFT(B1535,FIND(" ",B1535,1)-1)</f>
        <v/>
      </c>
      <c r="H1535" s="16">
        <f>TRIM(RIGHT(B1535,LEN(B1535)-FIND(" ",B1535,1)))</f>
        <v/>
      </c>
      <c r="I1535" s="16">
        <f>_xlfn.XLOOKUP(Table2[[#This Row],[Type]],Table5[Type],Table5[Type2])</f>
        <v/>
      </c>
      <c r="J1535" s="16">
        <f>_xlfn.XLOOKUP(Table2[[#This Row],[Sym]],Zones!$A$2:$A$21,Zones!$B$2:$B$21)</f>
        <v/>
      </c>
      <c r="K1535" s="21" t="n"/>
    </row>
    <row r="1536">
      <c r="A1536" s="24" t="n">
        <v>3731</v>
      </c>
      <c r="B1536" s="10" t="inlineStr">
        <is>
          <t>T110 Yên Phong 2</t>
        </is>
      </c>
      <c r="C1536" s="10" t="inlineStr">
        <is>
          <t>TBA 110kV Yên Phong 2</t>
        </is>
      </c>
      <c r="D1536" s="3" t="inlineStr">
        <is>
          <t>B27</t>
        </is>
      </c>
      <c r="E1536" s="9" t="inlineStr">
        <is>
          <t>E27.12</t>
        </is>
      </c>
      <c r="F1536" s="15">
        <f>IF(E1536&lt;&gt;"","Đã VH","Quy hoạch điện VIII")</f>
        <v/>
      </c>
      <c r="G1536" s="16">
        <f>LEFT(B1536,FIND(" ",B1536,1)-1)</f>
        <v/>
      </c>
      <c r="H1536" s="16">
        <f>TRIM(RIGHT(B1536,LEN(B1536)-FIND(" ",B1536,1)))</f>
        <v/>
      </c>
      <c r="I1536" s="16">
        <f>_xlfn.XLOOKUP(Table2[[#This Row],[Type]],Table5[Type],Table5[Type2])</f>
        <v/>
      </c>
      <c r="J1536" s="16">
        <f>_xlfn.XLOOKUP(Table2[[#This Row],[Sym]],Zones!$A$2:$A$21,Zones!$B$2:$B$21)</f>
        <v/>
      </c>
      <c r="K1536" s="21" t="n"/>
    </row>
    <row r="1537">
      <c r="A1537" s="24" t="n">
        <v>3732</v>
      </c>
      <c r="B1537" s="10" t="inlineStr">
        <is>
          <t>T110 Yên Phong 3</t>
        </is>
      </c>
      <c r="C1537" s="10" t="inlineStr">
        <is>
          <t>TBA 110kV Yên Phong 3</t>
        </is>
      </c>
      <c r="D1537" s="3" t="inlineStr">
        <is>
          <t>B27</t>
        </is>
      </c>
      <c r="E1537" s="9" t="inlineStr">
        <is>
          <t>E27.13</t>
        </is>
      </c>
      <c r="F1537" s="15">
        <f>IF(E1537&lt;&gt;"","Đã VH","Quy hoạch điện VIII")</f>
        <v/>
      </c>
      <c r="G1537" s="16">
        <f>LEFT(B1537,FIND(" ",B1537,1)-1)</f>
        <v/>
      </c>
      <c r="H1537" s="16">
        <f>TRIM(RIGHT(B1537,LEN(B1537)-FIND(" ",B1537,1)))</f>
        <v/>
      </c>
      <c r="I1537" s="16">
        <f>_xlfn.XLOOKUP(Table2[[#This Row],[Type]],Table5[Type],Table5[Type2])</f>
        <v/>
      </c>
      <c r="J1537" s="16">
        <f>_xlfn.XLOOKUP(Table2[[#This Row],[Sym]],Zones!$A$2:$A$21,Zones!$B$2:$B$21)</f>
        <v/>
      </c>
      <c r="K1537" s="21" t="n"/>
    </row>
    <row r="1538">
      <c r="A1538" s="24" t="n">
        <v>3733</v>
      </c>
      <c r="B1538" s="10" t="inlineStr">
        <is>
          <t>T110 Khắc Niệm</t>
        </is>
      </c>
      <c r="C1538" s="10" t="inlineStr">
        <is>
          <t>TBA 110kV Khắc Niệm</t>
        </is>
      </c>
      <c r="D1538" s="3" t="inlineStr">
        <is>
          <t>B27</t>
        </is>
      </c>
      <c r="E1538" s="9" t="inlineStr">
        <is>
          <t>E7.2</t>
        </is>
      </c>
      <c r="F1538" s="15">
        <f>IF(E1538&lt;&gt;"","Đã VH","Quy hoạch điện VIII")</f>
        <v/>
      </c>
      <c r="G1538" s="16">
        <f>LEFT(B1538,FIND(" ",B1538,1)-1)</f>
        <v/>
      </c>
      <c r="H1538" s="16">
        <f>TRIM(RIGHT(B1538,LEN(B1538)-FIND(" ",B1538,1)))</f>
        <v/>
      </c>
      <c r="I1538" s="16">
        <f>_xlfn.XLOOKUP(Table2[[#This Row],[Type]],Table5[Type],Table5[Type2])</f>
        <v/>
      </c>
      <c r="J1538" s="16">
        <f>_xlfn.XLOOKUP(Table2[[#This Row],[Sym]],Zones!$A$2:$A$21,Zones!$B$2:$B$21)</f>
        <v/>
      </c>
      <c r="K1538" s="21" t="n"/>
    </row>
    <row r="1539">
      <c r="A1539" s="24" t="n">
        <v>3734</v>
      </c>
      <c r="B1539" s="10" t="inlineStr">
        <is>
          <t>T110 Đáp Cầu</t>
        </is>
      </c>
      <c r="C1539" s="10" t="inlineStr">
        <is>
          <t>TBA 110kV Đáp Cầu</t>
        </is>
      </c>
      <c r="D1539" s="3" t="inlineStr">
        <is>
          <t>B27</t>
        </is>
      </c>
      <c r="E1539" s="9" t="inlineStr">
        <is>
          <t>E7.3</t>
        </is>
      </c>
      <c r="F1539" s="15">
        <f>IF(E1539&lt;&gt;"","Đã VH","Quy hoạch điện VIII")</f>
        <v/>
      </c>
      <c r="G1539" s="16">
        <f>LEFT(B1539,FIND(" ",B1539,1)-1)</f>
        <v/>
      </c>
      <c r="H1539" s="16">
        <f>TRIM(RIGHT(B1539,LEN(B1539)-FIND(" ",B1539,1)))</f>
        <v/>
      </c>
      <c r="I1539" s="16">
        <f>_xlfn.XLOOKUP(Table2[[#This Row],[Type]],Table5[Type],Table5[Type2])</f>
        <v/>
      </c>
      <c r="J1539" s="16">
        <f>_xlfn.XLOOKUP(Table2[[#This Row],[Sym]],Zones!$A$2:$A$21,Zones!$B$2:$B$21)</f>
        <v/>
      </c>
      <c r="K1539" s="21" t="n"/>
    </row>
    <row r="1540">
      <c r="A1540" s="24" t="n">
        <v>3735</v>
      </c>
      <c r="B1540" s="10" t="inlineStr">
        <is>
          <t>T110 Võ Cường</t>
        </is>
      </c>
      <c r="C1540" s="10" t="inlineStr">
        <is>
          <t>TBA 110kV Võ Cường</t>
        </is>
      </c>
      <c r="D1540" s="3" t="inlineStr">
        <is>
          <t>B27</t>
        </is>
      </c>
      <c r="E1540" s="9" t="inlineStr">
        <is>
          <t>E7.4</t>
        </is>
      </c>
      <c r="F1540" s="15">
        <f>IF(E1540&lt;&gt;"","Đã VH","Quy hoạch điện VIII")</f>
        <v/>
      </c>
      <c r="G1540" s="16">
        <f>LEFT(B1540,FIND(" ",B1540,1)-1)</f>
        <v/>
      </c>
      <c r="H1540" s="16">
        <f>TRIM(RIGHT(B1540,LEN(B1540)-FIND(" ",B1540,1)))</f>
        <v/>
      </c>
      <c r="I1540" s="16">
        <f>_xlfn.XLOOKUP(Table2[[#This Row],[Type]],Table5[Type],Table5[Type2])</f>
        <v/>
      </c>
      <c r="J1540" s="16">
        <f>_xlfn.XLOOKUP(Table2[[#This Row],[Sym]],Zones!$A$2:$A$21,Zones!$B$2:$B$21)</f>
        <v/>
      </c>
      <c r="K1540" s="21" t="n"/>
    </row>
    <row r="1541">
      <c r="A1541" s="24" t="n">
        <v>3736</v>
      </c>
      <c r="B1541" s="10" t="inlineStr">
        <is>
          <t>T110 Kính Nổi</t>
        </is>
      </c>
      <c r="C1541" s="10" t="inlineStr">
        <is>
          <t>TBA 110kV Kính Nổi</t>
        </is>
      </c>
      <c r="D1541" s="3" t="inlineStr">
        <is>
          <t>B27</t>
        </is>
      </c>
      <c r="E1541" s="9" t="inlineStr">
        <is>
          <t>E7.5</t>
        </is>
      </c>
      <c r="F1541" s="15">
        <f>IF(E1541&lt;&gt;"","Đã VH","Quy hoạch điện VIII")</f>
        <v/>
      </c>
      <c r="G1541" s="16">
        <f>LEFT(B1541,FIND(" ",B1541,1)-1)</f>
        <v/>
      </c>
      <c r="H1541" s="16">
        <f>TRIM(RIGHT(B1541,LEN(B1541)-FIND(" ",B1541,1)))</f>
        <v/>
      </c>
      <c r="I1541" s="16">
        <f>_xlfn.XLOOKUP(Table2[[#This Row],[Type]],Table5[Type],Table5[Type2])</f>
        <v/>
      </c>
      <c r="J1541" s="16">
        <f>_xlfn.XLOOKUP(Table2[[#This Row],[Sym]],Zones!$A$2:$A$21,Zones!$B$2:$B$21)</f>
        <v/>
      </c>
      <c r="K1541" s="21" t="n"/>
    </row>
    <row r="1542">
      <c r="A1542" s="24" t="n">
        <v>3737</v>
      </c>
      <c r="B1542" s="10" t="inlineStr">
        <is>
          <t>T110 Quế Võ 4</t>
        </is>
      </c>
      <c r="C1542" s="10" t="inlineStr">
        <is>
          <t>TBA 110kV Quế Võ 4</t>
        </is>
      </c>
      <c r="D1542" s="3" t="inlineStr">
        <is>
          <t>B27</t>
        </is>
      </c>
      <c r="E1542" s="9" t="inlineStr">
        <is>
          <t>E27.17</t>
        </is>
      </c>
      <c r="F1542" s="15">
        <f>IF(E1542&lt;&gt;"","Đã VH","Quy hoạch điện VIII")</f>
        <v/>
      </c>
      <c r="G1542" s="16">
        <f>LEFT(B1542,FIND(" ",B1542,1)-1)</f>
        <v/>
      </c>
      <c r="H1542" s="16">
        <f>TRIM(RIGHT(B1542,LEN(B1542)-FIND(" ",B1542,1)))</f>
        <v/>
      </c>
      <c r="I1542" s="16">
        <f>_xlfn.XLOOKUP(Table2[[#This Row],[Type]],Table5[Type],Table5[Type2])</f>
        <v/>
      </c>
      <c r="J1542" s="16">
        <f>_xlfn.XLOOKUP(Table2[[#This Row],[Sym]],Zones!$A$2:$A$21,Zones!$B$2:$B$21)</f>
        <v/>
      </c>
      <c r="K1542" s="21" t="n"/>
    </row>
    <row r="1543">
      <c r="A1543" s="24" t="n">
        <v>3738</v>
      </c>
      <c r="B1543" s="10" t="inlineStr">
        <is>
          <t>T110 Quế Võ 3</t>
        </is>
      </c>
      <c r="C1543" s="10" t="inlineStr">
        <is>
          <t>TBA 110kV Quế Võ 3</t>
        </is>
      </c>
      <c r="D1543" s="3" t="inlineStr">
        <is>
          <t>B27</t>
        </is>
      </c>
      <c r="E1543" s="9" t="inlineStr">
        <is>
          <t>E27.18</t>
        </is>
      </c>
      <c r="F1543" s="15">
        <f>IF(E1543&lt;&gt;"","Đã VH","Quy hoạch điện VIII")</f>
        <v/>
      </c>
      <c r="G1543" s="16">
        <f>LEFT(B1543,FIND(" ",B1543,1)-1)</f>
        <v/>
      </c>
      <c r="H1543" s="16">
        <f>TRIM(RIGHT(B1543,LEN(B1543)-FIND(" ",B1543,1)))</f>
        <v/>
      </c>
      <c r="I1543" s="16">
        <f>_xlfn.XLOOKUP(Table2[[#This Row],[Type]],Table5[Type],Table5[Type2])</f>
        <v/>
      </c>
      <c r="J1543" s="16">
        <f>_xlfn.XLOOKUP(Table2[[#This Row],[Sym]],Zones!$A$2:$A$21,Zones!$B$2:$B$21)</f>
        <v/>
      </c>
      <c r="K1543" s="21" t="n"/>
    </row>
    <row r="1544">
      <c r="A1544" s="24" t="n">
        <v>3739</v>
      </c>
      <c r="B1544" s="10" t="inlineStr">
        <is>
          <t>T110 Yên Phong 5</t>
        </is>
      </c>
      <c r="C1544" s="10" t="inlineStr">
        <is>
          <t>TBA 110kV Yên Phong 5</t>
        </is>
      </c>
      <c r="D1544" s="3" t="inlineStr">
        <is>
          <t>B27</t>
        </is>
      </c>
      <c r="E1544" s="9" t="inlineStr">
        <is>
          <t>E27.16</t>
        </is>
      </c>
      <c r="F1544" s="15">
        <f>IF(E1544&lt;&gt;"","Đã VH","Quy hoạch điện VIII")</f>
        <v/>
      </c>
      <c r="G1544" s="16">
        <f>LEFT(B1544,FIND(" ",B1544,1)-1)</f>
        <v/>
      </c>
      <c r="H1544" s="16">
        <f>TRIM(RIGHT(B1544,LEN(B1544)-FIND(" ",B1544,1)))</f>
        <v/>
      </c>
      <c r="I1544" s="16">
        <f>_xlfn.XLOOKUP(Table2[[#This Row],[Type]],Table5[Type],Table5[Type2])</f>
        <v/>
      </c>
      <c r="J1544" s="16">
        <f>_xlfn.XLOOKUP(Table2[[#This Row],[Sym]],Zones!$A$2:$A$21,Zones!$B$2:$B$21)</f>
        <v/>
      </c>
      <c r="K1544" s="21" t="n"/>
    </row>
    <row r="1545">
      <c r="A1545" s="24" t="n">
        <v>3740</v>
      </c>
      <c r="B1545" s="10" t="inlineStr">
        <is>
          <t>T110 Hanaka</t>
        </is>
      </c>
      <c r="C1545" s="10" t="inlineStr">
        <is>
          <t>TBA 110kV Hanaka</t>
        </is>
      </c>
      <c r="D1545" s="3" t="inlineStr">
        <is>
          <t>B27</t>
        </is>
      </c>
      <c r="E1545" s="9" t="inlineStr">
        <is>
          <t>E27.19</t>
        </is>
      </c>
      <c r="F1545" s="15">
        <f>IF(E1545&lt;&gt;"","Đã VH","Quy hoạch điện VIII")</f>
        <v/>
      </c>
      <c r="G1545" s="16">
        <f>LEFT(B1545,FIND(" ",B1545,1)-1)</f>
        <v/>
      </c>
      <c r="H1545" s="16">
        <f>TRIM(RIGHT(B1545,LEN(B1545)-FIND(" ",B1545,1)))</f>
        <v/>
      </c>
      <c r="I1545" s="16">
        <f>_xlfn.XLOOKUP(Table2[[#This Row],[Type]],Table5[Type],Table5[Type2])</f>
        <v/>
      </c>
      <c r="J1545" s="16">
        <f>_xlfn.XLOOKUP(Table2[[#This Row],[Sym]],Zones!$A$2:$A$21,Zones!$B$2:$B$21)</f>
        <v/>
      </c>
      <c r="K1545" s="21" t="n"/>
    </row>
    <row r="1546">
      <c r="A1546" s="24" t="n">
        <v>3741</v>
      </c>
      <c r="B1546" s="10" t="inlineStr">
        <is>
          <t>T110 TP Bắc Ninh</t>
        </is>
      </c>
      <c r="C1546" s="10" t="inlineStr">
        <is>
          <t>TBA 110kV TP Bắc Ninh</t>
        </is>
      </c>
      <c r="D1546" s="3" t="inlineStr">
        <is>
          <t>B27</t>
        </is>
      </c>
      <c r="E1546" s="9" t="inlineStr">
        <is>
          <t>E27.20</t>
        </is>
      </c>
      <c r="F1546" s="15">
        <f>IF(E1546&lt;&gt;"","Đã VH","Quy hoạch điện VIII")</f>
        <v/>
      </c>
      <c r="G1546" s="16">
        <f>LEFT(B1546,FIND(" ",B1546,1)-1)</f>
        <v/>
      </c>
      <c r="H1546" s="16">
        <f>TRIM(RIGHT(B1546,LEN(B1546)-FIND(" ",B1546,1)))</f>
        <v/>
      </c>
      <c r="I1546" s="16">
        <f>_xlfn.XLOOKUP(Table2[[#This Row],[Type]],Table5[Type],Table5[Type2])</f>
        <v/>
      </c>
      <c r="J1546" s="16">
        <f>_xlfn.XLOOKUP(Table2[[#This Row],[Sym]],Zones!$A$2:$A$21,Zones!$B$2:$B$21)</f>
        <v/>
      </c>
      <c r="K1546" s="21" t="n"/>
    </row>
    <row r="1547">
      <c r="A1547" s="24" t="n">
        <v>3742</v>
      </c>
      <c r="B1547" s="10" t="inlineStr">
        <is>
          <t>T110 Thuận Thành 2</t>
        </is>
      </c>
      <c r="C1547" s="10" t="inlineStr">
        <is>
          <t>TBA 110kV Thuận Thành 2</t>
        </is>
      </c>
      <c r="D1547" s="3" t="inlineStr">
        <is>
          <t>B27</t>
        </is>
      </c>
      <c r="E1547" s="9" t="inlineStr">
        <is>
          <t>E27.21</t>
        </is>
      </c>
      <c r="F1547" s="15">
        <f>IF(E1547&lt;&gt;"","Đã VH","Quy hoạch điện VIII")</f>
        <v/>
      </c>
      <c r="G1547" s="16">
        <f>LEFT(B1547,FIND(" ",B1547,1)-1)</f>
        <v/>
      </c>
      <c r="H1547" s="16">
        <f>TRIM(RIGHT(B1547,LEN(B1547)-FIND(" ",B1547,1)))</f>
        <v/>
      </c>
      <c r="I1547" s="16">
        <f>_xlfn.XLOOKUP(Table2[[#This Row],[Type]],Table5[Type],Table5[Type2])</f>
        <v/>
      </c>
      <c r="J1547" s="16">
        <f>_xlfn.XLOOKUP(Table2[[#This Row],[Sym]],Zones!$A$2:$A$21,Zones!$B$2:$B$21)</f>
        <v/>
      </c>
      <c r="K1547" s="21" t="n"/>
    </row>
    <row r="1548">
      <c r="A1548" s="24" t="n">
        <v>3743</v>
      </c>
      <c r="B1548" s="10" t="inlineStr">
        <is>
          <t>T110 Đông Thọ</t>
        </is>
      </c>
      <c r="C1548" s="10" t="inlineStr">
        <is>
          <t>TBA 110kV Đông Thọ</t>
        </is>
      </c>
      <c r="D1548" s="3" t="inlineStr">
        <is>
          <t>B27</t>
        </is>
      </c>
      <c r="E1548" s="9" t="n"/>
      <c r="F1548" s="15">
        <f>IF(E1548&lt;&gt;"","Đã VH","Quy hoạch điện VIII")</f>
        <v/>
      </c>
      <c r="G1548" s="16">
        <f>LEFT(B1548,FIND(" ",B1548,1)-1)</f>
        <v/>
      </c>
      <c r="H1548" s="16">
        <f>TRIM(RIGHT(B1548,LEN(B1548)-FIND(" ",B1548,1)))</f>
        <v/>
      </c>
      <c r="I1548" s="16">
        <f>_xlfn.XLOOKUP(Table2[[#This Row],[Type]],Table5[Type],Table5[Type2])</f>
        <v/>
      </c>
      <c r="J1548" s="16">
        <f>_xlfn.XLOOKUP(Table2[[#This Row],[Sym]],Zones!$A$2:$A$21,Zones!$B$2:$B$21)</f>
        <v/>
      </c>
      <c r="K1548" s="21" t="n"/>
    </row>
    <row r="1549">
      <c r="A1549" s="24" t="n">
        <v>3744</v>
      </c>
      <c r="B1549" s="10" t="inlineStr">
        <is>
          <t>T110 Nam Sơn</t>
        </is>
      </c>
      <c r="C1549" s="10" t="inlineStr">
        <is>
          <t>TBA 110kV Nam Sơn</t>
        </is>
      </c>
      <c r="D1549" s="3" t="inlineStr">
        <is>
          <t>B27</t>
        </is>
      </c>
      <c r="E1549" s="9" t="inlineStr">
        <is>
          <t>E27.23</t>
        </is>
      </c>
      <c r="F1549" s="15">
        <f>IF(E1549&lt;&gt;"","Đã VH","Quy hoạch điện VIII")</f>
        <v/>
      </c>
      <c r="G1549" s="16">
        <f>LEFT(B1549,FIND(" ",B1549,1)-1)</f>
        <v/>
      </c>
      <c r="H1549" s="16">
        <f>TRIM(RIGHT(B1549,LEN(B1549)-FIND(" ",B1549,1)))</f>
        <v/>
      </c>
      <c r="I1549" s="16">
        <f>_xlfn.XLOOKUP(Table2[[#This Row],[Type]],Table5[Type],Table5[Type2])</f>
        <v/>
      </c>
      <c r="J1549" s="16">
        <f>_xlfn.XLOOKUP(Table2[[#This Row],[Sym]],Zones!$A$2:$A$21,Zones!$B$2:$B$21)</f>
        <v/>
      </c>
      <c r="K1549" s="21" t="n"/>
    </row>
    <row r="1550">
      <c r="A1550" s="24" t="n">
        <v>3745</v>
      </c>
      <c r="B1550" s="10" t="inlineStr">
        <is>
          <t>T110 Quế Võ 2</t>
        </is>
      </c>
      <c r="C1550" s="10" t="inlineStr">
        <is>
          <t>TBA 110kV Quế Võ 2</t>
        </is>
      </c>
      <c r="D1550" s="3" t="inlineStr">
        <is>
          <t>B27</t>
        </is>
      </c>
      <c r="E1550" s="9" t="inlineStr">
        <is>
          <t>E27.14</t>
        </is>
      </c>
      <c r="F1550" s="15">
        <f>IF(E1550&lt;&gt;"","Đã VH","Quy hoạch điện VIII")</f>
        <v/>
      </c>
      <c r="G1550" s="16">
        <f>LEFT(B1550,FIND(" ",B1550,1)-1)</f>
        <v/>
      </c>
      <c r="H1550" s="16">
        <f>TRIM(RIGHT(B1550,LEN(B1550)-FIND(" ",B1550,1)))</f>
        <v/>
      </c>
      <c r="I1550" s="16">
        <f>_xlfn.XLOOKUP(Table2[[#This Row],[Type]],Table5[Type],Table5[Type2])</f>
        <v/>
      </c>
      <c r="J1550" s="16">
        <f>_xlfn.XLOOKUP(Table2[[#This Row],[Sym]],Zones!$A$2:$A$21,Zones!$B$2:$B$21)</f>
        <v/>
      </c>
      <c r="K1550" s="21" t="n"/>
    </row>
    <row r="1551">
      <c r="A1551" s="24" t="n">
        <v>3746</v>
      </c>
      <c r="B1551" s="10" t="inlineStr">
        <is>
          <t>T110 Hoàn Sơn</t>
        </is>
      </c>
      <c r="C1551" s="10" t="inlineStr">
        <is>
          <t>TBA 110kV Hoàn Sơn</t>
        </is>
      </c>
      <c r="D1551" s="3" t="inlineStr">
        <is>
          <t>B27</t>
        </is>
      </c>
      <c r="E1551" s="9" t="inlineStr">
        <is>
          <t>E27.26</t>
        </is>
      </c>
      <c r="F1551" s="15">
        <f>IF(E1551&lt;&gt;"","Đã VH","Quy hoạch điện VIII")</f>
        <v/>
      </c>
      <c r="G1551" s="16">
        <f>LEFT(B1551,FIND(" ",B1551,1)-1)</f>
        <v/>
      </c>
      <c r="H1551" s="16">
        <f>TRIM(RIGHT(B1551,LEN(B1551)-FIND(" ",B1551,1)))</f>
        <v/>
      </c>
      <c r="I1551" s="16">
        <f>_xlfn.XLOOKUP(Table2[[#This Row],[Type]],Table5[Type],Table5[Type2])</f>
        <v/>
      </c>
      <c r="J1551" s="16">
        <f>_xlfn.XLOOKUP(Table2[[#This Row],[Sym]],Zones!$A$2:$A$21,Zones!$B$2:$B$21)</f>
        <v/>
      </c>
      <c r="K1551" s="21" t="n"/>
    </row>
    <row r="1552">
      <c r="A1552" s="24" t="n">
        <v>3747</v>
      </c>
      <c r="B1552" s="10" t="inlineStr">
        <is>
          <t>T110 Yên Phong 4</t>
        </is>
      </c>
      <c r="C1552" s="10" t="inlineStr">
        <is>
          <t>TBA 110kV Yên Phong 4</t>
        </is>
      </c>
      <c r="D1552" s="3" t="inlineStr">
        <is>
          <t>B27</t>
        </is>
      </c>
      <c r="E1552" s="9" t="inlineStr">
        <is>
          <t>E27.27</t>
        </is>
      </c>
      <c r="F1552" s="15">
        <f>IF(E1552&lt;&gt;"","Đã VH","Quy hoạch điện VIII")</f>
        <v/>
      </c>
      <c r="G1552" s="16">
        <f>LEFT(B1552,FIND(" ",B1552,1)-1)</f>
        <v/>
      </c>
      <c r="H1552" s="16">
        <f>TRIM(RIGHT(B1552,LEN(B1552)-FIND(" ",B1552,1)))</f>
        <v/>
      </c>
      <c r="I1552" s="16">
        <f>_xlfn.XLOOKUP(Table2[[#This Row],[Type]],Table5[Type],Table5[Type2])</f>
        <v/>
      </c>
      <c r="J1552" s="16">
        <f>_xlfn.XLOOKUP(Table2[[#This Row],[Sym]],Zones!$A$2:$A$21,Zones!$B$2:$B$21)</f>
        <v/>
      </c>
      <c r="K1552" s="21" t="n"/>
    </row>
    <row r="1553">
      <c r="A1553" s="24" t="n">
        <v>3748</v>
      </c>
      <c r="B1553" s="10" t="inlineStr">
        <is>
          <t>T110 Tân Chi</t>
        </is>
      </c>
      <c r="C1553" s="10" t="inlineStr">
        <is>
          <t>TBA 110kV Tân Chi</t>
        </is>
      </c>
      <c r="D1553" s="3" t="inlineStr">
        <is>
          <t>B27</t>
        </is>
      </c>
      <c r="E1553" s="9" t="inlineStr">
        <is>
          <t>E27.28</t>
        </is>
      </c>
      <c r="F1553" s="15">
        <f>IF(E1553&lt;&gt;"","Đã VH","Quy hoạch điện VIII")</f>
        <v/>
      </c>
      <c r="G1553" s="16">
        <f>LEFT(B1553,FIND(" ",B1553,1)-1)</f>
        <v/>
      </c>
      <c r="H1553" s="16">
        <f>TRIM(RIGHT(B1553,LEN(B1553)-FIND(" ",B1553,1)))</f>
        <v/>
      </c>
      <c r="I1553" s="16">
        <f>_xlfn.XLOOKUP(Table2[[#This Row],[Type]],Table5[Type],Table5[Type2])</f>
        <v/>
      </c>
      <c r="J1553" s="16">
        <f>_xlfn.XLOOKUP(Table2[[#This Row],[Sym]],Zones!$A$2:$A$21,Zones!$B$2:$B$21)</f>
        <v/>
      </c>
      <c r="K1553" s="21" t="n"/>
    </row>
    <row r="1554">
      <c r="A1554" s="24" t="n">
        <v>3749</v>
      </c>
      <c r="B1554" s="10" t="inlineStr">
        <is>
          <t>T110 Đại Kim</t>
        </is>
      </c>
      <c r="C1554" s="10" t="inlineStr">
        <is>
          <t>TBA 110kV Đại Kim</t>
        </is>
      </c>
      <c r="D1554" s="3" t="inlineStr">
        <is>
          <t>B27</t>
        </is>
      </c>
      <c r="E1554" s="9" t="inlineStr">
        <is>
          <t>E27.29</t>
        </is>
      </c>
      <c r="F1554" s="15">
        <f>IF(E1554&lt;&gt;"","Đã VH","Quy hoạch điện VIII")</f>
        <v/>
      </c>
      <c r="G1554" s="16">
        <f>LEFT(B1554,FIND(" ",B1554,1)-1)</f>
        <v/>
      </c>
      <c r="H1554" s="16">
        <f>TRIM(RIGHT(B1554,LEN(B1554)-FIND(" ",B1554,1)))</f>
        <v/>
      </c>
      <c r="I1554" s="16">
        <f>_xlfn.XLOOKUP(Table2[[#This Row],[Type]],Table5[Type],Table5[Type2])</f>
        <v/>
      </c>
      <c r="J1554" s="16">
        <f>_xlfn.XLOOKUP(Table2[[#This Row],[Sym]],Zones!$A$2:$A$21,Zones!$B$2:$B$21)</f>
        <v/>
      </c>
      <c r="K1554" s="21" t="n"/>
    </row>
    <row r="1555">
      <c r="A1555" s="24" t="n">
        <v>3750</v>
      </c>
      <c r="B1555" s="10" t="inlineStr">
        <is>
          <t>T500 Bắc Ninh</t>
        </is>
      </c>
      <c r="C1555" s="10" t="inlineStr">
        <is>
          <t>TBA 500kV Bắc Ninh</t>
        </is>
      </c>
      <c r="D1555" s="3" t="inlineStr">
        <is>
          <t>B27</t>
        </is>
      </c>
      <c r="E1555" s="9" t="n"/>
      <c r="F1555" s="15">
        <f>IF(E1555&lt;&gt;"","Đã VH","Quy hoạch điện VIII")</f>
        <v/>
      </c>
      <c r="G1555" s="16">
        <f>LEFT(B1555,FIND(" ",B1555,1)-1)</f>
        <v/>
      </c>
      <c r="H1555" s="16">
        <f>TRIM(RIGHT(B1555,LEN(B1555)-FIND(" ",B1555,1)))</f>
        <v/>
      </c>
      <c r="I1555" s="16">
        <f>_xlfn.XLOOKUP(Table2[[#This Row],[Type]],Table5[Type],Table5[Type2])</f>
        <v/>
      </c>
      <c r="J1555" s="16">
        <f>_xlfn.XLOOKUP(Table2[[#This Row],[Sym]],Zones!$A$2:$A$21,Zones!$B$2:$B$21)</f>
        <v/>
      </c>
      <c r="K1555" s="21" t="n"/>
    </row>
    <row r="1556">
      <c r="A1556" s="24" t="n">
        <v>3751</v>
      </c>
      <c r="B1556" s="10" t="inlineStr">
        <is>
          <t>T220 Bắc Ninh 3</t>
        </is>
      </c>
      <c r="C1556" s="10" t="inlineStr">
        <is>
          <t>TBA 220kV Bắc Ninh 3</t>
        </is>
      </c>
      <c r="D1556" s="3" t="inlineStr">
        <is>
          <t>B27</t>
        </is>
      </c>
      <c r="E1556" s="9" t="inlineStr">
        <is>
          <t>E27.15</t>
        </is>
      </c>
      <c r="F1556" s="15">
        <f>IF(E1556&lt;&gt;"","Đã VH","Quy hoạch điện VIII")</f>
        <v/>
      </c>
      <c r="G1556" s="16">
        <f>LEFT(B1556,FIND(" ",B1556,1)-1)</f>
        <v/>
      </c>
      <c r="H1556" s="16">
        <f>TRIM(RIGHT(B1556,LEN(B1556)-FIND(" ",B1556,1)))</f>
        <v/>
      </c>
      <c r="I1556" s="16">
        <f>_xlfn.XLOOKUP(Table2[[#This Row],[Type]],Table5[Type],Table5[Type2])</f>
        <v/>
      </c>
      <c r="J1556" s="16">
        <f>_xlfn.XLOOKUP(Table2[[#This Row],[Sym]],Zones!$A$2:$A$21,Zones!$B$2:$B$21)</f>
        <v/>
      </c>
      <c r="K1556" s="21" t="n"/>
    </row>
    <row r="1557">
      <c r="A1557" s="24" t="n">
        <v>3752</v>
      </c>
      <c r="B1557" s="10" t="inlineStr">
        <is>
          <t>T220 Bắc Ninh 4</t>
        </is>
      </c>
      <c r="C1557" s="10" t="inlineStr">
        <is>
          <t>TBA 220kV Bắc Ninh 4</t>
        </is>
      </c>
      <c r="D1557" s="3" t="inlineStr">
        <is>
          <t>B27</t>
        </is>
      </c>
      <c r="E1557" s="9" t="n"/>
      <c r="F1557" s="15">
        <f>IF(E1557&lt;&gt;"","Đã VH","Quy hoạch điện VIII")</f>
        <v/>
      </c>
      <c r="G1557" s="16">
        <f>LEFT(B1557,FIND(" ",B1557,1)-1)</f>
        <v/>
      </c>
      <c r="H1557" s="16">
        <f>TRIM(RIGHT(B1557,LEN(B1557)-FIND(" ",B1557,1)))</f>
        <v/>
      </c>
      <c r="I1557" s="16">
        <f>_xlfn.XLOOKUP(Table2[[#This Row],[Type]],Table5[Type],Table5[Type2])</f>
        <v/>
      </c>
      <c r="J1557" s="16">
        <f>_xlfn.XLOOKUP(Table2[[#This Row],[Sym]],Zones!$A$2:$A$21,Zones!$B$2:$B$21)</f>
        <v/>
      </c>
      <c r="K1557" s="21" t="n"/>
    </row>
    <row r="1558">
      <c r="A1558" s="24" t="n">
        <v>3753</v>
      </c>
      <c r="B1558" s="10" t="inlineStr">
        <is>
          <t>T220 Bắc Ninh 5</t>
        </is>
      </c>
      <c r="C1558" s="10" t="inlineStr">
        <is>
          <t>TBA 220kV Bắc Ninh 5</t>
        </is>
      </c>
      <c r="D1558" s="3" t="inlineStr">
        <is>
          <t>B27</t>
        </is>
      </c>
      <c r="E1558" s="9" t="n"/>
      <c r="F1558" s="15">
        <f>IF(E1558&lt;&gt;"","Đã VH","Quy hoạch điện VIII")</f>
        <v/>
      </c>
      <c r="G1558" s="16">
        <f>LEFT(B1558,FIND(" ",B1558,1)-1)</f>
        <v/>
      </c>
      <c r="H1558" s="16">
        <f>TRIM(RIGHT(B1558,LEN(B1558)-FIND(" ",B1558,1)))</f>
        <v/>
      </c>
      <c r="I1558" s="16">
        <f>_xlfn.XLOOKUP(Table2[[#This Row],[Type]],Table5[Type],Table5[Type2])</f>
        <v/>
      </c>
      <c r="J1558" s="16">
        <f>_xlfn.XLOOKUP(Table2[[#This Row],[Sym]],Zones!$A$2:$A$21,Zones!$B$2:$B$21)</f>
        <v/>
      </c>
      <c r="K1558" s="21" t="n"/>
    </row>
    <row r="1559">
      <c r="A1559" s="24" t="n">
        <v>3754</v>
      </c>
      <c r="B1559" s="10" t="inlineStr">
        <is>
          <t>T110 Gia Bình</t>
        </is>
      </c>
      <c r="C1559" s="10" t="inlineStr">
        <is>
          <t>TBA 110kV Gia Bình</t>
        </is>
      </c>
      <c r="D1559" s="3" t="inlineStr">
        <is>
          <t>B27</t>
        </is>
      </c>
      <c r="E1559" s="9" t="n"/>
      <c r="F1559" s="15">
        <f>IF(E1559&lt;&gt;"","Đã VH","Quy hoạch điện VIII")</f>
        <v/>
      </c>
      <c r="G1559" s="16">
        <f>LEFT(B1559,FIND(" ",B1559,1)-1)</f>
        <v/>
      </c>
      <c r="H1559" s="16">
        <f>TRIM(RIGHT(B1559,LEN(B1559)-FIND(" ",B1559,1)))</f>
        <v/>
      </c>
      <c r="I1559" s="16">
        <f>_xlfn.XLOOKUP(Table2[[#This Row],[Type]],Table5[Type],Table5[Type2])</f>
        <v/>
      </c>
      <c r="J1559" s="16">
        <f>_xlfn.XLOOKUP(Table2[[#This Row],[Sym]],Zones!$A$2:$A$21,Zones!$B$2:$B$21)</f>
        <v/>
      </c>
      <c r="K1559" s="21" t="n"/>
    </row>
    <row r="1560">
      <c r="A1560" s="24" t="n">
        <v>3755</v>
      </c>
      <c r="B1560" s="10" t="inlineStr">
        <is>
          <t>T220 Bắc Ninh 6</t>
        </is>
      </c>
      <c r="C1560" s="10" t="inlineStr">
        <is>
          <t>TBA 220kV Bắc Ninh 6</t>
        </is>
      </c>
      <c r="D1560" s="3" t="inlineStr">
        <is>
          <t>B27</t>
        </is>
      </c>
      <c r="E1560" s="9" t="n"/>
      <c r="F1560" s="15">
        <f>IF(E1560&lt;&gt;"","Đã VH","Quy hoạch điện VIII")</f>
        <v/>
      </c>
      <c r="G1560" s="16">
        <f>LEFT(B1560,FIND(" ",B1560,1)-1)</f>
        <v/>
      </c>
      <c r="H1560" s="16">
        <f>TRIM(RIGHT(B1560,LEN(B1560)-FIND(" ",B1560,1)))</f>
        <v/>
      </c>
      <c r="I1560" s="16">
        <f>_xlfn.XLOOKUP(Table2[[#This Row],[Type]],Table5[Type],Table5[Type2])</f>
        <v/>
      </c>
      <c r="J1560" s="16">
        <f>_xlfn.XLOOKUP(Table2[[#This Row],[Sym]],Zones!$A$2:$A$21,Zones!$B$2:$B$21)</f>
        <v/>
      </c>
      <c r="K1560" s="21" t="n"/>
    </row>
    <row r="1561">
      <c r="A1561" s="24" t="n">
        <v>3756</v>
      </c>
      <c r="B1561" s="10" t="inlineStr">
        <is>
          <t>T220 Thuận Thành</t>
        </is>
      </c>
      <c r="C1561" s="10" t="inlineStr">
        <is>
          <t>TBA 220kV Thuận Thành</t>
        </is>
      </c>
      <c r="D1561" s="3" t="inlineStr">
        <is>
          <t>B27</t>
        </is>
      </c>
      <c r="E1561" s="9" t="n"/>
      <c r="F1561" s="15">
        <f>IF(E1561&lt;&gt;"","Đã VH","Quy hoạch điện VIII")</f>
        <v/>
      </c>
      <c r="G1561" s="16">
        <f>LEFT(B1561,FIND(" ",B1561,1)-1)</f>
        <v/>
      </c>
      <c r="H1561" s="16">
        <f>TRIM(RIGHT(B1561,LEN(B1561)-FIND(" ",B1561,1)))</f>
        <v/>
      </c>
      <c r="I1561" s="16">
        <f>_xlfn.XLOOKUP(Table2[[#This Row],[Type]],Table5[Type],Table5[Type2])</f>
        <v/>
      </c>
      <c r="J1561" s="16">
        <f>_xlfn.XLOOKUP(Table2[[#This Row],[Sym]],Zones!$A$2:$A$21,Zones!$B$2:$B$21)</f>
        <v/>
      </c>
      <c r="K1561" s="21" t="n"/>
    </row>
    <row r="1562">
      <c r="A1562" s="24" t="n">
        <v>3757</v>
      </c>
      <c r="B1562" s="10" t="inlineStr">
        <is>
          <t>T220 Bắc Ninh 7</t>
        </is>
      </c>
      <c r="C1562" s="10" t="inlineStr">
        <is>
          <t>TBA 220kV Bắc Ninh 7</t>
        </is>
      </c>
      <c r="D1562" s="3" t="inlineStr">
        <is>
          <t>B27</t>
        </is>
      </c>
      <c r="E1562" s="9" t="n"/>
      <c r="F1562" s="15">
        <f>IF(E1562&lt;&gt;"","Đã VH","Quy hoạch điện VIII")</f>
        <v/>
      </c>
      <c r="G1562" s="16">
        <f>LEFT(B1562,FIND(" ",B1562,1)-1)</f>
        <v/>
      </c>
      <c r="H1562" s="16">
        <f>TRIM(RIGHT(B1562,LEN(B1562)-FIND(" ",B1562,1)))</f>
        <v/>
      </c>
      <c r="I1562" s="16">
        <f>_xlfn.XLOOKUP(Table2[[#This Row],[Type]],Table5[Type],Table5[Type2])</f>
        <v/>
      </c>
      <c r="J1562" s="16">
        <f>_xlfn.XLOOKUP(Table2[[#This Row],[Sym]],Zones!$A$2:$A$21,Zones!$B$2:$B$21)</f>
        <v/>
      </c>
      <c r="K1562" s="21" t="n"/>
    </row>
    <row r="1563">
      <c r="A1563" s="24" t="n">
        <v>3758</v>
      </c>
      <c r="B1563" s="10" t="inlineStr">
        <is>
          <t>T110 Tiên Du</t>
        </is>
      </c>
      <c r="C1563" s="10" t="inlineStr">
        <is>
          <t>TBA 110kV Tiên Du</t>
        </is>
      </c>
      <c r="D1563" s="3" t="inlineStr">
        <is>
          <t>B27</t>
        </is>
      </c>
      <c r="E1563" s="9" t="inlineStr">
        <is>
          <t>E27.31</t>
        </is>
      </c>
      <c r="F1563" s="15">
        <f>IF(E1563&lt;&gt;"","Đã VH","Quy hoạch điện VIII")</f>
        <v/>
      </c>
      <c r="G1563" s="16">
        <f>LEFT(B1563,FIND(" ",B1563,1)-1)</f>
        <v/>
      </c>
      <c r="H1563" s="16">
        <f>TRIM(RIGHT(B1563,LEN(B1563)-FIND(" ",B1563,1)))</f>
        <v/>
      </c>
      <c r="I1563" s="16">
        <f>_xlfn.XLOOKUP(Table2[[#This Row],[Type]],Table5[Type],Table5[Type2])</f>
        <v/>
      </c>
      <c r="J1563" s="16">
        <f>_xlfn.XLOOKUP(Table2[[#This Row],[Sym]],Zones!$A$2:$A$21,Zones!$B$2:$B$21)</f>
        <v/>
      </c>
      <c r="K1563" s="21" t="n"/>
    </row>
    <row r="1564">
      <c r="A1564" s="24" t="n">
        <v>3759</v>
      </c>
      <c r="B1564" s="10" t="inlineStr">
        <is>
          <t>T110 Thuận Thành 6</t>
        </is>
      </c>
      <c r="C1564" s="10" t="inlineStr">
        <is>
          <t>TBA 110kV Thuận Thành 6</t>
        </is>
      </c>
      <c r="D1564" s="3" t="inlineStr">
        <is>
          <t>B27</t>
        </is>
      </c>
      <c r="E1564" s="9" t="inlineStr">
        <is>
          <t>E27.32</t>
        </is>
      </c>
      <c r="F1564" s="15">
        <f>IF(E1564&lt;&gt;"","Đã VH","Quy hoạch điện VIII")</f>
        <v/>
      </c>
      <c r="G1564" s="16">
        <f>LEFT(B1564,FIND(" ",B1564,1)-1)</f>
        <v/>
      </c>
      <c r="H1564" s="16">
        <f>TRIM(RIGHT(B1564,LEN(B1564)-FIND(" ",B1564,1)))</f>
        <v/>
      </c>
      <c r="I1564" s="16">
        <f>_xlfn.XLOOKUP(Table2[[#This Row],[Type]],Table5[Type],Table5[Type2])</f>
        <v/>
      </c>
      <c r="J1564" s="16">
        <f>_xlfn.XLOOKUP(Table2[[#This Row],[Sym]],Zones!$A$2:$A$21,Zones!$B$2:$B$21)</f>
        <v/>
      </c>
      <c r="K1564" s="21" t="n"/>
    </row>
    <row r="1565">
      <c r="A1565" s="24" t="n">
        <v>3760</v>
      </c>
      <c r="B1565" s="10" t="inlineStr">
        <is>
          <t>T110 Tiên Du 2</t>
        </is>
      </c>
      <c r="C1565" s="10" t="inlineStr">
        <is>
          <t>TBA 110kV Tiên Du 2</t>
        </is>
      </c>
      <c r="D1565" s="3" t="inlineStr">
        <is>
          <t>B27</t>
        </is>
      </c>
      <c r="E1565" s="9" t="n"/>
      <c r="F1565" s="15">
        <f>IF(E1565&lt;&gt;"","Đã VH","Quy hoạch điện VIII")</f>
        <v/>
      </c>
      <c r="G1565" s="16">
        <f>LEFT(B1565,FIND(" ",B1565,1)-1)</f>
        <v/>
      </c>
      <c r="H1565" s="16">
        <f>TRIM(RIGHT(B1565,LEN(B1565)-FIND(" ",B1565,1)))</f>
        <v/>
      </c>
      <c r="I1565" s="16">
        <f>_xlfn.XLOOKUP(Table2[[#This Row],[Type]],Table5[Type],Table5[Type2])</f>
        <v/>
      </c>
      <c r="J1565" s="16">
        <f>_xlfn.XLOOKUP(Table2[[#This Row],[Sym]],Zones!$A$2:$A$21,Zones!$B$2:$B$21)</f>
        <v/>
      </c>
      <c r="K1565" s="21" t="n"/>
    </row>
    <row r="1566">
      <c r="A1566" s="24" t="n">
        <v>3761</v>
      </c>
      <c r="B1566" s="10" t="inlineStr">
        <is>
          <t>T110 Từ Sơn</t>
        </is>
      </c>
      <c r="C1566" s="10" t="inlineStr">
        <is>
          <t>TBA 110kV Từ Sơn</t>
        </is>
      </c>
      <c r="D1566" s="3" t="inlineStr">
        <is>
          <t>B27</t>
        </is>
      </c>
      <c r="E1566" s="9" t="n"/>
      <c r="F1566" s="15">
        <f>IF(E1566&lt;&gt;"","Đã VH","Quy hoạch điện VIII")</f>
        <v/>
      </c>
      <c r="G1566" s="16">
        <f>LEFT(B1566,FIND(" ",B1566,1)-1)</f>
        <v/>
      </c>
      <c r="H1566" s="16">
        <f>TRIM(RIGHT(B1566,LEN(B1566)-FIND(" ",B1566,1)))</f>
        <v/>
      </c>
      <c r="I1566" s="16">
        <f>_xlfn.XLOOKUP(Table2[[#This Row],[Type]],Table5[Type],Table5[Type2])</f>
        <v/>
      </c>
      <c r="J1566" s="16">
        <f>_xlfn.XLOOKUP(Table2[[#This Row],[Sym]],Zones!$A$2:$A$21,Zones!$B$2:$B$21)</f>
        <v/>
      </c>
      <c r="K1566" s="21" t="n"/>
    </row>
    <row r="1567">
      <c r="A1567" s="24" t="n">
        <v>3762</v>
      </c>
      <c r="B1567" s="10" t="inlineStr">
        <is>
          <t>T110 Yên Phong 6</t>
        </is>
      </c>
      <c r="C1567" s="10" t="inlineStr">
        <is>
          <t>TBA 110kV Yên Phong 6</t>
        </is>
      </c>
      <c r="D1567" s="3" t="inlineStr">
        <is>
          <t>B27</t>
        </is>
      </c>
      <c r="E1567" s="9" t="n"/>
      <c r="F1567" s="15">
        <f>IF(E1567&lt;&gt;"","Đã VH","Quy hoạch điện VIII")</f>
        <v/>
      </c>
      <c r="G1567" s="16">
        <f>LEFT(B1567,FIND(" ",B1567,1)-1)</f>
        <v/>
      </c>
      <c r="H1567" s="16">
        <f>TRIM(RIGHT(B1567,LEN(B1567)-FIND(" ",B1567,1)))</f>
        <v/>
      </c>
      <c r="I1567" s="16">
        <f>_xlfn.XLOOKUP(Table2[[#This Row],[Type]],Table5[Type],Table5[Type2])</f>
        <v/>
      </c>
      <c r="J1567" s="16">
        <f>_xlfn.XLOOKUP(Table2[[#This Row],[Sym]],Zones!$A$2:$A$21,Zones!$B$2:$B$21)</f>
        <v/>
      </c>
      <c r="K1567" s="21" t="n"/>
    </row>
    <row r="1568">
      <c r="A1568" s="24" t="n">
        <v>3763</v>
      </c>
      <c r="B1568" s="10" t="inlineStr">
        <is>
          <t>T110 Thuận Thành 4</t>
        </is>
      </c>
      <c r="C1568" s="10" t="inlineStr">
        <is>
          <t>TBA 110kV Thuận Thành 4</t>
        </is>
      </c>
      <c r="D1568" s="3" t="inlineStr">
        <is>
          <t>B27</t>
        </is>
      </c>
      <c r="E1568" s="9" t="n"/>
      <c r="F1568" s="15">
        <f>IF(E1568&lt;&gt;"","Đã VH","Quy hoạch điện VIII")</f>
        <v/>
      </c>
      <c r="G1568" s="16">
        <f>LEFT(B1568,FIND(" ",B1568,1)-1)</f>
        <v/>
      </c>
      <c r="H1568" s="16">
        <f>TRIM(RIGHT(B1568,LEN(B1568)-FIND(" ",B1568,1)))</f>
        <v/>
      </c>
      <c r="I1568" s="16">
        <f>_xlfn.XLOOKUP(Table2[[#This Row],[Type]],Table5[Type],Table5[Type2])</f>
        <v/>
      </c>
      <c r="J1568" s="16">
        <f>_xlfn.XLOOKUP(Table2[[#This Row],[Sym]],Zones!$A$2:$A$21,Zones!$B$2:$B$21)</f>
        <v/>
      </c>
      <c r="K1568" s="21" t="n"/>
    </row>
    <row r="1569">
      <c r="A1569" s="24" t="n">
        <v>3764</v>
      </c>
      <c r="B1569" s="10" t="inlineStr">
        <is>
          <t>T110 Từ Sơn 2</t>
        </is>
      </c>
      <c r="C1569" s="10" t="inlineStr">
        <is>
          <t>TBA 110kV Từ Sơn 2</t>
        </is>
      </c>
      <c r="D1569" s="3" t="inlineStr">
        <is>
          <t>B27</t>
        </is>
      </c>
      <c r="E1569" s="9" t="n"/>
      <c r="F1569" s="15">
        <f>IF(E1569&lt;&gt;"","Đã VH","Quy hoạch điện VIII")</f>
        <v/>
      </c>
      <c r="G1569" s="16">
        <f>LEFT(B1569,FIND(" ",B1569,1)-1)</f>
        <v/>
      </c>
      <c r="H1569" s="16">
        <f>TRIM(RIGHT(B1569,LEN(B1569)-FIND(" ",B1569,1)))</f>
        <v/>
      </c>
      <c r="I1569" s="16">
        <f>_xlfn.XLOOKUP(Table2[[#This Row],[Type]],Table5[Type],Table5[Type2])</f>
        <v/>
      </c>
      <c r="J1569" s="16">
        <f>_xlfn.XLOOKUP(Table2[[#This Row],[Sym]],Zones!$A$2:$A$21,Zones!$B$2:$B$21)</f>
        <v/>
      </c>
      <c r="K1569" s="21" t="n"/>
    </row>
    <row r="1570">
      <c r="A1570" s="24" t="n">
        <v>3765</v>
      </c>
      <c r="B1570" s="10" t="inlineStr">
        <is>
          <t>T110 Yên Phong 7</t>
        </is>
      </c>
      <c r="C1570" s="10" t="inlineStr">
        <is>
          <t>TBA 110kV Yên Phong 7</t>
        </is>
      </c>
      <c r="D1570" s="3" t="inlineStr">
        <is>
          <t>B27</t>
        </is>
      </c>
      <c r="E1570" s="9" t="n"/>
      <c r="F1570" s="15">
        <f>IF(E1570&lt;&gt;"","Đã VH","Quy hoạch điện VIII")</f>
        <v/>
      </c>
      <c r="G1570" s="16">
        <f>LEFT(B1570,FIND(" ",B1570,1)-1)</f>
        <v/>
      </c>
      <c r="H1570" s="16">
        <f>TRIM(RIGHT(B1570,LEN(B1570)-FIND(" ",B1570,1)))</f>
        <v/>
      </c>
      <c r="I1570" s="16">
        <f>_xlfn.XLOOKUP(Table2[[#This Row],[Type]],Table5[Type],Table5[Type2])</f>
        <v/>
      </c>
      <c r="J1570" s="16">
        <f>_xlfn.XLOOKUP(Table2[[#This Row],[Sym]],Zones!$A$2:$A$21,Zones!$B$2:$B$21)</f>
        <v/>
      </c>
      <c r="K1570" s="21" t="n"/>
    </row>
    <row r="1571">
      <c r="A1571" s="24" t="n">
        <v>3766</v>
      </c>
      <c r="B1571" s="10" t="inlineStr">
        <is>
          <t>T110 Bắc Ninh 4</t>
        </is>
      </c>
      <c r="C1571" s="10" t="inlineStr">
        <is>
          <t>TBA 110kV Bắc Ninh 4</t>
        </is>
      </c>
      <c r="D1571" s="3" t="inlineStr">
        <is>
          <t>B27</t>
        </is>
      </c>
      <c r="E1571" s="9" t="n"/>
      <c r="F1571" s="15">
        <f>IF(E1571&lt;&gt;"","Đã VH","Quy hoạch điện VIII")</f>
        <v/>
      </c>
      <c r="G1571" s="16">
        <f>LEFT(B1571,FIND(" ",B1571,1)-1)</f>
        <v/>
      </c>
      <c r="H1571" s="16">
        <f>TRIM(RIGHT(B1571,LEN(B1571)-FIND(" ",B1571,1)))</f>
        <v/>
      </c>
      <c r="I1571" s="16">
        <f>_xlfn.XLOOKUP(Table2[[#This Row],[Type]],Table5[Type],Table5[Type2])</f>
        <v/>
      </c>
      <c r="J1571" s="16">
        <f>_xlfn.XLOOKUP(Table2[[#This Row],[Sym]],Zones!$A$2:$A$21,Zones!$B$2:$B$21)</f>
        <v/>
      </c>
      <c r="K1571" s="21" t="n"/>
    </row>
    <row r="1572">
      <c r="A1572" s="24" t="n">
        <v>3767</v>
      </c>
      <c r="B1572" s="10" t="inlineStr">
        <is>
          <t>T110 Thuận Thành 5</t>
        </is>
      </c>
      <c r="C1572" s="10" t="inlineStr">
        <is>
          <t>TBA 110kV Thuận Thành 5</t>
        </is>
      </c>
      <c r="D1572" s="3" t="inlineStr">
        <is>
          <t>B27</t>
        </is>
      </c>
      <c r="E1572" s="9" t="n"/>
      <c r="F1572" s="15">
        <f>IF(E1572&lt;&gt;"","Đã VH","Quy hoạch điện VIII")</f>
        <v/>
      </c>
      <c r="G1572" s="16">
        <f>LEFT(B1572,FIND(" ",B1572,1)-1)</f>
        <v/>
      </c>
      <c r="H1572" s="16">
        <f>TRIM(RIGHT(B1572,LEN(B1572)-FIND(" ",B1572,1)))</f>
        <v/>
      </c>
      <c r="I1572" s="16">
        <f>_xlfn.XLOOKUP(Table2[[#This Row],[Type]],Table5[Type],Table5[Type2])</f>
        <v/>
      </c>
      <c r="J1572" s="16">
        <f>_xlfn.XLOOKUP(Table2[[#This Row],[Sym]],Zones!$A$2:$A$21,Zones!$B$2:$B$21)</f>
        <v/>
      </c>
      <c r="K1572" s="21" t="n"/>
    </row>
    <row r="1573">
      <c r="A1573" s="24" t="n">
        <v>3768</v>
      </c>
      <c r="B1573" s="10" t="inlineStr">
        <is>
          <t>T110 Kênh Vàng</t>
        </is>
      </c>
      <c r="C1573" s="10" t="inlineStr">
        <is>
          <t>TBA 110kV Kênh Vàng</t>
        </is>
      </c>
      <c r="D1573" s="3" t="inlineStr">
        <is>
          <t>B27</t>
        </is>
      </c>
      <c r="E1573" s="9" t="n"/>
      <c r="F1573" s="15">
        <f>IF(E1573&lt;&gt;"","Đã VH","Quy hoạch điện VIII")</f>
        <v/>
      </c>
      <c r="G1573" s="16">
        <f>LEFT(B1573,FIND(" ",B1573,1)-1)</f>
        <v/>
      </c>
      <c r="H1573" s="16">
        <f>TRIM(RIGHT(B1573,LEN(B1573)-FIND(" ",B1573,1)))</f>
        <v/>
      </c>
      <c r="I1573" s="16">
        <f>_xlfn.XLOOKUP(Table2[[#This Row],[Type]],Table5[Type],Table5[Type2])</f>
        <v/>
      </c>
      <c r="J1573" s="16">
        <f>_xlfn.XLOOKUP(Table2[[#This Row],[Sym]],Zones!$A$2:$A$21,Zones!$B$2:$B$21)</f>
        <v/>
      </c>
      <c r="K1573" s="21" t="n"/>
    </row>
    <row r="1574">
      <c r="A1574" s="24" t="n">
        <v>3769</v>
      </c>
      <c r="B1574" s="10" t="inlineStr">
        <is>
          <t>T110 Lương Tài</t>
        </is>
      </c>
      <c r="C1574" s="10" t="inlineStr">
        <is>
          <t>TBA 110kV Lương Tài</t>
        </is>
      </c>
      <c r="D1574" s="3" t="inlineStr">
        <is>
          <t>B27</t>
        </is>
      </c>
      <c r="E1574" s="9" t="n"/>
      <c r="F1574" s="15">
        <f>IF(E1574&lt;&gt;"","Đã VH","Quy hoạch điện VIII")</f>
        <v/>
      </c>
      <c r="G1574" s="16">
        <f>LEFT(B1574,FIND(" ",B1574,1)-1)</f>
        <v/>
      </c>
      <c r="H1574" s="16">
        <f>TRIM(RIGHT(B1574,LEN(B1574)-FIND(" ",B1574,1)))</f>
        <v/>
      </c>
      <c r="I1574" s="16">
        <f>_xlfn.XLOOKUP(Table2[[#This Row],[Type]],Table5[Type],Table5[Type2])</f>
        <v/>
      </c>
      <c r="J1574" s="16">
        <f>_xlfn.XLOOKUP(Table2[[#This Row],[Sym]],Zones!$A$2:$A$21,Zones!$B$2:$B$21)</f>
        <v/>
      </c>
      <c r="K1574" s="21" t="n"/>
    </row>
    <row r="1575">
      <c r="A1575" s="24" t="n">
        <v>3770</v>
      </c>
      <c r="B1575" s="10" t="inlineStr">
        <is>
          <t>T110 Thứa</t>
        </is>
      </c>
      <c r="C1575" s="10" t="inlineStr">
        <is>
          <t>TBA 110kV Thứa</t>
        </is>
      </c>
      <c r="D1575" s="3" t="inlineStr">
        <is>
          <t>B27</t>
        </is>
      </c>
      <c r="E1575" s="9" t="n"/>
      <c r="F1575" s="15">
        <f>IF(E1575&lt;&gt;"","Đã VH","Quy hoạch điện VIII")</f>
        <v/>
      </c>
      <c r="G1575" s="16">
        <f>LEFT(B1575,FIND(" ",B1575,1)-1)</f>
        <v/>
      </c>
      <c r="H1575" s="16">
        <f>TRIM(RIGHT(B1575,LEN(B1575)-FIND(" ",B1575,1)))</f>
        <v/>
      </c>
      <c r="I1575" s="16">
        <f>_xlfn.XLOOKUP(Table2[[#This Row],[Type]],Table5[Type],Table5[Type2])</f>
        <v/>
      </c>
      <c r="J1575" s="16">
        <f>_xlfn.XLOOKUP(Table2[[#This Row],[Sym]],Zones!$A$2:$A$21,Zones!$B$2:$B$21)</f>
        <v/>
      </c>
      <c r="K1575" s="21" t="n"/>
    </row>
    <row r="1576">
      <c r="A1576" s="24" t="n">
        <v>3771</v>
      </c>
      <c r="B1576" s="10" t="inlineStr">
        <is>
          <t>T110 Đại Kim 2</t>
        </is>
      </c>
      <c r="C1576" s="10" t="inlineStr">
        <is>
          <t>TBA 110kV Đại Kim 2</t>
        </is>
      </c>
      <c r="D1576" s="3" t="inlineStr">
        <is>
          <t>B27</t>
        </is>
      </c>
      <c r="E1576" s="9" t="n"/>
      <c r="F1576" s="15">
        <f>IF(E1576&lt;&gt;"","Đã VH","Quy hoạch điện VIII")</f>
        <v/>
      </c>
      <c r="G1576" s="16">
        <f>LEFT(B1576,FIND(" ",B1576,1)-1)</f>
        <v/>
      </c>
      <c r="H1576" s="16">
        <f>TRIM(RIGHT(B1576,LEN(B1576)-FIND(" ",B1576,1)))</f>
        <v/>
      </c>
      <c r="I1576" s="16">
        <f>_xlfn.XLOOKUP(Table2[[#This Row],[Type]],Table5[Type],Table5[Type2])</f>
        <v/>
      </c>
      <c r="J1576" s="16">
        <f>_xlfn.XLOOKUP(Table2[[#This Row],[Sym]],Zones!$A$2:$A$21,Zones!$B$2:$B$21)</f>
        <v/>
      </c>
      <c r="K1576" s="21" t="n"/>
    </row>
    <row r="1577">
      <c r="A1577" s="24" t="n">
        <v>3772</v>
      </c>
      <c r="B1577" s="10" t="inlineStr">
        <is>
          <t>T110 Gia Bình 2</t>
        </is>
      </c>
      <c r="C1577" s="10" t="inlineStr">
        <is>
          <t>TBA 110kV Gia Bình 2</t>
        </is>
      </c>
      <c r="D1577" s="3" t="inlineStr">
        <is>
          <t>B27</t>
        </is>
      </c>
      <c r="E1577" s="9" t="n"/>
      <c r="F1577" s="15">
        <f>IF(E1577&lt;&gt;"","Đã VH","Quy hoạch điện VIII")</f>
        <v/>
      </c>
      <c r="G1577" s="16">
        <f>LEFT(B1577,FIND(" ",B1577,1)-1)</f>
        <v/>
      </c>
      <c r="H1577" s="16">
        <f>TRIM(RIGHT(B1577,LEN(B1577)-FIND(" ",B1577,1)))</f>
        <v/>
      </c>
      <c r="I1577" s="16">
        <f>_xlfn.XLOOKUP(Table2[[#This Row],[Type]],Table5[Type],Table5[Type2])</f>
        <v/>
      </c>
      <c r="J1577" s="16">
        <f>_xlfn.XLOOKUP(Table2[[#This Row],[Sym]],Zones!$A$2:$A$21,Zones!$B$2:$B$21)</f>
        <v/>
      </c>
      <c r="K1577" s="21" t="n"/>
    </row>
    <row r="1578">
      <c r="A1578" s="24" t="n">
        <v>3773</v>
      </c>
      <c r="B1578" s="10" t="inlineStr">
        <is>
          <t>T110 Lương Tài 2</t>
        </is>
      </c>
      <c r="C1578" s="10" t="inlineStr">
        <is>
          <t>TBA 110kV Lương Tài 2</t>
        </is>
      </c>
      <c r="D1578" s="3" t="inlineStr">
        <is>
          <t>B27</t>
        </is>
      </c>
      <c r="E1578" s="9" t="n"/>
      <c r="F1578" s="15">
        <f>IF(E1578&lt;&gt;"","Đã VH","Quy hoạch điện VIII")</f>
        <v/>
      </c>
      <c r="G1578" s="16">
        <f>LEFT(B1578,FIND(" ",B1578,1)-1)</f>
        <v/>
      </c>
      <c r="H1578" s="16">
        <f>TRIM(RIGHT(B1578,LEN(B1578)-FIND(" ",B1578,1)))</f>
        <v/>
      </c>
      <c r="I1578" s="16">
        <f>_xlfn.XLOOKUP(Table2[[#This Row],[Type]],Table5[Type],Table5[Type2])</f>
        <v/>
      </c>
      <c r="J1578" s="16">
        <f>_xlfn.XLOOKUP(Table2[[#This Row],[Sym]],Zones!$A$2:$A$21,Zones!$B$2:$B$21)</f>
        <v/>
      </c>
      <c r="K1578" s="21" t="n"/>
    </row>
    <row r="1579">
      <c r="A1579" s="24" t="n">
        <v>3774</v>
      </c>
      <c r="B1579" s="10" t="inlineStr">
        <is>
          <t>T110 Thuận Thành 1</t>
        </is>
      </c>
      <c r="C1579" s="10" t="inlineStr">
        <is>
          <t>TBA 110kV Thuận Thành 1</t>
        </is>
      </c>
      <c r="D1579" s="3" t="inlineStr">
        <is>
          <t>B27</t>
        </is>
      </c>
      <c r="E1579" s="9" t="n"/>
      <c r="F1579" s="15">
        <f>IF(E1579&lt;&gt;"","Đã VH","Quy hoạch điện VIII")</f>
        <v/>
      </c>
      <c r="G1579" s="16">
        <f>LEFT(B1579,FIND(" ",B1579,1)-1)</f>
        <v/>
      </c>
      <c r="H1579" s="16">
        <f>TRIM(RIGHT(B1579,LEN(B1579)-FIND(" ",B1579,1)))</f>
        <v/>
      </c>
      <c r="I1579" s="16">
        <f>_xlfn.XLOOKUP(Table2[[#This Row],[Type]],Table5[Type],Table5[Type2])</f>
        <v/>
      </c>
      <c r="J1579" s="16">
        <f>_xlfn.XLOOKUP(Table2[[#This Row],[Sym]],Zones!$A$2:$A$21,Zones!$B$2:$B$21)</f>
        <v/>
      </c>
      <c r="K1579" s="21" t="n"/>
    </row>
    <row r="1580">
      <c r="A1580" s="24" t="n">
        <v>3775</v>
      </c>
      <c r="B1580" s="10" t="inlineStr">
        <is>
          <t>T110 Quế Võ 6</t>
        </is>
      </c>
      <c r="C1580" s="10" t="inlineStr">
        <is>
          <t>TBA 110kV Quế Võ 6</t>
        </is>
      </c>
      <c r="D1580" s="3" t="inlineStr">
        <is>
          <t>B27</t>
        </is>
      </c>
      <c r="E1580" s="9" t="n"/>
      <c r="F1580" s="15">
        <f>IF(E1580&lt;&gt;"","Đã VH","Quy hoạch điện VIII")</f>
        <v/>
      </c>
      <c r="G1580" s="16">
        <f>LEFT(B1580,FIND(" ",B1580,1)-1)</f>
        <v/>
      </c>
      <c r="H1580" s="16">
        <f>TRIM(RIGHT(B1580,LEN(B1580)-FIND(" ",B1580,1)))</f>
        <v/>
      </c>
      <c r="I1580" s="16">
        <f>_xlfn.XLOOKUP(Table2[[#This Row],[Type]],Table5[Type],Table5[Type2])</f>
        <v/>
      </c>
      <c r="J1580" s="16">
        <f>_xlfn.XLOOKUP(Table2[[#This Row],[Sym]],Zones!$A$2:$A$21,Zones!$B$2:$B$21)</f>
        <v/>
      </c>
      <c r="K1580" s="21" t="n"/>
    </row>
    <row r="1581">
      <c r="A1581" s="24" t="n">
        <v>3776</v>
      </c>
      <c r="B1581" s="10" t="inlineStr">
        <is>
          <t>T110 Yên Phong 10</t>
        </is>
      </c>
      <c r="C1581" s="10" t="inlineStr">
        <is>
          <t>TBA 110kV Yên Phong 10</t>
        </is>
      </c>
      <c r="D1581" s="3" t="inlineStr">
        <is>
          <t>B27</t>
        </is>
      </c>
      <c r="E1581" s="9" t="n"/>
      <c r="F1581" s="15">
        <f>IF(E1581&lt;&gt;"","Đã VH","Quy hoạch điện VIII")</f>
        <v/>
      </c>
      <c r="G1581" s="16">
        <f>LEFT(B1581,FIND(" ",B1581,1)-1)</f>
        <v/>
      </c>
      <c r="H1581" s="16">
        <f>TRIM(RIGHT(B1581,LEN(B1581)-FIND(" ",B1581,1)))</f>
        <v/>
      </c>
      <c r="I1581" s="16">
        <f>_xlfn.XLOOKUP(Table2[[#This Row],[Type]],Table5[Type],Table5[Type2])</f>
        <v/>
      </c>
      <c r="J1581" s="16">
        <f>_xlfn.XLOOKUP(Table2[[#This Row],[Sym]],Zones!$A$2:$A$21,Zones!$B$2:$B$21)</f>
        <v/>
      </c>
      <c r="K1581" s="21" t="n"/>
    </row>
    <row r="1582">
      <c r="A1582" s="24" t="n">
        <v>3777</v>
      </c>
      <c r="B1582" s="10" t="inlineStr">
        <is>
          <t>T110 Yên Phong 8</t>
        </is>
      </c>
      <c r="C1582" s="10" t="inlineStr">
        <is>
          <t>TBA 110kV Yên Phong 8</t>
        </is>
      </c>
      <c r="D1582" s="3" t="inlineStr">
        <is>
          <t>B27</t>
        </is>
      </c>
      <c r="E1582" s="9" t="n"/>
      <c r="F1582" s="15">
        <f>IF(E1582&lt;&gt;"","Đã VH","Quy hoạch điện VIII")</f>
        <v/>
      </c>
      <c r="G1582" s="16">
        <f>LEFT(B1582,FIND(" ",B1582,1)-1)</f>
        <v/>
      </c>
      <c r="H1582" s="16">
        <f>TRIM(RIGHT(B1582,LEN(B1582)-FIND(" ",B1582,1)))</f>
        <v/>
      </c>
      <c r="I1582" s="16">
        <f>_xlfn.XLOOKUP(Table2[[#This Row],[Type]],Table5[Type],Table5[Type2])</f>
        <v/>
      </c>
      <c r="J1582" s="16">
        <f>_xlfn.XLOOKUP(Table2[[#This Row],[Sym]],Zones!$A$2:$A$21,Zones!$B$2:$B$21)</f>
        <v/>
      </c>
      <c r="K1582" s="21" t="n"/>
    </row>
    <row r="1583">
      <c r="A1583" s="24" t="n">
        <v>3778</v>
      </c>
      <c r="B1583" s="10" t="inlineStr">
        <is>
          <t>T110 Châu Khê 3</t>
        </is>
      </c>
      <c r="C1583" s="10" t="inlineStr">
        <is>
          <t>TBA 110kV Châu Khê 3</t>
        </is>
      </c>
      <c r="D1583" s="3" t="inlineStr">
        <is>
          <t>B27</t>
        </is>
      </c>
      <c r="E1583" s="9" t="n"/>
      <c r="F1583" s="15">
        <f>IF(E1583&lt;&gt;"","Đã VH","Quy hoạch điện VIII")</f>
        <v/>
      </c>
      <c r="G1583" s="16">
        <f>LEFT(B1583,FIND(" ",B1583,1)-1)</f>
        <v/>
      </c>
      <c r="H1583" s="16">
        <f>TRIM(RIGHT(B1583,LEN(B1583)-FIND(" ",B1583,1)))</f>
        <v/>
      </c>
      <c r="I1583" s="16">
        <f>_xlfn.XLOOKUP(Table2[[#This Row],[Type]],Table5[Type],Table5[Type2])</f>
        <v/>
      </c>
      <c r="J1583" s="16">
        <f>_xlfn.XLOOKUP(Table2[[#This Row],[Sym]],Zones!$A$2:$A$21,Zones!$B$2:$B$21)</f>
        <v/>
      </c>
      <c r="K1583" s="21" t="n"/>
    </row>
    <row r="1584">
      <c r="A1584" s="24" t="n">
        <v>3779</v>
      </c>
      <c r="B1584" s="10" t="inlineStr">
        <is>
          <t>T110 Quế Võ 7</t>
        </is>
      </c>
      <c r="C1584" s="10" t="inlineStr">
        <is>
          <t>TBA 110kV Quế Võ 7</t>
        </is>
      </c>
      <c r="D1584" s="3" t="inlineStr">
        <is>
          <t>B27</t>
        </is>
      </c>
      <c r="E1584" s="9" t="n"/>
      <c r="F1584" s="15">
        <f>IF(E1584&lt;&gt;"","Đã VH","Quy hoạch điện VIII")</f>
        <v/>
      </c>
      <c r="G1584" s="16">
        <f>LEFT(B1584,FIND(" ",B1584,1)-1)</f>
        <v/>
      </c>
      <c r="H1584" s="16">
        <f>TRIM(RIGHT(B1584,LEN(B1584)-FIND(" ",B1584,1)))</f>
        <v/>
      </c>
      <c r="I1584" s="16">
        <f>_xlfn.XLOOKUP(Table2[[#This Row],[Type]],Table5[Type],Table5[Type2])</f>
        <v/>
      </c>
      <c r="J1584" s="16">
        <f>_xlfn.XLOOKUP(Table2[[#This Row],[Sym]],Zones!$A$2:$A$21,Zones!$B$2:$B$21)</f>
        <v/>
      </c>
      <c r="K1584" s="21" t="n"/>
    </row>
    <row r="1585">
      <c r="A1585" s="24" t="n">
        <v>3780</v>
      </c>
      <c r="B1585" s="10" t="inlineStr">
        <is>
          <t>T110 TP Bắc Ninh 2</t>
        </is>
      </c>
      <c r="C1585" s="10" t="inlineStr">
        <is>
          <t>TBA 110kV TP Bắc Ninh 2</t>
        </is>
      </c>
      <c r="D1585" s="3" t="inlineStr">
        <is>
          <t>B27</t>
        </is>
      </c>
      <c r="E1585" s="9" t="n"/>
      <c r="F1585" s="15">
        <f>IF(E1585&lt;&gt;"","Đã VH","Quy hoạch điện VIII")</f>
        <v/>
      </c>
      <c r="G1585" s="16">
        <f>LEFT(B1585,FIND(" ",B1585,1)-1)</f>
        <v/>
      </c>
      <c r="H1585" s="16">
        <f>TRIM(RIGHT(B1585,LEN(B1585)-FIND(" ",B1585,1)))</f>
        <v/>
      </c>
      <c r="I1585" s="16">
        <f>_xlfn.XLOOKUP(Table2[[#This Row],[Type]],Table5[Type],Table5[Type2])</f>
        <v/>
      </c>
      <c r="J1585" s="16">
        <f>_xlfn.XLOOKUP(Table2[[#This Row],[Sym]],Zones!$A$2:$A$21,Zones!$B$2:$B$21)</f>
        <v/>
      </c>
      <c r="K1585" s="21" t="n"/>
    </row>
    <row r="1586">
      <c r="A1586" s="24" t="n">
        <v>3781</v>
      </c>
      <c r="B1586" s="10" t="inlineStr">
        <is>
          <t>T110 Quế Võ 5</t>
        </is>
      </c>
      <c r="C1586" s="10" t="inlineStr">
        <is>
          <t>TBA 110kV Quế Võ 5</t>
        </is>
      </c>
      <c r="D1586" s="3" t="inlineStr">
        <is>
          <t>B27</t>
        </is>
      </c>
      <c r="E1586" s="9" t="n"/>
      <c r="F1586" s="15">
        <f>IF(E1586&lt;&gt;"","Đã VH","Quy hoạch điện VIII")</f>
        <v/>
      </c>
      <c r="G1586" s="16">
        <f>LEFT(B1586,FIND(" ",B1586,1)-1)</f>
        <v/>
      </c>
      <c r="H1586" s="16">
        <f>TRIM(RIGHT(B1586,LEN(B1586)-FIND(" ",B1586,1)))</f>
        <v/>
      </c>
      <c r="I1586" s="16">
        <f>_xlfn.XLOOKUP(Table2[[#This Row],[Type]],Table5[Type],Table5[Type2])</f>
        <v/>
      </c>
      <c r="J1586" s="16">
        <f>_xlfn.XLOOKUP(Table2[[#This Row],[Sym]],Zones!$A$2:$A$21,Zones!$B$2:$B$21)</f>
        <v/>
      </c>
      <c r="K1586" s="21" t="n"/>
    </row>
    <row r="1587">
      <c r="A1587" s="24" t="n">
        <v>3782</v>
      </c>
      <c r="B1587" s="10" t="inlineStr">
        <is>
          <t>T110 Vạn Ninh</t>
        </is>
      </c>
      <c r="C1587" s="10" t="inlineStr">
        <is>
          <t>TBA 110kV Vạn Ninh</t>
        </is>
      </c>
      <c r="D1587" s="3" t="inlineStr">
        <is>
          <t>B27</t>
        </is>
      </c>
      <c r="E1587" s="9" t="n"/>
      <c r="F1587" s="15">
        <f>IF(E1587&lt;&gt;"","Đã VH","Quy hoạch điện VIII")</f>
        <v/>
      </c>
      <c r="G1587" s="16">
        <f>LEFT(B1587,FIND(" ",B1587,1)-1)</f>
        <v/>
      </c>
      <c r="H1587" s="16">
        <f>TRIM(RIGHT(B1587,LEN(B1587)-FIND(" ",B1587,1)))</f>
        <v/>
      </c>
      <c r="I1587" s="16">
        <f>_xlfn.XLOOKUP(Table2[[#This Row],[Type]],Table5[Type],Table5[Type2])</f>
        <v/>
      </c>
      <c r="J1587" s="16">
        <f>_xlfn.XLOOKUP(Table2[[#This Row],[Sym]],Zones!$A$2:$A$21,Zones!$B$2:$B$21)</f>
        <v/>
      </c>
      <c r="K1587" s="21" t="n"/>
    </row>
    <row r="1588">
      <c r="A1588" s="24" t="n">
        <v>3783</v>
      </c>
      <c r="B1588" s="10" t="inlineStr">
        <is>
          <t>T110 Bắc Ninh 3</t>
        </is>
      </c>
      <c r="C1588" s="10" t="inlineStr">
        <is>
          <t>TBA 110kV Bắc Ninh 3</t>
        </is>
      </c>
      <c r="D1588" s="3" t="inlineStr">
        <is>
          <t>B27</t>
        </is>
      </c>
      <c r="E1588" s="9" t="n"/>
      <c r="F1588" s="15">
        <f>IF(E1588&lt;&gt;"","Đã VH","Quy hoạch điện VIII")</f>
        <v/>
      </c>
      <c r="G1588" s="16">
        <f>LEFT(B1588,FIND(" ",B1588,1)-1)</f>
        <v/>
      </c>
      <c r="H1588" s="16">
        <f>TRIM(RIGHT(B1588,LEN(B1588)-FIND(" ",B1588,1)))</f>
        <v/>
      </c>
      <c r="I1588" s="16">
        <f>_xlfn.XLOOKUP(Table2[[#This Row],[Type]],Table5[Type],Table5[Type2])</f>
        <v/>
      </c>
      <c r="J1588" s="16">
        <f>_xlfn.XLOOKUP(Table2[[#This Row],[Sym]],Zones!$A$2:$A$21,Zones!$B$2:$B$21)</f>
        <v/>
      </c>
      <c r="K1588" s="21" t="n"/>
    </row>
    <row r="1589">
      <c r="A1589" s="24" t="n">
        <v>3784</v>
      </c>
      <c r="B1589" s="10" t="inlineStr">
        <is>
          <t>T110 Tiên Du 3</t>
        </is>
      </c>
      <c r="C1589" s="10" t="inlineStr">
        <is>
          <t>TBA 110kV Tiên Du 3</t>
        </is>
      </c>
      <c r="D1589" s="3" t="inlineStr">
        <is>
          <t>B27</t>
        </is>
      </c>
      <c r="E1589" s="9" t="n"/>
      <c r="F1589" s="15">
        <f>IF(E1589&lt;&gt;"","Đã VH","Quy hoạch điện VIII")</f>
        <v/>
      </c>
      <c r="G1589" s="16">
        <f>LEFT(B1589,FIND(" ",B1589,1)-1)</f>
        <v/>
      </c>
      <c r="H1589" s="16">
        <f>TRIM(RIGHT(B1589,LEN(B1589)-FIND(" ",B1589,1)))</f>
        <v/>
      </c>
      <c r="I1589" s="16">
        <f>_xlfn.XLOOKUP(Table2[[#This Row],[Type]],Table5[Type],Table5[Type2])</f>
        <v/>
      </c>
      <c r="J1589" s="16">
        <f>_xlfn.XLOOKUP(Table2[[#This Row],[Sym]],Zones!$A$2:$A$21,Zones!$B$2:$B$21)</f>
        <v/>
      </c>
      <c r="K1589" s="21" t="n"/>
    </row>
    <row r="1590">
      <c r="A1590" s="24" t="n">
        <v>3820</v>
      </c>
      <c r="B1590" s="10" t="inlineStr">
        <is>
          <t>T220 Phố Nối</t>
        </is>
      </c>
      <c r="C1590" s="10" t="inlineStr">
        <is>
          <t>TBA 220kV Phố Nối</t>
        </is>
      </c>
      <c r="D1590" s="3" t="inlineStr">
        <is>
          <t>B28</t>
        </is>
      </c>
      <c r="E1590" s="9" t="inlineStr">
        <is>
          <t>E28.1</t>
        </is>
      </c>
      <c r="F1590" s="15">
        <f>IF(E1590&lt;&gt;"","Đã VH","Quy hoạch điện VIII")</f>
        <v/>
      </c>
      <c r="G1590" s="16">
        <f>LEFT(B1590,FIND(" ",B1590,1)-1)</f>
        <v/>
      </c>
      <c r="H1590" s="16">
        <f>TRIM(RIGHT(B1590,LEN(B1590)-FIND(" ",B1590,1)))</f>
        <v/>
      </c>
      <c r="I1590" s="16">
        <f>_xlfn.XLOOKUP(Table2[[#This Row],[Type]],Table5[Type],Table5[Type2])</f>
        <v/>
      </c>
      <c r="J1590" s="16">
        <f>_xlfn.XLOOKUP(Table2[[#This Row],[Sym]],Zones!$A$2:$A$21,Zones!$B$2:$B$21)</f>
        <v/>
      </c>
      <c r="K1590" s="21" t="n"/>
    </row>
    <row r="1591">
      <c r="A1591" s="24" t="n">
        <v>3821</v>
      </c>
      <c r="B1591" s="10" t="inlineStr">
        <is>
          <t>T110 Kim Động</t>
        </is>
      </c>
      <c r="C1591" s="10" t="inlineStr">
        <is>
          <t>TBA 110kV Kim Động</t>
        </is>
      </c>
      <c r="D1591" s="3" t="inlineStr">
        <is>
          <t>B28</t>
        </is>
      </c>
      <c r="E1591" s="9" t="inlineStr">
        <is>
          <t>E28.2</t>
        </is>
      </c>
      <c r="F1591" s="15">
        <f>IF(E1591&lt;&gt;"","Đã VH","Quy hoạch điện VIII")</f>
        <v/>
      </c>
      <c r="G1591" s="16">
        <f>LEFT(B1591,FIND(" ",B1591,1)-1)</f>
        <v/>
      </c>
      <c r="H1591" s="16">
        <f>TRIM(RIGHT(B1591,LEN(B1591)-FIND(" ",B1591,1)))</f>
        <v/>
      </c>
      <c r="I1591" s="16">
        <f>_xlfn.XLOOKUP(Table2[[#This Row],[Type]],Table5[Type],Table5[Type2])</f>
        <v/>
      </c>
      <c r="J1591" s="16">
        <f>_xlfn.XLOOKUP(Table2[[#This Row],[Sym]],Zones!$A$2:$A$21,Zones!$B$2:$B$21)</f>
        <v/>
      </c>
      <c r="K1591" s="21" t="n"/>
    </row>
    <row r="1592">
      <c r="A1592" s="24" t="n">
        <v>3822</v>
      </c>
      <c r="B1592" s="10" t="inlineStr">
        <is>
          <t>T110 Phố Cao</t>
        </is>
      </c>
      <c r="C1592" s="10" t="inlineStr">
        <is>
          <t>TBA 110kV Phố Cao</t>
        </is>
      </c>
      <c r="D1592" s="3" t="inlineStr">
        <is>
          <t>B28</t>
        </is>
      </c>
      <c r="E1592" s="9" t="inlineStr">
        <is>
          <t>E8.3</t>
        </is>
      </c>
      <c r="F1592" s="15">
        <f>IF(E1592&lt;&gt;"","Đã VH","Quy hoạch điện VIII")</f>
        <v/>
      </c>
      <c r="G1592" s="16">
        <f>LEFT(B1592,FIND(" ",B1592,1)-1)</f>
        <v/>
      </c>
      <c r="H1592" s="16">
        <f>TRIM(RIGHT(B1592,LEN(B1592)-FIND(" ",B1592,1)))</f>
        <v/>
      </c>
      <c r="I1592" s="16">
        <f>_xlfn.XLOOKUP(Table2[[#This Row],[Type]],Table5[Type],Table5[Type2])</f>
        <v/>
      </c>
      <c r="J1592" s="16">
        <f>_xlfn.XLOOKUP(Table2[[#This Row],[Sym]],Zones!$A$2:$A$21,Zones!$B$2:$B$21)</f>
        <v/>
      </c>
      <c r="K1592" s="21" t="n"/>
    </row>
    <row r="1593">
      <c r="A1593" s="24" t="n">
        <v>3823</v>
      </c>
      <c r="B1593" s="10" t="inlineStr">
        <is>
          <t>T110 Lạc Đạo</t>
        </is>
      </c>
      <c r="C1593" s="10" t="inlineStr">
        <is>
          <t>TBA 110kV Lạc Đạo</t>
        </is>
      </c>
      <c r="D1593" s="3" t="inlineStr">
        <is>
          <t>B28</t>
        </is>
      </c>
      <c r="E1593" s="9" t="inlineStr">
        <is>
          <t>E28.4</t>
        </is>
      </c>
      <c r="F1593" s="15">
        <f>IF(E1593&lt;&gt;"","Đã VH","Quy hoạch điện VIII")</f>
        <v/>
      </c>
      <c r="G1593" s="16">
        <f>LEFT(B1593,FIND(" ",B1593,1)-1)</f>
        <v/>
      </c>
      <c r="H1593" s="16">
        <f>TRIM(RIGHT(B1593,LEN(B1593)-FIND(" ",B1593,1)))</f>
        <v/>
      </c>
      <c r="I1593" s="16">
        <f>_xlfn.XLOOKUP(Table2[[#This Row],[Type]],Table5[Type],Table5[Type2])</f>
        <v/>
      </c>
      <c r="J1593" s="16">
        <f>_xlfn.XLOOKUP(Table2[[#This Row],[Sym]],Zones!$A$2:$A$21,Zones!$B$2:$B$21)</f>
        <v/>
      </c>
      <c r="K1593" s="21" t="n"/>
    </row>
    <row r="1594">
      <c r="A1594" s="24" t="n">
        <v>3824</v>
      </c>
      <c r="B1594" s="10" t="inlineStr">
        <is>
          <t xml:space="preserve">T110 Giai Phạm </t>
        </is>
      </c>
      <c r="C1594" s="10" t="inlineStr">
        <is>
          <t>TBA 110kV Giai Phạm</t>
        </is>
      </c>
      <c r="D1594" s="3" t="inlineStr">
        <is>
          <t>B28</t>
        </is>
      </c>
      <c r="E1594" s="9" t="inlineStr">
        <is>
          <t>E28.5</t>
        </is>
      </c>
      <c r="F1594" s="15">
        <f>IF(E1594&lt;&gt;"","Đã VH","Quy hoạch điện VIII")</f>
        <v/>
      </c>
      <c r="G1594" s="16">
        <f>LEFT(B1594,FIND(" ",B1594,1)-1)</f>
        <v/>
      </c>
      <c r="H1594" s="16">
        <f>TRIM(RIGHT(B1594,LEN(B1594)-FIND(" ",B1594,1)))</f>
        <v/>
      </c>
      <c r="I1594" s="16">
        <f>_xlfn.XLOOKUP(Table2[[#This Row],[Type]],Table5[Type],Table5[Type2])</f>
        <v/>
      </c>
      <c r="J1594" s="16">
        <f>_xlfn.XLOOKUP(Table2[[#This Row],[Sym]],Zones!$A$2:$A$21,Zones!$B$2:$B$21)</f>
        <v/>
      </c>
      <c r="K1594" s="21" t="n"/>
    </row>
    <row r="1595">
      <c r="A1595" s="24" t="n">
        <v>3825</v>
      </c>
      <c r="B1595" s="10" t="inlineStr">
        <is>
          <t>T110 Yên Mỹ</t>
        </is>
      </c>
      <c r="C1595" s="10" t="inlineStr">
        <is>
          <t>TBA 110kV Yên Mỹ</t>
        </is>
      </c>
      <c r="D1595" s="3" t="inlineStr">
        <is>
          <t>B28</t>
        </is>
      </c>
      <c r="E1595" s="9" t="inlineStr">
        <is>
          <t>E28.6</t>
        </is>
      </c>
      <c r="F1595" s="15">
        <f>IF(E1595&lt;&gt;"","Đã VH","Quy hoạch điện VIII")</f>
        <v/>
      </c>
      <c r="G1595" s="16">
        <f>LEFT(B1595,FIND(" ",B1595,1)-1)</f>
        <v/>
      </c>
      <c r="H1595" s="16">
        <f>TRIM(RIGHT(B1595,LEN(B1595)-FIND(" ",B1595,1)))</f>
        <v/>
      </c>
      <c r="I1595" s="16">
        <f>_xlfn.XLOOKUP(Table2[[#This Row],[Type]],Table5[Type],Table5[Type2])</f>
        <v/>
      </c>
      <c r="J1595" s="16">
        <f>_xlfn.XLOOKUP(Table2[[#This Row],[Sym]],Zones!$A$2:$A$21,Zones!$B$2:$B$21)</f>
        <v/>
      </c>
      <c r="K1595" s="21" t="n"/>
    </row>
    <row r="1596">
      <c r="A1596" s="24" t="n">
        <v>3826</v>
      </c>
      <c r="B1596" s="10" t="inlineStr">
        <is>
          <t>T110 Hưng Yên</t>
        </is>
      </c>
      <c r="C1596" s="10" t="inlineStr">
        <is>
          <t>TBA 110kV Hưng Yên</t>
        </is>
      </c>
      <c r="D1596" s="3" t="inlineStr">
        <is>
          <t>B28</t>
        </is>
      </c>
      <c r="E1596" s="9" t="inlineStr">
        <is>
          <t>E28.7</t>
        </is>
      </c>
      <c r="F1596" s="15">
        <f>IF(E1596&lt;&gt;"","Đã VH","Quy hoạch điện VIII")</f>
        <v/>
      </c>
      <c r="G1596" s="16">
        <f>LEFT(B1596,FIND(" ",B1596,1)-1)</f>
        <v/>
      </c>
      <c r="H1596" s="16">
        <f>TRIM(RIGHT(B1596,LEN(B1596)-FIND(" ",B1596,1)))</f>
        <v/>
      </c>
      <c r="I1596" s="16">
        <f>_xlfn.XLOOKUP(Table2[[#This Row],[Type]],Table5[Type],Table5[Type2])</f>
        <v/>
      </c>
      <c r="J1596" s="16">
        <f>_xlfn.XLOOKUP(Table2[[#This Row],[Sym]],Zones!$A$2:$A$21,Zones!$B$2:$B$21)</f>
        <v/>
      </c>
      <c r="K1596" s="21" t="n"/>
    </row>
    <row r="1597">
      <c r="A1597" s="24" t="n">
        <v>3827</v>
      </c>
      <c r="B1597" s="10" t="inlineStr">
        <is>
          <t>T110 Khoái Châu</t>
        </is>
      </c>
      <c r="C1597" s="10" t="inlineStr">
        <is>
          <t>TBA 110kV Khoái Châu</t>
        </is>
      </c>
      <c r="D1597" s="3" t="inlineStr">
        <is>
          <t>B28</t>
        </is>
      </c>
      <c r="E1597" s="9" t="inlineStr">
        <is>
          <t>E28.8</t>
        </is>
      </c>
      <c r="F1597" s="15">
        <f>IF(E1597&lt;&gt;"","Đã VH","Quy hoạch điện VIII")</f>
        <v/>
      </c>
      <c r="G1597" s="16">
        <f>LEFT(B1597,FIND(" ",B1597,1)-1)</f>
        <v/>
      </c>
      <c r="H1597" s="16">
        <f>TRIM(RIGHT(B1597,LEN(B1597)-FIND(" ",B1597,1)))</f>
        <v/>
      </c>
      <c r="I1597" s="16">
        <f>_xlfn.XLOOKUP(Table2[[#This Row],[Type]],Table5[Type],Table5[Type2])</f>
        <v/>
      </c>
      <c r="J1597" s="16">
        <f>_xlfn.XLOOKUP(Table2[[#This Row],[Sym]],Zones!$A$2:$A$21,Zones!$B$2:$B$21)</f>
        <v/>
      </c>
      <c r="K1597" s="21" t="n"/>
    </row>
    <row r="1598">
      <c r="A1598" s="24" t="n">
        <v>3828</v>
      </c>
      <c r="B1598" s="10" t="inlineStr">
        <is>
          <t>T110 KCN Thăng Long 2</t>
        </is>
      </c>
      <c r="C1598" s="10" t="inlineStr">
        <is>
          <t>TBA 110kV KCN Thăng Long 2</t>
        </is>
      </c>
      <c r="D1598" s="3" t="inlineStr">
        <is>
          <t>B28</t>
        </is>
      </c>
      <c r="E1598" s="9" t="inlineStr">
        <is>
          <t>E28.9</t>
        </is>
      </c>
      <c r="F1598" s="15">
        <f>IF(E1598&lt;&gt;"","Đã VH","Quy hoạch điện VIII")</f>
        <v/>
      </c>
      <c r="G1598" s="16">
        <f>LEFT(B1598,FIND(" ",B1598,1)-1)</f>
        <v/>
      </c>
      <c r="H1598" s="16">
        <f>TRIM(RIGHT(B1598,LEN(B1598)-FIND(" ",B1598,1)))</f>
        <v/>
      </c>
      <c r="I1598" s="16">
        <f>_xlfn.XLOOKUP(Table2[[#This Row],[Type]],Table5[Type],Table5[Type2])</f>
        <v/>
      </c>
      <c r="J1598" s="16">
        <f>_xlfn.XLOOKUP(Table2[[#This Row],[Sym]],Zones!$A$2:$A$21,Zones!$B$2:$B$21)</f>
        <v/>
      </c>
      <c r="K1598" s="21" t="n"/>
    </row>
    <row r="1599">
      <c r="A1599" s="24" t="n">
        <v>3829</v>
      </c>
      <c r="B1599" s="10" t="inlineStr">
        <is>
          <t>T220 Kim Động</t>
        </is>
      </c>
      <c r="C1599" s="10" t="inlineStr">
        <is>
          <t>TBA 220kV Kim Động</t>
        </is>
      </c>
      <c r="D1599" s="3" t="inlineStr">
        <is>
          <t>B28</t>
        </is>
      </c>
      <c r="E1599" s="9" t="inlineStr">
        <is>
          <t>E28.10</t>
        </is>
      </c>
      <c r="F1599" s="15">
        <f>IF(E1599&lt;&gt;"","Đã VH","Quy hoạch điện VIII")</f>
        <v/>
      </c>
      <c r="G1599" s="16">
        <f>LEFT(B1599,FIND(" ",B1599,1)-1)</f>
        <v/>
      </c>
      <c r="H1599" s="16">
        <f>TRIM(RIGHT(B1599,LEN(B1599)-FIND(" ",B1599,1)))</f>
        <v/>
      </c>
      <c r="I1599" s="16">
        <f>_xlfn.XLOOKUP(Table2[[#This Row],[Type]],Table5[Type],Table5[Type2])</f>
        <v/>
      </c>
      <c r="J1599" s="16">
        <f>_xlfn.XLOOKUP(Table2[[#This Row],[Sym]],Zones!$A$2:$A$21,Zones!$B$2:$B$21)</f>
        <v/>
      </c>
      <c r="K1599" s="21" t="n"/>
    </row>
    <row r="1600">
      <c r="A1600" s="24" t="n">
        <v>3830</v>
      </c>
      <c r="B1600" s="10" t="inlineStr">
        <is>
          <t>T110 Văn Giang</t>
        </is>
      </c>
      <c r="C1600" s="10" t="inlineStr">
        <is>
          <t>TBA 110kV Văn Giang</t>
        </is>
      </c>
      <c r="D1600" s="3" t="inlineStr">
        <is>
          <t>B28</t>
        </is>
      </c>
      <c r="E1600" s="9" t="inlineStr">
        <is>
          <t>E28.11</t>
        </is>
      </c>
      <c r="F1600" s="15">
        <f>IF(E1600&lt;&gt;"","Đã VH","Quy hoạch điện VIII")</f>
        <v/>
      </c>
      <c r="G1600" s="16">
        <f>LEFT(B1600,FIND(" ",B1600,1)-1)</f>
        <v/>
      </c>
      <c r="H1600" s="16">
        <f>TRIM(RIGHT(B1600,LEN(B1600)-FIND(" ",B1600,1)))</f>
        <v/>
      </c>
      <c r="I1600" s="16">
        <f>_xlfn.XLOOKUP(Table2[[#This Row],[Type]],Table5[Type],Table5[Type2])</f>
        <v/>
      </c>
      <c r="J1600" s="16">
        <f>_xlfn.XLOOKUP(Table2[[#This Row],[Sym]],Zones!$A$2:$A$21,Zones!$B$2:$B$21)</f>
        <v/>
      </c>
      <c r="K1600" s="21" t="n"/>
    </row>
    <row r="1601">
      <c r="A1601" s="24" t="n">
        <v>3831</v>
      </c>
      <c r="B1601" s="10" t="inlineStr">
        <is>
          <t>T110 Minh Đức</t>
        </is>
      </c>
      <c r="C1601" s="10" t="inlineStr">
        <is>
          <t>TBA 110kV Minh Đức</t>
        </is>
      </c>
      <c r="D1601" s="3" t="inlineStr">
        <is>
          <t>B28</t>
        </is>
      </c>
      <c r="E1601" s="9" t="inlineStr">
        <is>
          <t>E28.12</t>
        </is>
      </c>
      <c r="F1601" s="15">
        <f>IF(E1601&lt;&gt;"","Đã VH","Quy hoạch điện VIII")</f>
        <v/>
      </c>
      <c r="G1601" s="16">
        <f>LEFT(B1601,FIND(" ",B1601,1)-1)</f>
        <v/>
      </c>
      <c r="H1601" s="16">
        <f>TRIM(RIGHT(B1601,LEN(B1601)-FIND(" ",B1601,1)))</f>
        <v/>
      </c>
      <c r="I1601" s="16">
        <f>_xlfn.XLOOKUP(Table2[[#This Row],[Type]],Table5[Type],Table5[Type2])</f>
        <v/>
      </c>
      <c r="J1601" s="16">
        <f>_xlfn.XLOOKUP(Table2[[#This Row],[Sym]],Zones!$A$2:$A$21,Zones!$B$2:$B$21)</f>
        <v/>
      </c>
      <c r="K1601" s="21" t="n"/>
    </row>
    <row r="1602">
      <c r="A1602" s="24" t="n">
        <v>3832</v>
      </c>
      <c r="B1602" s="10" t="inlineStr">
        <is>
          <t>T500 Phố Nối</t>
        </is>
      </c>
      <c r="C1602" s="10" t="inlineStr">
        <is>
          <t>TBA 500kV Phố Nối</t>
        </is>
      </c>
      <c r="D1602" s="3" t="inlineStr">
        <is>
          <t>B28</t>
        </is>
      </c>
      <c r="E1602" s="9" t="inlineStr">
        <is>
          <t>T500 Phố Nối</t>
        </is>
      </c>
      <c r="F1602" s="15">
        <f>IF(E1602&lt;&gt;"","Đã VH","Quy hoạch điện VIII")</f>
        <v/>
      </c>
      <c r="G1602" s="16">
        <f>LEFT(B1602,FIND(" ",B1602,1)-1)</f>
        <v/>
      </c>
      <c r="H1602" s="16">
        <f>TRIM(RIGHT(B1602,LEN(B1602)-FIND(" ",B1602,1)))</f>
        <v/>
      </c>
      <c r="I1602" s="16">
        <f>_xlfn.XLOOKUP(Table2[[#This Row],[Type]],Table5[Type],Table5[Type2])</f>
        <v/>
      </c>
      <c r="J1602" s="16">
        <f>_xlfn.XLOOKUP(Table2[[#This Row],[Sym]],Zones!$A$2:$A$21,Zones!$B$2:$B$21)</f>
        <v/>
      </c>
      <c r="K1602" s="21" t="n"/>
    </row>
    <row r="1603">
      <c r="A1603" s="24" t="n">
        <v>3833</v>
      </c>
      <c r="B1603" s="10" t="inlineStr">
        <is>
          <t>T110 Minh Hải</t>
        </is>
      </c>
      <c r="C1603" s="10" t="inlineStr">
        <is>
          <t>TBA 110kV Minh Hải</t>
        </is>
      </c>
      <c r="D1603" s="3" t="inlineStr">
        <is>
          <t>B28</t>
        </is>
      </c>
      <c r="E1603" s="9" t="inlineStr">
        <is>
          <t>E28.13</t>
        </is>
      </c>
      <c r="F1603" s="15">
        <f>IF(E1603&lt;&gt;"","Đã VH","Quy hoạch điện VIII")</f>
        <v/>
      </c>
      <c r="G1603" s="16">
        <f>LEFT(B1603,FIND(" ",B1603,1)-1)</f>
        <v/>
      </c>
      <c r="H1603" s="16">
        <f>TRIM(RIGHT(B1603,LEN(B1603)-FIND(" ",B1603,1)))</f>
        <v/>
      </c>
      <c r="I1603" s="16">
        <f>_xlfn.XLOOKUP(Table2[[#This Row],[Type]],Table5[Type],Table5[Type2])</f>
        <v/>
      </c>
      <c r="J1603" s="16">
        <f>_xlfn.XLOOKUP(Table2[[#This Row],[Sym]],Zones!$A$2:$A$21,Zones!$B$2:$B$21)</f>
        <v/>
      </c>
      <c r="K1603" s="21" t="n"/>
    </row>
    <row r="1604">
      <c r="A1604" s="24" t="n">
        <v>3834</v>
      </c>
      <c r="B1604" s="10" t="inlineStr">
        <is>
          <t>T110 Tân Quang</t>
        </is>
      </c>
      <c r="C1604" s="10" t="inlineStr">
        <is>
          <t>TBA 110kV Tân Quang</t>
        </is>
      </c>
      <c r="D1604" s="3" t="inlineStr">
        <is>
          <t>B28</t>
        </is>
      </c>
      <c r="E1604" s="9" t="inlineStr">
        <is>
          <t>E28.14</t>
        </is>
      </c>
      <c r="F1604" s="15">
        <f>IF(E1604&lt;&gt;"","Đã VH","Quy hoạch điện VIII")</f>
        <v/>
      </c>
      <c r="G1604" s="16">
        <f>LEFT(B1604,FIND(" ",B1604,1)-1)</f>
        <v/>
      </c>
      <c r="H1604" s="16">
        <f>TRIM(RIGHT(B1604,LEN(B1604)-FIND(" ",B1604,1)))</f>
        <v/>
      </c>
      <c r="I1604" s="16">
        <f>_xlfn.XLOOKUP(Table2[[#This Row],[Type]],Table5[Type],Table5[Type2])</f>
        <v/>
      </c>
      <c r="J1604" s="16">
        <f>_xlfn.XLOOKUP(Table2[[#This Row],[Sym]],Zones!$A$2:$A$21,Zones!$B$2:$B$21)</f>
        <v/>
      </c>
      <c r="K1604" s="21" t="n"/>
    </row>
    <row r="1605">
      <c r="A1605" s="24" t="n">
        <v>3835</v>
      </c>
      <c r="B1605" s="10" t="inlineStr">
        <is>
          <t>T110 Văn Giang 2</t>
        </is>
      </c>
      <c r="C1605" s="10" t="inlineStr">
        <is>
          <t>TBA 110kV Văn Giang 2</t>
        </is>
      </c>
      <c r="D1605" s="3" t="inlineStr">
        <is>
          <t>B28</t>
        </is>
      </c>
      <c r="E1605" s="9" t="inlineStr">
        <is>
          <t>E28.16</t>
        </is>
      </c>
      <c r="F1605" s="15">
        <f>IF(E1605&lt;&gt;"","Đã VH","Quy hoạch điện VIII")</f>
        <v/>
      </c>
      <c r="G1605" s="16">
        <f>LEFT(B1605,FIND(" ",B1605,1)-1)</f>
        <v/>
      </c>
      <c r="H1605" s="16">
        <f>TRIM(RIGHT(B1605,LEN(B1605)-FIND(" ",B1605,1)))</f>
        <v/>
      </c>
      <c r="I1605" s="16">
        <f>_xlfn.XLOOKUP(Table2[[#This Row],[Type]],Table5[Type],Table5[Type2])</f>
        <v/>
      </c>
      <c r="J1605" s="16">
        <f>_xlfn.XLOOKUP(Table2[[#This Row],[Sym]],Zones!$A$2:$A$21,Zones!$B$2:$B$21)</f>
        <v/>
      </c>
      <c r="K1605" s="21" t="n"/>
    </row>
    <row r="1606">
      <c r="A1606" s="24" t="n">
        <v>3836</v>
      </c>
      <c r="B1606" s="10" t="inlineStr">
        <is>
          <t>T110 Bãi Sậy</t>
        </is>
      </c>
      <c r="C1606" s="10" t="inlineStr">
        <is>
          <t>TBA 110kV Bãi Sậy</t>
        </is>
      </c>
      <c r="D1606" s="3" t="inlineStr">
        <is>
          <t>B28</t>
        </is>
      </c>
      <c r="E1606" s="9" t="inlineStr">
        <is>
          <t>E28.17</t>
        </is>
      </c>
      <c r="F1606" s="15">
        <f>IF(E1606&lt;&gt;"","Đã VH","Quy hoạch điện VIII")</f>
        <v/>
      </c>
      <c r="G1606" s="16">
        <f>LEFT(B1606,FIND(" ",B1606,1)-1)</f>
        <v/>
      </c>
      <c r="H1606" s="16">
        <f>TRIM(RIGHT(B1606,LEN(B1606)-FIND(" ",B1606,1)))</f>
        <v/>
      </c>
      <c r="I1606" s="16">
        <f>_xlfn.XLOOKUP(Table2[[#This Row],[Type]],Table5[Type],Table5[Type2])</f>
        <v/>
      </c>
      <c r="J1606" s="16">
        <f>_xlfn.XLOOKUP(Table2[[#This Row],[Sym]],Zones!$A$2:$A$21,Zones!$B$2:$B$21)</f>
        <v/>
      </c>
      <c r="K1606" s="21" t="n"/>
    </row>
    <row r="1607">
      <c r="A1607" s="24" t="n">
        <v>3837</v>
      </c>
      <c r="B1607" s="10" t="inlineStr">
        <is>
          <t>T110 Như Quỳnh</t>
        </is>
      </c>
      <c r="C1607" s="10" t="inlineStr">
        <is>
          <t>TBA 110kV Như Quỳnh</t>
        </is>
      </c>
      <c r="D1607" s="3" t="inlineStr">
        <is>
          <t>B28</t>
        </is>
      </c>
      <c r="E1607" s="9" t="inlineStr">
        <is>
          <t>E28.19</t>
        </is>
      </c>
      <c r="F1607" s="15">
        <f>IF(E1607&lt;&gt;"","Đã VH","Quy hoạch điện VIII")</f>
        <v/>
      </c>
      <c r="G1607" s="16">
        <f>LEFT(B1607,FIND(" ",B1607,1)-1)</f>
        <v/>
      </c>
      <c r="H1607" s="16">
        <f>TRIM(RIGHT(B1607,LEN(B1607)-FIND(" ",B1607,1)))</f>
        <v/>
      </c>
      <c r="I1607" s="16">
        <f>_xlfn.XLOOKUP(Table2[[#This Row],[Type]],Table5[Type],Table5[Type2])</f>
        <v/>
      </c>
      <c r="J1607" s="16">
        <f>_xlfn.XLOOKUP(Table2[[#This Row],[Sym]],Zones!$A$2:$A$21,Zones!$B$2:$B$21)</f>
        <v/>
      </c>
      <c r="K1607" s="21" t="n"/>
    </row>
    <row r="1608">
      <c r="A1608" s="24" t="n">
        <v>3838</v>
      </c>
      <c r="B1608" s="10" t="inlineStr">
        <is>
          <t>T110 Phố Nối</t>
        </is>
      </c>
      <c r="C1608" s="10" t="inlineStr">
        <is>
          <t>TBA 110kV Phố Nối</t>
        </is>
      </c>
      <c r="D1608" s="3" t="inlineStr">
        <is>
          <t>B28</t>
        </is>
      </c>
      <c r="E1608" s="9" t="inlineStr">
        <is>
          <t>E28.18</t>
        </is>
      </c>
      <c r="F1608" s="15">
        <f>IF(E1608&lt;&gt;"","Đã VH","Quy hoạch điện VIII")</f>
        <v/>
      </c>
      <c r="G1608" s="16">
        <f>LEFT(B1608,FIND(" ",B1608,1)-1)</f>
        <v/>
      </c>
      <c r="H1608" s="16">
        <f>TRIM(RIGHT(B1608,LEN(B1608)-FIND(" ",B1608,1)))</f>
        <v/>
      </c>
      <c r="I1608" s="16">
        <f>_xlfn.XLOOKUP(Table2[[#This Row],[Type]],Table5[Type],Table5[Type2])</f>
        <v/>
      </c>
      <c r="J1608" s="16">
        <f>_xlfn.XLOOKUP(Table2[[#This Row],[Sym]],Zones!$A$2:$A$21,Zones!$B$2:$B$21)</f>
        <v/>
      </c>
      <c r="K1608" s="21" t="n"/>
    </row>
    <row r="1609">
      <c r="A1609" s="24" t="n">
        <v>3839</v>
      </c>
      <c r="B1609" s="10" t="inlineStr">
        <is>
          <t>T110 Kim Động 2</t>
        </is>
      </c>
      <c r="C1609" s="10" t="inlineStr">
        <is>
          <t>TBA 110kV Kim Động 2</t>
        </is>
      </c>
      <c r="D1609" s="3" t="inlineStr">
        <is>
          <t>B28</t>
        </is>
      </c>
      <c r="E1609" s="9" t="inlineStr">
        <is>
          <t>E28.21</t>
        </is>
      </c>
      <c r="F1609" s="15">
        <f>IF(E1609&lt;&gt;"","Đã VH","Quy hoạch điện VIII")</f>
        <v/>
      </c>
      <c r="G1609" s="16">
        <f>LEFT(B1609,FIND(" ",B1609,1)-1)</f>
        <v/>
      </c>
      <c r="H1609" s="16">
        <f>TRIM(RIGHT(B1609,LEN(B1609)-FIND(" ",B1609,1)))</f>
        <v/>
      </c>
      <c r="I1609" s="16">
        <f>_xlfn.XLOOKUP(Table2[[#This Row],[Type]],Table5[Type],Table5[Type2])</f>
        <v/>
      </c>
      <c r="J1609" s="16">
        <f>_xlfn.XLOOKUP(Table2[[#This Row],[Sym]],Zones!$A$2:$A$21,Zones!$B$2:$B$21)</f>
        <v/>
      </c>
      <c r="K1609" s="21" t="n"/>
    </row>
    <row r="1610">
      <c r="A1610" s="24" t="n">
        <v>3840</v>
      </c>
      <c r="B1610" s="10" t="inlineStr">
        <is>
          <t>T220 Yên Mỹ</t>
        </is>
      </c>
      <c r="C1610" s="10" t="inlineStr">
        <is>
          <t>TBA 220kV Yên Mỹ</t>
        </is>
      </c>
      <c r="D1610" s="3" t="inlineStr">
        <is>
          <t>B28</t>
        </is>
      </c>
      <c r="E1610" s="9" t="inlineStr">
        <is>
          <t>E28.15</t>
        </is>
      </c>
      <c r="F1610" s="15">
        <f>IF(E1610&lt;&gt;"","Đã VH","Quy hoạch điện VIII")</f>
        <v/>
      </c>
      <c r="G1610" s="16">
        <f>LEFT(B1610,FIND(" ",B1610,1)-1)</f>
        <v/>
      </c>
      <c r="H1610" s="16">
        <f>TRIM(RIGHT(B1610,LEN(B1610)-FIND(" ",B1610,1)))</f>
        <v/>
      </c>
      <c r="I1610" s="16">
        <f>_xlfn.XLOOKUP(Table2[[#This Row],[Type]],Table5[Type],Table5[Type2])</f>
        <v/>
      </c>
      <c r="J1610" s="16">
        <f>_xlfn.XLOOKUP(Table2[[#This Row],[Sym]],Zones!$A$2:$A$21,Zones!$B$2:$B$21)</f>
        <v/>
      </c>
      <c r="K1610" s="21" t="n"/>
    </row>
    <row r="1611">
      <c r="A1611" s="24" t="n">
        <v>3841</v>
      </c>
      <c r="B1611" s="10" t="inlineStr">
        <is>
          <t>T220 Phố Cao</t>
        </is>
      </c>
      <c r="C1611" s="10" t="inlineStr">
        <is>
          <t>TBA 220kV Phố Cao</t>
        </is>
      </c>
      <c r="D1611" s="3" t="inlineStr">
        <is>
          <t>B28</t>
        </is>
      </c>
      <c r="E1611" s="9" t="inlineStr">
        <is>
          <t>E28.20</t>
        </is>
      </c>
      <c r="F1611" s="15">
        <f>IF(E1611&lt;&gt;"","Đã VH","Quy hoạch điện VIII")</f>
        <v/>
      </c>
      <c r="G1611" s="16">
        <f>LEFT(B1611,FIND(" ",B1611,1)-1)</f>
        <v/>
      </c>
      <c r="H1611" s="16">
        <f>TRIM(RIGHT(B1611,LEN(B1611)-FIND(" ",B1611,1)))</f>
        <v/>
      </c>
      <c r="I1611" s="16">
        <f>_xlfn.XLOOKUP(Table2[[#This Row],[Type]],Table5[Type],Table5[Type2])</f>
        <v/>
      </c>
      <c r="J1611" s="16">
        <f>_xlfn.XLOOKUP(Table2[[#This Row],[Sym]],Zones!$A$2:$A$21,Zones!$B$2:$B$21)</f>
        <v/>
      </c>
      <c r="K1611" s="21" t="n"/>
    </row>
    <row r="1612">
      <c r="A1612" s="24" t="n">
        <v>3842</v>
      </c>
      <c r="B1612" s="10" t="inlineStr">
        <is>
          <t>T220 Bãi Sậy</t>
        </is>
      </c>
      <c r="C1612" s="10" t="inlineStr">
        <is>
          <t>TBA 220kV Bãi Sậy</t>
        </is>
      </c>
      <c r="D1612" s="3" t="inlineStr">
        <is>
          <t>B28</t>
        </is>
      </c>
      <c r="E1612" s="9" t="n"/>
      <c r="F1612" s="15">
        <f>IF(E1612&lt;&gt;"","Đã VH","Quy hoạch điện VIII")</f>
        <v/>
      </c>
      <c r="G1612" s="16">
        <f>LEFT(B1612,FIND(" ",B1612,1)-1)</f>
        <v/>
      </c>
      <c r="H1612" s="16">
        <f>TRIM(RIGHT(B1612,LEN(B1612)-FIND(" ",B1612,1)))</f>
        <v/>
      </c>
      <c r="I1612" s="16">
        <f>_xlfn.XLOOKUP(Table2[[#This Row],[Type]],Table5[Type],Table5[Type2])</f>
        <v/>
      </c>
      <c r="J1612" s="16">
        <f>_xlfn.XLOOKUP(Table2[[#This Row],[Sym]],Zones!$A$2:$A$21,Zones!$B$2:$B$21)</f>
        <v/>
      </c>
      <c r="K1612" s="21" t="n"/>
    </row>
    <row r="1613">
      <c r="A1613" s="24" t="n">
        <v>3843</v>
      </c>
      <c r="B1613" s="10" t="inlineStr">
        <is>
          <t>T110 Lý Thường Kiệt 2</t>
        </is>
      </c>
      <c r="C1613" s="10" t="inlineStr">
        <is>
          <t>TBA 110kV Lý Thường Kiệt 2</t>
        </is>
      </c>
      <c r="D1613" s="3" t="inlineStr">
        <is>
          <t>B28</t>
        </is>
      </c>
      <c r="E1613" s="9" t="inlineStr">
        <is>
          <t>E28.24</t>
        </is>
      </c>
      <c r="F1613" s="15">
        <f>IF(E1613&lt;&gt;"","Đã VH","Quy hoạch điện VIII")</f>
        <v/>
      </c>
      <c r="G1613" s="16">
        <f>LEFT(B1613,FIND(" ",B1613,1)-1)</f>
        <v/>
      </c>
      <c r="H1613" s="16">
        <f>TRIM(RIGHT(B1613,LEN(B1613)-FIND(" ",B1613,1)))</f>
        <v/>
      </c>
      <c r="I1613" s="16">
        <f>_xlfn.XLOOKUP(Table2[[#This Row],[Type]],Table5[Type],Table5[Type2])</f>
        <v/>
      </c>
      <c r="J1613" s="16">
        <f>_xlfn.XLOOKUP(Table2[[#This Row],[Sym]],Zones!$A$2:$A$21,Zones!$B$2:$B$21)</f>
        <v/>
      </c>
      <c r="K1613" s="21" t="n"/>
    </row>
    <row r="1614">
      <c r="A1614" s="24" t="n">
        <v>3844</v>
      </c>
      <c r="B1614" s="10" t="inlineStr">
        <is>
          <t>T110 Ngọc Long</t>
        </is>
      </c>
      <c r="C1614" s="10" t="inlineStr">
        <is>
          <t>TBA 110kV Ngọc Long</t>
        </is>
      </c>
      <c r="D1614" s="3" t="inlineStr">
        <is>
          <t>B28</t>
        </is>
      </c>
      <c r="E1614" s="9" t="n"/>
      <c r="F1614" s="15">
        <f>IF(E1614&lt;&gt;"","Đã VH","Quy hoạch điện VIII")</f>
        <v/>
      </c>
      <c r="G1614" s="16">
        <f>LEFT(B1614,FIND(" ",B1614,1)-1)</f>
        <v/>
      </c>
      <c r="H1614" s="16">
        <f>TRIM(RIGHT(B1614,LEN(B1614)-FIND(" ",B1614,1)))</f>
        <v/>
      </c>
      <c r="I1614" s="16">
        <f>_xlfn.XLOOKUP(Table2[[#This Row],[Type]],Table5[Type],Table5[Type2])</f>
        <v/>
      </c>
      <c r="J1614" s="16">
        <f>_xlfn.XLOOKUP(Table2[[#This Row],[Sym]],Zones!$A$2:$A$21,Zones!$B$2:$B$21)</f>
        <v/>
      </c>
      <c r="K1614" s="21" t="n"/>
    </row>
    <row r="1615">
      <c r="A1615" s="24" t="n">
        <v>3845</v>
      </c>
      <c r="B1615" s="10" t="inlineStr">
        <is>
          <t>T220 TP Hưng Yên</t>
        </is>
      </c>
      <c r="C1615" s="10" t="inlineStr">
        <is>
          <t>TBA 220kV TP Hưng Yên</t>
        </is>
      </c>
      <c r="D1615" s="3" t="inlineStr">
        <is>
          <t>B28</t>
        </is>
      </c>
      <c r="E1615" s="9" t="n"/>
      <c r="F1615" s="15">
        <f>IF(E1615&lt;&gt;"","Đã VH","Quy hoạch điện VIII")</f>
        <v/>
      </c>
      <c r="G1615" s="16">
        <f>LEFT(B1615,FIND(" ",B1615,1)-1)</f>
        <v/>
      </c>
      <c r="H1615" s="16">
        <f>TRIM(RIGHT(B1615,LEN(B1615)-FIND(" ",B1615,1)))</f>
        <v/>
      </c>
      <c r="I1615" s="16">
        <f>_xlfn.XLOOKUP(Table2[[#This Row],[Type]],Table5[Type],Table5[Type2])</f>
        <v/>
      </c>
      <c r="J1615" s="16">
        <f>_xlfn.XLOOKUP(Table2[[#This Row],[Sym]],Zones!$A$2:$A$21,Zones!$B$2:$B$21)</f>
        <v/>
      </c>
      <c r="K1615" s="21" t="n"/>
    </row>
    <row r="1616">
      <c r="A1616" s="24" t="n">
        <v>3846</v>
      </c>
      <c r="B1616" s="10" t="inlineStr">
        <is>
          <t>T110 Yên Mỹ 2</t>
        </is>
      </c>
      <c r="C1616" s="10" t="inlineStr">
        <is>
          <t>TBA 110kV Yên Mỹ 2</t>
        </is>
      </c>
      <c r="D1616" s="3" t="inlineStr">
        <is>
          <t>B28</t>
        </is>
      </c>
      <c r="E1616" s="9" t="n"/>
      <c r="F1616" s="15">
        <f>IF(E1616&lt;&gt;"","Đã VH","Quy hoạch điện VIII")</f>
        <v/>
      </c>
      <c r="G1616" s="16">
        <f>LEFT(B1616,FIND(" ",B1616,1)-1)</f>
        <v/>
      </c>
      <c r="H1616" s="16">
        <f>TRIM(RIGHT(B1616,LEN(B1616)-FIND(" ",B1616,1)))</f>
        <v/>
      </c>
      <c r="I1616" s="16">
        <f>_xlfn.XLOOKUP(Table2[[#This Row],[Type]],Table5[Type],Table5[Type2])</f>
        <v/>
      </c>
      <c r="J1616" s="16">
        <f>_xlfn.XLOOKUP(Table2[[#This Row],[Sym]],Zones!$A$2:$A$21,Zones!$B$2:$B$21)</f>
        <v/>
      </c>
      <c r="K1616" s="21" t="n"/>
    </row>
    <row r="1617">
      <c r="A1617" s="24" t="n">
        <v>3847</v>
      </c>
      <c r="B1617" s="10" t="inlineStr">
        <is>
          <t>T110 Tiên Lữ</t>
        </is>
      </c>
      <c r="C1617" s="10" t="inlineStr">
        <is>
          <t>TBA 110kV Tiên Lữ</t>
        </is>
      </c>
      <c r="D1617" s="3" t="inlineStr">
        <is>
          <t>B28</t>
        </is>
      </c>
      <c r="E1617" s="9" t="n"/>
      <c r="F1617" s="15">
        <f>IF(E1617&lt;&gt;"","Đã VH","Quy hoạch điện VIII")</f>
        <v/>
      </c>
      <c r="G1617" s="16">
        <f>LEFT(B1617,FIND(" ",B1617,1)-1)</f>
        <v/>
      </c>
      <c r="H1617" s="16">
        <f>TRIM(RIGHT(B1617,LEN(B1617)-FIND(" ",B1617,1)))</f>
        <v/>
      </c>
      <c r="I1617" s="16">
        <f>_xlfn.XLOOKUP(Table2[[#This Row],[Type]],Table5[Type],Table5[Type2])</f>
        <v/>
      </c>
      <c r="J1617" s="16">
        <f>_xlfn.XLOOKUP(Table2[[#This Row],[Sym]],Zones!$A$2:$A$21,Zones!$B$2:$B$21)</f>
        <v/>
      </c>
      <c r="K1617" s="21" t="n"/>
    </row>
    <row r="1618">
      <c r="A1618" s="24" t="n">
        <v>3848</v>
      </c>
      <c r="B1618" s="10" t="inlineStr">
        <is>
          <t>T110 Lý Thường Kiệt</t>
        </is>
      </c>
      <c r="C1618" s="10" t="inlineStr">
        <is>
          <t>TBA 110kV Lý Thường Kiệt</t>
        </is>
      </c>
      <c r="D1618" s="3" t="inlineStr">
        <is>
          <t>B28</t>
        </is>
      </c>
      <c r="E1618" s="9" t="n"/>
      <c r="F1618" s="15">
        <f>IF(E1618&lt;&gt;"","Đã VH","Quy hoạch điện VIII")</f>
        <v/>
      </c>
      <c r="G1618" s="16">
        <f>LEFT(B1618,FIND(" ",B1618,1)-1)</f>
        <v/>
      </c>
      <c r="H1618" s="16">
        <f>TRIM(RIGHT(B1618,LEN(B1618)-FIND(" ",B1618,1)))</f>
        <v/>
      </c>
      <c r="I1618" s="16">
        <f>_xlfn.XLOOKUP(Table2[[#This Row],[Type]],Table5[Type],Table5[Type2])</f>
        <v/>
      </c>
      <c r="J1618" s="16">
        <f>_xlfn.XLOOKUP(Table2[[#This Row],[Sym]],Zones!$A$2:$A$21,Zones!$B$2:$B$21)</f>
        <v/>
      </c>
      <c r="K1618" s="21" t="n"/>
    </row>
    <row r="1619">
      <c r="A1619" s="24" t="n">
        <v>3849</v>
      </c>
      <c r="B1619" s="10" t="inlineStr">
        <is>
          <t>T110 Lý Thường Kiệt 3</t>
        </is>
      </c>
      <c r="C1619" s="10" t="inlineStr">
        <is>
          <t>TBA 110kV Lý Thường Kiệt 3</t>
        </is>
      </c>
      <c r="D1619" s="3" t="inlineStr">
        <is>
          <t>B28</t>
        </is>
      </c>
      <c r="E1619" s="9" t="n"/>
      <c r="F1619" s="15">
        <f>IF(E1619&lt;&gt;"","Đã VH","Quy hoạch điện VIII")</f>
        <v/>
      </c>
      <c r="G1619" s="16">
        <f>LEFT(B1619,FIND(" ",B1619,1)-1)</f>
        <v/>
      </c>
      <c r="H1619" s="16">
        <f>TRIM(RIGHT(B1619,LEN(B1619)-FIND(" ",B1619,1)))</f>
        <v/>
      </c>
      <c r="I1619" s="16">
        <f>_xlfn.XLOOKUP(Table2[[#This Row],[Type]],Table5[Type],Table5[Type2])</f>
        <v/>
      </c>
      <c r="J1619" s="16">
        <f>_xlfn.XLOOKUP(Table2[[#This Row],[Sym]],Zones!$A$2:$A$21,Zones!$B$2:$B$21)</f>
        <v/>
      </c>
      <c r="K1619" s="21" t="n"/>
    </row>
    <row r="1620">
      <c r="A1620" s="24" t="n">
        <v>3850</v>
      </c>
      <c r="B1620" s="10" t="inlineStr">
        <is>
          <t>T110 Khoái Châu 2</t>
        </is>
      </c>
      <c r="C1620" s="10" t="inlineStr">
        <is>
          <t>TBA 110kV Khoái Châu 2</t>
        </is>
      </c>
      <c r="D1620" s="3" t="inlineStr">
        <is>
          <t>B28</t>
        </is>
      </c>
      <c r="E1620" s="9" t="n"/>
      <c r="F1620" s="15">
        <f>IF(E1620&lt;&gt;"","Đã VH","Quy hoạch điện VIII")</f>
        <v/>
      </c>
      <c r="G1620" s="16">
        <f>LEFT(B1620,FIND(" ",B1620,1)-1)</f>
        <v/>
      </c>
      <c r="H1620" s="16">
        <f>TRIM(RIGHT(B1620,LEN(B1620)-FIND(" ",B1620,1)))</f>
        <v/>
      </c>
      <c r="I1620" s="16">
        <f>_xlfn.XLOOKUP(Table2[[#This Row],[Type]],Table5[Type],Table5[Type2])</f>
        <v/>
      </c>
      <c r="J1620" s="16">
        <f>_xlfn.XLOOKUP(Table2[[#This Row],[Sym]],Zones!$A$2:$A$21,Zones!$B$2:$B$21)</f>
        <v/>
      </c>
      <c r="K1620" s="21" t="n"/>
    </row>
    <row r="1621">
      <c r="A1621" s="24" t="n">
        <v>3851</v>
      </c>
      <c r="B1621" s="10" t="inlineStr">
        <is>
          <t>T110 Vĩnh Phúc</t>
        </is>
      </c>
      <c r="C1621" s="10" t="inlineStr">
        <is>
          <t>TBA 110kV Vĩnh Phúc</t>
        </is>
      </c>
      <c r="D1621" s="3" t="inlineStr">
        <is>
          <t>B28</t>
        </is>
      </c>
      <c r="E1621" s="9" t="n"/>
      <c r="F1621" s="15">
        <f>IF(E1621&lt;&gt;"","Đã VH","Quy hoạch điện VIII")</f>
        <v/>
      </c>
      <c r="G1621" s="16">
        <f>LEFT(B1621,FIND(" ",B1621,1)-1)</f>
        <v/>
      </c>
      <c r="H1621" s="16">
        <f>TRIM(RIGHT(B1621,LEN(B1621)-FIND(" ",B1621,1)))</f>
        <v/>
      </c>
      <c r="I1621" s="16">
        <f>_xlfn.XLOOKUP(Table2[[#This Row],[Type]],Table5[Type],Table5[Type2])</f>
        <v/>
      </c>
      <c r="J1621" s="16">
        <f>_xlfn.XLOOKUP(Table2[[#This Row],[Sym]],Zones!$A$2:$A$21,Zones!$B$2:$B$21)</f>
        <v/>
      </c>
      <c r="K1621" s="21" t="n"/>
    </row>
    <row r="1622">
      <c r="A1622" s="24" t="n">
        <v>3852</v>
      </c>
      <c r="B1622" s="10" t="inlineStr">
        <is>
          <t>T110 Dị Sử</t>
        </is>
      </c>
      <c r="C1622" s="10" t="inlineStr">
        <is>
          <t>TBA 110kV Dị Sử</t>
        </is>
      </c>
      <c r="D1622" s="3" t="inlineStr">
        <is>
          <t>B28</t>
        </is>
      </c>
      <c r="E1622" s="9" t="inlineStr">
        <is>
          <t>E28.22</t>
        </is>
      </c>
      <c r="F1622" s="15">
        <f>IF(E1622&lt;&gt;"","Đã VH","Quy hoạch điện VIII")</f>
        <v/>
      </c>
      <c r="G1622" s="16">
        <f>LEFT(B1622,FIND(" ",B1622,1)-1)</f>
        <v/>
      </c>
      <c r="H1622" s="16">
        <f>TRIM(RIGHT(B1622,LEN(B1622)-FIND(" ",B1622,1)))</f>
        <v/>
      </c>
      <c r="I1622" s="16">
        <f>_xlfn.XLOOKUP(Table2[[#This Row],[Type]],Table5[Type],Table5[Type2])</f>
        <v/>
      </c>
      <c r="J1622" s="16">
        <f>_xlfn.XLOOKUP(Table2[[#This Row],[Sym]],Zones!$A$2:$A$21,Zones!$B$2:$B$21)</f>
        <v/>
      </c>
      <c r="K1622" s="21" t="n"/>
    </row>
    <row r="1623">
      <c r="A1623" s="24" t="n">
        <v>3853</v>
      </c>
      <c r="B1623" s="10" t="inlineStr">
        <is>
          <t>T110 Nhân Hòa</t>
        </is>
      </c>
      <c r="C1623" s="10" t="inlineStr">
        <is>
          <t>TBA 110kV Nhân Hòa</t>
        </is>
      </c>
      <c r="D1623" s="3" t="inlineStr">
        <is>
          <t>B28</t>
        </is>
      </c>
      <c r="E1623" s="9" t="inlineStr">
        <is>
          <t>E28.23</t>
        </is>
      </c>
      <c r="F1623" s="15">
        <f>IF(E1623&lt;&gt;"","Đã VH","Quy hoạch điện VIII")</f>
        <v/>
      </c>
      <c r="G1623" s="16">
        <f>LEFT(B1623,FIND(" ",B1623,1)-1)</f>
        <v/>
      </c>
      <c r="H1623" s="16">
        <f>TRIM(RIGHT(B1623,LEN(B1623)-FIND(" ",B1623,1)))</f>
        <v/>
      </c>
      <c r="I1623" s="16">
        <f>_xlfn.XLOOKUP(Table2[[#This Row],[Type]],Table5[Type],Table5[Type2])</f>
        <v/>
      </c>
      <c r="J1623" s="16">
        <f>_xlfn.XLOOKUP(Table2[[#This Row],[Sym]],Zones!$A$2:$A$21,Zones!$B$2:$B$21)</f>
        <v/>
      </c>
      <c r="K1623" s="21" t="n"/>
    </row>
    <row r="1624">
      <c r="A1624" s="24" t="n">
        <v>3854</v>
      </c>
      <c r="B1624" s="10" t="inlineStr">
        <is>
          <t>T110 Ân Thi</t>
        </is>
      </c>
      <c r="C1624" s="10" t="inlineStr">
        <is>
          <t>TBA 110kV Ân Thi</t>
        </is>
      </c>
      <c r="D1624" s="3" t="inlineStr">
        <is>
          <t>B28</t>
        </is>
      </c>
      <c r="E1624" s="9" t="n"/>
      <c r="F1624" s="15">
        <f>IF(E1624&lt;&gt;"","Đã VH","Quy hoạch điện VIII")</f>
        <v/>
      </c>
      <c r="G1624" s="16">
        <f>LEFT(B1624,FIND(" ",B1624,1)-1)</f>
        <v/>
      </c>
      <c r="H1624" s="16">
        <f>TRIM(RIGHT(B1624,LEN(B1624)-FIND(" ",B1624,1)))</f>
        <v/>
      </c>
      <c r="I1624" s="16">
        <f>_xlfn.XLOOKUP(Table2[[#This Row],[Type]],Table5[Type],Table5[Type2])</f>
        <v/>
      </c>
      <c r="J1624" s="16">
        <f>_xlfn.XLOOKUP(Table2[[#This Row],[Sym]],Zones!$A$2:$A$21,Zones!$B$2:$B$21)</f>
        <v/>
      </c>
      <c r="K1624" s="21" t="n"/>
    </row>
    <row r="1625">
      <c r="A1625" s="24" t="n">
        <v>3855</v>
      </c>
      <c r="B1625" s="10" t="inlineStr">
        <is>
          <t>T110 TP Hưng Yên 2</t>
        </is>
      </c>
      <c r="C1625" s="10" t="inlineStr">
        <is>
          <t>TBA 110kV TP Hưng Yên 2</t>
        </is>
      </c>
      <c r="D1625" s="3" t="inlineStr">
        <is>
          <t>B28</t>
        </is>
      </c>
      <c r="E1625" s="9" t="n"/>
      <c r="F1625" s="15">
        <f>IF(E1625&lt;&gt;"","Đã VH","Quy hoạch điện VIII")</f>
        <v/>
      </c>
      <c r="G1625" s="16">
        <f>LEFT(B1625,FIND(" ",B1625,1)-1)</f>
        <v/>
      </c>
      <c r="H1625" s="16">
        <f>TRIM(RIGHT(B1625,LEN(B1625)-FIND(" ",B1625,1)))</f>
        <v/>
      </c>
      <c r="I1625" s="16">
        <f>_xlfn.XLOOKUP(Table2[[#This Row],[Type]],Table5[Type],Table5[Type2])</f>
        <v/>
      </c>
      <c r="J1625" s="16">
        <f>_xlfn.XLOOKUP(Table2[[#This Row],[Sym]],Zones!$A$2:$A$21,Zones!$B$2:$B$21)</f>
        <v/>
      </c>
      <c r="K1625" s="21" t="n"/>
    </row>
    <row r="1626">
      <c r="A1626" s="24" t="n">
        <v>3856</v>
      </c>
      <c r="B1626" s="10" t="inlineStr">
        <is>
          <t>T110 Minh Quang</t>
        </is>
      </c>
      <c r="C1626" s="10" t="inlineStr">
        <is>
          <t>TBA 110kV Minh Quang</t>
        </is>
      </c>
      <c r="D1626" s="3" t="inlineStr">
        <is>
          <t>B28</t>
        </is>
      </c>
      <c r="E1626" s="9" t="n"/>
      <c r="F1626" s="15">
        <f>IF(E1626&lt;&gt;"","Đã VH","Quy hoạch điện VIII")</f>
        <v/>
      </c>
      <c r="G1626" s="16">
        <f>LEFT(B1626,FIND(" ",B1626,1)-1)</f>
        <v/>
      </c>
      <c r="H1626" s="16">
        <f>TRIM(RIGHT(B1626,LEN(B1626)-FIND(" ",B1626,1)))</f>
        <v/>
      </c>
      <c r="I1626" s="16">
        <f>_xlfn.XLOOKUP(Table2[[#This Row],[Type]],Table5[Type],Table5[Type2])</f>
        <v/>
      </c>
      <c r="J1626" s="16">
        <f>_xlfn.XLOOKUP(Table2[[#This Row],[Sym]],Zones!$A$2:$A$21,Zones!$B$2:$B$21)</f>
        <v/>
      </c>
      <c r="K1626" s="21" t="n"/>
    </row>
    <row r="1627">
      <c r="A1627" s="24" t="n">
        <v>3857</v>
      </c>
      <c r="B1627" s="10" t="inlineStr">
        <is>
          <t>T110 Phố Hiến</t>
        </is>
      </c>
      <c r="C1627" s="10" t="inlineStr">
        <is>
          <t>TBA 110kV Phố Hiến</t>
        </is>
      </c>
      <c r="D1627" s="3" t="inlineStr">
        <is>
          <t>B28</t>
        </is>
      </c>
      <c r="E1627" s="9" t="n"/>
      <c r="F1627" s="15">
        <f>IF(E1627&lt;&gt;"","Đã VH","Quy hoạch điện VIII")</f>
        <v/>
      </c>
      <c r="G1627" s="16">
        <f>LEFT(B1627,FIND(" ",B1627,1)-1)</f>
        <v/>
      </c>
      <c r="H1627" s="16">
        <f>TRIM(RIGHT(B1627,LEN(B1627)-FIND(" ",B1627,1)))</f>
        <v/>
      </c>
      <c r="I1627" s="16">
        <f>_xlfn.XLOOKUP(Table2[[#This Row],[Type]],Table5[Type],Table5[Type2])</f>
        <v/>
      </c>
      <c r="J1627" s="16">
        <f>_xlfn.XLOOKUP(Table2[[#This Row],[Sym]],Zones!$A$2:$A$21,Zones!$B$2:$B$21)</f>
        <v/>
      </c>
      <c r="K1627" s="21" t="n"/>
    </row>
    <row r="1628">
      <c r="A1628" s="24" t="n">
        <v>3858</v>
      </c>
      <c r="B1628" s="10" t="inlineStr">
        <is>
          <t>T110 Đại Đồng</t>
        </is>
      </c>
      <c r="C1628" s="10" t="inlineStr">
        <is>
          <t>TBA 110kV Đại Đồng</t>
        </is>
      </c>
      <c r="D1628" s="3" t="inlineStr">
        <is>
          <t>B28</t>
        </is>
      </c>
      <c r="E1628" s="9" t="n"/>
      <c r="F1628" s="15">
        <f>IF(E1628&lt;&gt;"","Đã VH","Quy hoạch điện VIII")</f>
        <v/>
      </c>
      <c r="G1628" s="16">
        <f>LEFT(B1628,FIND(" ",B1628,1)-1)</f>
        <v/>
      </c>
      <c r="H1628" s="16">
        <f>TRIM(RIGHT(B1628,LEN(B1628)-FIND(" ",B1628,1)))</f>
        <v/>
      </c>
      <c r="I1628" s="16">
        <f>_xlfn.XLOOKUP(Table2[[#This Row],[Type]],Table5[Type],Table5[Type2])</f>
        <v/>
      </c>
      <c r="J1628" s="16">
        <f>_xlfn.XLOOKUP(Table2[[#This Row],[Sym]],Zones!$A$2:$A$21,Zones!$B$2:$B$21)</f>
        <v/>
      </c>
      <c r="K1628" s="21" t="n"/>
    </row>
    <row r="1629">
      <c r="A1629" s="24" t="n">
        <v>3859</v>
      </c>
      <c r="B1629" s="10" t="inlineStr">
        <is>
          <t>T110 Văn Giang 3</t>
        </is>
      </c>
      <c r="C1629" s="10" t="inlineStr">
        <is>
          <t>TBA 110kV Văn Giang 3</t>
        </is>
      </c>
      <c r="D1629" s="3" t="inlineStr">
        <is>
          <t>B28</t>
        </is>
      </c>
      <c r="E1629" s="9" t="n"/>
      <c r="F1629" s="15">
        <f>IF(E1629&lt;&gt;"","Đã VH","Quy hoạch điện VIII")</f>
        <v/>
      </c>
      <c r="G1629" s="16">
        <f>LEFT(B1629,FIND(" ",B1629,1)-1)</f>
        <v/>
      </c>
      <c r="H1629" s="16">
        <f>TRIM(RIGHT(B1629,LEN(B1629)-FIND(" ",B1629,1)))</f>
        <v/>
      </c>
      <c r="I1629" s="16">
        <f>_xlfn.XLOOKUP(Table2[[#This Row],[Type]],Table5[Type],Table5[Type2])</f>
        <v/>
      </c>
      <c r="J1629" s="16">
        <f>_xlfn.XLOOKUP(Table2[[#This Row],[Sym]],Zones!$A$2:$A$21,Zones!$B$2:$B$21)</f>
        <v/>
      </c>
      <c r="K1629" s="21" t="n"/>
    </row>
    <row r="1630">
      <c r="A1630" s="24" t="n">
        <v>3860</v>
      </c>
      <c r="B1630" s="10" t="inlineStr">
        <is>
          <t>T110 Khoái Châu 3</t>
        </is>
      </c>
      <c r="C1630" s="10" t="inlineStr">
        <is>
          <t>TBA 110kV Khoái Châu 3</t>
        </is>
      </c>
      <c r="D1630" s="3" t="inlineStr">
        <is>
          <t>B28</t>
        </is>
      </c>
      <c r="E1630" s="9" t="n"/>
      <c r="F1630" s="15">
        <f>IF(E1630&lt;&gt;"","Đã VH","Quy hoạch điện VIII")</f>
        <v/>
      </c>
      <c r="G1630" s="16">
        <f>LEFT(B1630,FIND(" ",B1630,1)-1)</f>
        <v/>
      </c>
      <c r="H1630" s="16">
        <f>TRIM(RIGHT(B1630,LEN(B1630)-FIND(" ",B1630,1)))</f>
        <v/>
      </c>
      <c r="I1630" s="16">
        <f>_xlfn.XLOOKUP(Table2[[#This Row],[Type]],Table5[Type],Table5[Type2])</f>
        <v/>
      </c>
      <c r="J1630" s="16">
        <f>_xlfn.XLOOKUP(Table2[[#This Row],[Sym]],Zones!$A$2:$A$21,Zones!$B$2:$B$21)</f>
        <v/>
      </c>
      <c r="K1630" s="21" t="n"/>
    </row>
    <row r="1631">
      <c r="A1631" s="24" t="n">
        <v>3861</v>
      </c>
      <c r="B1631" s="10" t="inlineStr">
        <is>
          <t>T110 Kim Động 3</t>
        </is>
      </c>
      <c r="C1631" s="10" t="inlineStr">
        <is>
          <t>TBA 110kV Kim Động 3</t>
        </is>
      </c>
      <c r="D1631" s="3" t="inlineStr">
        <is>
          <t>B28</t>
        </is>
      </c>
      <c r="E1631" s="9" t="n"/>
      <c r="F1631" s="15">
        <f>IF(E1631&lt;&gt;"","Đã VH","Quy hoạch điện VIII")</f>
        <v/>
      </c>
      <c r="G1631" s="16">
        <f>LEFT(B1631,FIND(" ",B1631,1)-1)</f>
        <v/>
      </c>
      <c r="H1631" s="16">
        <f>TRIM(RIGHT(B1631,LEN(B1631)-FIND(" ",B1631,1)))</f>
        <v/>
      </c>
      <c r="I1631" s="16">
        <f>_xlfn.XLOOKUP(Table2[[#This Row],[Type]],Table5[Type],Table5[Type2])</f>
        <v/>
      </c>
      <c r="J1631" s="16">
        <f>_xlfn.XLOOKUP(Table2[[#This Row],[Sym]],Zones!$A$2:$A$21,Zones!$B$2:$B$21)</f>
        <v/>
      </c>
      <c r="K1631" s="21" t="n"/>
    </row>
    <row r="1632">
      <c r="A1632" s="24" t="n">
        <v>3862</v>
      </c>
      <c r="B1632" s="10" t="inlineStr">
        <is>
          <t>T110 Lý Thường Kiệt 4</t>
        </is>
      </c>
      <c r="C1632" s="10" t="inlineStr">
        <is>
          <t>TBA 110kV Lý Thường Kiệt 4</t>
        </is>
      </c>
      <c r="D1632" s="3" t="inlineStr">
        <is>
          <t>B28</t>
        </is>
      </c>
      <c r="E1632" s="9" t="n"/>
      <c r="F1632" s="15">
        <f>IF(E1632&lt;&gt;"","Đã VH","Quy hoạch điện VIII")</f>
        <v/>
      </c>
      <c r="G1632" s="16">
        <f>LEFT(B1632,FIND(" ",B1632,1)-1)</f>
        <v/>
      </c>
      <c r="H1632" s="16">
        <f>TRIM(RIGHT(B1632,LEN(B1632)-FIND(" ",B1632,1)))</f>
        <v/>
      </c>
      <c r="I1632" s="16">
        <f>_xlfn.XLOOKUP(Table2[[#This Row],[Type]],Table5[Type],Table5[Type2])</f>
        <v/>
      </c>
      <c r="J1632" s="16">
        <f>_xlfn.XLOOKUP(Table2[[#This Row],[Sym]],Zones!$A$2:$A$21,Zones!$B$2:$B$21)</f>
        <v/>
      </c>
      <c r="K1632" s="21" t="n"/>
    </row>
    <row r="1633">
      <c r="A1633" s="24" t="n">
        <v>3863</v>
      </c>
      <c r="B1633" s="10" t="inlineStr">
        <is>
          <t>T110 Lý Thường Kiệt 5</t>
        </is>
      </c>
      <c r="C1633" s="10" t="inlineStr">
        <is>
          <t>TBA 110kV Lý Thường Kiệt 5</t>
        </is>
      </c>
      <c r="D1633" s="3" t="inlineStr">
        <is>
          <t>B28</t>
        </is>
      </c>
      <c r="E1633" s="9" t="n"/>
      <c r="F1633" s="15">
        <f>IF(E1633&lt;&gt;"","Đã VH","Quy hoạch điện VIII")</f>
        <v/>
      </c>
      <c r="G1633" s="16">
        <f>LEFT(B1633,FIND(" ",B1633,1)-1)</f>
        <v/>
      </c>
      <c r="H1633" s="16">
        <f>TRIM(RIGHT(B1633,LEN(B1633)-FIND(" ",B1633,1)))</f>
        <v/>
      </c>
      <c r="I1633" s="16">
        <f>_xlfn.XLOOKUP(Table2[[#This Row],[Type]],Table5[Type],Table5[Type2])</f>
        <v/>
      </c>
      <c r="J1633" s="16">
        <f>_xlfn.XLOOKUP(Table2[[#This Row],[Sym]],Zones!$A$2:$A$21,Zones!$B$2:$B$21)</f>
        <v/>
      </c>
      <c r="K1633" s="21" t="n"/>
    </row>
    <row r="1634">
      <c r="A1634" s="24" t="n">
        <v>3864</v>
      </c>
      <c r="B1634" s="10" t="inlineStr">
        <is>
          <t>T110 Ân Thi 2</t>
        </is>
      </c>
      <c r="C1634" s="10" t="inlineStr">
        <is>
          <t>TBA 110kV Ân Thi 2</t>
        </is>
      </c>
      <c r="D1634" s="3" t="inlineStr">
        <is>
          <t>B28</t>
        </is>
      </c>
      <c r="E1634" s="9" t="n"/>
      <c r="F1634" s="15">
        <f>IF(E1634&lt;&gt;"","Đã VH","Quy hoạch điện VIII")</f>
        <v/>
      </c>
      <c r="G1634" s="16">
        <f>LEFT(B1634,FIND(" ",B1634,1)-1)</f>
        <v/>
      </c>
      <c r="H1634" s="16">
        <f>TRIM(RIGHT(B1634,LEN(B1634)-FIND(" ",B1634,1)))</f>
        <v/>
      </c>
      <c r="I1634" s="16">
        <f>_xlfn.XLOOKUP(Table2[[#This Row],[Type]],Table5[Type],Table5[Type2])</f>
        <v/>
      </c>
      <c r="J1634" s="16">
        <f>_xlfn.XLOOKUP(Table2[[#This Row],[Sym]],Zones!$A$2:$A$21,Zones!$B$2:$B$21)</f>
        <v/>
      </c>
      <c r="K1634" s="21" t="n"/>
    </row>
    <row r="1635">
      <c r="A1635" s="24" t="n">
        <v>3880</v>
      </c>
      <c r="B1635" s="10" t="inlineStr">
        <is>
          <t>T500 Hưng Yên</t>
        </is>
      </c>
      <c r="C1635" s="10" t="inlineStr">
        <is>
          <t>TBA 500kV Hưng Yên</t>
        </is>
      </c>
      <c r="D1635" s="3" t="inlineStr">
        <is>
          <t>B28</t>
        </is>
      </c>
      <c r="E1635" s="9" t="n"/>
      <c r="F1635" s="15">
        <f>IF(E1635&lt;&gt;"","Đã VH","Quy hoạch điện VIII")</f>
        <v/>
      </c>
      <c r="G1635" s="16">
        <f>LEFT(B1635,FIND(" ",B1635,1)-1)</f>
        <v/>
      </c>
      <c r="H1635" s="16">
        <f>TRIM(RIGHT(B1635,LEN(B1635)-FIND(" ",B1635,1)))</f>
        <v/>
      </c>
      <c r="I1635" s="16">
        <f>_xlfn.XLOOKUP(Table2[[#This Row],[Type]],Table5[Type],Table5[Type2])</f>
        <v/>
      </c>
      <c r="J1635" s="16">
        <f>_xlfn.XLOOKUP(Table2[[#This Row],[Sym]],Zones!$A$2:$A$21,Zones!$B$2:$B$21)</f>
        <v/>
      </c>
      <c r="K1635" s="21" t="n"/>
    </row>
    <row r="1636">
      <c r="A1636" s="24" t="n">
        <v>3881</v>
      </c>
      <c r="B1636" s="10" t="inlineStr">
        <is>
          <t>T220 Văn Giang</t>
        </is>
      </c>
      <c r="C1636" s="10" t="inlineStr">
        <is>
          <t>TBA 220kV Văn Giang</t>
        </is>
      </c>
      <c r="D1636" s="3" t="inlineStr">
        <is>
          <t>B28</t>
        </is>
      </c>
      <c r="E1636" s="9" t="n"/>
      <c r="F1636" s="15">
        <f>IF(E1636&lt;&gt;"","Đã VH","Quy hoạch điện VIII")</f>
        <v/>
      </c>
      <c r="G1636" s="16">
        <f>LEFT(B1636,FIND(" ",B1636,1)-1)</f>
        <v/>
      </c>
      <c r="H1636" s="16">
        <f>TRIM(RIGHT(B1636,LEN(B1636)-FIND(" ",B1636,1)))</f>
        <v/>
      </c>
      <c r="I1636" s="16">
        <f>_xlfn.XLOOKUP(Table2[[#This Row],[Type]],Table5[Type],Table5[Type2])</f>
        <v/>
      </c>
      <c r="J1636" s="16">
        <f>_xlfn.XLOOKUP(Table2[[#This Row],[Sym]],Zones!$A$2:$A$21,Zones!$B$2:$B$21)</f>
        <v/>
      </c>
      <c r="K1636" s="21" t="n"/>
    </row>
    <row r="1637">
      <c r="A1637" s="24" t="n">
        <v>3920</v>
      </c>
      <c r="B1637" s="10" t="inlineStr">
        <is>
          <t>T110 Phong Thổ</t>
        </is>
      </c>
      <c r="C1637" s="10" t="inlineStr">
        <is>
          <t>TBA 110kV Phong Thổ</t>
        </is>
      </c>
      <c r="D1637" s="3" t="inlineStr">
        <is>
          <t>B29</t>
        </is>
      </c>
      <c r="E1637" s="9" t="inlineStr">
        <is>
          <t>E29.1</t>
        </is>
      </c>
      <c r="F1637" s="15">
        <f>IF(E1637&lt;&gt;"","Đã VH","Quy hoạch điện VIII")</f>
        <v/>
      </c>
      <c r="G1637" s="16">
        <f>LEFT(B1637,FIND(" ",B1637,1)-1)</f>
        <v/>
      </c>
      <c r="H1637" s="16">
        <f>TRIM(RIGHT(B1637,LEN(B1637)-FIND(" ",B1637,1)))</f>
        <v/>
      </c>
      <c r="I1637" s="16">
        <f>_xlfn.XLOOKUP(Table2[[#This Row],[Type]],Table5[Type],Table5[Type2])</f>
        <v/>
      </c>
      <c r="J1637" s="16">
        <f>_xlfn.XLOOKUP(Table2[[#This Row],[Sym]],Zones!$A$2:$A$21,Zones!$B$2:$B$21)</f>
        <v/>
      </c>
      <c r="K1637" s="21" t="n"/>
    </row>
    <row r="1638">
      <c r="A1638" s="24" t="n">
        <v>3921</v>
      </c>
      <c r="B1638" s="10" t="inlineStr">
        <is>
          <t>T110 Than Uyên</t>
        </is>
      </c>
      <c r="C1638" s="10" t="inlineStr">
        <is>
          <t>TBA 110kV Than Uyên</t>
        </is>
      </c>
      <c r="D1638" s="3" t="inlineStr">
        <is>
          <t>B29</t>
        </is>
      </c>
      <c r="E1638" s="9" t="inlineStr">
        <is>
          <t>E29.2</t>
        </is>
      </c>
      <c r="F1638" s="15">
        <f>IF(E1638&lt;&gt;"","Đã VH","Quy hoạch điện VIII")</f>
        <v/>
      </c>
      <c r="G1638" s="16">
        <f>LEFT(B1638,FIND(" ",B1638,1)-1)</f>
        <v/>
      </c>
      <c r="H1638" s="16">
        <f>TRIM(RIGHT(B1638,LEN(B1638)-FIND(" ",B1638,1)))</f>
        <v/>
      </c>
      <c r="I1638" s="16">
        <f>_xlfn.XLOOKUP(Table2[[#This Row],[Type]],Table5[Type],Table5[Type2])</f>
        <v/>
      </c>
      <c r="J1638" s="16">
        <f>_xlfn.XLOOKUP(Table2[[#This Row],[Sym]],Zones!$A$2:$A$21,Zones!$B$2:$B$21)</f>
        <v/>
      </c>
      <c r="K1638" s="21" t="n"/>
    </row>
    <row r="1639">
      <c r="A1639" s="24" t="n">
        <v>3922</v>
      </c>
      <c r="B1639" s="10" t="inlineStr">
        <is>
          <t>T110 Lai Châu</t>
        </is>
      </c>
      <c r="C1639" s="10" t="inlineStr">
        <is>
          <t>TBA 110kV Lai Châu</t>
        </is>
      </c>
      <c r="D1639" s="3" t="inlineStr">
        <is>
          <t>B29</t>
        </is>
      </c>
      <c r="E1639" s="9" t="inlineStr">
        <is>
          <t>E29.3</t>
        </is>
      </c>
      <c r="F1639" s="15">
        <f>IF(E1639&lt;&gt;"","Đã VH","Quy hoạch điện VIII")</f>
        <v/>
      </c>
      <c r="G1639" s="16">
        <f>LEFT(B1639,FIND(" ",B1639,1)-1)</f>
        <v/>
      </c>
      <c r="H1639" s="16">
        <f>TRIM(RIGHT(B1639,LEN(B1639)-FIND(" ",B1639,1)))</f>
        <v/>
      </c>
      <c r="I1639" s="16">
        <f>_xlfn.XLOOKUP(Table2[[#This Row],[Type]],Table5[Type],Table5[Type2])</f>
        <v/>
      </c>
      <c r="J1639" s="16">
        <f>_xlfn.XLOOKUP(Table2[[#This Row],[Sym]],Zones!$A$2:$A$21,Zones!$B$2:$B$21)</f>
        <v/>
      </c>
      <c r="K1639" s="21" t="n"/>
    </row>
    <row r="1640">
      <c r="A1640" s="24" t="n">
        <v>3923</v>
      </c>
      <c r="B1640" s="10" t="inlineStr">
        <is>
          <t>T110 Mường So</t>
        </is>
      </c>
      <c r="C1640" s="10" t="inlineStr">
        <is>
          <t>TBA 110kV Mường So</t>
        </is>
      </c>
      <c r="D1640" s="3" t="inlineStr">
        <is>
          <t>B29</t>
        </is>
      </c>
      <c r="E1640" s="9" t="inlineStr">
        <is>
          <t>E29.4</t>
        </is>
      </c>
      <c r="F1640" s="15">
        <f>IF(E1640&lt;&gt;"","Đã VH","Quy hoạch điện VIII")</f>
        <v/>
      </c>
      <c r="G1640" s="16">
        <f>LEFT(B1640,FIND(" ",B1640,1)-1)</f>
        <v/>
      </c>
      <c r="H1640" s="16">
        <f>TRIM(RIGHT(B1640,LEN(B1640)-FIND(" ",B1640,1)))</f>
        <v/>
      </c>
      <c r="I1640" s="16">
        <f>_xlfn.XLOOKUP(Table2[[#This Row],[Type]],Table5[Type],Table5[Type2])</f>
        <v/>
      </c>
      <c r="J1640" s="16">
        <f>_xlfn.XLOOKUP(Table2[[#This Row],[Sym]],Zones!$A$2:$A$21,Zones!$B$2:$B$21)</f>
        <v/>
      </c>
      <c r="K1640" s="21" t="n"/>
    </row>
    <row r="1641">
      <c r="A1641" s="24" t="n">
        <v>3924</v>
      </c>
      <c r="B1641" s="10" t="inlineStr">
        <is>
          <t>T220 Than Uyên</t>
        </is>
      </c>
      <c r="C1641" s="10" t="inlineStr">
        <is>
          <t>TBA 220kV Than Uyên</t>
        </is>
      </c>
      <c r="D1641" s="3" t="inlineStr">
        <is>
          <t>B29</t>
        </is>
      </c>
      <c r="E1641" s="9" t="inlineStr">
        <is>
          <t>E29.5</t>
        </is>
      </c>
      <c r="F1641" s="15">
        <f>IF(E1641&lt;&gt;"","Đã VH","Quy hoạch điện VIII")</f>
        <v/>
      </c>
      <c r="G1641" s="16">
        <f>LEFT(B1641,FIND(" ",B1641,1)-1)</f>
        <v/>
      </c>
      <c r="H1641" s="16">
        <f>TRIM(RIGHT(B1641,LEN(B1641)-FIND(" ",B1641,1)))</f>
        <v/>
      </c>
      <c r="I1641" s="16">
        <f>_xlfn.XLOOKUP(Table2[[#This Row],[Type]],Table5[Type],Table5[Type2])</f>
        <v/>
      </c>
      <c r="J1641" s="16">
        <f>_xlfn.XLOOKUP(Table2[[#This Row],[Sym]],Zones!$A$2:$A$21,Zones!$B$2:$B$21)</f>
        <v/>
      </c>
      <c r="K1641" s="21" t="n"/>
    </row>
    <row r="1642">
      <c r="A1642" s="24" t="n">
        <v>3925</v>
      </c>
      <c r="B1642" s="10" t="inlineStr">
        <is>
          <t>TĐ Bản Chát</t>
        </is>
      </c>
      <c r="C1642" s="10" t="inlineStr">
        <is>
          <t>NM TĐN Bản Chát</t>
        </is>
      </c>
      <c r="D1642" s="3" t="inlineStr">
        <is>
          <t>B29</t>
        </is>
      </c>
      <c r="E1642" s="9" t="inlineStr">
        <is>
          <t>A29.0</t>
        </is>
      </c>
      <c r="F1642" s="15">
        <f>IF(E1642&lt;&gt;"","Đã VH","Quy hoạch điện VIII")</f>
        <v/>
      </c>
      <c r="G1642" s="16">
        <f>LEFT(B1642,FIND(" ",B1642,1)-1)</f>
        <v/>
      </c>
      <c r="H1642" s="16">
        <f>TRIM(RIGHT(B1642,LEN(B1642)-FIND(" ",B1642,1)))</f>
        <v/>
      </c>
      <c r="I1642" s="16">
        <f>_xlfn.XLOOKUP(Table2[[#This Row],[Type]],Table5[Type],Table5[Type2])</f>
        <v/>
      </c>
      <c r="J1642" s="16">
        <f>_xlfn.XLOOKUP(Table2[[#This Row],[Sym]],Zones!$A$2:$A$21,Zones!$B$2:$B$21)</f>
        <v/>
      </c>
      <c r="K1642" s="21" t="n"/>
    </row>
    <row r="1643">
      <c r="A1643" s="24" t="n">
        <v>3926</v>
      </c>
      <c r="B1643" s="10" t="inlineStr">
        <is>
          <t>TĐ Lai Châu</t>
        </is>
      </c>
      <c r="C1643" s="10" t="inlineStr">
        <is>
          <t>NM TĐN Lai Châu</t>
        </is>
      </c>
      <c r="D1643" s="3" t="inlineStr">
        <is>
          <t>B29</t>
        </is>
      </c>
      <c r="E1643" s="9" t="inlineStr">
        <is>
          <t>TĐ Lai Châu</t>
        </is>
      </c>
      <c r="F1643" s="15">
        <f>IF(E1643&lt;&gt;"","Đã VH","Quy hoạch điện VIII")</f>
        <v/>
      </c>
      <c r="G1643" s="16">
        <f>LEFT(B1643,FIND(" ",B1643,1)-1)</f>
        <v/>
      </c>
      <c r="H1643" s="16">
        <f>TRIM(RIGHT(B1643,LEN(B1643)-FIND(" ",B1643,1)))</f>
        <v/>
      </c>
      <c r="I1643" s="16">
        <f>_xlfn.XLOOKUP(Table2[[#This Row],[Type]],Table5[Type],Table5[Type2])</f>
        <v/>
      </c>
      <c r="J1643" s="16">
        <f>_xlfn.XLOOKUP(Table2[[#This Row],[Sym]],Zones!$A$2:$A$21,Zones!$B$2:$B$21)</f>
        <v/>
      </c>
      <c r="K1643" s="21" t="n"/>
    </row>
    <row r="1644">
      <c r="A1644" s="24" t="n">
        <v>3927</v>
      </c>
      <c r="B1644" s="10" t="inlineStr">
        <is>
          <t>TĐ Nậm Na 2</t>
        </is>
      </c>
      <c r="C1644" s="10" t="inlineStr">
        <is>
          <t>NM TĐN Nậm Na 2</t>
        </is>
      </c>
      <c r="D1644" s="3" t="inlineStr">
        <is>
          <t>B29</t>
        </is>
      </c>
      <c r="E1644" s="9" t="inlineStr">
        <is>
          <t>A29.15</t>
        </is>
      </c>
      <c r="F1644" s="15">
        <f>IF(E1644&lt;&gt;"","Đã VH","Quy hoạch điện VIII")</f>
        <v/>
      </c>
      <c r="G1644" s="16">
        <f>LEFT(B1644,FIND(" ",B1644,1)-1)</f>
        <v/>
      </c>
      <c r="H1644" s="16">
        <f>TRIM(RIGHT(B1644,LEN(B1644)-FIND(" ",B1644,1)))</f>
        <v/>
      </c>
      <c r="I1644" s="16">
        <f>_xlfn.XLOOKUP(Table2[[#This Row],[Type]],Table5[Type],Table5[Type2])</f>
        <v/>
      </c>
      <c r="J1644" s="16">
        <f>_xlfn.XLOOKUP(Table2[[#This Row],[Sym]],Zones!$A$2:$A$21,Zones!$B$2:$B$21)</f>
        <v/>
      </c>
      <c r="K1644" s="21" t="n"/>
    </row>
    <row r="1645">
      <c r="A1645" s="24" t="n">
        <v>3928</v>
      </c>
      <c r="B1645" s="10" t="inlineStr">
        <is>
          <t>TĐ Huội Quảng</t>
        </is>
      </c>
      <c r="C1645" s="10" t="inlineStr">
        <is>
          <t>NM TĐN Huội Quảng</t>
        </is>
      </c>
      <c r="D1645" s="3" t="inlineStr">
        <is>
          <t>B29</t>
        </is>
      </c>
      <c r="E1645" s="9" t="inlineStr">
        <is>
          <t>A29.10</t>
        </is>
      </c>
      <c r="F1645" s="15">
        <f>IF(E1645&lt;&gt;"","Đã VH","Quy hoạch điện VIII")</f>
        <v/>
      </c>
      <c r="G1645" s="16">
        <f>LEFT(B1645,FIND(" ",B1645,1)-1)</f>
        <v/>
      </c>
      <c r="H1645" s="16">
        <f>TRIM(RIGHT(B1645,LEN(B1645)-FIND(" ",B1645,1)))</f>
        <v/>
      </c>
      <c r="I1645" s="16">
        <f>_xlfn.XLOOKUP(Table2[[#This Row],[Type]],Table5[Type],Table5[Type2])</f>
        <v/>
      </c>
      <c r="J1645" s="16">
        <f>_xlfn.XLOOKUP(Table2[[#This Row],[Sym]],Zones!$A$2:$A$21,Zones!$B$2:$B$21)</f>
        <v/>
      </c>
      <c r="K1645" s="21" t="n"/>
    </row>
    <row r="1646">
      <c r="A1646" s="24" t="n">
        <v>3929</v>
      </c>
      <c r="B1646" s="10" t="inlineStr">
        <is>
          <t>TĐ Hua Chăng</t>
        </is>
      </c>
      <c r="C1646" s="10" t="inlineStr">
        <is>
          <t>NM TĐN Hua Chăng</t>
        </is>
      </c>
      <c r="D1646" s="3" t="inlineStr">
        <is>
          <t>B29</t>
        </is>
      </c>
      <c r="E1646" s="9" t="inlineStr">
        <is>
          <t>A29.11</t>
        </is>
      </c>
      <c r="F1646" s="15">
        <f>IF(E1646&lt;&gt;"","Đã VH","Quy hoạch điện VIII")</f>
        <v/>
      </c>
      <c r="G1646" s="16">
        <f>LEFT(B1646,FIND(" ",B1646,1)-1)</f>
        <v/>
      </c>
      <c r="H1646" s="16">
        <f>TRIM(RIGHT(B1646,LEN(B1646)-FIND(" ",B1646,1)))</f>
        <v/>
      </c>
      <c r="I1646" s="16">
        <f>_xlfn.XLOOKUP(Table2[[#This Row],[Type]],Table5[Type],Table5[Type2])</f>
        <v/>
      </c>
      <c r="J1646" s="16">
        <f>_xlfn.XLOOKUP(Table2[[#This Row],[Sym]],Zones!$A$2:$A$21,Zones!$B$2:$B$21)</f>
        <v/>
      </c>
      <c r="K1646" s="21" t="n"/>
    </row>
    <row r="1647">
      <c r="A1647" s="24" t="n">
        <v>3930</v>
      </c>
      <c r="B1647" s="10" t="inlineStr">
        <is>
          <t>TĐ Nậm Na 3</t>
        </is>
      </c>
      <c r="C1647" s="10" t="inlineStr">
        <is>
          <t>NM TĐN Nậm Na 3</t>
        </is>
      </c>
      <c r="D1647" s="3" t="inlineStr">
        <is>
          <t>B29</t>
        </is>
      </c>
      <c r="E1647" s="9" t="inlineStr">
        <is>
          <t>A29.16</t>
        </is>
      </c>
      <c r="F1647" s="15">
        <f>IF(E1647&lt;&gt;"","Đã VH","Quy hoạch điện VIII")</f>
        <v/>
      </c>
      <c r="G1647" s="16">
        <f>LEFT(B1647,FIND(" ",B1647,1)-1)</f>
        <v/>
      </c>
      <c r="H1647" s="16">
        <f>TRIM(RIGHT(B1647,LEN(B1647)-FIND(" ",B1647,1)))</f>
        <v/>
      </c>
      <c r="I1647" s="16">
        <f>_xlfn.XLOOKUP(Table2[[#This Row],[Type]],Table5[Type],Table5[Type2])</f>
        <v/>
      </c>
      <c r="J1647" s="16">
        <f>_xlfn.XLOOKUP(Table2[[#This Row],[Sym]],Zones!$A$2:$A$21,Zones!$B$2:$B$21)</f>
        <v/>
      </c>
      <c r="K1647" s="21" t="n"/>
    </row>
    <row r="1648">
      <c r="A1648" s="24" t="n">
        <v>3931</v>
      </c>
      <c r="B1648" s="10" t="inlineStr">
        <is>
          <t>TĐ Mường Kim 2</t>
        </is>
      </c>
      <c r="C1648" s="10" t="inlineStr">
        <is>
          <t>NM TĐN Mường Kim 2</t>
        </is>
      </c>
      <c r="D1648" s="3" t="inlineStr">
        <is>
          <t>B29</t>
        </is>
      </c>
      <c r="E1648" s="9" t="inlineStr">
        <is>
          <t>A29.14</t>
        </is>
      </c>
      <c r="F1648" s="15">
        <f>IF(E1648&lt;&gt;"","Đã VH","Quy hoạch điện VIII")</f>
        <v/>
      </c>
      <c r="G1648" s="16">
        <f>LEFT(B1648,FIND(" ",B1648,1)-1)</f>
        <v/>
      </c>
      <c r="H1648" s="16">
        <f>TRIM(RIGHT(B1648,LEN(B1648)-FIND(" ",B1648,1)))</f>
        <v/>
      </c>
      <c r="I1648" s="16">
        <f>_xlfn.XLOOKUP(Table2[[#This Row],[Type]],Table5[Type],Table5[Type2])</f>
        <v/>
      </c>
      <c r="J1648" s="16">
        <f>_xlfn.XLOOKUP(Table2[[#This Row],[Sym]],Zones!$A$2:$A$21,Zones!$B$2:$B$21)</f>
        <v/>
      </c>
      <c r="K1648" s="21" t="n"/>
    </row>
    <row r="1649">
      <c r="A1649" s="24" t="n">
        <v>3932</v>
      </c>
      <c r="B1649" s="10" t="inlineStr">
        <is>
          <t>TĐ Nậm Thi 2</t>
        </is>
      </c>
      <c r="C1649" s="10" t="inlineStr">
        <is>
          <t>NM TĐN Nậm Thi 2</t>
        </is>
      </c>
      <c r="D1649" s="3" t="inlineStr">
        <is>
          <t>B29</t>
        </is>
      </c>
      <c r="E1649" s="9" t="inlineStr">
        <is>
          <t>A29.12</t>
        </is>
      </c>
      <c r="F1649" s="15">
        <f>IF(E1649&lt;&gt;"","Đã VH","Quy hoạch điện VIII")</f>
        <v/>
      </c>
      <c r="G1649" s="16">
        <f>LEFT(B1649,FIND(" ",B1649,1)-1)</f>
        <v/>
      </c>
      <c r="H1649" s="16">
        <f>TRIM(RIGHT(B1649,LEN(B1649)-FIND(" ",B1649,1)))</f>
        <v/>
      </c>
      <c r="I1649" s="16">
        <f>_xlfn.XLOOKUP(Table2[[#This Row],[Type]],Table5[Type],Table5[Type2])</f>
        <v/>
      </c>
      <c r="J1649" s="16">
        <f>_xlfn.XLOOKUP(Table2[[#This Row],[Sym]],Zones!$A$2:$A$21,Zones!$B$2:$B$21)</f>
        <v/>
      </c>
      <c r="K1649" s="21" t="n"/>
    </row>
    <row r="1650">
      <c r="A1650" s="24" t="n">
        <v>3933</v>
      </c>
      <c r="B1650" s="10" t="inlineStr">
        <is>
          <t>T110 Nậm Ban</t>
        </is>
      </c>
      <c r="C1650" s="10" t="inlineStr">
        <is>
          <t>TBA 110kV Nậm Ban</t>
        </is>
      </c>
      <c r="D1650" s="3" t="inlineStr">
        <is>
          <t>B29</t>
        </is>
      </c>
      <c r="E1650" s="9" t="inlineStr">
        <is>
          <t>E29.6</t>
        </is>
      </c>
      <c r="F1650" s="15">
        <f>IF(E1650&lt;&gt;"","Đã VH","Quy hoạch điện VIII")</f>
        <v/>
      </c>
      <c r="G1650" s="16">
        <f>LEFT(B1650,FIND(" ",B1650,1)-1)</f>
        <v/>
      </c>
      <c r="H1650" s="16">
        <f>TRIM(RIGHT(B1650,LEN(B1650)-FIND(" ",B1650,1)))</f>
        <v/>
      </c>
      <c r="I1650" s="16">
        <f>_xlfn.XLOOKUP(Table2[[#This Row],[Type]],Table5[Type],Table5[Type2])</f>
        <v/>
      </c>
      <c r="J1650" s="16">
        <f>_xlfn.XLOOKUP(Table2[[#This Row],[Sym]],Zones!$A$2:$A$21,Zones!$B$2:$B$21)</f>
        <v/>
      </c>
      <c r="K1650" s="21" t="n"/>
    </row>
    <row r="1651">
      <c r="A1651" s="24" t="n">
        <v>3934</v>
      </c>
      <c r="B1651" s="10" t="inlineStr">
        <is>
          <t>TĐ Nậm Na 1</t>
        </is>
      </c>
      <c r="C1651" s="10" t="inlineStr">
        <is>
          <t>NM TĐN Nậm Na 1</t>
        </is>
      </c>
      <c r="D1651" s="3" t="inlineStr">
        <is>
          <t>B29</t>
        </is>
      </c>
      <c r="E1651" s="9" t="inlineStr">
        <is>
          <t>A29.13</t>
        </is>
      </c>
      <c r="F1651" s="15">
        <f>IF(E1651&lt;&gt;"","Đã VH","Quy hoạch điện VIII")</f>
        <v/>
      </c>
      <c r="G1651" s="16">
        <f>LEFT(B1651,FIND(" ",B1651,1)-1)</f>
        <v/>
      </c>
      <c r="H1651" s="16">
        <f>TRIM(RIGHT(B1651,LEN(B1651)-FIND(" ",B1651,1)))</f>
        <v/>
      </c>
      <c r="I1651" s="16">
        <f>_xlfn.XLOOKUP(Table2[[#This Row],[Type]],Table5[Type],Table5[Type2])</f>
        <v/>
      </c>
      <c r="J1651" s="16">
        <f>_xlfn.XLOOKUP(Table2[[#This Row],[Sym]],Zones!$A$2:$A$21,Zones!$B$2:$B$21)</f>
        <v/>
      </c>
      <c r="K1651" s="21" t="n"/>
    </row>
    <row r="1652">
      <c r="A1652" s="24" t="n">
        <v>3935</v>
      </c>
      <c r="B1652" s="10" t="inlineStr">
        <is>
          <t>TĐ Nậm Sì Lường</t>
        </is>
      </c>
      <c r="C1652" s="10" t="inlineStr">
        <is>
          <t>NM TĐN Nậm Sì Lường</t>
        </is>
      </c>
      <c r="D1652" s="3" t="inlineStr">
        <is>
          <t>B29</t>
        </is>
      </c>
      <c r="E1652" s="9" t="inlineStr">
        <is>
          <t>A29.17</t>
        </is>
      </c>
      <c r="F1652" s="15">
        <f>IF(E1652&lt;&gt;"","Đã VH","Quy hoạch điện VIII")</f>
        <v/>
      </c>
      <c r="G1652" s="16">
        <f>LEFT(B1652,FIND(" ",B1652,1)-1)</f>
        <v/>
      </c>
      <c r="H1652" s="16">
        <f>TRIM(RIGHT(B1652,LEN(B1652)-FIND(" ",B1652,1)))</f>
        <v/>
      </c>
      <c r="I1652" s="16">
        <f>_xlfn.XLOOKUP(Table2[[#This Row],[Type]],Table5[Type],Table5[Type2])</f>
        <v/>
      </c>
      <c r="J1652" s="16">
        <f>_xlfn.XLOOKUP(Table2[[#This Row],[Sym]],Zones!$A$2:$A$21,Zones!$B$2:$B$21)</f>
        <v/>
      </c>
      <c r="K1652" s="21" t="n"/>
    </row>
    <row r="1653">
      <c r="A1653" s="24" t="n">
        <v>3936</v>
      </c>
      <c r="B1653" s="10" t="inlineStr">
        <is>
          <t>TĐ Nậm Bụm 1</t>
        </is>
      </c>
      <c r="C1653" s="10" t="inlineStr">
        <is>
          <t>NM TĐN Nậm Bụm 1</t>
        </is>
      </c>
      <c r="D1653" s="3" t="inlineStr">
        <is>
          <t>B29</t>
        </is>
      </c>
      <c r="E1653" s="9" t="inlineStr">
        <is>
          <t>A29.19</t>
        </is>
      </c>
      <c r="F1653" s="15">
        <f>IF(E1653&lt;&gt;"","Đã VH","Quy hoạch điện VIII")</f>
        <v/>
      </c>
      <c r="G1653" s="16">
        <f>LEFT(B1653,FIND(" ",B1653,1)-1)</f>
        <v/>
      </c>
      <c r="H1653" s="16">
        <f>TRIM(RIGHT(B1653,LEN(B1653)-FIND(" ",B1653,1)))</f>
        <v/>
      </c>
      <c r="I1653" s="16">
        <f>_xlfn.XLOOKUP(Table2[[#This Row],[Type]],Table5[Type],Table5[Type2])</f>
        <v/>
      </c>
      <c r="J1653" s="16">
        <f>_xlfn.XLOOKUP(Table2[[#This Row],[Sym]],Zones!$A$2:$A$21,Zones!$B$2:$B$21)</f>
        <v/>
      </c>
      <c r="K1653" s="21" t="n"/>
    </row>
    <row r="1654">
      <c r="A1654" s="24" t="n">
        <v>3937</v>
      </c>
      <c r="B1654" s="10" t="inlineStr">
        <is>
          <t>TĐ Nậm Đích 1</t>
        </is>
      </c>
      <c r="C1654" s="10" t="inlineStr">
        <is>
          <t>NM TĐN Nậm Đích 1</t>
        </is>
      </c>
      <c r="D1654" s="3" t="inlineStr">
        <is>
          <t>B29</t>
        </is>
      </c>
      <c r="E1654" s="9" t="inlineStr">
        <is>
          <t>A29.18</t>
        </is>
      </c>
      <c r="F1654" s="15">
        <f>IF(E1654&lt;&gt;"","Đã VH","Quy hoạch điện VIII")</f>
        <v/>
      </c>
      <c r="G1654" s="16">
        <f>LEFT(B1654,FIND(" ",B1654,1)-1)</f>
        <v/>
      </c>
      <c r="H1654" s="16">
        <f>TRIM(RIGHT(B1654,LEN(B1654)-FIND(" ",B1654,1)))</f>
        <v/>
      </c>
      <c r="I1654" s="16">
        <f>_xlfn.XLOOKUP(Table2[[#This Row],[Type]],Table5[Type],Table5[Type2])</f>
        <v/>
      </c>
      <c r="J1654" s="16">
        <f>_xlfn.XLOOKUP(Table2[[#This Row],[Sym]],Zones!$A$2:$A$21,Zones!$B$2:$B$21)</f>
        <v/>
      </c>
      <c r="K1654" s="21" t="n"/>
    </row>
    <row r="1655">
      <c r="A1655" s="24" t="n">
        <v>3938</v>
      </c>
      <c r="B1655" s="10" t="inlineStr">
        <is>
          <t>TĐ Nậm Sì Lường 4</t>
        </is>
      </c>
      <c r="C1655" s="10" t="inlineStr">
        <is>
          <t>NM TĐN Nậm Sì Lường 4</t>
        </is>
      </c>
      <c r="D1655" s="3" t="inlineStr">
        <is>
          <t>B29</t>
        </is>
      </c>
      <c r="E1655" s="9" t="inlineStr">
        <is>
          <t>A29.24</t>
        </is>
      </c>
      <c r="F1655" s="15">
        <f>IF(E1655&lt;&gt;"","Đã VH","Quy hoạch điện VIII")</f>
        <v/>
      </c>
      <c r="G1655" s="16">
        <f>LEFT(B1655,FIND(" ",B1655,1)-1)</f>
        <v/>
      </c>
      <c r="H1655" s="16">
        <f>TRIM(RIGHT(B1655,LEN(B1655)-FIND(" ",B1655,1)))</f>
        <v/>
      </c>
      <c r="I1655" s="16">
        <f>_xlfn.XLOOKUP(Table2[[#This Row],[Type]],Table5[Type],Table5[Type2])</f>
        <v/>
      </c>
      <c r="J1655" s="16">
        <f>_xlfn.XLOOKUP(Table2[[#This Row],[Sym]],Zones!$A$2:$A$21,Zones!$B$2:$B$21)</f>
        <v/>
      </c>
      <c r="K1655" s="21" t="n"/>
    </row>
    <row r="1656">
      <c r="A1656" s="24" t="n">
        <v>3939</v>
      </c>
      <c r="B1656" s="10" t="inlineStr">
        <is>
          <t>TĐ Hua Chăng 2</t>
        </is>
      </c>
      <c r="C1656" s="10" t="inlineStr">
        <is>
          <t>NM TĐN Hua Chăng 2</t>
        </is>
      </c>
      <c r="D1656" s="3" t="inlineStr">
        <is>
          <t>B29</t>
        </is>
      </c>
      <c r="E1656" s="9" t="inlineStr">
        <is>
          <t>A29.25</t>
        </is>
      </c>
      <c r="F1656" s="15">
        <f>IF(E1656&lt;&gt;"","Đã VH","Quy hoạch điện VIII")</f>
        <v/>
      </c>
      <c r="G1656" s="16">
        <f>LEFT(B1656,FIND(" ",B1656,1)-1)</f>
        <v/>
      </c>
      <c r="H1656" s="16">
        <f>TRIM(RIGHT(B1656,LEN(B1656)-FIND(" ",B1656,1)))</f>
        <v/>
      </c>
      <c r="I1656" s="16">
        <f>_xlfn.XLOOKUP(Table2[[#This Row],[Type]],Table5[Type],Table5[Type2])</f>
        <v/>
      </c>
      <c r="J1656" s="16">
        <f>_xlfn.XLOOKUP(Table2[[#This Row],[Sym]],Zones!$A$2:$A$21,Zones!$B$2:$B$21)</f>
        <v/>
      </c>
      <c r="K1656" s="21" t="n"/>
    </row>
    <row r="1657">
      <c r="A1657" s="24" t="n">
        <v>3940</v>
      </c>
      <c r="B1657" s="10" t="inlineStr">
        <is>
          <t>TĐ Nậm Bụm 2</t>
        </is>
      </c>
      <c r="C1657" s="10" t="inlineStr">
        <is>
          <t>NM TĐN Nậm Bụm 2</t>
        </is>
      </c>
      <c r="D1657" s="3" t="inlineStr">
        <is>
          <t>B29</t>
        </is>
      </c>
      <c r="E1657" s="9" t="inlineStr">
        <is>
          <t>A29.26</t>
        </is>
      </c>
      <c r="F1657" s="15">
        <f>IF(E1657&lt;&gt;"","Đã VH","Quy hoạch điện VIII")</f>
        <v/>
      </c>
      <c r="G1657" s="16">
        <f>LEFT(B1657,FIND(" ",B1657,1)-1)</f>
        <v/>
      </c>
      <c r="H1657" s="16">
        <f>TRIM(RIGHT(B1657,LEN(B1657)-FIND(" ",B1657,1)))</f>
        <v/>
      </c>
      <c r="I1657" s="16">
        <f>_xlfn.XLOOKUP(Table2[[#This Row],[Type]],Table5[Type],Table5[Type2])</f>
        <v/>
      </c>
      <c r="J1657" s="16">
        <f>_xlfn.XLOOKUP(Table2[[#This Row],[Sym]],Zones!$A$2:$A$21,Zones!$B$2:$B$21)</f>
        <v/>
      </c>
      <c r="K1657" s="21" t="n"/>
    </row>
    <row r="1658">
      <c r="A1658" s="24" t="n">
        <v>3941</v>
      </c>
      <c r="B1658" s="10" t="inlineStr">
        <is>
          <t>T500 Lai Châu</t>
        </is>
      </c>
      <c r="C1658" s="10" t="inlineStr">
        <is>
          <t>TBA 500kV Lai Châu</t>
        </is>
      </c>
      <c r="D1658" s="3" t="inlineStr">
        <is>
          <t>B29</t>
        </is>
      </c>
      <c r="E1658" s="9" t="inlineStr">
        <is>
          <t>T500 Lai Châu</t>
        </is>
      </c>
      <c r="F1658" s="15">
        <f>IF(E1658&lt;&gt;"","Đã VH","Quy hoạch điện VIII")</f>
        <v/>
      </c>
      <c r="G1658" s="16">
        <f>LEFT(B1658,FIND(" ",B1658,1)-1)</f>
        <v/>
      </c>
      <c r="H1658" s="16">
        <f>TRIM(RIGHT(B1658,LEN(B1658)-FIND(" ",B1658,1)))</f>
        <v/>
      </c>
      <c r="I1658" s="16">
        <f>_xlfn.XLOOKUP(Table2[[#This Row],[Type]],Table5[Type],Table5[Type2])</f>
        <v/>
      </c>
      <c r="J1658" s="16">
        <f>_xlfn.XLOOKUP(Table2[[#This Row],[Sym]],Zones!$A$2:$A$21,Zones!$B$2:$B$21)</f>
        <v/>
      </c>
      <c r="K1658" s="21" t="n"/>
    </row>
    <row r="1659">
      <c r="A1659" s="24" t="n">
        <v>3942</v>
      </c>
      <c r="B1659" s="10" t="inlineStr">
        <is>
          <t>TĐ Nậm Nghẹ 1A</t>
        </is>
      </c>
      <c r="C1659" s="10" t="inlineStr">
        <is>
          <t>NM TĐN Nậm Nghẹ 1A</t>
        </is>
      </c>
      <c r="D1659" s="3" t="inlineStr">
        <is>
          <t>B29</t>
        </is>
      </c>
      <c r="E1659" s="9" t="inlineStr">
        <is>
          <t>A29.37</t>
        </is>
      </c>
      <c r="F1659" s="15">
        <f>IF(E1659&lt;&gt;"","Đã VH","Quy hoạch điện VIII")</f>
        <v/>
      </c>
      <c r="G1659" s="16">
        <f>LEFT(B1659,FIND(" ",B1659,1)-1)</f>
        <v/>
      </c>
      <c r="H1659" s="16">
        <f>TRIM(RIGHT(B1659,LEN(B1659)-FIND(" ",B1659,1)))</f>
        <v/>
      </c>
      <c r="I1659" s="16">
        <f>_xlfn.XLOOKUP(Table2[[#This Row],[Type]],Table5[Type],Table5[Type2])</f>
        <v/>
      </c>
      <c r="J1659" s="16">
        <f>_xlfn.XLOOKUP(Table2[[#This Row],[Sym]],Zones!$A$2:$A$21,Zones!$B$2:$B$21)</f>
        <v/>
      </c>
      <c r="K1659" s="21" t="n"/>
    </row>
    <row r="1660">
      <c r="A1660" s="24" t="n">
        <v>3943</v>
      </c>
      <c r="B1660" s="10" t="inlineStr">
        <is>
          <t>T220 Mường Tè</t>
        </is>
      </c>
      <c r="C1660" s="10" t="inlineStr">
        <is>
          <t>TBA 220kV Mường Tè</t>
        </is>
      </c>
      <c r="D1660" s="3" t="inlineStr">
        <is>
          <t>B29</t>
        </is>
      </c>
      <c r="E1660" s="9" t="inlineStr">
        <is>
          <t>E29.20</t>
        </is>
      </c>
      <c r="F1660" s="15">
        <f>IF(E1660&lt;&gt;"","Đã VH","Quy hoạch điện VIII")</f>
        <v/>
      </c>
      <c r="G1660" s="16">
        <f>LEFT(B1660,FIND(" ",B1660,1)-1)</f>
        <v/>
      </c>
      <c r="H1660" s="16">
        <f>TRIM(RIGHT(B1660,LEN(B1660)-FIND(" ",B1660,1)))</f>
        <v/>
      </c>
      <c r="I1660" s="16">
        <f>_xlfn.XLOOKUP(Table2[[#This Row],[Type]],Table5[Type],Table5[Type2])</f>
        <v/>
      </c>
      <c r="J1660" s="16">
        <f>_xlfn.XLOOKUP(Table2[[#This Row],[Sym]],Zones!$A$2:$A$21,Zones!$B$2:$B$21)</f>
        <v/>
      </c>
      <c r="K1660" s="21" t="n"/>
    </row>
    <row r="1661">
      <c r="A1661" s="24" t="n">
        <v>3944</v>
      </c>
      <c r="B1661" s="10" t="inlineStr">
        <is>
          <t>T220 Phong Thổ</t>
        </is>
      </c>
      <c r="C1661" s="10" t="inlineStr">
        <is>
          <t>TBA 220kV Phong Thổ</t>
        </is>
      </c>
      <c r="D1661" s="3" t="inlineStr">
        <is>
          <t>B29</t>
        </is>
      </c>
      <c r="E1661" s="9" t="n"/>
      <c r="F1661" s="15">
        <f>IF(E1661&lt;&gt;"","Đã VH","Quy hoạch điện VIII")</f>
        <v/>
      </c>
      <c r="G1661" s="16">
        <f>LEFT(B1661,FIND(" ",B1661,1)-1)</f>
        <v/>
      </c>
      <c r="H1661" s="16">
        <f>TRIM(RIGHT(B1661,LEN(B1661)-FIND(" ",B1661,1)))</f>
        <v/>
      </c>
      <c r="I1661" s="16">
        <f>_xlfn.XLOOKUP(Table2[[#This Row],[Type]],Table5[Type],Table5[Type2])</f>
        <v/>
      </c>
      <c r="J1661" s="16">
        <f>_xlfn.XLOOKUP(Table2[[#This Row],[Sym]],Zones!$A$2:$A$21,Zones!$B$2:$B$21)</f>
        <v/>
      </c>
      <c r="K1661" s="21" t="n"/>
    </row>
    <row r="1662">
      <c r="A1662" s="24" t="n">
        <v>3945</v>
      </c>
      <c r="B1662" s="10" t="inlineStr">
        <is>
          <t>T220 Pắc Ma</t>
        </is>
      </c>
      <c r="C1662" s="10" t="inlineStr">
        <is>
          <t>TBA 220kV Pắc Ma</t>
        </is>
      </c>
      <c r="D1662" s="3" t="inlineStr">
        <is>
          <t>B29</t>
        </is>
      </c>
      <c r="E1662" s="9" t="n"/>
      <c r="F1662" s="15">
        <f>IF(E1662&lt;&gt;"","Đã VH","Quy hoạch điện VIII")</f>
        <v/>
      </c>
      <c r="G1662" s="16">
        <f>LEFT(B1662,FIND(" ",B1662,1)-1)</f>
        <v/>
      </c>
      <c r="H1662" s="16">
        <f>TRIM(RIGHT(B1662,LEN(B1662)-FIND(" ",B1662,1)))</f>
        <v/>
      </c>
      <c r="I1662" s="16">
        <f>_xlfn.XLOOKUP(Table2[[#This Row],[Type]],Table5[Type],Table5[Type2])</f>
        <v/>
      </c>
      <c r="J1662" s="16">
        <f>_xlfn.XLOOKUP(Table2[[#This Row],[Sym]],Zones!$A$2:$A$21,Zones!$B$2:$B$21)</f>
        <v/>
      </c>
      <c r="K1662" s="21" t="n"/>
    </row>
    <row r="1663">
      <c r="A1663" s="24" t="n">
        <v>3946</v>
      </c>
      <c r="B1663" s="10" t="inlineStr">
        <is>
          <t>TĐ Nậm Xí Lùng 1</t>
        </is>
      </c>
      <c r="C1663" s="10" t="inlineStr">
        <is>
          <t>NM TĐN Nậm Xí Lùng 1</t>
        </is>
      </c>
      <c r="D1663" s="3" t="inlineStr">
        <is>
          <t>B29</t>
        </is>
      </c>
      <c r="E1663" s="9" t="inlineStr">
        <is>
          <t>A29.28</t>
        </is>
      </c>
      <c r="F1663" s="15">
        <f>IF(E1663&lt;&gt;"","Đã VH","Quy hoạch điện VIII")</f>
        <v/>
      </c>
      <c r="G1663" s="16">
        <f>LEFT(B1663,FIND(" ",B1663,1)-1)</f>
        <v/>
      </c>
      <c r="H1663" s="16">
        <f>TRIM(RIGHT(B1663,LEN(B1663)-FIND(" ",B1663,1)))</f>
        <v/>
      </c>
      <c r="I1663" s="16">
        <f>_xlfn.XLOOKUP(Table2[[#This Row],[Type]],Table5[Type],Table5[Type2])</f>
        <v/>
      </c>
      <c r="J1663" s="16">
        <f>_xlfn.XLOOKUP(Table2[[#This Row],[Sym]],Zones!$A$2:$A$21,Zones!$B$2:$B$21)</f>
        <v/>
      </c>
      <c r="K1663" s="21" t="n"/>
    </row>
    <row r="1664">
      <c r="A1664" s="24" t="n">
        <v>3947</v>
      </c>
      <c r="B1664" s="10" t="inlineStr">
        <is>
          <t>TĐ Nậm So 2</t>
        </is>
      </c>
      <c r="C1664" s="10" t="inlineStr">
        <is>
          <t>NM TĐN Nậm So 2</t>
        </is>
      </c>
      <c r="D1664" s="3" t="inlineStr">
        <is>
          <t>B29</t>
        </is>
      </c>
      <c r="E1664" s="9" t="inlineStr">
        <is>
          <t>A29.22</t>
        </is>
      </c>
      <c r="F1664" s="15">
        <f>IF(E1664&lt;&gt;"","Đã VH","Quy hoạch điện VIII")</f>
        <v/>
      </c>
      <c r="G1664" s="16">
        <f>LEFT(B1664,FIND(" ",B1664,1)-1)</f>
        <v/>
      </c>
      <c r="H1664" s="16">
        <f>TRIM(RIGHT(B1664,LEN(B1664)-FIND(" ",B1664,1)))</f>
        <v/>
      </c>
      <c r="I1664" s="16">
        <f>_xlfn.XLOOKUP(Table2[[#This Row],[Type]],Table5[Type],Table5[Type2])</f>
        <v/>
      </c>
      <c r="J1664" s="16">
        <f>_xlfn.XLOOKUP(Table2[[#This Row],[Sym]],Zones!$A$2:$A$21,Zones!$B$2:$B$21)</f>
        <v/>
      </c>
      <c r="K1664" s="21" t="n"/>
    </row>
    <row r="1665">
      <c r="A1665" s="24" t="n">
        <v>3948</v>
      </c>
      <c r="B1665" s="10" t="inlineStr">
        <is>
          <t>TĐ Nậm So 1</t>
        </is>
      </c>
      <c r="C1665" s="10" t="inlineStr">
        <is>
          <t>NM TĐN Nậm So 1</t>
        </is>
      </c>
      <c r="D1665" s="3" t="inlineStr">
        <is>
          <t>B29</t>
        </is>
      </c>
      <c r="E1665" s="9" t="inlineStr">
        <is>
          <t>A29.21</t>
        </is>
      </c>
      <c r="F1665" s="15">
        <f>IF(E1665&lt;&gt;"","Đã VH","Quy hoạch điện VIII")</f>
        <v/>
      </c>
      <c r="G1665" s="16">
        <f>LEFT(B1665,FIND(" ",B1665,1)-1)</f>
        <v/>
      </c>
      <c r="H1665" s="16">
        <f>TRIM(RIGHT(B1665,LEN(B1665)-FIND(" ",B1665,1)))</f>
        <v/>
      </c>
      <c r="I1665" s="16">
        <f>_xlfn.XLOOKUP(Table2[[#This Row],[Type]],Table5[Type],Table5[Type2])</f>
        <v/>
      </c>
      <c r="J1665" s="16">
        <f>_xlfn.XLOOKUP(Table2[[#This Row],[Sym]],Zones!$A$2:$A$21,Zones!$B$2:$B$21)</f>
        <v/>
      </c>
      <c r="K1665" s="21" t="n"/>
    </row>
    <row r="1666">
      <c r="A1666" s="24" t="n">
        <v>3949</v>
      </c>
      <c r="B1666" s="10" t="inlineStr">
        <is>
          <t>TĐ Nậm Pạc 2</t>
        </is>
      </c>
      <c r="C1666" s="10" t="inlineStr">
        <is>
          <t>NM TĐN Nậm Pạc 2</t>
        </is>
      </c>
      <c r="D1666" s="3" t="inlineStr">
        <is>
          <t>B29</t>
        </is>
      </c>
      <c r="E1666" s="9" t="inlineStr">
        <is>
          <t>A29.33</t>
        </is>
      </c>
      <c r="F1666" s="15">
        <f>IF(E1666&lt;&gt;"","Đã VH","Quy hoạch điện VIII")</f>
        <v/>
      </c>
      <c r="G1666" s="16">
        <f>LEFT(B1666,FIND(" ",B1666,1)-1)</f>
        <v/>
      </c>
      <c r="H1666" s="16">
        <f>TRIM(RIGHT(B1666,LEN(B1666)-FIND(" ",B1666,1)))</f>
        <v/>
      </c>
      <c r="I1666" s="16">
        <f>_xlfn.XLOOKUP(Table2[[#This Row],[Type]],Table5[Type],Table5[Type2])</f>
        <v/>
      </c>
      <c r="J1666" s="16">
        <f>_xlfn.XLOOKUP(Table2[[#This Row],[Sym]],Zones!$A$2:$A$21,Zones!$B$2:$B$21)</f>
        <v/>
      </c>
      <c r="K1666" s="21" t="n"/>
    </row>
    <row r="1667">
      <c r="A1667" s="24" t="n">
        <v>3950</v>
      </c>
      <c r="B1667" s="10" t="inlineStr">
        <is>
          <t>TĐ Nậm Pạc 1</t>
        </is>
      </c>
      <c r="C1667" s="10" t="inlineStr">
        <is>
          <t>NM TĐN Nậm Pạc 1</t>
        </is>
      </c>
      <c r="D1667" s="3" t="inlineStr">
        <is>
          <t>B29</t>
        </is>
      </c>
      <c r="E1667" s="9" t="inlineStr">
        <is>
          <t>A29.29A</t>
        </is>
      </c>
      <c r="F1667" s="15">
        <f>IF(E1667&lt;&gt;"","Đã VH","Quy hoạch điện VIII")</f>
        <v/>
      </c>
      <c r="G1667" s="16">
        <f>LEFT(B1667,FIND(" ",B1667,1)-1)</f>
        <v/>
      </c>
      <c r="H1667" s="16">
        <f>TRIM(RIGHT(B1667,LEN(B1667)-FIND(" ",B1667,1)))</f>
        <v/>
      </c>
      <c r="I1667" s="16">
        <f>_xlfn.XLOOKUP(Table2[[#This Row],[Type]],Table5[Type],Table5[Type2])</f>
        <v/>
      </c>
      <c r="J1667" s="16">
        <f>_xlfn.XLOOKUP(Table2[[#This Row],[Sym]],Zones!$A$2:$A$21,Zones!$B$2:$B$21)</f>
        <v/>
      </c>
      <c r="K1667" s="21" t="n"/>
    </row>
    <row r="1668">
      <c r="A1668" s="24" t="n">
        <v>3951</v>
      </c>
      <c r="B1668" s="10" t="inlineStr">
        <is>
          <t>TĐ Pắc Ma</t>
        </is>
      </c>
      <c r="C1668" s="10" t="inlineStr">
        <is>
          <t>NM TĐN Pắc Ma</t>
        </is>
      </c>
      <c r="D1668" s="3" t="inlineStr">
        <is>
          <t>B29</t>
        </is>
      </c>
      <c r="E1668" s="9" t="inlineStr">
        <is>
          <t>A29.30</t>
        </is>
      </c>
      <c r="F1668" s="15">
        <f>IF(E1668&lt;&gt;"","Đã VH","Quy hoạch điện VIII")</f>
        <v/>
      </c>
      <c r="G1668" s="16">
        <f>LEFT(B1668,FIND(" ",B1668,1)-1)</f>
        <v/>
      </c>
      <c r="H1668" s="16">
        <f>TRIM(RIGHT(B1668,LEN(B1668)-FIND(" ",B1668,1)))</f>
        <v/>
      </c>
      <c r="I1668" s="16">
        <f>_xlfn.XLOOKUP(Table2[[#This Row],[Type]],Table5[Type],Table5[Type2])</f>
        <v/>
      </c>
      <c r="J1668" s="16">
        <f>_xlfn.XLOOKUP(Table2[[#This Row],[Sym]],Zones!$A$2:$A$21,Zones!$B$2:$B$21)</f>
        <v/>
      </c>
      <c r="K1668" s="21" t="n"/>
    </row>
    <row r="1669">
      <c r="A1669" s="24" t="n">
        <v>3952</v>
      </c>
      <c r="B1669" s="10" t="inlineStr">
        <is>
          <t>TĐ Nậm Sì Lường 3</t>
        </is>
      </c>
      <c r="C1669" s="10" t="inlineStr">
        <is>
          <t>NM TĐN Nậm Sì Lường 3</t>
        </is>
      </c>
      <c r="D1669" s="3" t="inlineStr">
        <is>
          <t>B29</t>
        </is>
      </c>
      <c r="E1669" s="9" t="inlineStr">
        <is>
          <t>A29.23</t>
        </is>
      </c>
      <c r="F1669" s="15">
        <f>IF(E1669&lt;&gt;"","Đã VH","Quy hoạch điện VIII")</f>
        <v/>
      </c>
      <c r="G1669" s="16">
        <f>LEFT(B1669,FIND(" ",B1669,1)-1)</f>
        <v/>
      </c>
      <c r="H1669" s="16">
        <f>TRIM(RIGHT(B1669,LEN(B1669)-FIND(" ",B1669,1)))</f>
        <v/>
      </c>
      <c r="I1669" s="16">
        <f>_xlfn.XLOOKUP(Table2[[#This Row],[Type]],Table5[Type],Table5[Type2])</f>
        <v/>
      </c>
      <c r="J1669" s="16">
        <f>_xlfn.XLOOKUP(Table2[[#This Row],[Sym]],Zones!$A$2:$A$21,Zones!$B$2:$B$21)</f>
        <v/>
      </c>
      <c r="K1669" s="21" t="n"/>
    </row>
    <row r="1670">
      <c r="A1670" s="24" t="n">
        <v>3953</v>
      </c>
      <c r="B1670" s="10" t="inlineStr">
        <is>
          <t>TĐ Hua Bun</t>
        </is>
      </c>
      <c r="C1670" s="10" t="inlineStr">
        <is>
          <t>NM TĐN Hua Bun</t>
        </is>
      </c>
      <c r="D1670" s="3" t="inlineStr">
        <is>
          <t>B29</t>
        </is>
      </c>
      <c r="E1670" s="9" t="inlineStr">
        <is>
          <t>A29.31</t>
        </is>
      </c>
      <c r="F1670" s="15">
        <f>IF(E1670&lt;&gt;"","Đã VH","Quy hoạch điện VIII")</f>
        <v/>
      </c>
      <c r="G1670" s="16">
        <f>LEFT(B1670,FIND(" ",B1670,1)-1)</f>
        <v/>
      </c>
      <c r="H1670" s="16">
        <f>TRIM(RIGHT(B1670,LEN(B1670)-FIND(" ",B1670,1)))</f>
        <v/>
      </c>
      <c r="I1670" s="16">
        <f>_xlfn.XLOOKUP(Table2[[#This Row],[Type]],Table5[Type],Table5[Type2])</f>
        <v/>
      </c>
      <c r="J1670" s="16">
        <f>_xlfn.XLOOKUP(Table2[[#This Row],[Sym]],Zones!$A$2:$A$21,Zones!$B$2:$B$21)</f>
        <v/>
      </c>
      <c r="K1670" s="21" t="n"/>
    </row>
    <row r="1671">
      <c r="A1671" s="24" t="n">
        <v>3954</v>
      </c>
      <c r="B1671" s="10" t="inlineStr">
        <is>
          <t>TĐ Nậm Củm 5</t>
        </is>
      </c>
      <c r="C1671" s="10" t="inlineStr">
        <is>
          <t>NM TĐN Nậm Củm 5</t>
        </is>
      </c>
      <c r="D1671" s="3" t="inlineStr">
        <is>
          <t>B29</t>
        </is>
      </c>
      <c r="E1671" s="9" t="inlineStr">
        <is>
          <t>A29.44</t>
        </is>
      </c>
      <c r="F1671" s="15">
        <f>IF(E1671&lt;&gt;"","Đã VH","Quy hoạch điện VIII")</f>
        <v/>
      </c>
      <c r="G1671" s="16">
        <f>LEFT(B1671,FIND(" ",B1671,1)-1)</f>
        <v/>
      </c>
      <c r="H1671" s="16">
        <f>TRIM(RIGHT(B1671,LEN(B1671)-FIND(" ",B1671,1)))</f>
        <v/>
      </c>
      <c r="I1671" s="16">
        <f>_xlfn.XLOOKUP(Table2[[#This Row],[Type]],Table5[Type],Table5[Type2])</f>
        <v/>
      </c>
      <c r="J1671" s="16">
        <f>_xlfn.XLOOKUP(Table2[[#This Row],[Sym]],Zones!$A$2:$A$21,Zones!$B$2:$B$21)</f>
        <v/>
      </c>
      <c r="K1671" s="21" t="n"/>
    </row>
    <row r="1672">
      <c r="A1672" s="24" t="n">
        <v>3955</v>
      </c>
      <c r="B1672" s="10" t="inlineStr">
        <is>
          <t>TĐ Pa Tần 2</t>
        </is>
      </c>
      <c r="C1672" s="10" t="inlineStr">
        <is>
          <t>NM TĐN Pa Tần 2</t>
        </is>
      </c>
      <c r="D1672" s="3" t="inlineStr">
        <is>
          <t>B29</t>
        </is>
      </c>
      <c r="E1672" s="9" t="inlineStr">
        <is>
          <t>A29.32</t>
        </is>
      </c>
      <c r="F1672" s="15">
        <f>IF(E1672&lt;&gt;"","Đã VH","Quy hoạch điện VIII")</f>
        <v/>
      </c>
      <c r="G1672" s="16">
        <f>LEFT(B1672,FIND(" ",B1672,1)-1)</f>
        <v/>
      </c>
      <c r="H1672" s="16">
        <f>TRIM(RIGHT(B1672,LEN(B1672)-FIND(" ",B1672,1)))</f>
        <v/>
      </c>
      <c r="I1672" s="16">
        <f>_xlfn.XLOOKUP(Table2[[#This Row],[Type]],Table5[Type],Table5[Type2])</f>
        <v/>
      </c>
      <c r="J1672" s="16">
        <f>_xlfn.XLOOKUP(Table2[[#This Row],[Sym]],Zones!$A$2:$A$21,Zones!$B$2:$B$21)</f>
        <v/>
      </c>
      <c r="K1672" s="21" t="n"/>
    </row>
    <row r="1673">
      <c r="A1673" s="24" t="n">
        <v>3956</v>
      </c>
      <c r="B1673" s="10" t="inlineStr">
        <is>
          <t>TĐ Nậm Xe</t>
        </is>
      </c>
      <c r="C1673" s="10" t="inlineStr">
        <is>
          <t>NM TĐN Nậm Xe</t>
        </is>
      </c>
      <c r="D1673" s="3" t="inlineStr">
        <is>
          <t>B29</t>
        </is>
      </c>
      <c r="E1673" s="9" t="inlineStr">
        <is>
          <t>A29.48</t>
        </is>
      </c>
      <c r="F1673" s="15">
        <f>IF(E1673&lt;&gt;"","Đã VH","Quy hoạch điện VIII")</f>
        <v/>
      </c>
      <c r="G1673" s="16">
        <f>LEFT(B1673,FIND(" ",B1673,1)-1)</f>
        <v/>
      </c>
      <c r="H1673" s="16">
        <f>TRIM(RIGHT(B1673,LEN(B1673)-FIND(" ",B1673,1)))</f>
        <v/>
      </c>
      <c r="I1673" s="16">
        <f>_xlfn.XLOOKUP(Table2[[#This Row],[Type]],Table5[Type],Table5[Type2])</f>
        <v/>
      </c>
      <c r="J1673" s="16">
        <f>_xlfn.XLOOKUP(Table2[[#This Row],[Sym]],Zones!$A$2:$A$21,Zones!$B$2:$B$21)</f>
        <v/>
      </c>
      <c r="K1673" s="21" t="n"/>
    </row>
    <row r="1674">
      <c r="A1674" s="24" t="n">
        <v>3957</v>
      </c>
      <c r="B1674" s="10" t="inlineStr">
        <is>
          <t>TĐ Nậm Mít Luông</t>
        </is>
      </c>
      <c r="C1674" s="10" t="inlineStr">
        <is>
          <t>NM TĐN Nậm Mít Luông</t>
        </is>
      </c>
      <c r="D1674" s="3" t="inlineStr">
        <is>
          <t>B29</t>
        </is>
      </c>
      <c r="E1674" s="9" t="inlineStr">
        <is>
          <t>A29.57</t>
        </is>
      </c>
      <c r="F1674" s="15">
        <f>IF(E1674&lt;&gt;"","Đã VH","Quy hoạch điện VIII")</f>
        <v/>
      </c>
      <c r="G1674" s="16">
        <f>LEFT(B1674,FIND(" ",B1674,1)-1)</f>
        <v/>
      </c>
      <c r="H1674" s="16">
        <f>TRIM(RIGHT(B1674,LEN(B1674)-FIND(" ",B1674,1)))</f>
        <v/>
      </c>
      <c r="I1674" s="16">
        <f>_xlfn.XLOOKUP(Table2[[#This Row],[Type]],Table5[Type],Table5[Type2])</f>
        <v/>
      </c>
      <c r="J1674" s="16">
        <f>_xlfn.XLOOKUP(Table2[[#This Row],[Sym]],Zones!$A$2:$A$21,Zones!$B$2:$B$21)</f>
        <v/>
      </c>
      <c r="K1674" s="21" t="n"/>
    </row>
    <row r="1675">
      <c r="A1675" s="24" t="n">
        <v>3958</v>
      </c>
      <c r="B1675" s="10" t="inlineStr">
        <is>
          <t>TĐ Pa Hạ</t>
        </is>
      </c>
      <c r="C1675" s="10" t="inlineStr">
        <is>
          <t>NM TĐN Pa Hạ</t>
        </is>
      </c>
      <c r="D1675" s="3" t="inlineStr">
        <is>
          <t>B29</t>
        </is>
      </c>
      <c r="E1675" s="9" t="inlineStr">
        <is>
          <t>A29.34</t>
        </is>
      </c>
      <c r="F1675" s="15">
        <f>IF(E1675&lt;&gt;"","Đã VH","Quy hoạch điện VIII")</f>
        <v/>
      </c>
      <c r="G1675" s="16">
        <f>LEFT(B1675,FIND(" ",B1675,1)-1)</f>
        <v/>
      </c>
      <c r="H1675" s="16">
        <f>TRIM(RIGHT(B1675,LEN(B1675)-FIND(" ",B1675,1)))</f>
        <v/>
      </c>
      <c r="I1675" s="16">
        <f>_xlfn.XLOOKUP(Table2[[#This Row],[Type]],Table5[Type],Table5[Type2])</f>
        <v/>
      </c>
      <c r="J1675" s="16">
        <f>_xlfn.XLOOKUP(Table2[[#This Row],[Sym]],Zones!$A$2:$A$21,Zones!$B$2:$B$21)</f>
        <v/>
      </c>
      <c r="K1675" s="21" t="n"/>
    </row>
    <row r="1676">
      <c r="A1676" s="24" t="n">
        <v>3959</v>
      </c>
      <c r="B1676" s="10" t="inlineStr">
        <is>
          <t>TĐ Nậm Cuổi</t>
        </is>
      </c>
      <c r="C1676" s="10" t="inlineStr">
        <is>
          <t>NM TĐN Nậm Cuổi</t>
        </is>
      </c>
      <c r="D1676" s="3" t="inlineStr">
        <is>
          <t>B29</t>
        </is>
      </c>
      <c r="E1676" s="9" t="inlineStr">
        <is>
          <t>A29.42</t>
        </is>
      </c>
      <c r="F1676" s="15">
        <f>IF(E1676&lt;&gt;"","Đã VH","Quy hoạch điện VIII")</f>
        <v/>
      </c>
      <c r="G1676" s="16">
        <f>LEFT(B1676,FIND(" ",B1676,1)-1)</f>
        <v/>
      </c>
      <c r="H1676" s="16">
        <f>TRIM(RIGHT(B1676,LEN(B1676)-FIND(" ",B1676,1)))</f>
        <v/>
      </c>
      <c r="I1676" s="16">
        <f>_xlfn.XLOOKUP(Table2[[#This Row],[Type]],Table5[Type],Table5[Type2])</f>
        <v/>
      </c>
      <c r="J1676" s="16">
        <f>_xlfn.XLOOKUP(Table2[[#This Row],[Sym]],Zones!$A$2:$A$21,Zones!$B$2:$B$21)</f>
        <v/>
      </c>
      <c r="K1676" s="21" t="n"/>
    </row>
    <row r="1677">
      <c r="A1677" s="24" t="n">
        <v>3960</v>
      </c>
      <c r="B1677" s="10" t="inlineStr">
        <is>
          <t>TĐ Phiêng Lúc</t>
        </is>
      </c>
      <c r="C1677" s="10" t="inlineStr">
        <is>
          <t>NM TĐN Phiêng Lúc</t>
        </is>
      </c>
      <c r="D1677" s="3" t="inlineStr">
        <is>
          <t>B29</t>
        </is>
      </c>
      <c r="E1677" s="9" t="inlineStr">
        <is>
          <t>A29.36</t>
        </is>
      </c>
      <c r="F1677" s="15">
        <f>IF(E1677&lt;&gt;"","Đã VH","Quy hoạch điện VIII")</f>
        <v/>
      </c>
      <c r="G1677" s="16">
        <f>LEFT(B1677,FIND(" ",B1677,1)-1)</f>
        <v/>
      </c>
      <c r="H1677" s="16">
        <f>TRIM(RIGHT(B1677,LEN(B1677)-FIND(" ",B1677,1)))</f>
        <v/>
      </c>
      <c r="I1677" s="16">
        <f>_xlfn.XLOOKUP(Table2[[#This Row],[Type]],Table5[Type],Table5[Type2])</f>
        <v/>
      </c>
      <c r="J1677" s="16">
        <f>_xlfn.XLOOKUP(Table2[[#This Row],[Sym]],Zones!$A$2:$A$21,Zones!$B$2:$B$21)</f>
        <v/>
      </c>
      <c r="K1677" s="21" t="n"/>
    </row>
    <row r="1678">
      <c r="A1678" s="24" t="n">
        <v>3961</v>
      </c>
      <c r="B1678" s="10" t="inlineStr">
        <is>
          <t>TĐ Nậm Lụm 2</t>
        </is>
      </c>
      <c r="C1678" s="10" t="inlineStr">
        <is>
          <t>NM TĐN Nậm Lụm 2</t>
        </is>
      </c>
      <c r="D1678" s="3" t="inlineStr">
        <is>
          <t>B29</t>
        </is>
      </c>
      <c r="E1678" s="9" t="inlineStr">
        <is>
          <t>A29.39</t>
        </is>
      </c>
      <c r="F1678" s="15">
        <f>IF(E1678&lt;&gt;"","Đã VH","Quy hoạch điện VIII")</f>
        <v/>
      </c>
      <c r="G1678" s="16">
        <f>LEFT(B1678,FIND(" ",B1678,1)-1)</f>
        <v/>
      </c>
      <c r="H1678" s="16">
        <f>TRIM(RIGHT(B1678,LEN(B1678)-FIND(" ",B1678,1)))</f>
        <v/>
      </c>
      <c r="I1678" s="16">
        <f>_xlfn.XLOOKUP(Table2[[#This Row],[Type]],Table5[Type],Table5[Type2])</f>
        <v/>
      </c>
      <c r="J1678" s="16">
        <f>_xlfn.XLOOKUP(Table2[[#This Row],[Sym]],Zones!$A$2:$A$21,Zones!$B$2:$B$21)</f>
        <v/>
      </c>
      <c r="K1678" s="21" t="n"/>
    </row>
    <row r="1679">
      <c r="A1679" s="24" t="n">
        <v>3962</v>
      </c>
      <c r="B1679" s="10" t="inlineStr">
        <is>
          <t>TĐ Chu Va 2</t>
        </is>
      </c>
      <c r="C1679" s="10" t="inlineStr">
        <is>
          <t>NM TĐN Chu Va 2</t>
        </is>
      </c>
      <c r="D1679" s="3" t="inlineStr">
        <is>
          <t>B29</t>
        </is>
      </c>
      <c r="E1679" s="9" t="inlineStr">
        <is>
          <t>A29.38</t>
        </is>
      </c>
      <c r="F1679" s="15">
        <f>IF(E1679&lt;&gt;"","Đã VH","Quy hoạch điện VIII")</f>
        <v/>
      </c>
      <c r="G1679" s="16">
        <f>LEFT(B1679,FIND(" ",B1679,1)-1)</f>
        <v/>
      </c>
      <c r="H1679" s="16">
        <f>TRIM(RIGHT(B1679,LEN(B1679)-FIND(" ",B1679,1)))</f>
        <v/>
      </c>
      <c r="I1679" s="16">
        <f>_xlfn.XLOOKUP(Table2[[#This Row],[Type]],Table5[Type],Table5[Type2])</f>
        <v/>
      </c>
      <c r="J1679" s="16">
        <f>_xlfn.XLOOKUP(Table2[[#This Row],[Sym]],Zones!$A$2:$A$21,Zones!$B$2:$B$21)</f>
        <v/>
      </c>
      <c r="K1679" s="21" t="n"/>
    </row>
    <row r="1680">
      <c r="A1680" s="24" t="n">
        <v>3963</v>
      </c>
      <c r="B1680" s="10" t="inlineStr">
        <is>
          <t>TĐ Nậm Pì</t>
        </is>
      </c>
      <c r="C1680" s="10" t="inlineStr">
        <is>
          <t>NM TĐN Nậm Pì</t>
        </is>
      </c>
      <c r="D1680" s="3" t="inlineStr">
        <is>
          <t>B29</t>
        </is>
      </c>
      <c r="E1680" s="9" t="inlineStr">
        <is>
          <t>A29.46</t>
        </is>
      </c>
      <c r="F1680" s="15">
        <f>IF(E1680&lt;&gt;"","Đã VH","Quy hoạch điện VIII")</f>
        <v/>
      </c>
      <c r="G1680" s="16">
        <f>LEFT(B1680,FIND(" ",B1680,1)-1)</f>
        <v/>
      </c>
      <c r="H1680" s="16">
        <f>TRIM(RIGHT(B1680,LEN(B1680)-FIND(" ",B1680,1)))</f>
        <v/>
      </c>
      <c r="I1680" s="16">
        <f>_xlfn.XLOOKUP(Table2[[#This Row],[Type]],Table5[Type],Table5[Type2])</f>
        <v/>
      </c>
      <c r="J1680" s="16">
        <f>_xlfn.XLOOKUP(Table2[[#This Row],[Sym]],Zones!$A$2:$A$21,Zones!$B$2:$B$21)</f>
        <v/>
      </c>
      <c r="K1680" s="21" t="n"/>
    </row>
    <row r="1681">
      <c r="A1681" s="24" t="n">
        <v>3964</v>
      </c>
      <c r="B1681" s="10" t="inlineStr">
        <is>
          <t>TĐ Nậm Be 2</t>
        </is>
      </c>
      <c r="C1681" s="10" t="inlineStr">
        <is>
          <t>NM TĐN Nậm Be 2</t>
        </is>
      </c>
      <c r="D1681" s="3" t="inlineStr">
        <is>
          <t>B29</t>
        </is>
      </c>
      <c r="E1681" s="9" t="inlineStr">
        <is>
          <t>A29.52</t>
        </is>
      </c>
      <c r="F1681" s="15">
        <f>IF(E1681&lt;&gt;"","Đã VH","Quy hoạch điện VIII")</f>
        <v/>
      </c>
      <c r="G1681" s="16">
        <f>LEFT(B1681,FIND(" ",B1681,1)-1)</f>
        <v/>
      </c>
      <c r="H1681" s="16">
        <f>TRIM(RIGHT(B1681,LEN(B1681)-FIND(" ",B1681,1)))</f>
        <v/>
      </c>
      <c r="I1681" s="16">
        <f>_xlfn.XLOOKUP(Table2[[#This Row],[Type]],Table5[Type],Table5[Type2])</f>
        <v/>
      </c>
      <c r="J1681" s="16">
        <f>_xlfn.XLOOKUP(Table2[[#This Row],[Sym]],Zones!$A$2:$A$21,Zones!$B$2:$B$21)</f>
        <v/>
      </c>
      <c r="K1681" s="21" t="n"/>
    </row>
    <row r="1682">
      <c r="A1682" s="24" t="n">
        <v>3965</v>
      </c>
      <c r="B1682" s="10" t="inlineStr">
        <is>
          <t>TĐ Nậm Bụm 1A</t>
        </is>
      </c>
      <c r="C1682" s="10" t="inlineStr">
        <is>
          <t>NM TĐN Nậm Bụm 1A</t>
        </is>
      </c>
      <c r="D1682" s="3" t="inlineStr">
        <is>
          <t>B29</t>
        </is>
      </c>
      <c r="E1682" s="9" t="inlineStr">
        <is>
          <t>A29.58</t>
        </is>
      </c>
      <c r="F1682" s="15">
        <f>IF(E1682&lt;&gt;"","Đã VH","Quy hoạch điện VIII")</f>
        <v/>
      </c>
      <c r="G1682" s="16">
        <f>LEFT(B1682,FIND(" ",B1682,1)-1)</f>
        <v/>
      </c>
      <c r="H1682" s="16">
        <f>TRIM(RIGHT(B1682,LEN(B1682)-FIND(" ",B1682,1)))</f>
        <v/>
      </c>
      <c r="I1682" s="16">
        <f>_xlfn.XLOOKUP(Table2[[#This Row],[Type]],Table5[Type],Table5[Type2])</f>
        <v/>
      </c>
      <c r="J1682" s="16">
        <f>_xlfn.XLOOKUP(Table2[[#This Row],[Sym]],Zones!$A$2:$A$21,Zones!$B$2:$B$21)</f>
        <v/>
      </c>
      <c r="K1682" s="21" t="n"/>
    </row>
    <row r="1683">
      <c r="A1683" s="24" t="n">
        <v>3966</v>
      </c>
      <c r="B1683" s="10" t="inlineStr">
        <is>
          <t>TĐ Nậm Lằn</t>
        </is>
      </c>
      <c r="C1683" s="10" t="inlineStr">
        <is>
          <t>NM TĐN Nậm Lằn</t>
        </is>
      </c>
      <c r="D1683" s="3" t="inlineStr">
        <is>
          <t>B29</t>
        </is>
      </c>
      <c r="E1683" s="9" t="inlineStr">
        <is>
          <t>A29.43</t>
        </is>
      </c>
      <c r="F1683" s="15">
        <f>IF(E1683&lt;&gt;"","Đã VH","Quy hoạch điện VIII")</f>
        <v/>
      </c>
      <c r="G1683" s="16">
        <f>LEFT(B1683,FIND(" ",B1683,1)-1)</f>
        <v/>
      </c>
      <c r="H1683" s="16">
        <f>TRIM(RIGHT(B1683,LEN(B1683)-FIND(" ",B1683,1)))</f>
        <v/>
      </c>
      <c r="I1683" s="16">
        <f>_xlfn.XLOOKUP(Table2[[#This Row],[Type]],Table5[Type],Table5[Type2])</f>
        <v/>
      </c>
      <c r="J1683" s="16">
        <f>_xlfn.XLOOKUP(Table2[[#This Row],[Sym]],Zones!$A$2:$A$21,Zones!$B$2:$B$21)</f>
        <v/>
      </c>
      <c r="K1683" s="21" t="n"/>
    </row>
    <row r="1684">
      <c r="A1684" s="24" t="n">
        <v>3967</v>
      </c>
      <c r="B1684" s="10" t="inlineStr">
        <is>
          <t>TĐ Nậm Củm 4</t>
        </is>
      </c>
      <c r="C1684" s="10" t="inlineStr">
        <is>
          <t>NM TĐN Nậm Củm 4</t>
        </is>
      </c>
      <c r="D1684" s="3" t="inlineStr">
        <is>
          <t>B29</t>
        </is>
      </c>
      <c r="E1684" s="9" t="inlineStr">
        <is>
          <t>A29.50</t>
        </is>
      </c>
      <c r="F1684" s="15">
        <f>IF(E1684&lt;&gt;"","Đã VH","Quy hoạch điện VIII")</f>
        <v/>
      </c>
      <c r="G1684" s="16">
        <f>LEFT(B1684,FIND(" ",B1684,1)-1)</f>
        <v/>
      </c>
      <c r="H1684" s="16">
        <f>TRIM(RIGHT(B1684,LEN(B1684)-FIND(" ",B1684,1)))</f>
        <v/>
      </c>
      <c r="I1684" s="16">
        <f>_xlfn.XLOOKUP(Table2[[#This Row],[Type]],Table5[Type],Table5[Type2])</f>
        <v/>
      </c>
      <c r="J1684" s="16">
        <f>_xlfn.XLOOKUP(Table2[[#This Row],[Sym]],Zones!$A$2:$A$21,Zones!$B$2:$B$21)</f>
        <v/>
      </c>
      <c r="K1684" s="21" t="n"/>
    </row>
    <row r="1685">
      <c r="A1685" s="24" t="n">
        <v>3968</v>
      </c>
      <c r="B1685" s="10" t="inlineStr">
        <is>
          <t>TĐ Nậm Củm 3</t>
        </is>
      </c>
      <c r="C1685" s="10" t="inlineStr">
        <is>
          <t>NM TĐN Nậm Củm 3</t>
        </is>
      </c>
      <c r="D1685" s="3" t="inlineStr">
        <is>
          <t>B29</t>
        </is>
      </c>
      <c r="E1685" s="9" t="inlineStr">
        <is>
          <t>A29.45</t>
        </is>
      </c>
      <c r="F1685" s="15">
        <f>IF(E1685&lt;&gt;"","Đã VH","Quy hoạch điện VIII")</f>
        <v/>
      </c>
      <c r="G1685" s="16">
        <f>LEFT(B1685,FIND(" ",B1685,1)-1)</f>
        <v/>
      </c>
      <c r="H1685" s="16">
        <f>TRIM(RIGHT(B1685,LEN(B1685)-FIND(" ",B1685,1)))</f>
        <v/>
      </c>
      <c r="I1685" s="16">
        <f>_xlfn.XLOOKUP(Table2[[#This Row],[Type]],Table5[Type],Table5[Type2])</f>
        <v/>
      </c>
      <c r="J1685" s="16">
        <f>_xlfn.XLOOKUP(Table2[[#This Row],[Sym]],Zones!$A$2:$A$21,Zones!$B$2:$B$21)</f>
        <v/>
      </c>
      <c r="K1685" s="21" t="n"/>
    </row>
    <row r="1686">
      <c r="A1686" s="24" t="n">
        <v>3969</v>
      </c>
      <c r="B1686" s="10" t="inlineStr">
        <is>
          <t>TĐ Nậm Cấu 2</t>
        </is>
      </c>
      <c r="C1686" s="10" t="inlineStr">
        <is>
          <t>NM TĐN Nậm Cấu 2</t>
        </is>
      </c>
      <c r="D1686" s="3" t="inlineStr">
        <is>
          <t>B29</t>
        </is>
      </c>
      <c r="E1686" s="9" t="inlineStr">
        <is>
          <t>A29.51</t>
        </is>
      </c>
      <c r="F1686" s="15">
        <f>IF(E1686&lt;&gt;"","Đã VH","Quy hoạch điện VIII")</f>
        <v/>
      </c>
      <c r="G1686" s="16">
        <f>LEFT(B1686,FIND(" ",B1686,1)-1)</f>
        <v/>
      </c>
      <c r="H1686" s="16">
        <f>TRIM(RIGHT(B1686,LEN(B1686)-FIND(" ",B1686,1)))</f>
        <v/>
      </c>
      <c r="I1686" s="16">
        <f>_xlfn.XLOOKUP(Table2[[#This Row],[Type]],Table5[Type],Table5[Type2])</f>
        <v/>
      </c>
      <c r="J1686" s="16">
        <f>_xlfn.XLOOKUP(Table2[[#This Row],[Sym]],Zones!$A$2:$A$21,Zones!$B$2:$B$21)</f>
        <v/>
      </c>
      <c r="K1686" s="21" t="n"/>
    </row>
    <row r="1687">
      <c r="A1687" s="24" t="n">
        <v>3970</v>
      </c>
      <c r="B1687" s="10" t="inlineStr">
        <is>
          <t>TĐ Nậm Xí Lùng 2</t>
        </is>
      </c>
      <c r="C1687" s="10" t="inlineStr">
        <is>
          <t>NM TĐN Nậm Xí Lùng 2</t>
        </is>
      </c>
      <c r="D1687" s="3" t="inlineStr">
        <is>
          <t>B29</t>
        </is>
      </c>
      <c r="E1687" s="9" t="inlineStr">
        <is>
          <t>A29.49</t>
        </is>
      </c>
      <c r="F1687" s="15">
        <f>IF(E1687&lt;&gt;"","Đã VH","Quy hoạch điện VIII")</f>
        <v/>
      </c>
      <c r="G1687" s="16">
        <f>LEFT(B1687,FIND(" ",B1687,1)-1)</f>
        <v/>
      </c>
      <c r="H1687" s="16">
        <f>TRIM(RIGHT(B1687,LEN(B1687)-FIND(" ",B1687,1)))</f>
        <v/>
      </c>
      <c r="I1687" s="16">
        <f>_xlfn.XLOOKUP(Table2[[#This Row],[Type]],Table5[Type],Table5[Type2])</f>
        <v/>
      </c>
      <c r="J1687" s="16">
        <f>_xlfn.XLOOKUP(Table2[[#This Row],[Sym]],Zones!$A$2:$A$21,Zones!$B$2:$B$21)</f>
        <v/>
      </c>
      <c r="K1687" s="21" t="n"/>
    </row>
    <row r="1688">
      <c r="A1688" s="24" t="n">
        <v>3971</v>
      </c>
      <c r="B1688" s="10" t="inlineStr">
        <is>
          <t>TĐ Nậm Pảng 2</t>
        </is>
      </c>
      <c r="C1688" s="10" t="inlineStr">
        <is>
          <t>NM TĐN Nậm Pảng 2</t>
        </is>
      </c>
      <c r="D1688" s="3" t="inlineStr">
        <is>
          <t>B29</t>
        </is>
      </c>
      <c r="E1688" s="9" t="inlineStr">
        <is>
          <t>A29.54</t>
        </is>
      </c>
      <c r="F1688" s="15">
        <f>IF(E1688&lt;&gt;"","Đã VH","Quy hoạch điện VIII")</f>
        <v/>
      </c>
      <c r="G1688" s="16">
        <f>LEFT(B1688,FIND(" ",B1688,1)-1)</f>
        <v/>
      </c>
      <c r="H1688" s="16">
        <f>TRIM(RIGHT(B1688,LEN(B1688)-FIND(" ",B1688,1)))</f>
        <v/>
      </c>
      <c r="I1688" s="16">
        <f>_xlfn.XLOOKUP(Table2[[#This Row],[Type]],Table5[Type],Table5[Type2])</f>
        <v/>
      </c>
      <c r="J1688" s="16">
        <f>_xlfn.XLOOKUP(Table2[[#This Row],[Sym]],Zones!$A$2:$A$21,Zones!$B$2:$B$21)</f>
        <v/>
      </c>
      <c r="K1688" s="21" t="n"/>
    </row>
    <row r="1689">
      <c r="A1689" s="24" t="n">
        <v>3972</v>
      </c>
      <c r="B1689" s="10" t="inlineStr">
        <is>
          <t>TĐ Van Hồ</t>
        </is>
      </c>
      <c r="C1689" s="10" t="inlineStr">
        <is>
          <t>NM TĐN Van Hồ</t>
        </is>
      </c>
      <c r="D1689" s="3" t="inlineStr">
        <is>
          <t>B29</t>
        </is>
      </c>
      <c r="E1689" s="9" t="inlineStr">
        <is>
          <t>A29.41</t>
        </is>
      </c>
      <c r="F1689" s="15">
        <f>IF(E1689&lt;&gt;"","Đã VH","Quy hoạch điện VIII")</f>
        <v/>
      </c>
      <c r="G1689" s="16">
        <f>LEFT(B1689,FIND(" ",B1689,1)-1)</f>
        <v/>
      </c>
      <c r="H1689" s="16">
        <f>TRIM(RIGHT(B1689,LEN(B1689)-FIND(" ",B1689,1)))</f>
        <v/>
      </c>
      <c r="I1689" s="16">
        <f>_xlfn.XLOOKUP(Table2[[#This Row],[Type]],Table5[Type],Table5[Type2])</f>
        <v/>
      </c>
      <c r="J1689" s="16">
        <f>_xlfn.XLOOKUP(Table2[[#This Row],[Sym]],Zones!$A$2:$A$21,Zones!$B$2:$B$21)</f>
        <v/>
      </c>
      <c r="K1689" s="21" t="n"/>
    </row>
    <row r="1690">
      <c r="A1690" s="24" t="n">
        <v>3973</v>
      </c>
      <c r="B1690" s="10" t="inlineStr">
        <is>
          <t>TĐ Nậm Củm 2</t>
        </is>
      </c>
      <c r="C1690" s="10" t="inlineStr">
        <is>
          <t>NM TĐN Nậm Củm 2</t>
        </is>
      </c>
      <c r="D1690" s="3" t="inlineStr">
        <is>
          <t>B29</t>
        </is>
      </c>
      <c r="E1690" s="9" t="inlineStr">
        <is>
          <t>A29.47</t>
        </is>
      </c>
      <c r="F1690" s="15">
        <f>IF(E1690&lt;&gt;"","Đã VH","Quy hoạch điện VIII")</f>
        <v/>
      </c>
      <c r="G1690" s="16">
        <f>LEFT(B1690,FIND(" ",B1690,1)-1)</f>
        <v/>
      </c>
      <c r="H1690" s="16">
        <f>TRIM(RIGHT(B1690,LEN(B1690)-FIND(" ",B1690,1)))</f>
        <v/>
      </c>
      <c r="I1690" s="16">
        <f>_xlfn.XLOOKUP(Table2[[#This Row],[Type]],Table5[Type],Table5[Type2])</f>
        <v/>
      </c>
      <c r="J1690" s="16">
        <f>_xlfn.XLOOKUP(Table2[[#This Row],[Sym]],Zones!$A$2:$A$21,Zones!$B$2:$B$21)</f>
        <v/>
      </c>
      <c r="K1690" s="21" t="n"/>
    </row>
    <row r="1691">
      <c r="A1691" s="24" t="n">
        <v>3974</v>
      </c>
      <c r="B1691" s="10" t="inlineStr">
        <is>
          <t>T110 Tam Đường</t>
        </is>
      </c>
      <c r="C1691" s="10" t="inlineStr">
        <is>
          <t>TBA 110kV Tam Đường</t>
        </is>
      </c>
      <c r="D1691" s="3" t="inlineStr">
        <is>
          <t>B29</t>
        </is>
      </c>
      <c r="E1691" s="9" t="n"/>
      <c r="F1691" s="15">
        <f>IF(E1691&lt;&gt;"","Đã VH","Quy hoạch điện VIII")</f>
        <v/>
      </c>
      <c r="G1691" s="16">
        <f>LEFT(B1691,FIND(" ",B1691,1)-1)</f>
        <v/>
      </c>
      <c r="H1691" s="16">
        <f>TRIM(RIGHT(B1691,LEN(B1691)-FIND(" ",B1691,1)))</f>
        <v/>
      </c>
      <c r="I1691" s="16">
        <f>_xlfn.XLOOKUP(Table2[[#This Row],[Type]],Table5[Type],Table5[Type2])</f>
        <v/>
      </c>
      <c r="J1691" s="16">
        <f>_xlfn.XLOOKUP(Table2[[#This Row],[Sym]],Zones!$A$2:$A$21,Zones!$B$2:$B$21)</f>
        <v/>
      </c>
      <c r="K1691" s="21" t="n"/>
    </row>
    <row r="1692">
      <c r="A1692" s="24" t="n">
        <v>3975</v>
      </c>
      <c r="B1692" s="10" t="inlineStr">
        <is>
          <t>T110 Tân Uyên</t>
        </is>
      </c>
      <c r="C1692" s="10" t="inlineStr">
        <is>
          <t>TBA 110kV Tân Uyên</t>
        </is>
      </c>
      <c r="D1692" s="3" t="inlineStr">
        <is>
          <t>B29</t>
        </is>
      </c>
      <c r="E1692" s="9" t="n"/>
      <c r="F1692" s="15">
        <f>IF(E1692&lt;&gt;"","Đã VH","Quy hoạch điện VIII")</f>
        <v/>
      </c>
      <c r="G1692" s="16">
        <f>LEFT(B1692,FIND(" ",B1692,1)-1)</f>
        <v/>
      </c>
      <c r="H1692" s="16">
        <f>TRIM(RIGHT(B1692,LEN(B1692)-FIND(" ",B1692,1)))</f>
        <v/>
      </c>
      <c r="I1692" s="16">
        <f>_xlfn.XLOOKUP(Table2[[#This Row],[Type]],Table5[Type],Table5[Type2])</f>
        <v/>
      </c>
      <c r="J1692" s="16">
        <f>_xlfn.XLOOKUP(Table2[[#This Row],[Sym]],Zones!$A$2:$A$21,Zones!$B$2:$B$21)</f>
        <v/>
      </c>
      <c r="K1692" s="21" t="n"/>
    </row>
    <row r="1693">
      <c r="A1693" s="24" t="n">
        <v>3976</v>
      </c>
      <c r="B1693" s="10" t="inlineStr">
        <is>
          <t>T110 Tam Đường 2</t>
        </is>
      </c>
      <c r="C1693" s="10" t="inlineStr">
        <is>
          <t>TBA 110kV Tam Đường 2</t>
        </is>
      </c>
      <c r="D1693" s="3" t="inlineStr">
        <is>
          <t>B29</t>
        </is>
      </c>
      <c r="E1693" s="9" t="n"/>
      <c r="F1693" s="15">
        <f>IF(E1693&lt;&gt;"","Đã VH","Quy hoạch điện VIII")</f>
        <v/>
      </c>
      <c r="G1693" s="16">
        <f>LEFT(B1693,FIND(" ",B1693,1)-1)</f>
        <v/>
      </c>
      <c r="H1693" s="16">
        <f>TRIM(RIGHT(B1693,LEN(B1693)-FIND(" ",B1693,1)))</f>
        <v/>
      </c>
      <c r="I1693" s="16">
        <f>_xlfn.XLOOKUP(Table2[[#This Row],[Type]],Table5[Type],Table5[Type2])</f>
        <v/>
      </c>
      <c r="J1693" s="16">
        <f>_xlfn.XLOOKUP(Table2[[#This Row],[Sym]],Zones!$A$2:$A$21,Zones!$B$2:$B$21)</f>
        <v/>
      </c>
      <c r="K1693" s="21" t="n"/>
    </row>
    <row r="1694">
      <c r="A1694" s="24" t="n">
        <v>3977</v>
      </c>
      <c r="B1694" s="10" t="inlineStr">
        <is>
          <t>TĐ Hua Be</t>
        </is>
      </c>
      <c r="C1694" s="10" t="inlineStr">
        <is>
          <t>NM TĐN Hua Be</t>
        </is>
      </c>
      <c r="D1694" s="3" t="inlineStr">
        <is>
          <t>B29</t>
        </is>
      </c>
      <c r="E1694" s="9" t="n"/>
      <c r="F1694" s="15">
        <f>IF(E1694&lt;&gt;"","Đã VH","Quy hoạch điện VIII")</f>
        <v/>
      </c>
      <c r="G1694" s="16">
        <f>LEFT(B1694,FIND(" ",B1694,1)-1)</f>
        <v/>
      </c>
      <c r="H1694" s="16">
        <f>TRIM(RIGHT(B1694,LEN(B1694)-FIND(" ",B1694,1)))</f>
        <v/>
      </c>
      <c r="I1694" s="16">
        <f>_xlfn.XLOOKUP(Table2[[#This Row],[Type]],Table5[Type],Table5[Type2])</f>
        <v/>
      </c>
      <c r="J1694" s="16">
        <f>_xlfn.XLOOKUP(Table2[[#This Row],[Sym]],Zones!$A$2:$A$21,Zones!$B$2:$B$21)</f>
        <v/>
      </c>
      <c r="K1694" s="21" t="n"/>
    </row>
    <row r="1695">
      <c r="A1695" s="24" t="n">
        <v>3978</v>
      </c>
      <c r="B1695" s="10" t="inlineStr">
        <is>
          <t>TĐ Phiêng Khon</t>
        </is>
      </c>
      <c r="C1695" s="10" t="inlineStr">
        <is>
          <t>NM TĐN Phiêng Khon</t>
        </is>
      </c>
      <c r="D1695" s="3" t="inlineStr">
        <is>
          <t>B29</t>
        </is>
      </c>
      <c r="E1695" s="9" t="n"/>
      <c r="F1695" s="15">
        <f>IF(E1695&lt;&gt;"","Đã VH","Quy hoạch điện VIII")</f>
        <v/>
      </c>
      <c r="G1695" s="16">
        <f>LEFT(B1695,FIND(" ",B1695,1)-1)</f>
        <v/>
      </c>
      <c r="H1695" s="16">
        <f>TRIM(RIGHT(B1695,LEN(B1695)-FIND(" ",B1695,1)))</f>
        <v/>
      </c>
      <c r="I1695" s="16">
        <f>_xlfn.XLOOKUP(Table2[[#This Row],[Type]],Table5[Type],Table5[Type2])</f>
        <v/>
      </c>
      <c r="J1695" s="16">
        <f>_xlfn.XLOOKUP(Table2[[#This Row],[Sym]],Zones!$A$2:$A$21,Zones!$B$2:$B$21)</f>
        <v/>
      </c>
      <c r="K1695" s="21" t="n"/>
    </row>
    <row r="1696">
      <c r="A1696" s="24" t="n">
        <v>3979</v>
      </c>
      <c r="B1696" s="10" t="inlineStr">
        <is>
          <t>TĐ Huổi Văn</t>
        </is>
      </c>
      <c r="C1696" s="10" t="inlineStr">
        <is>
          <t>NM TĐN Huổi Văn</t>
        </is>
      </c>
      <c r="D1696" s="3" t="inlineStr">
        <is>
          <t>B29</t>
        </is>
      </c>
      <c r="E1696" s="9" t="inlineStr">
        <is>
          <t>A29.59</t>
        </is>
      </c>
      <c r="F1696" s="15">
        <f>IF(E1696&lt;&gt;"","Đã VH","Quy hoạch điện VIII")</f>
        <v/>
      </c>
      <c r="G1696" s="16">
        <f>LEFT(B1696,FIND(" ",B1696,1)-1)</f>
        <v/>
      </c>
      <c r="H1696" s="16">
        <f>TRIM(RIGHT(B1696,LEN(B1696)-FIND(" ",B1696,1)))</f>
        <v/>
      </c>
      <c r="I1696" s="16">
        <f>_xlfn.XLOOKUP(Table2[[#This Row],[Type]],Table5[Type],Table5[Type2])</f>
        <v/>
      </c>
      <c r="J1696" s="16">
        <f>_xlfn.XLOOKUP(Table2[[#This Row],[Sym]],Zones!$A$2:$A$21,Zones!$B$2:$B$21)</f>
        <v/>
      </c>
      <c r="K1696" s="21" t="n"/>
    </row>
    <row r="1697">
      <c r="A1697" s="24" t="n">
        <v>3980</v>
      </c>
      <c r="B1697" s="10" t="inlineStr">
        <is>
          <t>TĐ Nậm Cuổi 1B</t>
        </is>
      </c>
      <c r="C1697" s="10" t="inlineStr">
        <is>
          <t>NM TĐN Nậm Cuổi 1B</t>
        </is>
      </c>
      <c r="D1697" s="3" t="inlineStr">
        <is>
          <t>B29</t>
        </is>
      </c>
      <c r="E1697" s="9" t="n"/>
      <c r="F1697" s="15">
        <f>IF(E1697&lt;&gt;"","Đã VH","Quy hoạch điện VIII")</f>
        <v/>
      </c>
      <c r="G1697" s="16">
        <f>LEFT(B1697,FIND(" ",B1697,1)-1)</f>
        <v/>
      </c>
      <c r="H1697" s="16">
        <f>TRIM(RIGHT(B1697,LEN(B1697)-FIND(" ",B1697,1)))</f>
        <v/>
      </c>
      <c r="I1697" s="16">
        <f>_xlfn.XLOOKUP(Table2[[#This Row],[Type]],Table5[Type],Table5[Type2])</f>
        <v/>
      </c>
      <c r="J1697" s="16">
        <f>_xlfn.XLOOKUP(Table2[[#This Row],[Sym]],Zones!$A$2:$A$21,Zones!$B$2:$B$21)</f>
        <v/>
      </c>
      <c r="K1697" s="21" t="n"/>
    </row>
    <row r="1698">
      <c r="A1698" s="24" t="n">
        <v>3981</v>
      </c>
      <c r="B1698" s="10" t="inlineStr">
        <is>
          <t>TĐ Nậm Cuổi 1</t>
        </is>
      </c>
      <c r="C1698" s="10" t="inlineStr">
        <is>
          <t>NM TĐN Nậm Cuổi 1</t>
        </is>
      </c>
      <c r="D1698" s="3" t="inlineStr">
        <is>
          <t>B29</t>
        </is>
      </c>
      <c r="E1698" s="9" t="n"/>
      <c r="F1698" s="15">
        <f>IF(E1698&lt;&gt;"","Đã VH","Quy hoạch điện VIII")</f>
        <v/>
      </c>
      <c r="G1698" s="16">
        <f>LEFT(B1698,FIND(" ",B1698,1)-1)</f>
        <v/>
      </c>
      <c r="H1698" s="16">
        <f>TRIM(RIGHT(B1698,LEN(B1698)-FIND(" ",B1698,1)))</f>
        <v/>
      </c>
      <c r="I1698" s="16">
        <f>_xlfn.XLOOKUP(Table2[[#This Row],[Type]],Table5[Type],Table5[Type2])</f>
        <v/>
      </c>
      <c r="J1698" s="16">
        <f>_xlfn.XLOOKUP(Table2[[#This Row],[Sym]],Zones!$A$2:$A$21,Zones!$B$2:$B$21)</f>
        <v/>
      </c>
      <c r="K1698" s="21" t="n"/>
    </row>
    <row r="1699">
      <c r="A1699" s="24" t="n">
        <v>3982</v>
      </c>
      <c r="B1699" s="10" t="inlineStr">
        <is>
          <t>TĐ Nậm Lụng</t>
        </is>
      </c>
      <c r="C1699" s="10" t="inlineStr">
        <is>
          <t>NM TĐN Nậm Lụng</t>
        </is>
      </c>
      <c r="D1699" s="3" t="inlineStr">
        <is>
          <t>B29</t>
        </is>
      </c>
      <c r="E1699" s="9" t="n"/>
      <c r="F1699" s="15">
        <f>IF(E1699&lt;&gt;"","Đã VH","Quy hoạch điện VIII")</f>
        <v/>
      </c>
      <c r="G1699" s="16">
        <f>LEFT(B1699,FIND(" ",B1699,1)-1)</f>
        <v/>
      </c>
      <c r="H1699" s="16">
        <f>TRIM(RIGHT(B1699,LEN(B1699)-FIND(" ",B1699,1)))</f>
        <v/>
      </c>
      <c r="I1699" s="16">
        <f>_xlfn.XLOOKUP(Table2[[#This Row],[Type]],Table5[Type],Table5[Type2])</f>
        <v/>
      </c>
      <c r="J1699" s="16">
        <f>_xlfn.XLOOKUP(Table2[[#This Row],[Sym]],Zones!$A$2:$A$21,Zones!$B$2:$B$21)</f>
        <v/>
      </c>
      <c r="K1699" s="21" t="n"/>
    </row>
    <row r="1700">
      <c r="A1700" s="24" t="n">
        <v>3983</v>
      </c>
      <c r="B1700" s="10" t="inlineStr">
        <is>
          <t>TĐ Nậm Xí Lùng 2A</t>
        </is>
      </c>
      <c r="C1700" s="10" t="inlineStr">
        <is>
          <t>NM TĐN Nậm Xí Lùng 2A</t>
        </is>
      </c>
      <c r="D1700" s="3" t="inlineStr">
        <is>
          <t>B29</t>
        </is>
      </c>
      <c r="E1700" s="9" t="inlineStr">
        <is>
          <t>A29.56</t>
        </is>
      </c>
      <c r="F1700" s="15">
        <f>IF(E1700&lt;&gt;"","Đã VH","Quy hoạch điện VIII")</f>
        <v/>
      </c>
      <c r="G1700" s="16">
        <f>LEFT(B1700,FIND(" ",B1700,1)-1)</f>
        <v/>
      </c>
      <c r="H1700" s="16">
        <f>TRIM(RIGHT(B1700,LEN(B1700)-FIND(" ",B1700,1)))</f>
        <v/>
      </c>
      <c r="I1700" s="16">
        <f>_xlfn.XLOOKUP(Table2[[#This Row],[Type]],Table5[Type],Table5[Type2])</f>
        <v/>
      </c>
      <c r="J1700" s="16">
        <f>_xlfn.XLOOKUP(Table2[[#This Row],[Sym]],Zones!$A$2:$A$21,Zones!$B$2:$B$21)</f>
        <v/>
      </c>
      <c r="K1700" s="21" t="n"/>
    </row>
    <row r="1701">
      <c r="A1701" s="24" t="n">
        <v>3984</v>
      </c>
      <c r="B1701" s="10" t="inlineStr">
        <is>
          <t>TĐ Vàng Ma Chải 2</t>
        </is>
      </c>
      <c r="C1701" s="10" t="inlineStr">
        <is>
          <t>NM TĐN Vàng Ma Chải 2</t>
        </is>
      </c>
      <c r="D1701" s="3" t="inlineStr">
        <is>
          <t>B29</t>
        </is>
      </c>
      <c r="E1701" s="9" t="inlineStr">
        <is>
          <t>A29.61</t>
        </is>
      </c>
      <c r="F1701" s="15">
        <f>IF(E1701&lt;&gt;"","Đã VH","Quy hoạch điện VIII")</f>
        <v/>
      </c>
      <c r="G1701" s="16">
        <f>LEFT(B1701,FIND(" ",B1701,1)-1)</f>
        <v/>
      </c>
      <c r="H1701" s="16">
        <f>TRIM(RIGHT(B1701,LEN(B1701)-FIND(" ",B1701,1)))</f>
        <v/>
      </c>
      <c r="I1701" s="16">
        <f>_xlfn.XLOOKUP(Table2[[#This Row],[Type]],Table5[Type],Table5[Type2])</f>
        <v/>
      </c>
      <c r="J1701" s="16">
        <f>_xlfn.XLOOKUP(Table2[[#This Row],[Sym]],Zones!$A$2:$A$21,Zones!$B$2:$B$21)</f>
        <v/>
      </c>
      <c r="K1701" s="21" t="n"/>
    </row>
    <row r="1702">
      <c r="A1702" s="24" t="n">
        <v>3985</v>
      </c>
      <c r="B1702" s="10" t="inlineStr">
        <is>
          <t>TĐ Vàng Ma Chải 3</t>
        </is>
      </c>
      <c r="C1702" s="10" t="inlineStr">
        <is>
          <t>NM TĐN Vàng Ma Chải 3</t>
        </is>
      </c>
      <c r="D1702" s="3" t="inlineStr">
        <is>
          <t>B29</t>
        </is>
      </c>
      <c r="E1702" s="9" t="n"/>
      <c r="F1702" s="15">
        <f>IF(E1702&lt;&gt;"","Đã VH","Quy hoạch điện VIII")</f>
        <v/>
      </c>
      <c r="G1702" s="16">
        <f>LEFT(B1702,FIND(" ",B1702,1)-1)</f>
        <v/>
      </c>
      <c r="H1702" s="16">
        <f>TRIM(RIGHT(B1702,LEN(B1702)-FIND(" ",B1702,1)))</f>
        <v/>
      </c>
      <c r="I1702" s="16">
        <f>_xlfn.XLOOKUP(Table2[[#This Row],[Type]],Table5[Type],Table5[Type2])</f>
        <v/>
      </c>
      <c r="J1702" s="16">
        <f>_xlfn.XLOOKUP(Table2[[#This Row],[Sym]],Zones!$A$2:$A$21,Zones!$B$2:$B$21)</f>
        <v/>
      </c>
      <c r="K1702" s="21" t="n"/>
    </row>
    <row r="1703">
      <c r="A1703" s="24" t="n">
        <v>3986</v>
      </c>
      <c r="B1703" s="10" t="inlineStr">
        <is>
          <t>TĐ Pa Tần 1</t>
        </is>
      </c>
      <c r="C1703" s="10" t="inlineStr">
        <is>
          <t>NM TĐN Pa Tần 1</t>
        </is>
      </c>
      <c r="D1703" s="3" t="inlineStr">
        <is>
          <t>B29</t>
        </is>
      </c>
      <c r="E1703" s="9" t="n"/>
      <c r="F1703" s="15">
        <f>IF(E1703&lt;&gt;"","Đã VH","Quy hoạch điện VIII")</f>
        <v/>
      </c>
      <c r="G1703" s="16">
        <f>LEFT(B1703,FIND(" ",B1703,1)-1)</f>
        <v/>
      </c>
      <c r="H1703" s="16">
        <f>TRIM(RIGHT(B1703,LEN(B1703)-FIND(" ",B1703,1)))</f>
        <v/>
      </c>
      <c r="I1703" s="16">
        <f>_xlfn.XLOOKUP(Table2[[#This Row],[Type]],Table5[Type],Table5[Type2])</f>
        <v/>
      </c>
      <c r="J1703" s="16">
        <f>_xlfn.XLOOKUP(Table2[[#This Row],[Sym]],Zones!$A$2:$A$21,Zones!$B$2:$B$21)</f>
        <v/>
      </c>
      <c r="K1703" s="21" t="n"/>
    </row>
    <row r="1704">
      <c r="A1704" s="24" t="n">
        <v>3987</v>
      </c>
      <c r="B1704" s="10" t="inlineStr">
        <is>
          <t>TĐ Tà Páo Hồ</t>
        </is>
      </c>
      <c r="C1704" s="10" t="inlineStr">
        <is>
          <t>NM TĐN Tà Páo Hồ</t>
        </is>
      </c>
      <c r="D1704" s="3" t="inlineStr">
        <is>
          <t>B29</t>
        </is>
      </c>
      <c r="E1704" s="9" t="n"/>
      <c r="F1704" s="15">
        <f>IF(E1704&lt;&gt;"","Đã VH","Quy hoạch điện VIII")</f>
        <v/>
      </c>
      <c r="G1704" s="16">
        <f>LEFT(B1704,FIND(" ",B1704,1)-1)</f>
        <v/>
      </c>
      <c r="H1704" s="16">
        <f>TRIM(RIGHT(B1704,LEN(B1704)-FIND(" ",B1704,1)))</f>
        <v/>
      </c>
      <c r="I1704" s="16">
        <f>_xlfn.XLOOKUP(Table2[[#This Row],[Type]],Table5[Type],Table5[Type2])</f>
        <v/>
      </c>
      <c r="J1704" s="16">
        <f>_xlfn.XLOOKUP(Table2[[#This Row],[Sym]],Zones!$A$2:$A$21,Zones!$B$2:$B$21)</f>
        <v/>
      </c>
      <c r="K1704" s="21" t="n"/>
    </row>
    <row r="1705">
      <c r="A1705" s="24" t="n">
        <v>3988</v>
      </c>
      <c r="B1705" s="10" t="inlineStr">
        <is>
          <t>TĐ Pa Vây Sử 1</t>
        </is>
      </c>
      <c r="C1705" s="10" t="inlineStr">
        <is>
          <t>NM TĐN Pa Vây Sử 1</t>
        </is>
      </c>
      <c r="D1705" s="3" t="inlineStr">
        <is>
          <t>B29</t>
        </is>
      </c>
      <c r="E1705" s="9" t="n"/>
      <c r="F1705" s="15">
        <f>IF(E1705&lt;&gt;"","Đã VH","Quy hoạch điện VIII")</f>
        <v/>
      </c>
      <c r="G1705" s="16">
        <f>LEFT(B1705,FIND(" ",B1705,1)-1)</f>
        <v/>
      </c>
      <c r="H1705" s="16">
        <f>TRIM(RIGHT(B1705,LEN(B1705)-FIND(" ",B1705,1)))</f>
        <v/>
      </c>
      <c r="I1705" s="16">
        <f>_xlfn.XLOOKUP(Table2[[#This Row],[Type]],Table5[Type],Table5[Type2])</f>
        <v/>
      </c>
      <c r="J1705" s="16">
        <f>_xlfn.XLOOKUP(Table2[[#This Row],[Sym]],Zones!$A$2:$A$21,Zones!$B$2:$B$21)</f>
        <v/>
      </c>
      <c r="K1705" s="21" t="n"/>
    </row>
    <row r="1706">
      <c r="A1706" s="24" t="n">
        <v>3989</v>
      </c>
      <c r="B1706" s="10" t="inlineStr">
        <is>
          <t>TĐ Pa Vây Sử 2</t>
        </is>
      </c>
      <c r="C1706" s="10" t="inlineStr">
        <is>
          <t>NM TĐN Pa Vây Sử 2</t>
        </is>
      </c>
      <c r="D1706" s="3" t="inlineStr">
        <is>
          <t>B29</t>
        </is>
      </c>
      <c r="E1706" s="9" t="n"/>
      <c r="F1706" s="15">
        <f>IF(E1706&lt;&gt;"","Đã VH","Quy hoạch điện VIII")</f>
        <v/>
      </c>
      <c r="G1706" s="16">
        <f>LEFT(B1706,FIND(" ",B1706,1)-1)</f>
        <v/>
      </c>
      <c r="H1706" s="16">
        <f>TRIM(RIGHT(B1706,LEN(B1706)-FIND(" ",B1706,1)))</f>
        <v/>
      </c>
      <c r="I1706" s="16">
        <f>_xlfn.XLOOKUP(Table2[[#This Row],[Type]],Table5[Type],Table5[Type2])</f>
        <v/>
      </c>
      <c r="J1706" s="16">
        <f>_xlfn.XLOOKUP(Table2[[#This Row],[Sym]],Zones!$A$2:$A$21,Zones!$B$2:$B$21)</f>
        <v/>
      </c>
      <c r="K1706" s="21" t="n"/>
    </row>
    <row r="1707">
      <c r="A1707" s="24" t="n">
        <v>3990</v>
      </c>
      <c r="B1707" s="10" t="inlineStr">
        <is>
          <t>TĐ Tà Páo Hồ 1A</t>
        </is>
      </c>
      <c r="C1707" s="10" t="inlineStr">
        <is>
          <t>NM TĐN Tà Páo Hồ 1A</t>
        </is>
      </c>
      <c r="D1707" s="3" t="inlineStr">
        <is>
          <t>B29</t>
        </is>
      </c>
      <c r="E1707" s="9" t="n"/>
      <c r="F1707" s="15">
        <f>IF(E1707&lt;&gt;"","Đã VH","Quy hoạch điện VIII")</f>
        <v/>
      </c>
      <c r="G1707" s="16">
        <f>LEFT(B1707,FIND(" ",B1707,1)-1)</f>
        <v/>
      </c>
      <c r="H1707" s="16">
        <f>TRIM(RIGHT(B1707,LEN(B1707)-FIND(" ",B1707,1)))</f>
        <v/>
      </c>
      <c r="I1707" s="16">
        <f>_xlfn.XLOOKUP(Table2[[#This Row],[Type]],Table5[Type],Table5[Type2])</f>
        <v/>
      </c>
      <c r="J1707" s="16">
        <f>_xlfn.XLOOKUP(Table2[[#This Row],[Sym]],Zones!$A$2:$A$21,Zones!$B$2:$B$21)</f>
        <v/>
      </c>
      <c r="K1707" s="21" t="n"/>
    </row>
    <row r="1708">
      <c r="A1708" s="24" t="n">
        <v>3991</v>
      </c>
      <c r="B1708" s="10" t="inlineStr">
        <is>
          <t>TĐ Tà Páo Hồ 1B</t>
        </is>
      </c>
      <c r="C1708" s="10" t="inlineStr">
        <is>
          <t>NM TĐN Tà Páo Hồ 1B</t>
        </is>
      </c>
      <c r="D1708" s="3" t="inlineStr">
        <is>
          <t>B29</t>
        </is>
      </c>
      <c r="E1708" s="9" t="n"/>
      <c r="F1708" s="15">
        <f>IF(E1708&lt;&gt;"","Đã VH","Quy hoạch điện VIII")</f>
        <v/>
      </c>
      <c r="G1708" s="16">
        <f>LEFT(B1708,FIND(" ",B1708,1)-1)</f>
        <v/>
      </c>
      <c r="H1708" s="16">
        <f>TRIM(RIGHT(B1708,LEN(B1708)-FIND(" ",B1708,1)))</f>
        <v/>
      </c>
      <c r="I1708" s="16">
        <f>_xlfn.XLOOKUP(Table2[[#This Row],[Type]],Table5[Type],Table5[Type2])</f>
        <v/>
      </c>
      <c r="J1708" s="16">
        <f>_xlfn.XLOOKUP(Table2[[#This Row],[Sym]],Zones!$A$2:$A$21,Zones!$B$2:$B$21)</f>
        <v/>
      </c>
      <c r="K1708" s="21" t="n"/>
    </row>
    <row r="1709">
      <c r="A1709" s="24" t="n">
        <v>3992</v>
      </c>
      <c r="B1709" s="10" t="inlineStr">
        <is>
          <t>TĐ Nậm Cầy</t>
        </is>
      </c>
      <c r="C1709" s="10" t="inlineStr">
        <is>
          <t>NM TĐN Nậm Cầy</t>
        </is>
      </c>
      <c r="D1709" s="3" t="inlineStr">
        <is>
          <t>B29</t>
        </is>
      </c>
      <c r="E1709" s="9" t="n"/>
      <c r="F1709" s="15">
        <f>IF(E1709&lt;&gt;"","Đã VH","Quy hoạch điện VIII")</f>
        <v/>
      </c>
      <c r="G1709" s="16">
        <f>LEFT(B1709,FIND(" ",B1709,1)-1)</f>
        <v/>
      </c>
      <c r="H1709" s="16">
        <f>TRIM(RIGHT(B1709,LEN(B1709)-FIND(" ",B1709,1)))</f>
        <v/>
      </c>
      <c r="I1709" s="16">
        <f>_xlfn.XLOOKUP(Table2[[#This Row],[Type]],Table5[Type],Table5[Type2])</f>
        <v/>
      </c>
      <c r="J1709" s="16">
        <f>_xlfn.XLOOKUP(Table2[[#This Row],[Sym]],Zones!$A$2:$A$21,Zones!$B$2:$B$21)</f>
        <v/>
      </c>
      <c r="K1709" s="21" t="n"/>
    </row>
    <row r="1710">
      <c r="A1710" s="24" t="n">
        <v>3993</v>
      </c>
      <c r="B1710" s="10" t="inlineStr">
        <is>
          <t>TĐ Nùng Than 1</t>
        </is>
      </c>
      <c r="C1710" s="10" t="inlineStr">
        <is>
          <t>NM TĐN Nùng Than 1</t>
        </is>
      </c>
      <c r="D1710" s="3" t="inlineStr">
        <is>
          <t>B29</t>
        </is>
      </c>
      <c r="E1710" s="9" t="n"/>
      <c r="F1710" s="15">
        <f>IF(E1710&lt;&gt;"","Đã VH","Quy hoạch điện VIII")</f>
        <v/>
      </c>
      <c r="G1710" s="16">
        <f>LEFT(B1710,FIND(" ",B1710,1)-1)</f>
        <v/>
      </c>
      <c r="H1710" s="16">
        <f>TRIM(RIGHT(B1710,LEN(B1710)-FIND(" ",B1710,1)))</f>
        <v/>
      </c>
      <c r="I1710" s="16">
        <f>_xlfn.XLOOKUP(Table2[[#This Row],[Type]],Table5[Type],Table5[Type2])</f>
        <v/>
      </c>
      <c r="J1710" s="16">
        <f>_xlfn.XLOOKUP(Table2[[#This Row],[Sym]],Zones!$A$2:$A$21,Zones!$B$2:$B$21)</f>
        <v/>
      </c>
      <c r="K1710" s="21" t="n"/>
    </row>
    <row r="1711">
      <c r="A1711" s="24" t="n">
        <v>3994</v>
      </c>
      <c r="B1711" s="10" t="inlineStr">
        <is>
          <t>TĐ Phai Cát</t>
        </is>
      </c>
      <c r="C1711" s="10" t="inlineStr">
        <is>
          <t>NM TĐN Phai Cát</t>
        </is>
      </c>
      <c r="D1711" s="3" t="inlineStr">
        <is>
          <t>B29</t>
        </is>
      </c>
      <c r="E1711" s="9" t="n"/>
      <c r="F1711" s="15">
        <f>IF(E1711&lt;&gt;"","Đã VH","Quy hoạch điện VIII")</f>
        <v/>
      </c>
      <c r="G1711" s="16">
        <f>LEFT(B1711,FIND(" ",B1711,1)-1)</f>
        <v/>
      </c>
      <c r="H1711" s="16">
        <f>TRIM(RIGHT(B1711,LEN(B1711)-FIND(" ",B1711,1)))</f>
        <v/>
      </c>
      <c r="I1711" s="16">
        <f>_xlfn.XLOOKUP(Table2[[#This Row],[Type]],Table5[Type],Table5[Type2])</f>
        <v/>
      </c>
      <c r="J1711" s="16">
        <f>_xlfn.XLOOKUP(Table2[[#This Row],[Sym]],Zones!$A$2:$A$21,Zones!$B$2:$B$21)</f>
        <v/>
      </c>
      <c r="K1711" s="21" t="n"/>
    </row>
    <row r="1712">
      <c r="A1712" s="24" t="n">
        <v>3995</v>
      </c>
      <c r="B1712" s="10" t="inlineStr">
        <is>
          <t>TĐ Nậm Củm 1</t>
        </is>
      </c>
      <c r="C1712" s="10" t="inlineStr">
        <is>
          <t>NM TĐN Nậm Củm 1</t>
        </is>
      </c>
      <c r="D1712" s="3" t="inlineStr">
        <is>
          <t>B29</t>
        </is>
      </c>
      <c r="E1712" s="9" t="n"/>
      <c r="F1712" s="15">
        <f>IF(E1712&lt;&gt;"","Đã VH","Quy hoạch điện VIII")</f>
        <v/>
      </c>
      <c r="G1712" s="16">
        <f>LEFT(B1712,FIND(" ",B1712,1)-1)</f>
        <v/>
      </c>
      <c r="H1712" s="16">
        <f>TRIM(RIGHT(B1712,LEN(B1712)-FIND(" ",B1712,1)))</f>
        <v/>
      </c>
      <c r="I1712" s="16">
        <f>_xlfn.XLOOKUP(Table2[[#This Row],[Type]],Table5[Type],Table5[Type2])</f>
        <v/>
      </c>
      <c r="J1712" s="16">
        <f>_xlfn.XLOOKUP(Table2[[#This Row],[Sym]],Zones!$A$2:$A$21,Zones!$B$2:$B$21)</f>
        <v/>
      </c>
      <c r="K1712" s="21" t="n"/>
    </row>
    <row r="1713">
      <c r="A1713" s="24" t="n">
        <v>3996</v>
      </c>
      <c r="B1713" s="10" t="inlineStr">
        <is>
          <t>TĐ Kho Hà</t>
        </is>
      </c>
      <c r="C1713" s="10" t="inlineStr">
        <is>
          <t>NM TĐN Kho Hà</t>
        </is>
      </c>
      <c r="D1713" s="3" t="inlineStr">
        <is>
          <t>B29</t>
        </is>
      </c>
      <c r="E1713" s="9" t="n"/>
      <c r="F1713" s="15">
        <f>IF(E1713&lt;&gt;"","Đã VH","Quy hoạch điện VIII")</f>
        <v/>
      </c>
      <c r="G1713" s="16">
        <f>LEFT(B1713,FIND(" ",B1713,1)-1)</f>
        <v/>
      </c>
      <c r="H1713" s="16">
        <f>TRIM(RIGHT(B1713,LEN(B1713)-FIND(" ",B1713,1)))</f>
        <v/>
      </c>
      <c r="I1713" s="16">
        <f>_xlfn.XLOOKUP(Table2[[#This Row],[Type]],Table5[Type],Table5[Type2])</f>
        <v/>
      </c>
      <c r="J1713" s="16">
        <f>_xlfn.XLOOKUP(Table2[[#This Row],[Sym]],Zones!$A$2:$A$21,Zones!$B$2:$B$21)</f>
        <v/>
      </c>
      <c r="K1713" s="21" t="n"/>
    </row>
    <row r="1714">
      <c r="A1714" s="24" t="n">
        <v>3997</v>
      </c>
      <c r="B1714" s="10" t="inlineStr">
        <is>
          <t>TĐ Hà Nế</t>
        </is>
      </c>
      <c r="C1714" s="10" t="inlineStr">
        <is>
          <t>NM TĐN Hà Nế</t>
        </is>
      </c>
      <c r="D1714" s="3" t="inlineStr">
        <is>
          <t>B29</t>
        </is>
      </c>
      <c r="E1714" s="9" t="n"/>
      <c r="F1714" s="15">
        <f>IF(E1714&lt;&gt;"","Đã VH","Quy hoạch điện VIII")</f>
        <v/>
      </c>
      <c r="G1714" s="16">
        <f>LEFT(B1714,FIND(" ",B1714,1)-1)</f>
        <v/>
      </c>
      <c r="H1714" s="16">
        <f>TRIM(RIGHT(B1714,LEN(B1714)-FIND(" ",B1714,1)))</f>
        <v/>
      </c>
      <c r="I1714" s="16">
        <f>_xlfn.XLOOKUP(Table2[[#This Row],[Type]],Table5[Type],Table5[Type2])</f>
        <v/>
      </c>
      <c r="J1714" s="16">
        <f>_xlfn.XLOOKUP(Table2[[#This Row],[Sym]],Zones!$A$2:$A$21,Zones!$B$2:$B$21)</f>
        <v/>
      </c>
      <c r="K1714" s="21" t="n"/>
    </row>
    <row r="1715">
      <c r="A1715" s="24" t="n">
        <v>3998</v>
      </c>
      <c r="B1715" s="10" t="inlineStr">
        <is>
          <t>TĐ Khẻ Ló</t>
        </is>
      </c>
      <c r="C1715" s="10" t="inlineStr">
        <is>
          <t>NM TĐN Khẻ Ló</t>
        </is>
      </c>
      <c r="D1715" s="3" t="inlineStr">
        <is>
          <t>B29</t>
        </is>
      </c>
      <c r="E1715" s="9" t="n"/>
      <c r="F1715" s="15">
        <f>IF(E1715&lt;&gt;"","Đã VH","Quy hoạch điện VIII")</f>
        <v/>
      </c>
      <c r="G1715" s="16">
        <f>LEFT(B1715,FIND(" ",B1715,1)-1)</f>
        <v/>
      </c>
      <c r="H1715" s="16">
        <f>TRIM(RIGHT(B1715,LEN(B1715)-FIND(" ",B1715,1)))</f>
        <v/>
      </c>
      <c r="I1715" s="16">
        <f>_xlfn.XLOOKUP(Table2[[#This Row],[Type]],Table5[Type],Table5[Type2])</f>
        <v/>
      </c>
      <c r="J1715" s="16">
        <f>_xlfn.XLOOKUP(Table2[[#This Row],[Sym]],Zones!$A$2:$A$21,Zones!$B$2:$B$21)</f>
        <v/>
      </c>
      <c r="K1715" s="21" t="n"/>
    </row>
    <row r="1716">
      <c r="A1716" s="24" t="n">
        <v>3999</v>
      </c>
      <c r="B1716" s="10" t="inlineStr">
        <is>
          <t>T220 Sìn Hồ</t>
        </is>
      </c>
      <c r="C1716" s="10" t="inlineStr">
        <is>
          <t>TBA 220kV Sìn Hồ</t>
        </is>
      </c>
      <c r="D1716" s="3" t="inlineStr">
        <is>
          <t>B29</t>
        </is>
      </c>
      <c r="E1716" s="9" t="n"/>
      <c r="F1716" s="15">
        <f>IF(E1716&lt;&gt;"","Đã VH","Quy hoạch điện VIII")</f>
        <v/>
      </c>
      <c r="G1716" s="16">
        <f>LEFT(B1716,FIND(" ",B1716,1)-1)</f>
        <v/>
      </c>
      <c r="H1716" s="16">
        <f>TRIM(RIGHT(B1716,LEN(B1716)-FIND(" ",B1716,1)))</f>
        <v/>
      </c>
      <c r="I1716" s="16">
        <f>_xlfn.XLOOKUP(Table2[[#This Row],[Type]],Table5[Type],Table5[Type2])</f>
        <v/>
      </c>
      <c r="J1716" s="16">
        <f>_xlfn.XLOOKUP(Table2[[#This Row],[Sym]],Zones!$A$2:$A$21,Zones!$B$2:$B$21)</f>
        <v/>
      </c>
      <c r="K1716" s="21" t="n"/>
    </row>
    <row r="1717">
      <c r="A1717" s="24" t="n">
        <v>4000</v>
      </c>
      <c r="B1717" s="10" t="inlineStr">
        <is>
          <t>TĐ Ma Nọi</t>
        </is>
      </c>
      <c r="C1717" s="10" t="inlineStr">
        <is>
          <t>NM TĐN Ma Nọi</t>
        </is>
      </c>
      <c r="D1717" s="3" t="inlineStr">
        <is>
          <t>B29</t>
        </is>
      </c>
      <c r="E1717" s="9" t="n"/>
      <c r="F1717" s="15">
        <f>IF(E1717&lt;&gt;"","Đã VH","Quy hoạch điện VIII")</f>
        <v/>
      </c>
      <c r="G1717" s="16">
        <f>LEFT(B1717,FIND(" ",B1717,1)-1)</f>
        <v/>
      </c>
      <c r="H1717" s="16">
        <f>TRIM(RIGHT(B1717,LEN(B1717)-FIND(" ",B1717,1)))</f>
        <v/>
      </c>
      <c r="I1717" s="16">
        <f>_xlfn.XLOOKUP(Table2[[#This Row],[Type]],Table5[Type],Table5[Type2])</f>
        <v/>
      </c>
      <c r="J1717" s="16">
        <f>_xlfn.XLOOKUP(Table2[[#This Row],[Sym]],Zones!$A$2:$A$21,Zones!$B$2:$B$21)</f>
        <v/>
      </c>
      <c r="K1717" s="21" t="n"/>
    </row>
    <row r="1718">
      <c r="A1718" s="24" t="n">
        <v>4001</v>
      </c>
      <c r="B1718" s="10" t="inlineStr">
        <is>
          <t>TĐ Thọ Gụ</t>
        </is>
      </c>
      <c r="C1718" s="10" t="inlineStr">
        <is>
          <t>NM TĐN Thọ Gụ</t>
        </is>
      </c>
      <c r="D1718" s="3" t="inlineStr">
        <is>
          <t>B29</t>
        </is>
      </c>
      <c r="E1718" s="9" t="n"/>
      <c r="F1718" s="15">
        <f>IF(E1718&lt;&gt;"","Đã VH","Quy hoạch điện VIII")</f>
        <v/>
      </c>
      <c r="G1718" s="16">
        <f>LEFT(B1718,FIND(" ",B1718,1)-1)</f>
        <v/>
      </c>
      <c r="H1718" s="16">
        <f>TRIM(RIGHT(B1718,LEN(B1718)-FIND(" ",B1718,1)))</f>
        <v/>
      </c>
      <c r="I1718" s="16">
        <f>_xlfn.XLOOKUP(Table2[[#This Row],[Type]],Table5[Type],Table5[Type2])</f>
        <v/>
      </c>
      <c r="J1718" s="16">
        <f>_xlfn.XLOOKUP(Table2[[#This Row],[Sym]],Zones!$A$2:$A$21,Zones!$B$2:$B$21)</f>
        <v/>
      </c>
      <c r="K1718" s="21" t="n"/>
    </row>
    <row r="1719">
      <c r="A1719" s="24" t="n">
        <v>4002</v>
      </c>
      <c r="B1719" s="10" t="inlineStr">
        <is>
          <t>TĐ Nậm Củm 7</t>
        </is>
      </c>
      <c r="C1719" s="10" t="inlineStr">
        <is>
          <t>NM TĐN Nậm Củm 7</t>
        </is>
      </c>
      <c r="D1719" s="3" t="inlineStr">
        <is>
          <t>B29</t>
        </is>
      </c>
      <c r="E1719" s="9" t="n"/>
      <c r="F1719" s="15">
        <f>IF(E1719&lt;&gt;"","Đã VH","Quy hoạch điện VIII")</f>
        <v/>
      </c>
      <c r="G1719" s="16">
        <f>LEFT(B1719,FIND(" ",B1719,1)-1)</f>
        <v/>
      </c>
      <c r="H1719" s="16">
        <f>TRIM(RIGHT(B1719,LEN(B1719)-FIND(" ",B1719,1)))</f>
        <v/>
      </c>
      <c r="I1719" s="16">
        <f>_xlfn.XLOOKUP(Table2[[#This Row],[Type]],Table5[Type],Table5[Type2])</f>
        <v/>
      </c>
      <c r="J1719" s="16">
        <f>_xlfn.XLOOKUP(Table2[[#This Row],[Sym]],Zones!$A$2:$A$21,Zones!$B$2:$B$21)</f>
        <v/>
      </c>
      <c r="K1719" s="21" t="n"/>
    </row>
    <row r="1720">
      <c r="A1720" s="24" t="n">
        <v>4003</v>
      </c>
      <c r="B1720" s="10" t="inlineStr">
        <is>
          <t>TĐ Kha Ứ 2</t>
        </is>
      </c>
      <c r="C1720" s="10" t="inlineStr">
        <is>
          <t>NM TĐN Kha Ứ 2</t>
        </is>
      </c>
      <c r="D1720" s="3" t="inlineStr">
        <is>
          <t>B29</t>
        </is>
      </c>
      <c r="E1720" s="9" t="n"/>
      <c r="F1720" s="15">
        <f>IF(E1720&lt;&gt;"","Đã VH","Quy hoạch điện VIII")</f>
        <v/>
      </c>
      <c r="G1720" s="16">
        <f>LEFT(B1720,FIND(" ",B1720,1)-1)</f>
        <v/>
      </c>
      <c r="H1720" s="16">
        <f>TRIM(RIGHT(B1720,LEN(B1720)-FIND(" ",B1720,1)))</f>
        <v/>
      </c>
      <c r="I1720" s="16">
        <f>_xlfn.XLOOKUP(Table2[[#This Row],[Type]],Table5[Type],Table5[Type2])</f>
        <v/>
      </c>
      <c r="J1720" s="16">
        <f>_xlfn.XLOOKUP(Table2[[#This Row],[Sym]],Zones!$A$2:$A$21,Zones!$B$2:$B$21)</f>
        <v/>
      </c>
      <c r="K1720" s="21" t="n"/>
    </row>
    <row r="1721">
      <c r="A1721" s="24" t="n">
        <v>4004</v>
      </c>
      <c r="B1721" s="10" t="inlineStr">
        <is>
          <t>TĐ Kha Ứ 1</t>
        </is>
      </c>
      <c r="C1721" s="10" t="inlineStr">
        <is>
          <t>NM TĐN Kha Ứ 1</t>
        </is>
      </c>
      <c r="D1721" s="3" t="inlineStr">
        <is>
          <t>B29</t>
        </is>
      </c>
      <c r="E1721" s="9" t="n"/>
      <c r="F1721" s="15">
        <f>IF(E1721&lt;&gt;"","Đã VH","Quy hoạch điện VIII")</f>
        <v/>
      </c>
      <c r="G1721" s="16">
        <f>LEFT(B1721,FIND(" ",B1721,1)-1)</f>
        <v/>
      </c>
      <c r="H1721" s="16">
        <f>TRIM(RIGHT(B1721,LEN(B1721)-FIND(" ",B1721,1)))</f>
        <v/>
      </c>
      <c r="I1721" s="16">
        <f>_xlfn.XLOOKUP(Table2[[#This Row],[Type]],Table5[Type],Table5[Type2])</f>
        <v/>
      </c>
      <c r="J1721" s="16">
        <f>_xlfn.XLOOKUP(Table2[[#This Row],[Sym]],Zones!$A$2:$A$21,Zones!$B$2:$B$21)</f>
        <v/>
      </c>
      <c r="K1721" s="21" t="n"/>
    </row>
    <row r="1722">
      <c r="A1722" s="24" t="n">
        <v>4005</v>
      </c>
      <c r="B1722" s="10" t="inlineStr">
        <is>
          <t>TĐ Nậm Hản 2</t>
        </is>
      </c>
      <c r="C1722" s="10" t="inlineStr">
        <is>
          <t>NM TĐN Nậm Hản 2</t>
        </is>
      </c>
      <c r="D1722" s="3" t="inlineStr">
        <is>
          <t>B29</t>
        </is>
      </c>
      <c r="E1722" s="9" t="n"/>
      <c r="F1722" s="15">
        <f>IF(E1722&lt;&gt;"","Đã VH","Quy hoạch điện VIII")</f>
        <v/>
      </c>
      <c r="G1722" s="16">
        <f>LEFT(B1722,FIND(" ",B1722,1)-1)</f>
        <v/>
      </c>
      <c r="H1722" s="16">
        <f>TRIM(RIGHT(B1722,LEN(B1722)-FIND(" ",B1722,1)))</f>
        <v/>
      </c>
      <c r="I1722" s="16">
        <f>_xlfn.XLOOKUP(Table2[[#This Row],[Type]],Table5[Type],Table5[Type2])</f>
        <v/>
      </c>
      <c r="J1722" s="16">
        <f>_xlfn.XLOOKUP(Table2[[#This Row],[Sym]],Zones!$A$2:$A$21,Zones!$B$2:$B$21)</f>
        <v/>
      </c>
      <c r="K1722" s="21" t="n"/>
    </row>
    <row r="1723">
      <c r="A1723" s="24" t="n">
        <v>4006</v>
      </c>
      <c r="B1723" s="10" t="inlineStr">
        <is>
          <t>TĐ Nậm Hản 1</t>
        </is>
      </c>
      <c r="C1723" s="10" t="inlineStr">
        <is>
          <t>NM TĐN Nậm Hản 1</t>
        </is>
      </c>
      <c r="D1723" s="3" t="inlineStr">
        <is>
          <t>B29</t>
        </is>
      </c>
      <c r="E1723" s="9" t="n"/>
      <c r="F1723" s="15">
        <f>IF(E1723&lt;&gt;"","Đã VH","Quy hoạch điện VIII")</f>
        <v/>
      </c>
      <c r="G1723" s="16">
        <f>LEFT(B1723,FIND(" ",B1723,1)-1)</f>
        <v/>
      </c>
      <c r="H1723" s="16">
        <f>TRIM(RIGHT(B1723,LEN(B1723)-FIND(" ",B1723,1)))</f>
        <v/>
      </c>
      <c r="I1723" s="16">
        <f>_xlfn.XLOOKUP(Table2[[#This Row],[Type]],Table5[Type],Table5[Type2])</f>
        <v/>
      </c>
      <c r="J1723" s="16">
        <f>_xlfn.XLOOKUP(Table2[[#This Row],[Sym]],Zones!$A$2:$A$21,Zones!$B$2:$B$21)</f>
        <v/>
      </c>
      <c r="K1723" s="21" t="n"/>
    </row>
    <row r="1724">
      <c r="A1724" s="24" t="n">
        <v>4007</v>
      </c>
      <c r="B1724" s="10" t="inlineStr">
        <is>
          <t>TĐ Nậm Cấu</t>
        </is>
      </c>
      <c r="C1724" s="10" t="inlineStr">
        <is>
          <t>NM TĐN Nậm Cấu</t>
        </is>
      </c>
      <c r="D1724" s="3" t="inlineStr">
        <is>
          <t>B29</t>
        </is>
      </c>
      <c r="E1724" s="9" t="n"/>
      <c r="F1724" s="15">
        <f>IF(E1724&lt;&gt;"","Đã VH","Quy hoạch điện VIII")</f>
        <v/>
      </c>
      <c r="G1724" s="16">
        <f>LEFT(B1724,FIND(" ",B1724,1)-1)</f>
        <v/>
      </c>
      <c r="H1724" s="16">
        <f>TRIM(RIGHT(B1724,LEN(B1724)-FIND(" ",B1724,1)))</f>
        <v/>
      </c>
      <c r="I1724" s="16">
        <f>_xlfn.XLOOKUP(Table2[[#This Row],[Type]],Table5[Type],Table5[Type2])</f>
        <v/>
      </c>
      <c r="J1724" s="16">
        <f>_xlfn.XLOOKUP(Table2[[#This Row],[Sym]],Zones!$A$2:$A$21,Zones!$B$2:$B$21)</f>
        <v/>
      </c>
      <c r="K1724" s="21" t="n"/>
    </row>
    <row r="1725">
      <c r="A1725" s="24" t="n">
        <v>4008</v>
      </c>
      <c r="B1725" s="10" t="inlineStr">
        <is>
          <t>TĐ Mường Kim 3</t>
        </is>
      </c>
      <c r="C1725" s="10" t="inlineStr">
        <is>
          <t>NM TĐN Mường Kim 3</t>
        </is>
      </c>
      <c r="D1725" s="3" t="inlineStr">
        <is>
          <t>B29</t>
        </is>
      </c>
      <c r="E1725" s="9" t="inlineStr">
        <is>
          <t>A29.27</t>
        </is>
      </c>
      <c r="F1725" s="15">
        <f>IF(E1725&lt;&gt;"","Đã VH","Quy hoạch điện VIII")</f>
        <v/>
      </c>
      <c r="G1725" s="16">
        <f>LEFT(B1725,FIND(" ",B1725,1)-1)</f>
        <v/>
      </c>
      <c r="H1725" s="16">
        <f>TRIM(RIGHT(B1725,LEN(B1725)-FIND(" ",B1725,1)))</f>
        <v/>
      </c>
      <c r="I1725" s="16">
        <f>_xlfn.XLOOKUP(Table2[[#This Row],[Type]],Table5[Type],Table5[Type2])</f>
        <v/>
      </c>
      <c r="J1725" s="16">
        <f>_xlfn.XLOOKUP(Table2[[#This Row],[Sym]],Zones!$A$2:$A$21,Zones!$B$2:$B$21)</f>
        <v/>
      </c>
      <c r="K1725" s="21" t="n"/>
    </row>
    <row r="1726">
      <c r="A1726" s="24" t="n">
        <v>4009</v>
      </c>
      <c r="B1726" s="10" t="inlineStr">
        <is>
          <t>TĐ Đông Pao</t>
        </is>
      </c>
      <c r="C1726" s="10" t="inlineStr">
        <is>
          <t>NM TĐN Đông Pao</t>
        </is>
      </c>
      <c r="D1726" s="3" t="inlineStr">
        <is>
          <t>B29</t>
        </is>
      </c>
      <c r="E1726" s="9" t="n"/>
      <c r="F1726" s="15">
        <f>IF(E1726&lt;&gt;"","Đã VH","Quy hoạch điện VIII")</f>
        <v/>
      </c>
      <c r="G1726" s="16">
        <f>LEFT(B1726,FIND(" ",B1726,1)-1)</f>
        <v/>
      </c>
      <c r="H1726" s="16">
        <f>TRIM(RIGHT(B1726,LEN(B1726)-FIND(" ",B1726,1)))</f>
        <v/>
      </c>
      <c r="I1726" s="16">
        <f>_xlfn.XLOOKUP(Table2[[#This Row],[Type]],Table5[Type],Table5[Type2])</f>
        <v/>
      </c>
      <c r="J1726" s="16">
        <f>_xlfn.XLOOKUP(Table2[[#This Row],[Sym]],Zones!$A$2:$A$21,Zones!$B$2:$B$21)</f>
        <v/>
      </c>
      <c r="K1726" s="21" t="n"/>
    </row>
    <row r="1727">
      <c r="A1727" s="24" t="n">
        <v>4010</v>
      </c>
      <c r="B1727" s="10" t="inlineStr">
        <is>
          <t>TĐ Nậm Luồng</t>
        </is>
      </c>
      <c r="C1727" s="10" t="inlineStr">
        <is>
          <t>NM TĐN Nậm Luồng</t>
        </is>
      </c>
      <c r="D1727" s="3" t="inlineStr">
        <is>
          <t>B29</t>
        </is>
      </c>
      <c r="E1727" s="9" t="n"/>
      <c r="F1727" s="15">
        <f>IF(E1727&lt;&gt;"","Đã VH","Quy hoạch điện VIII")</f>
        <v/>
      </c>
      <c r="G1727" s="16">
        <f>LEFT(B1727,FIND(" ",B1727,1)-1)</f>
        <v/>
      </c>
      <c r="H1727" s="16">
        <f>TRIM(RIGHT(B1727,LEN(B1727)-FIND(" ",B1727,1)))</f>
        <v/>
      </c>
      <c r="I1727" s="16">
        <f>_xlfn.XLOOKUP(Table2[[#This Row],[Type]],Table5[Type],Table5[Type2])</f>
        <v/>
      </c>
      <c r="J1727" s="16">
        <f>_xlfn.XLOOKUP(Table2[[#This Row],[Sym]],Zones!$A$2:$A$21,Zones!$B$2:$B$21)</f>
        <v/>
      </c>
      <c r="K1727" s="21" t="n"/>
    </row>
    <row r="1728">
      <c r="A1728" s="24" t="n">
        <v>4011</v>
      </c>
      <c r="B1728" s="10" t="inlineStr">
        <is>
          <t>TĐ Nậm Mở 1A</t>
        </is>
      </c>
      <c r="C1728" s="10" t="inlineStr">
        <is>
          <t>NM TĐN Nậm Mở 1A</t>
        </is>
      </c>
      <c r="D1728" s="3" t="inlineStr">
        <is>
          <t>B29</t>
        </is>
      </c>
      <c r="E1728" s="9" t="n"/>
      <c r="F1728" s="15">
        <f>IF(E1728&lt;&gt;"","Đã VH","Quy hoạch điện VIII")</f>
        <v/>
      </c>
      <c r="G1728" s="16">
        <f>LEFT(B1728,FIND(" ",B1728,1)-1)</f>
        <v/>
      </c>
      <c r="H1728" s="16">
        <f>TRIM(RIGHT(B1728,LEN(B1728)-FIND(" ",B1728,1)))</f>
        <v/>
      </c>
      <c r="I1728" s="16">
        <f>_xlfn.XLOOKUP(Table2[[#This Row],[Type]],Table5[Type],Table5[Type2])</f>
        <v/>
      </c>
      <c r="J1728" s="16">
        <f>_xlfn.XLOOKUP(Table2[[#This Row],[Sym]],Zones!$A$2:$A$21,Zones!$B$2:$B$21)</f>
        <v/>
      </c>
      <c r="K1728" s="21" t="n"/>
    </row>
    <row r="1729">
      <c r="A1729" s="24" t="n">
        <v>4012</v>
      </c>
      <c r="B1729" s="10" t="inlineStr">
        <is>
          <t>TĐ Nậm Mở 2</t>
        </is>
      </c>
      <c r="C1729" s="10" t="inlineStr">
        <is>
          <t>NM TĐN Nậm Mở 2</t>
        </is>
      </c>
      <c r="D1729" s="3" t="inlineStr">
        <is>
          <t>B29</t>
        </is>
      </c>
      <c r="E1729" s="9" t="n"/>
      <c r="F1729" s="15">
        <f>IF(E1729&lt;&gt;"","Đã VH","Quy hoạch điện VIII")</f>
        <v/>
      </c>
      <c r="G1729" s="16">
        <f>LEFT(B1729,FIND(" ",B1729,1)-1)</f>
        <v/>
      </c>
      <c r="H1729" s="16">
        <f>TRIM(RIGHT(B1729,LEN(B1729)-FIND(" ",B1729,1)))</f>
        <v/>
      </c>
      <c r="I1729" s="16">
        <f>_xlfn.XLOOKUP(Table2[[#This Row],[Type]],Table5[Type],Table5[Type2])</f>
        <v/>
      </c>
      <c r="J1729" s="16">
        <f>_xlfn.XLOOKUP(Table2[[#This Row],[Sym]],Zones!$A$2:$A$21,Zones!$B$2:$B$21)</f>
        <v/>
      </c>
      <c r="K1729" s="21" t="n"/>
    </row>
    <row r="1730">
      <c r="A1730" s="24" t="n">
        <v>4013</v>
      </c>
      <c r="B1730" s="10" t="inlineStr">
        <is>
          <t>TĐ Nậm Ngà</t>
        </is>
      </c>
      <c r="C1730" s="10" t="inlineStr">
        <is>
          <t>NM TĐN Nậm Ngà</t>
        </is>
      </c>
      <c r="D1730" s="3" t="inlineStr">
        <is>
          <t>B29</t>
        </is>
      </c>
      <c r="E1730" s="9" t="n"/>
      <c r="F1730" s="15">
        <f>IF(E1730&lt;&gt;"","Đã VH","Quy hoạch điện VIII")</f>
        <v/>
      </c>
      <c r="G1730" s="16">
        <f>LEFT(B1730,FIND(" ",B1730,1)-1)</f>
        <v/>
      </c>
      <c r="H1730" s="16">
        <f>TRIM(RIGHT(B1730,LEN(B1730)-FIND(" ",B1730,1)))</f>
        <v/>
      </c>
      <c r="I1730" s="16">
        <f>_xlfn.XLOOKUP(Table2[[#This Row],[Type]],Table5[Type],Table5[Type2])</f>
        <v/>
      </c>
      <c r="J1730" s="16">
        <f>_xlfn.XLOOKUP(Table2[[#This Row],[Sym]],Zones!$A$2:$A$21,Zones!$B$2:$B$21)</f>
        <v/>
      </c>
      <c r="K1730" s="21" t="n"/>
    </row>
    <row r="1731">
      <c r="A1731" s="24" t="n">
        <v>4014</v>
      </c>
      <c r="B1731" s="10" t="inlineStr">
        <is>
          <t>TĐ Nậm Ma 1A</t>
        </is>
      </c>
      <c r="C1731" s="10" t="inlineStr">
        <is>
          <t>NM TĐN Nậm Ma 1A</t>
        </is>
      </c>
      <c r="D1731" s="3" t="inlineStr">
        <is>
          <t>B29</t>
        </is>
      </c>
      <c r="E1731" s="9" t="n"/>
      <c r="F1731" s="15">
        <f>IF(E1731&lt;&gt;"","Đã VH","Quy hoạch điện VIII")</f>
        <v/>
      </c>
      <c r="G1731" s="16">
        <f>LEFT(B1731,FIND(" ",B1731,1)-1)</f>
        <v/>
      </c>
      <c r="H1731" s="16">
        <f>TRIM(RIGHT(B1731,LEN(B1731)-FIND(" ",B1731,1)))</f>
        <v/>
      </c>
      <c r="I1731" s="16">
        <f>_xlfn.XLOOKUP(Table2[[#This Row],[Type]],Table5[Type],Table5[Type2])</f>
        <v/>
      </c>
      <c r="J1731" s="16">
        <f>_xlfn.XLOOKUP(Table2[[#This Row],[Sym]],Zones!$A$2:$A$21,Zones!$B$2:$B$21)</f>
        <v/>
      </c>
      <c r="K1731" s="21" t="n"/>
    </row>
    <row r="1732">
      <c r="A1732" s="24" t="n">
        <v>4015</v>
      </c>
      <c r="B1732" s="10" t="inlineStr">
        <is>
          <t>TĐ Nậm Ma 3</t>
        </is>
      </c>
      <c r="C1732" s="10" t="inlineStr">
        <is>
          <t>NM TĐN Nậm Ma 3</t>
        </is>
      </c>
      <c r="D1732" s="3" t="inlineStr">
        <is>
          <t>B29</t>
        </is>
      </c>
      <c r="E1732" s="9" t="n"/>
      <c r="F1732" s="15">
        <f>IF(E1732&lt;&gt;"","Đã VH","Quy hoạch điện VIII")</f>
        <v/>
      </c>
      <c r="G1732" s="16">
        <f>LEFT(B1732,FIND(" ",B1732,1)-1)</f>
        <v/>
      </c>
      <c r="H1732" s="16">
        <f>TRIM(RIGHT(B1732,LEN(B1732)-FIND(" ",B1732,1)))</f>
        <v/>
      </c>
      <c r="I1732" s="16">
        <f>_xlfn.XLOOKUP(Table2[[#This Row],[Type]],Table5[Type],Table5[Type2])</f>
        <v/>
      </c>
      <c r="J1732" s="16">
        <f>_xlfn.XLOOKUP(Table2[[#This Row],[Sym]],Zones!$A$2:$A$21,Zones!$B$2:$B$21)</f>
        <v/>
      </c>
      <c r="K1732" s="21" t="n"/>
    </row>
    <row r="1733">
      <c r="A1733" s="24" t="n">
        <v>4016</v>
      </c>
      <c r="B1733" s="10" t="inlineStr">
        <is>
          <t>TĐ Bum Nưa</t>
        </is>
      </c>
      <c r="C1733" s="10" t="inlineStr">
        <is>
          <t>NM TĐN Bum Nưa</t>
        </is>
      </c>
      <c r="D1733" s="3" t="inlineStr">
        <is>
          <t>B29</t>
        </is>
      </c>
      <c r="E1733" s="9" t="n"/>
      <c r="F1733" s="15">
        <f>IF(E1733&lt;&gt;"","Đã VH","Quy hoạch điện VIII")</f>
        <v/>
      </c>
      <c r="G1733" s="16">
        <f>LEFT(B1733,FIND(" ",B1733,1)-1)</f>
        <v/>
      </c>
      <c r="H1733" s="16">
        <f>TRIM(RIGHT(B1733,LEN(B1733)-FIND(" ",B1733,1)))</f>
        <v/>
      </c>
      <c r="I1733" s="16">
        <f>_xlfn.XLOOKUP(Table2[[#This Row],[Type]],Table5[Type],Table5[Type2])</f>
        <v/>
      </c>
      <c r="J1733" s="16">
        <f>_xlfn.XLOOKUP(Table2[[#This Row],[Sym]],Zones!$A$2:$A$21,Zones!$B$2:$B$21)</f>
        <v/>
      </c>
      <c r="K1733" s="21" t="n"/>
    </row>
    <row r="1734">
      <c r="A1734" s="24" t="n">
        <v>4017</v>
      </c>
      <c r="B1734" s="10" t="inlineStr">
        <is>
          <t>TĐ Nậm Cử 1</t>
        </is>
      </c>
      <c r="C1734" s="10" t="inlineStr">
        <is>
          <t>NM TĐN Nậm Cử 1</t>
        </is>
      </c>
      <c r="D1734" s="3" t="inlineStr">
        <is>
          <t>B29</t>
        </is>
      </c>
      <c r="E1734" s="9" t="n"/>
      <c r="F1734" s="15">
        <f>IF(E1734&lt;&gt;"","Đã VH","Quy hoạch điện VIII")</f>
        <v/>
      </c>
      <c r="G1734" s="16">
        <f>LEFT(B1734,FIND(" ",B1734,1)-1)</f>
        <v/>
      </c>
      <c r="H1734" s="16">
        <f>TRIM(RIGHT(B1734,LEN(B1734)-FIND(" ",B1734,1)))</f>
        <v/>
      </c>
      <c r="I1734" s="16">
        <f>_xlfn.XLOOKUP(Table2[[#This Row],[Type]],Table5[Type],Table5[Type2])</f>
        <v/>
      </c>
      <c r="J1734" s="16">
        <f>_xlfn.XLOOKUP(Table2[[#This Row],[Sym]],Zones!$A$2:$A$21,Zones!$B$2:$B$21)</f>
        <v/>
      </c>
      <c r="K1734" s="21" t="n"/>
    </row>
    <row r="1735">
      <c r="A1735" s="24" t="n">
        <v>4018</v>
      </c>
      <c r="B1735" s="10" t="inlineStr">
        <is>
          <t>TĐ Suối Ngầm</t>
        </is>
      </c>
      <c r="C1735" s="10" t="inlineStr">
        <is>
          <t>NM TĐN Suối Ngầm</t>
        </is>
      </c>
      <c r="D1735" s="3" t="inlineStr">
        <is>
          <t>B29</t>
        </is>
      </c>
      <c r="E1735" s="9" t="n"/>
      <c r="F1735" s="15">
        <f>IF(E1735&lt;&gt;"","Đã VH","Quy hoạch điện VIII")</f>
        <v/>
      </c>
      <c r="G1735" s="16">
        <f>LEFT(B1735,FIND(" ",B1735,1)-1)</f>
        <v/>
      </c>
      <c r="H1735" s="16">
        <f>TRIM(RIGHT(B1735,LEN(B1735)-FIND(" ",B1735,1)))</f>
        <v/>
      </c>
      <c r="I1735" s="16">
        <f>_xlfn.XLOOKUP(Table2[[#This Row],[Type]],Table5[Type],Table5[Type2])</f>
        <v/>
      </c>
      <c r="J1735" s="16">
        <f>_xlfn.XLOOKUP(Table2[[#This Row],[Sym]],Zones!$A$2:$A$21,Zones!$B$2:$B$21)</f>
        <v/>
      </c>
      <c r="K1735" s="21" t="n"/>
    </row>
    <row r="1736">
      <c r="A1736" s="24" t="n">
        <v>4019</v>
      </c>
      <c r="B1736" s="10" t="inlineStr">
        <is>
          <t>TĐ Là Si 1</t>
        </is>
      </c>
      <c r="C1736" s="10" t="inlineStr">
        <is>
          <t>NM TĐN Là Si 1</t>
        </is>
      </c>
      <c r="D1736" s="3" t="inlineStr">
        <is>
          <t>B29</t>
        </is>
      </c>
      <c r="E1736" s="9" t="n"/>
      <c r="F1736" s="15">
        <f>IF(E1736&lt;&gt;"","Đã VH","Quy hoạch điện VIII")</f>
        <v/>
      </c>
      <c r="G1736" s="16">
        <f>LEFT(B1736,FIND(" ",B1736,1)-1)</f>
        <v/>
      </c>
      <c r="H1736" s="16">
        <f>TRIM(RIGHT(B1736,LEN(B1736)-FIND(" ",B1736,1)))</f>
        <v/>
      </c>
      <c r="I1736" s="16">
        <f>_xlfn.XLOOKUP(Table2[[#This Row],[Type]],Table5[Type],Table5[Type2])</f>
        <v/>
      </c>
      <c r="J1736" s="16">
        <f>_xlfn.XLOOKUP(Table2[[#This Row],[Sym]],Zones!$A$2:$A$21,Zones!$B$2:$B$21)</f>
        <v/>
      </c>
      <c r="K1736" s="21" t="n"/>
    </row>
    <row r="1737">
      <c r="A1737" s="24" t="n">
        <v>4020</v>
      </c>
      <c r="B1737" s="10" t="inlineStr">
        <is>
          <t>TĐ Là Pơ</t>
        </is>
      </c>
      <c r="C1737" s="10" t="inlineStr">
        <is>
          <t>NM TĐN Là Pơ</t>
        </is>
      </c>
      <c r="D1737" s="3" t="inlineStr">
        <is>
          <t>B29</t>
        </is>
      </c>
      <c r="E1737" s="9" t="n"/>
      <c r="F1737" s="15">
        <f>IF(E1737&lt;&gt;"","Đã VH","Quy hoạch điện VIII")</f>
        <v/>
      </c>
      <c r="G1737" s="16">
        <f>LEFT(B1737,FIND(" ",B1737,1)-1)</f>
        <v/>
      </c>
      <c r="H1737" s="16">
        <f>TRIM(RIGHT(B1737,LEN(B1737)-FIND(" ",B1737,1)))</f>
        <v/>
      </c>
      <c r="I1737" s="16">
        <f>_xlfn.XLOOKUP(Table2[[#This Row],[Type]],Table5[Type],Table5[Type2])</f>
        <v/>
      </c>
      <c r="J1737" s="16">
        <f>_xlfn.XLOOKUP(Table2[[#This Row],[Sym]],Zones!$A$2:$A$21,Zones!$B$2:$B$21)</f>
        <v/>
      </c>
      <c r="K1737" s="21" t="n"/>
    </row>
    <row r="1738">
      <c r="A1738" s="24" t="n">
        <v>4021</v>
      </c>
      <c r="B1738" s="10" t="inlineStr">
        <is>
          <t>TĐ Nậm Bon 1</t>
        </is>
      </c>
      <c r="C1738" s="10" t="inlineStr">
        <is>
          <t>NM TĐN Nậm Bon 1</t>
        </is>
      </c>
      <c r="D1738" s="3" t="inlineStr">
        <is>
          <t>B29</t>
        </is>
      </c>
      <c r="E1738" s="9" t="n"/>
      <c r="F1738" s="15">
        <f>IF(E1738&lt;&gt;"","Đã VH","Quy hoạch điện VIII")</f>
        <v/>
      </c>
      <c r="G1738" s="16">
        <f>LEFT(B1738,FIND(" ",B1738,1)-1)</f>
        <v/>
      </c>
      <c r="H1738" s="16">
        <f>TRIM(RIGHT(B1738,LEN(B1738)-FIND(" ",B1738,1)))</f>
        <v/>
      </c>
      <c r="I1738" s="16">
        <f>_xlfn.XLOOKUP(Table2[[#This Row],[Type]],Table5[Type],Table5[Type2])</f>
        <v/>
      </c>
      <c r="J1738" s="16">
        <f>_xlfn.XLOOKUP(Table2[[#This Row],[Sym]],Zones!$A$2:$A$21,Zones!$B$2:$B$21)</f>
        <v/>
      </c>
      <c r="K1738" s="21" t="n"/>
    </row>
    <row r="1739">
      <c r="A1739" s="24" t="n">
        <v>4022</v>
      </c>
      <c r="B1739" s="10" t="inlineStr">
        <is>
          <t>TĐ Là Si 1A</t>
        </is>
      </c>
      <c r="C1739" s="10" t="inlineStr">
        <is>
          <t>NM TĐN Là Si 1A</t>
        </is>
      </c>
      <c r="D1739" s="3" t="inlineStr">
        <is>
          <t>B29</t>
        </is>
      </c>
      <c r="E1739" s="9" t="n"/>
      <c r="F1739" s="15">
        <f>IF(E1739&lt;&gt;"","Đã VH","Quy hoạch điện VIII")</f>
        <v/>
      </c>
      <c r="G1739" s="16">
        <f>LEFT(B1739,FIND(" ",B1739,1)-1)</f>
        <v/>
      </c>
      <c r="H1739" s="16">
        <f>TRIM(RIGHT(B1739,LEN(B1739)-FIND(" ",B1739,1)))</f>
        <v/>
      </c>
      <c r="I1739" s="16">
        <f>_xlfn.XLOOKUP(Table2[[#This Row],[Type]],Table5[Type],Table5[Type2])</f>
        <v/>
      </c>
      <c r="J1739" s="16">
        <f>_xlfn.XLOOKUP(Table2[[#This Row],[Sym]],Zones!$A$2:$A$21,Zones!$B$2:$B$21)</f>
        <v/>
      </c>
      <c r="K1739" s="21" t="n"/>
    </row>
    <row r="1740">
      <c r="A1740" s="24" t="n">
        <v>4023</v>
      </c>
      <c r="B1740" s="10" t="inlineStr">
        <is>
          <t>TĐ Nậm Nhé 1</t>
        </is>
      </c>
      <c r="C1740" s="10" t="inlineStr">
        <is>
          <t>NM TĐN Nậm Nhé 1</t>
        </is>
      </c>
      <c r="D1740" s="3" t="inlineStr">
        <is>
          <t>B29</t>
        </is>
      </c>
      <c r="E1740" s="9" t="n"/>
      <c r="F1740" s="15">
        <f>IF(E1740&lt;&gt;"","Đã VH","Quy hoạch điện VIII")</f>
        <v/>
      </c>
      <c r="G1740" s="16">
        <f>LEFT(B1740,FIND(" ",B1740,1)-1)</f>
        <v/>
      </c>
      <c r="H1740" s="16">
        <f>TRIM(RIGHT(B1740,LEN(B1740)-FIND(" ",B1740,1)))</f>
        <v/>
      </c>
      <c r="I1740" s="16">
        <f>_xlfn.XLOOKUP(Table2[[#This Row],[Type]],Table5[Type],Table5[Type2])</f>
        <v/>
      </c>
      <c r="J1740" s="16">
        <f>_xlfn.XLOOKUP(Table2[[#This Row],[Sym]],Zones!$A$2:$A$21,Zones!$B$2:$B$21)</f>
        <v/>
      </c>
      <c r="K1740" s="21" t="n"/>
    </row>
    <row r="1741">
      <c r="A1741" s="24" t="n">
        <v>4024</v>
      </c>
      <c r="B1741" s="10" t="inlineStr">
        <is>
          <t>TĐ Nậm Chà 1</t>
        </is>
      </c>
      <c r="C1741" s="10" t="inlineStr">
        <is>
          <t>NM TĐN Nậm Chà 1</t>
        </is>
      </c>
      <c r="D1741" s="3" t="inlineStr">
        <is>
          <t>B29</t>
        </is>
      </c>
      <c r="E1741" s="9" t="n"/>
      <c r="F1741" s="15">
        <f>IF(E1741&lt;&gt;"","Đã VH","Quy hoạch điện VIII")</f>
        <v/>
      </c>
      <c r="G1741" s="16">
        <f>LEFT(B1741,FIND(" ",B1741,1)-1)</f>
        <v/>
      </c>
      <c r="H1741" s="16">
        <f>TRIM(RIGHT(B1741,LEN(B1741)-FIND(" ",B1741,1)))</f>
        <v/>
      </c>
      <c r="I1741" s="16">
        <f>_xlfn.XLOOKUP(Table2[[#This Row],[Type]],Table5[Type],Table5[Type2])</f>
        <v/>
      </c>
      <c r="J1741" s="16">
        <f>_xlfn.XLOOKUP(Table2[[#This Row],[Sym]],Zones!$A$2:$A$21,Zones!$B$2:$B$21)</f>
        <v/>
      </c>
      <c r="K1741" s="21" t="n"/>
    </row>
    <row r="1742">
      <c r="A1742" s="24" t="n">
        <v>4025</v>
      </c>
      <c r="B1742" s="10" t="inlineStr">
        <is>
          <t>TĐ Nậm Chà 2</t>
        </is>
      </c>
      <c r="C1742" s="10" t="inlineStr">
        <is>
          <t>NM TĐN Nậm Chà 2</t>
        </is>
      </c>
      <c r="D1742" s="3" t="inlineStr">
        <is>
          <t>B29</t>
        </is>
      </c>
      <c r="E1742" s="9" t="n"/>
      <c r="F1742" s="15">
        <f>IF(E1742&lt;&gt;"","Đã VH","Quy hoạch điện VIII")</f>
        <v/>
      </c>
      <c r="G1742" s="16">
        <f>LEFT(B1742,FIND(" ",B1742,1)-1)</f>
        <v/>
      </c>
      <c r="H1742" s="16">
        <f>TRIM(RIGHT(B1742,LEN(B1742)-FIND(" ",B1742,1)))</f>
        <v/>
      </c>
      <c r="I1742" s="16">
        <f>_xlfn.XLOOKUP(Table2[[#This Row],[Type]],Table5[Type],Table5[Type2])</f>
        <v/>
      </c>
      <c r="J1742" s="16">
        <f>_xlfn.XLOOKUP(Table2[[#This Row],[Sym]],Zones!$A$2:$A$21,Zones!$B$2:$B$21)</f>
        <v/>
      </c>
      <c r="K1742" s="21" t="n"/>
    </row>
    <row r="1743">
      <c r="A1743" s="24" t="n">
        <v>4026</v>
      </c>
      <c r="B1743" s="10" t="inlineStr">
        <is>
          <t>TĐ An Hưng</t>
        </is>
      </c>
      <c r="C1743" s="10" t="inlineStr">
        <is>
          <t>NM TĐN An Hưng</t>
        </is>
      </c>
      <c r="D1743" s="3" t="inlineStr">
        <is>
          <t>B29</t>
        </is>
      </c>
      <c r="E1743" s="9" t="n"/>
      <c r="F1743" s="15">
        <f>IF(E1743&lt;&gt;"","Đã VH","Quy hoạch điện VIII")</f>
        <v/>
      </c>
      <c r="G1743" s="16">
        <f>LEFT(B1743,FIND(" ",B1743,1)-1)</f>
        <v/>
      </c>
      <c r="H1743" s="16">
        <f>TRIM(RIGHT(B1743,LEN(B1743)-FIND(" ",B1743,1)))</f>
        <v/>
      </c>
      <c r="I1743" s="16">
        <f>_xlfn.XLOOKUP(Table2[[#This Row],[Type]],Table5[Type],Table5[Type2])</f>
        <v/>
      </c>
      <c r="J1743" s="16">
        <f>_xlfn.XLOOKUP(Table2[[#This Row],[Sym]],Zones!$A$2:$A$21,Zones!$B$2:$B$21)</f>
        <v/>
      </c>
      <c r="K1743" s="21" t="n"/>
    </row>
    <row r="1744">
      <c r="A1744" s="24" t="n">
        <v>4027</v>
      </c>
      <c r="B1744" s="10" t="inlineStr">
        <is>
          <t>TĐ Nhù Cả</t>
        </is>
      </c>
      <c r="C1744" s="10" t="inlineStr">
        <is>
          <t>NM TĐN Nhù Cả</t>
        </is>
      </c>
      <c r="D1744" s="3" t="inlineStr">
        <is>
          <t>B29</t>
        </is>
      </c>
      <c r="E1744" s="9" t="n"/>
      <c r="F1744" s="15">
        <f>IF(E1744&lt;&gt;"","Đã VH","Quy hoạch điện VIII")</f>
        <v/>
      </c>
      <c r="G1744" s="16">
        <f>LEFT(B1744,FIND(" ",B1744,1)-1)</f>
        <v/>
      </c>
      <c r="H1744" s="16">
        <f>TRIM(RIGHT(B1744,LEN(B1744)-FIND(" ",B1744,1)))</f>
        <v/>
      </c>
      <c r="I1744" s="16">
        <f>_xlfn.XLOOKUP(Table2[[#This Row],[Type]],Table5[Type],Table5[Type2])</f>
        <v/>
      </c>
      <c r="J1744" s="16">
        <f>_xlfn.XLOOKUP(Table2[[#This Row],[Sym]],Zones!$A$2:$A$21,Zones!$B$2:$B$21)</f>
        <v/>
      </c>
      <c r="K1744" s="21" t="n"/>
    </row>
    <row r="1745">
      <c r="A1745" s="24" t="n">
        <v>4028</v>
      </c>
      <c r="B1745" s="10" t="inlineStr">
        <is>
          <t>TĐ Nậm Lằn 1</t>
        </is>
      </c>
      <c r="C1745" s="10" t="inlineStr">
        <is>
          <t>NM TĐN Nậm Lằn 1</t>
        </is>
      </c>
      <c r="D1745" s="3" t="inlineStr">
        <is>
          <t>B29</t>
        </is>
      </c>
      <c r="E1745" s="9" t="n"/>
      <c r="F1745" s="15">
        <f>IF(E1745&lt;&gt;"","Đã VH","Quy hoạch điện VIII")</f>
        <v/>
      </c>
      <c r="G1745" s="16">
        <f>LEFT(B1745,FIND(" ",B1745,1)-1)</f>
        <v/>
      </c>
      <c r="H1745" s="16">
        <f>TRIM(RIGHT(B1745,LEN(B1745)-FIND(" ",B1745,1)))</f>
        <v/>
      </c>
      <c r="I1745" s="16">
        <f>_xlfn.XLOOKUP(Table2[[#This Row],[Type]],Table5[Type],Table5[Type2])</f>
        <v/>
      </c>
      <c r="J1745" s="16">
        <f>_xlfn.XLOOKUP(Table2[[#This Row],[Sym]],Zones!$A$2:$A$21,Zones!$B$2:$B$21)</f>
        <v/>
      </c>
      <c r="K1745" s="21" t="n"/>
    </row>
    <row r="1746">
      <c r="A1746" s="24" t="n">
        <v>4029</v>
      </c>
      <c r="B1746" s="10" t="inlineStr">
        <is>
          <t>TĐ Mường Tè 2</t>
        </is>
      </c>
      <c r="C1746" s="10" t="inlineStr">
        <is>
          <t>NM TĐN Mường Tè 2</t>
        </is>
      </c>
      <c r="D1746" s="3" t="inlineStr">
        <is>
          <t>B29</t>
        </is>
      </c>
      <c r="E1746" s="9" t="n"/>
      <c r="F1746" s="15">
        <f>IF(E1746&lt;&gt;"","Đã VH","Quy hoạch điện VIII")</f>
        <v/>
      </c>
      <c r="G1746" s="16">
        <f>LEFT(B1746,FIND(" ",B1746,1)-1)</f>
        <v/>
      </c>
      <c r="H1746" s="16">
        <f>TRIM(RIGHT(B1746,LEN(B1746)-FIND(" ",B1746,1)))</f>
        <v/>
      </c>
      <c r="I1746" s="16">
        <f>_xlfn.XLOOKUP(Table2[[#This Row],[Type]],Table5[Type],Table5[Type2])</f>
        <v/>
      </c>
      <c r="J1746" s="16">
        <f>_xlfn.XLOOKUP(Table2[[#This Row],[Sym]],Zones!$A$2:$A$21,Zones!$B$2:$B$21)</f>
        <v/>
      </c>
      <c r="K1746" s="21" t="n"/>
    </row>
    <row r="1747">
      <c r="A1747" s="24" t="n">
        <v>4030</v>
      </c>
      <c r="B1747" s="10" t="inlineStr">
        <is>
          <t>TĐ Mít Luông</t>
        </is>
      </c>
      <c r="C1747" s="10" t="inlineStr">
        <is>
          <t>NM TĐN Mít Luông</t>
        </is>
      </c>
      <c r="D1747" s="3" t="inlineStr">
        <is>
          <t>B29</t>
        </is>
      </c>
      <c r="E1747" s="9" t="n"/>
      <c r="F1747" s="15">
        <f>IF(E1747&lt;&gt;"","Đã VH","Quy hoạch điện VIII")</f>
        <v/>
      </c>
      <c r="G1747" s="16">
        <f>LEFT(B1747,FIND(" ",B1747,1)-1)</f>
        <v/>
      </c>
      <c r="H1747" s="16">
        <f>TRIM(RIGHT(B1747,LEN(B1747)-FIND(" ",B1747,1)))</f>
        <v/>
      </c>
      <c r="I1747" s="16">
        <f>_xlfn.XLOOKUP(Table2[[#This Row],[Type]],Table5[Type],Table5[Type2])</f>
        <v/>
      </c>
      <c r="J1747" s="16">
        <f>_xlfn.XLOOKUP(Table2[[#This Row],[Sym]],Zones!$A$2:$A$21,Zones!$B$2:$B$21)</f>
        <v/>
      </c>
      <c r="K1747" s="21" t="n"/>
    </row>
    <row r="1748">
      <c r="A1748" s="24" t="n">
        <v>4031</v>
      </c>
      <c r="B1748" s="10" t="inlineStr">
        <is>
          <t>TĐ Tả Phìn</t>
        </is>
      </c>
      <c r="C1748" s="10" t="inlineStr">
        <is>
          <t>NM TĐN Tả Phìn</t>
        </is>
      </c>
      <c r="D1748" s="3" t="inlineStr">
        <is>
          <t>B29</t>
        </is>
      </c>
      <c r="E1748" s="9" t="n"/>
      <c r="F1748" s="15">
        <f>IF(E1748&lt;&gt;"","Đã VH","Quy hoạch điện VIII")</f>
        <v/>
      </c>
      <c r="G1748" s="16">
        <f>LEFT(B1748,FIND(" ",B1748,1)-1)</f>
        <v/>
      </c>
      <c r="H1748" s="16">
        <f>TRIM(RIGHT(B1748,LEN(B1748)-FIND(" ",B1748,1)))</f>
        <v/>
      </c>
      <c r="I1748" s="16">
        <f>_xlfn.XLOOKUP(Table2[[#This Row],[Type]],Table5[Type],Table5[Type2])</f>
        <v/>
      </c>
      <c r="J1748" s="16">
        <f>_xlfn.XLOOKUP(Table2[[#This Row],[Sym]],Zones!$A$2:$A$21,Zones!$B$2:$B$21)</f>
        <v/>
      </c>
      <c r="K1748" s="21" t="n"/>
    </row>
    <row r="1749">
      <c r="A1749" s="24" t="n">
        <v>4032</v>
      </c>
      <c r="B1749" s="10" t="inlineStr">
        <is>
          <t>TĐ Kha Ứ</t>
        </is>
      </c>
      <c r="C1749" s="10" t="inlineStr">
        <is>
          <t>NM TĐN Kha Ứ</t>
        </is>
      </c>
      <c r="D1749" s="3" t="inlineStr">
        <is>
          <t>B29</t>
        </is>
      </c>
      <c r="E1749" s="9" t="n"/>
      <c r="F1749" s="15">
        <f>IF(E1749&lt;&gt;"","Đã VH","Quy hoạch điện VIII")</f>
        <v/>
      </c>
      <c r="G1749" s="16">
        <f>LEFT(B1749,FIND(" ",B1749,1)-1)</f>
        <v/>
      </c>
      <c r="H1749" s="16">
        <f>TRIM(RIGHT(B1749,LEN(B1749)-FIND(" ",B1749,1)))</f>
        <v/>
      </c>
      <c r="I1749" s="16">
        <f>_xlfn.XLOOKUP(Table2[[#This Row],[Type]],Table5[Type],Table5[Type2])</f>
        <v/>
      </c>
      <c r="J1749" s="16">
        <f>_xlfn.XLOOKUP(Table2[[#This Row],[Sym]],Zones!$A$2:$A$21,Zones!$B$2:$B$21)</f>
        <v/>
      </c>
      <c r="K1749" s="21" t="n"/>
    </row>
    <row r="1750">
      <c r="A1750" s="24" t="n">
        <v>4033</v>
      </c>
      <c r="B1750" s="10" t="inlineStr">
        <is>
          <t>TĐ Nậm Ma</t>
        </is>
      </c>
      <c r="C1750" s="10" t="inlineStr">
        <is>
          <t>NM TĐN Nậm Ma</t>
        </is>
      </c>
      <c r="D1750" s="3" t="inlineStr">
        <is>
          <t>B29</t>
        </is>
      </c>
      <c r="E1750" s="9" t="n"/>
      <c r="F1750" s="15">
        <f>IF(E1750&lt;&gt;"","Đã VH","Quy hoạch điện VIII")</f>
        <v/>
      </c>
      <c r="G1750" s="16">
        <f>LEFT(B1750,FIND(" ",B1750,1)-1)</f>
        <v/>
      </c>
      <c r="H1750" s="16">
        <f>TRIM(RIGHT(B1750,LEN(B1750)-FIND(" ",B1750,1)))</f>
        <v/>
      </c>
      <c r="I1750" s="16">
        <f>_xlfn.XLOOKUP(Table2[[#This Row],[Type]],Table5[Type],Table5[Type2])</f>
        <v/>
      </c>
      <c r="J1750" s="16">
        <f>_xlfn.XLOOKUP(Table2[[#This Row],[Sym]],Zones!$A$2:$A$21,Zones!$B$2:$B$21)</f>
        <v/>
      </c>
      <c r="K1750" s="21" t="n"/>
    </row>
    <row r="1751">
      <c r="A1751" s="24" t="n">
        <v>4034</v>
      </c>
      <c r="B1751" s="10" t="inlineStr">
        <is>
          <t>TĐ Nậm Giê</t>
        </is>
      </c>
      <c r="C1751" s="10" t="inlineStr">
        <is>
          <t>NM TĐN Nậm Giê</t>
        </is>
      </c>
      <c r="D1751" s="3" t="inlineStr">
        <is>
          <t>B29</t>
        </is>
      </c>
      <c r="E1751" s="9" t="n"/>
      <c r="F1751" s="15">
        <f>IF(E1751&lt;&gt;"","Đã VH","Quy hoạch điện VIII")</f>
        <v/>
      </c>
      <c r="G1751" s="16">
        <f>LEFT(B1751,FIND(" ",B1751,1)-1)</f>
        <v/>
      </c>
      <c r="H1751" s="16">
        <f>TRIM(RIGHT(B1751,LEN(B1751)-FIND(" ",B1751,1)))</f>
        <v/>
      </c>
      <c r="I1751" s="16">
        <f>_xlfn.XLOOKUP(Table2[[#This Row],[Type]],Table5[Type],Table5[Type2])</f>
        <v/>
      </c>
      <c r="J1751" s="16">
        <f>_xlfn.XLOOKUP(Table2[[#This Row],[Sym]],Zones!$A$2:$A$21,Zones!$B$2:$B$21)</f>
        <v/>
      </c>
      <c r="K1751" s="21" t="n"/>
    </row>
    <row r="1752">
      <c r="A1752" s="24" t="n">
        <v>4035</v>
      </c>
      <c r="B1752" s="10" t="inlineStr">
        <is>
          <t>TĐ Là Si 3</t>
        </is>
      </c>
      <c r="C1752" s="10" t="inlineStr">
        <is>
          <t>NM TĐN Là Si 3</t>
        </is>
      </c>
      <c r="D1752" s="3" t="inlineStr">
        <is>
          <t>B29</t>
        </is>
      </c>
      <c r="E1752" s="9" t="n"/>
      <c r="F1752" s="15">
        <f>IF(E1752&lt;&gt;"","Đã VH","Quy hoạch điện VIII")</f>
        <v/>
      </c>
      <c r="G1752" s="16">
        <f>LEFT(B1752,FIND(" ",B1752,1)-1)</f>
        <v/>
      </c>
      <c r="H1752" s="16">
        <f>TRIM(RIGHT(B1752,LEN(B1752)-FIND(" ",B1752,1)))</f>
        <v/>
      </c>
      <c r="I1752" s="16">
        <f>_xlfn.XLOOKUP(Table2[[#This Row],[Type]],Table5[Type],Table5[Type2])</f>
        <v/>
      </c>
      <c r="J1752" s="16">
        <f>_xlfn.XLOOKUP(Table2[[#This Row],[Sym]],Zones!$A$2:$A$21,Zones!$B$2:$B$21)</f>
        <v/>
      </c>
      <c r="K1752" s="21" t="n"/>
    </row>
    <row r="1753">
      <c r="A1753" s="24" t="n">
        <v>4036</v>
      </c>
      <c r="B1753" s="10" t="inlineStr">
        <is>
          <t>T110 Mường Tè</t>
        </is>
      </c>
      <c r="C1753" s="10" t="inlineStr">
        <is>
          <t>TBA 110kV Mường Tè</t>
        </is>
      </c>
      <c r="D1753" s="3" t="inlineStr">
        <is>
          <t>B29</t>
        </is>
      </c>
      <c r="E1753" s="9" t="n"/>
      <c r="F1753" s="15">
        <f>IF(E1753&lt;&gt;"","Đã VH","Quy hoạch điện VIII")</f>
        <v/>
      </c>
      <c r="G1753" s="16">
        <f>LEFT(B1753,FIND(" ",B1753,1)-1)</f>
        <v/>
      </c>
      <c r="H1753" s="16">
        <f>TRIM(RIGHT(B1753,LEN(B1753)-FIND(" ",B1753,1)))</f>
        <v/>
      </c>
      <c r="I1753" s="16">
        <f>_xlfn.XLOOKUP(Table2[[#This Row],[Type]],Table5[Type],Table5[Type2])</f>
        <v/>
      </c>
      <c r="J1753" s="16">
        <f>_xlfn.XLOOKUP(Table2[[#This Row],[Sym]],Zones!$A$2:$A$21,Zones!$B$2:$B$21)</f>
        <v/>
      </c>
      <c r="K1753" s="21" t="n"/>
    </row>
    <row r="1754">
      <c r="A1754" s="24" t="n">
        <v>4037</v>
      </c>
      <c r="B1754" s="10" t="inlineStr">
        <is>
          <t>TĐ Sìn Hồ</t>
        </is>
      </c>
      <c r="C1754" s="10" t="inlineStr">
        <is>
          <t>NM TĐN Sìn Hồ</t>
        </is>
      </c>
      <c r="D1754" s="3" t="inlineStr">
        <is>
          <t>B29</t>
        </is>
      </c>
      <c r="E1754" s="9" t="n"/>
      <c r="F1754" s="15">
        <f>IF(E1754&lt;&gt;"","Đã VH","Quy hoạch điện VIII")</f>
        <v/>
      </c>
      <c r="G1754" s="16">
        <f>LEFT(B1754,FIND(" ",B1754,1)-1)</f>
        <v/>
      </c>
      <c r="H1754" s="16">
        <f>TRIM(RIGHT(B1754,LEN(B1754)-FIND(" ",B1754,1)))</f>
        <v/>
      </c>
      <c r="I1754" s="16">
        <f>_xlfn.XLOOKUP(Table2[[#This Row],[Type]],Table5[Type],Table5[Type2])</f>
        <v/>
      </c>
      <c r="J1754" s="16">
        <f>_xlfn.XLOOKUP(Table2[[#This Row],[Sym]],Zones!$A$2:$A$21,Zones!$B$2:$B$21)</f>
        <v/>
      </c>
      <c r="K1754" s="21" t="n"/>
    </row>
    <row r="1755">
      <c r="A1755" s="26" t="n">
        <v>4042</v>
      </c>
      <c r="B1755" s="27" t="inlineStr">
        <is>
          <t>TĐ Nậm Cấu Thượng</t>
        </is>
      </c>
      <c r="C1755" s="27" t="inlineStr">
        <is>
          <t>NM TĐN Nậm Cấu Thượng</t>
        </is>
      </c>
      <c r="D1755" s="11" t="inlineStr">
        <is>
          <t>B29</t>
        </is>
      </c>
      <c r="E1755" s="12" t="n"/>
      <c r="F1755" s="17">
        <f>IF(E1755&lt;&gt;"","Đã VH","Quy hoạch điện VIII")</f>
        <v/>
      </c>
      <c r="G1755" s="16">
        <f>LEFT(B1755,FIND(" ",B1755,1)-1)</f>
        <v/>
      </c>
      <c r="H1755" s="16">
        <f>TRIM(RIGHT(B1755,LEN(B1755)-FIND(" ",B1755,1)))</f>
        <v/>
      </c>
      <c r="I1755" s="16">
        <f>_xlfn.XLOOKUP(Table2[[#This Row],[Type]],Table5[Type],Table5[Type2])</f>
        <v/>
      </c>
      <c r="J1755" s="16">
        <f>_xlfn.XLOOKUP(Table2[[#This Row],[Sym]],Zones!$A$2:$A$21,Zones!$B$2:$B$21)</f>
        <v/>
      </c>
      <c r="K1755" s="21" t="n"/>
    </row>
  </sheetData>
  <conditionalFormatting sqref="A1:A714 A716:A1755 B1:C656 B658:C669 B671:C714 B716:C737 B739:C1755">
    <cfRule type="duplicateValues" priority="9" dxfId="1"/>
  </conditionalFormatting>
  <conditionalFormatting sqref="A1:A1755 A1756:C1048576">
    <cfRule type="duplicateValues" priority="1" dxfId="1"/>
  </conditionalFormatting>
  <conditionalFormatting sqref="A715">
    <cfRule type="duplicateValues" priority="3" dxfId="1"/>
  </conditionalFormatting>
  <conditionalFormatting sqref="B1:C1755">
    <cfRule type="duplicateValues" priority="12" dxfId="1"/>
  </conditionalFormatting>
  <conditionalFormatting sqref="B657:C657">
    <cfRule type="duplicateValues" priority="6" dxfId="1"/>
  </conditionalFormatting>
  <conditionalFormatting sqref="B670:C670">
    <cfRule type="duplicateValues" priority="5" dxfId="1"/>
  </conditionalFormatting>
  <conditionalFormatting sqref="B715:C715">
    <cfRule type="duplicateValues" priority="7" dxfId="1"/>
  </conditionalFormatting>
  <conditionalFormatting sqref="B738:C738">
    <cfRule type="duplicateValues" priority="4" dxfId="1"/>
  </conditionalFormatting>
  <conditionalFormatting sqref="E1:E1755">
    <cfRule type="duplicateValues" priority="11" dxfId="1"/>
  </conditionalFormatting>
  <conditionalFormatting sqref="F2:F1755">
    <cfRule type="containsText" priority="2" operator="containsText" dxfId="0" text="Đã VH">
      <formula>NOT(ISERROR(SEARCH("Đã VH",F2)))</formula>
    </cfRule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 Nguyen Van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2026-01-28T07:28:44Z</dcterms:modified>
  <cp:lastModifiedBy>Nguyen Van Su</cp:lastModifiedBy>
</cp:coreProperties>
</file>